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8"/>
  <workbookPr/>
  <mc:AlternateContent xmlns:mc="http://schemas.openxmlformats.org/markup-compatibility/2006">
    <mc:Choice Requires="x15">
      <x15ac:absPath xmlns:x15ac="http://schemas.microsoft.com/office/spreadsheetml/2010/11/ac" url="/Users/shaivan/Downloads/[UU] Guided Research/Plots/"/>
    </mc:Choice>
  </mc:AlternateContent>
  <xr:revisionPtr revIDLastSave="0" documentId="13_ncr:1_{7ACDEA57-FDF9-3F4C-B0A6-06F722C0F72F}" xr6:coauthVersionLast="47" xr6:coauthVersionMax="47" xr10:uidLastSave="{00000000-0000-0000-0000-000000000000}"/>
  <bookViews>
    <workbookView xWindow="0" yWindow="0" windowWidth="38400" windowHeight="21600" xr2:uid="{00000000-000D-0000-FFFF-FFFF00000000}"/>
  </bookViews>
  <sheets>
    <sheet name="Sheet1" sheetId="1" r:id="rId1"/>
  </sheets>
  <definedNames>
    <definedName name="_xlnm._FilterDatabase" localSheetId="0" hidden="1">Sheet1!$A$1:$N$8901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63" i="1" l="1"/>
  <c r="E134" i="1"/>
  <c r="E281" i="1"/>
  <c r="E254" i="1"/>
  <c r="E275" i="1"/>
  <c r="E277" i="1"/>
  <c r="E269" i="1"/>
  <c r="E8794" i="1"/>
  <c r="E8793" i="1"/>
  <c r="E300" i="1"/>
  <c r="E289" i="1"/>
  <c r="E8786" i="1"/>
  <c r="E8695" i="1"/>
  <c r="E212" i="1"/>
  <c r="E175" i="1"/>
  <c r="E8815" i="1"/>
  <c r="E8873" i="1"/>
  <c r="E421" i="1"/>
  <c r="E351" i="1"/>
  <c r="E466" i="1"/>
  <c r="E348" i="1"/>
  <c r="E267" i="1"/>
  <c r="E317" i="1"/>
  <c r="E367" i="1"/>
  <c r="E5456" i="1"/>
  <c r="E420" i="1"/>
  <c r="E287" i="1"/>
  <c r="E172" i="1"/>
  <c r="E132" i="1"/>
  <c r="E506" i="1"/>
  <c r="E350" i="1"/>
  <c r="E227" i="1"/>
  <c r="E170" i="1"/>
  <c r="E122" i="1"/>
  <c r="E120" i="1"/>
  <c r="E105" i="1"/>
  <c r="E42" i="1"/>
  <c r="E128" i="1"/>
  <c r="E93" i="1"/>
  <c r="E90" i="1"/>
  <c r="E114" i="1"/>
  <c r="E104" i="1"/>
  <c r="E95" i="1"/>
  <c r="E110" i="1"/>
  <c r="E349" i="1"/>
  <c r="E488" i="1"/>
  <c r="E474" i="1"/>
  <c r="E503" i="1"/>
  <c r="E88" i="1"/>
  <c r="E430" i="1"/>
  <c r="E315" i="1"/>
  <c r="E222" i="1"/>
  <c r="E360" i="1"/>
  <c r="E454" i="1"/>
  <c r="E471" i="1"/>
  <c r="E473" i="1"/>
  <c r="E284" i="1"/>
  <c r="E515" i="1"/>
  <c r="E4675" i="1"/>
  <c r="E537" i="1"/>
  <c r="E310" i="1"/>
  <c r="E3656" i="1"/>
  <c r="E499" i="1"/>
  <c r="E335" i="1"/>
  <c r="E347" i="1"/>
  <c r="E578" i="1"/>
  <c r="E211" i="1"/>
  <c r="E78" i="1"/>
  <c r="E83" i="1"/>
  <c r="E38" i="1"/>
  <c r="E330" i="1"/>
  <c r="E370" i="1"/>
  <c r="E188" i="1"/>
  <c r="D8697" i="1"/>
  <c r="D8668" i="1"/>
  <c r="D8659" i="1"/>
  <c r="D8645" i="1"/>
  <c r="D8638" i="1"/>
  <c r="D8627" i="1"/>
  <c r="D8589" i="1"/>
  <c r="D8634" i="1"/>
  <c r="D8636" i="1"/>
  <c r="D8632" i="1"/>
  <c r="D8633" i="1"/>
  <c r="D8637" i="1"/>
  <c r="D8639" i="1"/>
  <c r="D8641" i="1"/>
  <c r="D8640" i="1"/>
  <c r="D8644" i="1"/>
  <c r="D8648" i="1"/>
  <c r="D8650" i="1"/>
  <c r="D8651" i="1"/>
  <c r="D8657" i="1"/>
  <c r="D8666" i="1"/>
  <c r="D8662" i="1"/>
  <c r="D8663" i="1"/>
  <c r="D8675" i="1"/>
  <c r="D8677" i="1"/>
  <c r="D8664" i="1"/>
  <c r="D8679" i="1"/>
  <c r="D8665" i="1"/>
  <c r="D8661" i="1"/>
  <c r="D8687" i="1"/>
  <c r="D8680" i="1"/>
  <c r="D8669" i="1"/>
  <c r="D8678" i="1"/>
  <c r="D8688" i="1"/>
  <c r="D8656" i="1"/>
  <c r="D8646" i="1"/>
  <c r="D8647" i="1"/>
  <c r="D8652" i="1"/>
  <c r="D8658" i="1"/>
  <c r="D8660" i="1"/>
  <c r="D8694" i="1"/>
  <c r="D8719" i="1"/>
  <c r="D8706" i="1"/>
  <c r="D8727" i="1"/>
  <c r="D8730" i="1"/>
  <c r="D8729" i="1"/>
  <c r="D8711" i="1"/>
  <c r="D8704" i="1"/>
  <c r="D8709" i="1"/>
  <c r="D8699" i="1"/>
  <c r="D8674" i="1"/>
  <c r="D8654" i="1"/>
  <c r="D8682" i="1"/>
  <c r="D8707" i="1"/>
  <c r="D8723" i="1"/>
  <c r="D8732" i="1"/>
  <c r="D8721" i="1"/>
  <c r="D8705" i="1"/>
  <c r="D8708" i="1"/>
  <c r="D8698" i="1"/>
  <c r="D8690" i="1"/>
  <c r="D8667" i="1"/>
  <c r="D8672" i="1"/>
  <c r="D8685" i="1"/>
  <c r="D8700" i="1"/>
  <c r="D8684" i="1"/>
  <c r="D8713" i="1"/>
  <c r="D8725" i="1"/>
  <c r="D8734" i="1"/>
  <c r="D8722" i="1"/>
  <c r="D8710" i="1"/>
  <c r="D8714" i="1"/>
  <c r="D8701" i="1"/>
  <c r="D8691" i="1"/>
  <c r="D8671" i="1"/>
  <c r="D8676" i="1"/>
  <c r="D8686" i="1"/>
  <c r="D8703" i="1"/>
  <c r="D8702" i="1"/>
  <c r="D8712" i="1"/>
  <c r="D8726" i="1"/>
  <c r="D8718" i="1"/>
  <c r="D8715" i="1"/>
  <c r="D8696" i="1"/>
  <c r="D8692" i="1"/>
  <c r="D8683" i="1"/>
  <c r="D8720" i="1"/>
  <c r="D8739" i="1"/>
  <c r="D8742" i="1"/>
  <c r="D8724" i="1"/>
  <c r="D8693" i="1"/>
  <c r="D8717" i="1"/>
  <c r="D8728" i="1"/>
  <c r="D8737" i="1"/>
  <c r="D8738" i="1"/>
  <c r="D8736" i="1"/>
  <c r="D8740" i="1"/>
  <c r="D8741" i="1"/>
  <c r="D8752" i="1"/>
  <c r="D8754" i="1"/>
  <c r="D8746" i="1"/>
  <c r="D8753" i="1"/>
  <c r="D8744" i="1"/>
  <c r="D8749" i="1"/>
  <c r="D8761" i="1"/>
  <c r="D8771" i="1"/>
  <c r="D8769" i="1"/>
  <c r="D8774" i="1"/>
  <c r="D8764" i="1"/>
  <c r="D8759" i="1"/>
  <c r="D8755" i="1"/>
  <c r="D8757" i="1"/>
  <c r="D8760" i="1"/>
  <c r="D8763" i="1"/>
  <c r="D8765" i="1"/>
  <c r="D8767" i="1"/>
  <c r="D8768" i="1"/>
  <c r="D8756" i="1"/>
  <c r="D8762" i="1"/>
  <c r="D8748" i="1"/>
  <c r="D8733" i="1"/>
  <c r="D8750" i="1"/>
  <c r="D8743" i="1"/>
  <c r="D8776" i="1"/>
  <c r="D8777" i="1"/>
  <c r="D8775" i="1"/>
  <c r="D8773" i="1"/>
  <c r="D8766" i="1"/>
  <c r="D8770" i="1"/>
  <c r="D8609" i="1"/>
  <c r="D8614" i="1"/>
  <c r="D8603" i="1"/>
  <c r="D8593" i="1"/>
  <c r="D8600" i="1"/>
  <c r="D8598" i="1"/>
  <c r="D8607" i="1"/>
  <c r="D8613" i="1"/>
  <c r="D8612" i="1"/>
  <c r="D8618" i="1"/>
  <c r="D8616" i="1"/>
  <c r="D8615" i="1"/>
  <c r="D8606" i="1"/>
  <c r="D8605" i="1"/>
  <c r="D8602" i="1"/>
  <c r="D8608" i="1"/>
  <c r="D8596" i="1"/>
  <c r="D8594" i="1"/>
  <c r="D8611" i="1"/>
  <c r="D8601" i="1"/>
  <c r="D8587" i="1"/>
  <c r="D8577" i="1"/>
  <c r="D8558" i="1"/>
  <c r="D8549" i="1"/>
  <c r="D8569" i="1"/>
  <c r="D8584" i="1"/>
  <c r="D8591" i="1"/>
  <c r="D8590" i="1"/>
  <c r="D8585" i="1"/>
  <c r="D8604" i="1"/>
  <c r="D8621" i="1"/>
  <c r="D8631" i="1"/>
  <c r="D8630" i="1"/>
  <c r="D8629" i="1"/>
  <c r="D8610" i="1"/>
  <c r="D8595" i="1"/>
  <c r="D8588" i="1"/>
  <c r="D8592" i="1"/>
  <c r="D8599" i="1"/>
  <c r="D8628" i="1"/>
  <c r="D8617" i="1"/>
  <c r="D8619" i="1"/>
  <c r="D8623" i="1"/>
  <c r="D8626" i="1"/>
  <c r="D8622" i="1"/>
  <c r="D8620" i="1"/>
  <c r="D8624" i="1"/>
  <c r="D8625" i="1"/>
  <c r="D8784" i="1"/>
  <c r="D8780" i="1"/>
  <c r="D8779" i="1"/>
  <c r="D8781" i="1"/>
  <c r="D8772" i="1"/>
  <c r="D8681" i="1"/>
  <c r="D8530" i="1"/>
  <c r="D571" i="1"/>
  <c r="D496" i="1"/>
  <c r="D8783" i="1"/>
  <c r="D8788" i="1"/>
  <c r="D8789" i="1"/>
  <c r="D8791" i="1"/>
  <c r="D8792" i="1"/>
  <c r="D8787" i="1"/>
  <c r="D8790" i="1"/>
  <c r="D8782" i="1"/>
  <c r="D8778" i="1"/>
  <c r="D8758" i="1"/>
  <c r="D8747" i="1"/>
  <c r="D8735" i="1"/>
  <c r="D8731" i="1"/>
  <c r="D8689" i="1"/>
  <c r="D8716" i="1"/>
  <c r="D8649" i="1"/>
  <c r="D8583" i="1"/>
  <c r="D6207" i="1"/>
  <c r="D8578" i="1"/>
  <c r="D8635" i="1"/>
  <c r="D468" i="1"/>
  <c r="D469" i="1"/>
  <c r="D470" i="1"/>
  <c r="D479" i="1"/>
  <c r="D477" i="1"/>
  <c r="D472" i="1"/>
  <c r="D461" i="1"/>
  <c r="D452" i="1"/>
  <c r="D455" i="1"/>
  <c r="D453" i="1"/>
  <c r="D435" i="1"/>
  <c r="D410" i="1"/>
  <c r="D434" i="1"/>
  <c r="D450" i="1"/>
  <c r="D483" i="1"/>
  <c r="D532" i="1"/>
  <c r="D523" i="1"/>
  <c r="D592" i="1"/>
  <c r="D535" i="1"/>
  <c r="D498" i="1"/>
  <c r="D504" i="1"/>
  <c r="D512" i="1"/>
  <c r="D3802" i="1"/>
  <c r="D3354" i="1"/>
  <c r="D1608" i="1"/>
  <c r="D2026" i="1"/>
  <c r="D2578" i="1"/>
  <c r="D2010" i="1"/>
  <c r="D1088" i="1"/>
  <c r="D2237" i="1"/>
  <c r="D3263" i="1"/>
  <c r="D1862" i="1"/>
  <c r="D2110" i="1"/>
  <c r="D2760" i="1"/>
  <c r="D2913" i="1"/>
  <c r="D3926" i="1"/>
  <c r="D3621" i="1"/>
  <c r="D3655" i="1"/>
  <c r="D4797" i="1"/>
  <c r="D4414" i="1"/>
  <c r="D4349" i="1"/>
  <c r="D4004" i="1"/>
  <c r="D4432" i="1"/>
  <c r="D6008" i="1"/>
  <c r="D5920" i="1"/>
  <c r="D644" i="1"/>
  <c r="D582" i="1"/>
  <c r="D996" i="1"/>
  <c r="D1600" i="1"/>
  <c r="D1283" i="1"/>
  <c r="D1080" i="1"/>
  <c r="D2145" i="1"/>
  <c r="D2619" i="1"/>
  <c r="D3473" i="1"/>
  <c r="D4647" i="1"/>
  <c r="D4093" i="1"/>
  <c r="D555" i="1"/>
  <c r="D744" i="1"/>
  <c r="D909" i="1"/>
  <c r="D707" i="1"/>
  <c r="D562" i="1"/>
  <c r="D573" i="1"/>
  <c r="D597" i="1"/>
  <c r="D607" i="1"/>
  <c r="D593" i="1"/>
  <c r="D614" i="1"/>
  <c r="D629" i="1"/>
  <c r="D630" i="1"/>
  <c r="D609" i="1"/>
  <c r="D604" i="1"/>
  <c r="D615" i="1"/>
  <c r="D605" i="1"/>
  <c r="D601" i="1"/>
  <c r="D1330" i="1"/>
  <c r="D1237" i="1"/>
  <c r="D1730" i="1"/>
  <c r="D1059" i="1"/>
  <c r="D968" i="1"/>
  <c r="D1003" i="1"/>
  <c r="D2562" i="1"/>
  <c r="D4538" i="1"/>
  <c r="D2276" i="1"/>
  <c r="D1168" i="1"/>
  <c r="D1245" i="1"/>
  <c r="D1425" i="1"/>
  <c r="D780" i="1"/>
  <c r="D761" i="1"/>
  <c r="D684" i="1"/>
  <c r="D667" i="1"/>
  <c r="D721" i="1"/>
  <c r="D798" i="1"/>
  <c r="D751" i="1"/>
  <c r="D758" i="1"/>
  <c r="D716" i="1"/>
  <c r="D683" i="1"/>
  <c r="D668" i="1"/>
  <c r="D641" i="1"/>
  <c r="D736" i="1"/>
  <c r="D690" i="1"/>
  <c r="D658" i="1"/>
  <c r="D655" i="1"/>
  <c r="D611" i="1"/>
  <c r="D577" i="1"/>
  <c r="D547" i="1"/>
  <c r="D541" i="1"/>
  <c r="D538" i="1"/>
  <c r="D540" i="1"/>
  <c r="D632" i="1"/>
  <c r="D697" i="1"/>
  <c r="D669" i="1"/>
  <c r="D638" i="1"/>
  <c r="D672" i="1"/>
  <c r="D772" i="1"/>
  <c r="D564" i="1"/>
  <c r="D565" i="1"/>
  <c r="D624" i="1"/>
  <c r="D688" i="1"/>
  <c r="D642" i="1"/>
  <c r="D625" i="1"/>
  <c r="D568" i="1"/>
  <c r="D557" i="1"/>
  <c r="D539" i="1"/>
  <c r="D531" i="1"/>
  <c r="D529" i="1"/>
  <c r="D527" i="1"/>
  <c r="D528" i="1"/>
  <c r="D553" i="1"/>
  <c r="D643" i="1"/>
  <c r="D781" i="1"/>
  <c r="D728" i="1"/>
  <c r="D627" i="1"/>
  <c r="D820" i="1"/>
  <c r="D1271" i="1"/>
  <c r="D1141" i="1"/>
  <c r="D1111" i="1"/>
  <c r="D1223" i="1"/>
  <c r="D1224" i="1"/>
  <c r="D1191" i="1"/>
  <c r="D1117" i="1"/>
  <c r="D1028" i="1"/>
  <c r="D1009" i="1"/>
  <c r="D983" i="1"/>
  <c r="D944" i="1"/>
  <c r="D917" i="1"/>
  <c r="D898" i="1"/>
  <c r="D892" i="1"/>
  <c r="D970" i="1"/>
  <c r="D928" i="1"/>
  <c r="D884" i="1"/>
  <c r="D871" i="1"/>
  <c r="D845" i="1"/>
  <c r="D844" i="1"/>
  <c r="D817" i="1"/>
  <c r="D799" i="1"/>
  <c r="D754" i="1"/>
  <c r="D748" i="1"/>
  <c r="D733" i="1"/>
  <c r="D714" i="1"/>
  <c r="D647" i="1"/>
  <c r="D596" i="1"/>
  <c r="D558" i="1"/>
  <c r="D623" i="1"/>
  <c r="D626" i="1"/>
  <c r="D679" i="1"/>
  <c r="D670" i="1"/>
  <c r="D633" i="1"/>
  <c r="D598" i="1"/>
  <c r="D594" i="1"/>
  <c r="D576" i="1"/>
  <c r="D569" i="1"/>
  <c r="D563" i="1"/>
  <c r="D567" i="1"/>
  <c r="D548" i="1"/>
  <c r="D542" i="1"/>
  <c r="D544" i="1"/>
  <c r="D546" i="1"/>
  <c r="D545" i="1"/>
  <c r="D543" i="1"/>
  <c r="D560" i="1"/>
  <c r="D591" i="1"/>
  <c r="D373" i="1"/>
  <c r="D380" i="1"/>
  <c r="D371" i="1"/>
  <c r="D441" i="1"/>
  <c r="D382" i="1"/>
  <c r="D378" i="1"/>
  <c r="D376" i="1"/>
  <c r="D377" i="1"/>
  <c r="D385" i="1"/>
  <c r="D400" i="1"/>
  <c r="D406" i="1"/>
  <c r="D404" i="1"/>
  <c r="D424" i="1"/>
  <c r="D408" i="1"/>
  <c r="D445" i="1"/>
  <c r="D423" i="1"/>
  <c r="D414" i="1"/>
  <c r="D403" i="1"/>
  <c r="D399" i="1"/>
  <c r="D419" i="1"/>
  <c r="D425" i="1"/>
  <c r="D437" i="1"/>
  <c r="D446" i="1"/>
  <c r="D448" i="1"/>
  <c r="D443" i="1"/>
  <c r="D439" i="1"/>
  <c r="D436" i="1"/>
  <c r="D428" i="1"/>
  <c r="D429" i="1"/>
  <c r="D417" i="1"/>
  <c r="D398" i="1"/>
  <c r="D411" i="1"/>
  <c r="D418" i="1"/>
  <c r="D447" i="1"/>
  <c r="D444" i="1"/>
  <c r="D457" i="1"/>
  <c r="D459" i="1"/>
  <c r="D460" i="1"/>
  <c r="D401" i="1"/>
  <c r="D413" i="1"/>
  <c r="D355" i="1"/>
  <c r="D353" i="1"/>
  <c r="D352" i="1"/>
  <c r="D362" i="1"/>
  <c r="D361" i="1"/>
  <c r="D356" i="1"/>
  <c r="D357" i="1"/>
  <c r="D387" i="1"/>
  <c r="D438" i="1"/>
  <c r="D386" i="1"/>
  <c r="D407" i="1"/>
  <c r="D416" i="1"/>
  <c r="D405" i="1"/>
  <c r="D402" i="1"/>
  <c r="D412" i="1"/>
  <c r="D384" i="1"/>
  <c r="D388" i="1"/>
  <c r="D390" i="1"/>
  <c r="D395" i="1"/>
  <c r="D397" i="1"/>
  <c r="D426" i="1"/>
  <c r="D478" i="1"/>
  <c r="D492" i="1"/>
  <c r="D363" i="1"/>
  <c r="D134" i="1"/>
  <c r="D281" i="1"/>
  <c r="D254" i="1"/>
  <c r="D275" i="1"/>
  <c r="D277" i="1"/>
  <c r="D269" i="1"/>
  <c r="D8794" i="1"/>
  <c r="D8793" i="1"/>
  <c r="D300" i="1"/>
  <c r="D289" i="1"/>
  <c r="D8786" i="1"/>
  <c r="D8695" i="1"/>
  <c r="D212" i="1"/>
  <c r="D175" i="1"/>
  <c r="D8815" i="1"/>
  <c r="D8873" i="1"/>
  <c r="D421" i="1"/>
  <c r="D351" i="1"/>
  <c r="D466" i="1"/>
  <c r="D348" i="1"/>
  <c r="D267" i="1"/>
  <c r="D317" i="1"/>
  <c r="D367" i="1"/>
  <c r="D5456" i="1"/>
  <c r="D420" i="1"/>
  <c r="D287" i="1"/>
  <c r="D172" i="1"/>
  <c r="D132" i="1"/>
  <c r="D506" i="1"/>
  <c r="D350" i="1"/>
  <c r="D227" i="1"/>
  <c r="D170" i="1"/>
  <c r="D31" i="1"/>
  <c r="D28" i="1"/>
  <c r="D52" i="1"/>
  <c r="D59" i="1"/>
  <c r="D67" i="1"/>
  <c r="D190" i="1"/>
  <c r="D119" i="1"/>
  <c r="D165" i="1"/>
  <c r="D220" i="1"/>
  <c r="D265" i="1"/>
  <c r="D369" i="1"/>
  <c r="D27" i="1"/>
  <c r="D33" i="1"/>
  <c r="D35" i="1"/>
  <c r="D80" i="1"/>
  <c r="D126" i="1"/>
  <c r="D159" i="1"/>
  <c r="D215" i="1"/>
  <c r="D97" i="1"/>
  <c r="D158" i="1"/>
  <c r="D192" i="1"/>
  <c r="D261" i="1"/>
  <c r="D85" i="1"/>
  <c r="D53" i="1"/>
  <c r="D48" i="1"/>
  <c r="D122" i="1"/>
  <c r="D120" i="1"/>
  <c r="D105" i="1"/>
  <c r="D42" i="1"/>
  <c r="D128" i="1"/>
  <c r="D93" i="1"/>
  <c r="D90" i="1"/>
  <c r="D114" i="1"/>
  <c r="D104" i="1"/>
  <c r="D95" i="1"/>
  <c r="D110" i="1"/>
  <c r="D8832" i="1"/>
  <c r="D349" i="1"/>
  <c r="D488" i="1"/>
  <c r="D474" i="1"/>
  <c r="D503" i="1"/>
  <c r="D88" i="1"/>
  <c r="D430" i="1"/>
  <c r="D43" i="1"/>
  <c r="D315" i="1"/>
  <c r="D202" i="1"/>
  <c r="D222" i="1"/>
  <c r="D360" i="1"/>
  <c r="D454" i="1"/>
  <c r="D471" i="1"/>
  <c r="D473" i="1"/>
  <c r="D284" i="1"/>
  <c r="D318" i="1"/>
  <c r="D515" i="1"/>
  <c r="D171" i="1"/>
  <c r="D219" i="1"/>
  <c r="D4675" i="1"/>
  <c r="D537" i="1"/>
  <c r="D310" i="1"/>
  <c r="D3656" i="1"/>
  <c r="D499" i="1"/>
  <c r="D335" i="1"/>
  <c r="D347" i="1"/>
  <c r="D578" i="1"/>
  <c r="D211" i="1"/>
  <c r="D78" i="1"/>
  <c r="D83" i="1"/>
  <c r="D38" i="1"/>
  <c r="D330" i="1"/>
  <c r="D370" i="1"/>
  <c r="D188" i="1"/>
  <c r="D8673" i="1"/>
  <c r="E8891" i="1"/>
  <c r="E8818" i="1"/>
  <c r="E4787" i="1"/>
  <c r="E8886" i="1"/>
  <c r="E344" i="1"/>
  <c r="E8857" i="1"/>
  <c r="E282" i="1"/>
  <c r="E440" i="1"/>
  <c r="E415" i="1"/>
  <c r="E487" i="1"/>
  <c r="E379" i="1"/>
  <c r="E467" i="1"/>
  <c r="E8898" i="1"/>
  <c r="E8894" i="1"/>
  <c r="E8884" i="1"/>
  <c r="E8888" i="1"/>
  <c r="E8901" i="1"/>
  <c r="E8890" i="1"/>
  <c r="E8900" i="1"/>
  <c r="E8895" i="1"/>
  <c r="E8889" i="1"/>
  <c r="E8896" i="1"/>
  <c r="E8893" i="1"/>
  <c r="E8897" i="1"/>
  <c r="E8673" i="1"/>
  <c r="E482" i="1"/>
  <c r="E1167" i="1"/>
  <c r="E631" i="1"/>
  <c r="E427" i="1"/>
  <c r="E396" i="1"/>
  <c r="D8891" i="1"/>
  <c r="D8818" i="1"/>
  <c r="D4787" i="1"/>
  <c r="D8886" i="1"/>
  <c r="D344" i="1"/>
  <c r="D8857" i="1"/>
  <c r="D282" i="1"/>
  <c r="D440" i="1"/>
  <c r="D415" i="1"/>
  <c r="D487" i="1"/>
  <c r="D379" i="1"/>
  <c r="D467" i="1"/>
  <c r="D8898" i="1"/>
  <c r="D8894" i="1"/>
  <c r="D8884" i="1"/>
  <c r="D8888" i="1"/>
  <c r="D8901" i="1"/>
  <c r="D8890" i="1"/>
  <c r="D8900" i="1"/>
  <c r="D8895" i="1"/>
  <c r="D8889" i="1"/>
  <c r="D8896" i="1"/>
  <c r="D8893" i="1"/>
  <c r="D8897" i="1"/>
  <c r="D482" i="1"/>
  <c r="D1167" i="1"/>
  <c r="D631" i="1"/>
  <c r="D427" i="1"/>
  <c r="D396" i="1"/>
  <c r="D23" i="1"/>
  <c r="D8038" i="1"/>
  <c r="D8219" i="1"/>
  <c r="D7984" i="1"/>
  <c r="D8170" i="1"/>
  <c r="D8234" i="1"/>
  <c r="D8280" i="1"/>
  <c r="D8337" i="1"/>
  <c r="D8350" i="1"/>
  <c r="D8597" i="1"/>
  <c r="D8800" i="1"/>
  <c r="D442" i="1"/>
  <c r="D248" i="1"/>
  <c r="D8796" i="1"/>
  <c r="D511" i="1"/>
  <c r="D47" i="1"/>
  <c r="D257" i="1"/>
  <c r="D242" i="1"/>
  <c r="D185" i="1"/>
  <c r="D237" i="1"/>
  <c r="D210" i="1"/>
  <c r="D112" i="1"/>
  <c r="D204" i="1"/>
  <c r="D139" i="1"/>
  <c r="D76" i="1"/>
  <c r="D41" i="1"/>
  <c r="D73" i="1"/>
  <c r="D125" i="1"/>
  <c r="D197" i="1"/>
  <c r="D266" i="1"/>
  <c r="D288" i="1"/>
  <c r="D4547" i="1"/>
  <c r="D536" i="1"/>
  <c r="D695" i="1"/>
  <c r="D8861" i="1"/>
  <c r="D8843" i="1"/>
  <c r="D8276" i="1"/>
  <c r="D8553" i="1"/>
  <c r="D2810" i="1"/>
  <c r="D490" i="1"/>
  <c r="D1431" i="1"/>
  <c r="D522" i="1"/>
  <c r="D8670" i="1"/>
  <c r="D500" i="1"/>
  <c r="D476" i="1"/>
  <c r="D507" i="1"/>
  <c r="D509" i="1"/>
  <c r="D508" i="1"/>
  <c r="D497" i="1"/>
  <c r="D480" i="1"/>
  <c r="D486" i="1"/>
  <c r="D465" i="1"/>
  <c r="D550" i="1"/>
  <c r="D519" i="1"/>
  <c r="D530" i="1"/>
  <c r="D524" i="1"/>
  <c r="D526" i="1"/>
  <c r="D517" i="1"/>
  <c r="D549" i="1"/>
  <c r="D533" i="1"/>
  <c r="D383" i="1"/>
  <c r="D501" i="1"/>
  <c r="D516" i="1"/>
  <c r="D364" i="1"/>
  <c r="D309" i="1"/>
  <c r="D520" i="1"/>
  <c r="D226" i="1"/>
  <c r="D121" i="1"/>
  <c r="D154" i="1"/>
  <c r="D163" i="1"/>
  <c r="D161" i="1"/>
  <c r="D129" i="1"/>
  <c r="D118" i="1"/>
  <c r="D106" i="1"/>
  <c r="D146" i="1"/>
  <c r="D138" i="1"/>
  <c r="D137" i="1"/>
  <c r="D148" i="1"/>
  <c r="D149" i="1"/>
  <c r="D153" i="1"/>
  <c r="D147" i="1"/>
  <c r="D311" i="1"/>
  <c r="D301" i="1"/>
  <c r="D280" i="1"/>
  <c r="D285" i="1"/>
  <c r="D307" i="1"/>
  <c r="D303" i="1"/>
  <c r="D514" i="1"/>
  <c r="D784" i="1"/>
  <c r="D484" i="1"/>
  <c r="D270" i="1"/>
  <c r="D566" i="1"/>
  <c r="D4151" i="1"/>
  <c r="D534" i="1"/>
  <c r="D236" i="1"/>
  <c r="D268" i="1"/>
  <c r="D259" i="1"/>
  <c r="D249" i="1"/>
  <c r="D247" i="1"/>
  <c r="D258" i="1"/>
  <c r="D505" i="1"/>
  <c r="D518" i="1"/>
  <c r="D510" i="1"/>
  <c r="D8825" i="1"/>
  <c r="D502" i="1"/>
  <c r="D521" i="1"/>
  <c r="D431" i="1"/>
  <c r="D239" i="1"/>
  <c r="D256" i="1"/>
  <c r="D238" i="1"/>
  <c r="D235" i="1"/>
  <c r="D253" i="1"/>
  <c r="D251" i="1"/>
  <c r="D263" i="1"/>
  <c r="D223" i="1"/>
  <c r="D283" i="1"/>
  <c r="D274" i="1"/>
  <c r="D231" i="1"/>
  <c r="D225" i="1"/>
  <c r="D208" i="1"/>
  <c r="D209" i="1"/>
  <c r="D207" i="1"/>
  <c r="D187" i="1"/>
  <c r="D179" i="1"/>
  <c r="D321" i="1"/>
  <c r="D8808" i="1"/>
  <c r="D345" i="1"/>
  <c r="D176" i="1"/>
  <c r="D245" i="1"/>
  <c r="D8751" i="1"/>
  <c r="D8858" i="1"/>
  <c r="D8851" i="1"/>
  <c r="D8844" i="1"/>
  <c r="D8821" i="1"/>
  <c r="D8806" i="1"/>
  <c r="D8811" i="1"/>
  <c r="D8809" i="1"/>
  <c r="D8841" i="1"/>
  <c r="D8819" i="1"/>
  <c r="D8830" i="1"/>
  <c r="D8820" i="1"/>
  <c r="D8826" i="1"/>
  <c r="D8817" i="1"/>
  <c r="D8816" i="1"/>
  <c r="D8795" i="1"/>
  <c r="D8813" i="1"/>
  <c r="D8799" i="1"/>
  <c r="D8812" i="1"/>
  <c r="D8836" i="1"/>
  <c r="D8805" i="1"/>
  <c r="D953" i="1"/>
  <c r="D8810" i="1"/>
  <c r="D8878" i="1"/>
  <c r="D8880" i="1"/>
  <c r="D8853" i="1"/>
  <c r="D8877" i="1"/>
  <c r="D8848" i="1"/>
  <c r="D8866" i="1"/>
  <c r="D8822" i="1"/>
  <c r="D8847" i="1"/>
  <c r="D8837" i="1"/>
  <c r="D8846" i="1"/>
  <c r="D8845" i="1"/>
  <c r="D8850" i="1"/>
  <c r="D8852" i="1"/>
  <c r="D260" i="1"/>
  <c r="D8854" i="1"/>
  <c r="D8875" i="1"/>
  <c r="D8867" i="1"/>
  <c r="D8870" i="1"/>
  <c r="D8876" i="1"/>
  <c r="D8881" i="1"/>
  <c r="D8874" i="1"/>
  <c r="D8879" i="1"/>
  <c r="D8839" i="1"/>
  <c r="D8868" i="1"/>
  <c r="D8855" i="1"/>
  <c r="D8883" i="1"/>
  <c r="D8872" i="1"/>
  <c r="D8860" i="1"/>
  <c r="D8882" i="1"/>
  <c r="D8849" i="1"/>
  <c r="D8833" i="1"/>
  <c r="D8840" i="1"/>
  <c r="D8865" i="1"/>
  <c r="D8856" i="1"/>
  <c r="D8823" i="1"/>
  <c r="D8863" i="1"/>
  <c r="D8824" i="1"/>
  <c r="D8838" i="1"/>
  <c r="D8829" i="1"/>
  <c r="D8834" i="1"/>
  <c r="D8831" i="1"/>
  <c r="D8828" i="1"/>
  <c r="D8835" i="1"/>
  <c r="D8862" i="1"/>
  <c r="D8871" i="1"/>
  <c r="D8869" i="1"/>
  <c r="D8827" i="1"/>
  <c r="D8859" i="1"/>
  <c r="D8842" i="1"/>
  <c r="D8864" i="1"/>
  <c r="D8804" i="1"/>
  <c r="D8807" i="1"/>
  <c r="D8803" i="1"/>
  <c r="D8814" i="1"/>
  <c r="D8801" i="1"/>
  <c r="D8802" i="1"/>
  <c r="D8798" i="1"/>
  <c r="D5279" i="1"/>
  <c r="D8642" i="1"/>
  <c r="D8653" i="1"/>
  <c r="D8785" i="1"/>
  <c r="D8643" i="1"/>
  <c r="D8655" i="1"/>
  <c r="D8745" i="1"/>
  <c r="D561" i="1"/>
  <c r="D8797" i="1"/>
  <c r="D525" i="1"/>
  <c r="D481" i="1"/>
  <c r="D491" i="1"/>
  <c r="D308" i="1"/>
  <c r="D464" i="1"/>
  <c r="D279" i="1"/>
  <c r="D334" i="1"/>
  <c r="D304" i="1"/>
  <c r="D194" i="1"/>
  <c r="D180" i="1"/>
  <c r="D290" i="1"/>
  <c r="D117" i="1"/>
  <c r="D167" i="1"/>
  <c r="D195" i="1"/>
  <c r="D205" i="1"/>
  <c r="D201" i="1"/>
  <c r="D193" i="1"/>
  <c r="D206" i="1"/>
  <c r="D191" i="1"/>
  <c r="D199" i="1"/>
  <c r="D346" i="1"/>
  <c r="D449" i="1"/>
  <c r="D409" i="1"/>
  <c r="D432" i="1"/>
  <c r="D372" i="1"/>
  <c r="D375" i="1"/>
  <c r="D328" i="1"/>
  <c r="D198" i="1"/>
  <c r="D493" i="1"/>
  <c r="D232" i="1"/>
  <c r="D252" i="1"/>
  <c r="D166" i="1"/>
  <c r="D337" i="1"/>
  <c r="D164" i="1"/>
  <c r="D273" i="1"/>
  <c r="D291" i="1"/>
  <c r="D262" i="1"/>
  <c r="D333" i="1"/>
  <c r="D250" i="1"/>
  <c r="D276" i="1"/>
  <c r="D243" i="1"/>
  <c r="D160" i="1"/>
  <c r="D302" i="1"/>
  <c r="D145" i="1"/>
  <c r="D156" i="1"/>
  <c r="D224" i="1"/>
  <c r="D135" i="1"/>
  <c r="D70" i="1"/>
  <c r="D69" i="1"/>
  <c r="D75" i="1"/>
  <c r="D329" i="1"/>
  <c r="D331" i="1"/>
  <c r="D365" i="1"/>
  <c r="D320" i="1"/>
  <c r="D278" i="1"/>
  <c r="D323" i="1"/>
  <c r="D314" i="1"/>
  <c r="D343" i="1"/>
  <c r="D358" i="1"/>
  <c r="D354" i="1"/>
  <c r="D271" i="1"/>
  <c r="D322" i="1"/>
  <c r="D234" i="1"/>
  <c r="D319" i="1"/>
  <c r="D264" i="1"/>
  <c r="D327" i="1"/>
  <c r="D312" i="1"/>
  <c r="D87" i="1"/>
  <c r="D136" i="1"/>
  <c r="D109" i="1"/>
  <c r="D102" i="1"/>
  <c r="D82" i="1"/>
  <c r="D79" i="1"/>
  <c r="D68" i="1"/>
  <c r="D216" i="1"/>
  <c r="D272" i="1"/>
  <c r="D338" i="1"/>
  <c r="D181" i="1"/>
  <c r="D342" i="1"/>
  <c r="D186" i="1"/>
  <c r="D71" i="1"/>
  <c r="D103" i="1"/>
  <c r="D162" i="1"/>
  <c r="D77" i="1"/>
  <c r="D113" i="1"/>
  <c r="D89" i="1"/>
  <c r="D463" i="1"/>
  <c r="D489" i="1"/>
  <c r="D451" i="1"/>
  <c r="D286" i="1"/>
  <c r="D494" i="1"/>
  <c r="D189" i="1"/>
  <c r="D177" i="1"/>
  <c r="D8887" i="1"/>
  <c r="D246" i="1"/>
  <c r="D99" i="1"/>
  <c r="D200" i="1"/>
  <c r="D74" i="1"/>
  <c r="D40" i="1"/>
  <c r="D94" i="1"/>
  <c r="D60" i="1"/>
  <c r="D37" i="1"/>
  <c r="D81" i="1"/>
  <c r="D39" i="1"/>
  <c r="D359" i="1"/>
  <c r="D389" i="1"/>
  <c r="D86" i="1"/>
  <c r="D233" i="1"/>
  <c r="D157" i="1"/>
  <c r="D183" i="1"/>
  <c r="D36" i="1"/>
  <c r="D34" i="1"/>
  <c r="D24" i="1"/>
  <c r="D26" i="1"/>
  <c r="D32" i="1"/>
  <c r="D30" i="1"/>
  <c r="E115" i="1"/>
  <c r="E217" i="1"/>
  <c r="E296" i="1"/>
  <c r="E294" i="1"/>
  <c r="E391" i="1"/>
  <c r="E144" i="1"/>
  <c r="E133" i="1"/>
  <c r="E123" i="1"/>
  <c r="E143" i="1"/>
  <c r="E151" i="1"/>
  <c r="E100" i="1"/>
  <c r="E111" i="1"/>
  <c r="E141" i="1"/>
  <c r="E51" i="1"/>
  <c r="E96" i="1"/>
  <c r="E91" i="1"/>
  <c r="D91" i="1"/>
  <c r="D214" i="1"/>
  <c r="D64" i="1"/>
  <c r="D45" i="1"/>
  <c r="D790" i="1"/>
  <c r="D178" i="1"/>
  <c r="D513" i="1"/>
  <c r="D475" i="1"/>
  <c r="D203" i="1"/>
  <c r="D57" i="1"/>
  <c r="D462" i="1"/>
  <c r="D1053" i="1"/>
  <c r="D422" i="1"/>
  <c r="D65" i="1"/>
  <c r="D50" i="1"/>
  <c r="D140" i="1"/>
  <c r="D332" i="1"/>
  <c r="D336" i="1"/>
  <c r="D92" i="1"/>
  <c r="D54" i="1"/>
  <c r="D44" i="1"/>
  <c r="D130" i="1"/>
  <c r="D174" i="1"/>
  <c r="D339" i="1"/>
  <c r="D316" i="1"/>
  <c r="D61" i="1"/>
  <c r="D240" i="1"/>
  <c r="D218" i="1"/>
  <c r="D168" i="1"/>
  <c r="D324" i="1"/>
  <c r="D72" i="1"/>
  <c r="D305" i="1"/>
  <c r="D155" i="1"/>
  <c r="D84" i="1"/>
  <c r="D196" i="1"/>
  <c r="D29" i="1"/>
  <c r="D184" i="1"/>
  <c r="D127" i="1"/>
  <c r="D8892" i="1"/>
  <c r="D8885" i="1"/>
  <c r="D8899" i="1"/>
  <c r="D182" i="1"/>
  <c r="D299" i="1"/>
  <c r="D394" i="1"/>
  <c r="D393" i="1"/>
  <c r="D298" i="1"/>
  <c r="D297" i="1"/>
  <c r="D217" i="1"/>
  <c r="D296" i="1"/>
  <c r="D392" i="1"/>
  <c r="D295" i="1"/>
  <c r="D255" i="1"/>
  <c r="D294" i="1"/>
  <c r="D293" i="1"/>
  <c r="D292" i="1"/>
  <c r="D391" i="1"/>
  <c r="D144" i="1"/>
  <c r="D152" i="1"/>
  <c r="D124" i="1"/>
  <c r="D116" i="1"/>
  <c r="D133" i="1"/>
  <c r="D123" i="1"/>
  <c r="D143" i="1"/>
  <c r="D115" i="1"/>
  <c r="D101" i="1"/>
  <c r="D151" i="1"/>
  <c r="D107" i="1"/>
  <c r="D100" i="1"/>
  <c r="D142" i="1"/>
  <c r="D111" i="1"/>
  <c r="D141" i="1"/>
  <c r="D51" i="1"/>
  <c r="D96" i="1"/>
  <c r="D4740" i="1"/>
  <c r="D4695" i="1"/>
  <c r="D8528" i="1"/>
  <c r="D8506" i="1"/>
  <c r="D6282" i="1"/>
  <c r="D5439" i="1"/>
  <c r="D6355" i="1"/>
  <c r="D5493" i="1"/>
  <c r="D4613" i="1"/>
  <c r="D2795" i="1"/>
  <c r="D2272" i="1"/>
  <c r="D3295" i="1"/>
  <c r="D3087" i="1"/>
  <c r="D3101" i="1"/>
  <c r="D5986" i="1"/>
  <c r="D5167" i="1"/>
  <c r="D2108" i="1"/>
  <c r="D1124" i="1"/>
  <c r="D1012" i="1"/>
  <c r="D1043" i="1"/>
  <c r="D923" i="1"/>
  <c r="D1569" i="1"/>
  <c r="D2579" i="1"/>
  <c r="D1350" i="1"/>
  <c r="D6640" i="1"/>
  <c r="D5236" i="1"/>
  <c r="D5678" i="1"/>
  <c r="D1295" i="1"/>
  <c r="D4886" i="1"/>
  <c r="D1297" i="1"/>
  <c r="D650" i="1"/>
  <c r="D770" i="1"/>
  <c r="D2943" i="1"/>
  <c r="D5004" i="1"/>
  <c r="D717" i="1"/>
  <c r="D613" i="1"/>
  <c r="D777" i="1"/>
  <c r="D1412" i="1"/>
  <c r="D5088" i="1"/>
  <c r="D4065" i="1"/>
  <c r="D3694" i="1"/>
  <c r="D773" i="1"/>
  <c r="D2554" i="1"/>
  <c r="D556" i="1"/>
  <c r="D3788" i="1"/>
  <c r="D2184" i="1"/>
  <c r="D2615" i="1"/>
  <c r="D952" i="1"/>
  <c r="D867" i="1"/>
  <c r="D5049" i="1"/>
  <c r="D4512" i="1"/>
  <c r="D4822" i="1"/>
  <c r="D374" i="1"/>
  <c r="D6208" i="1"/>
  <c r="D5705" i="1"/>
  <c r="D5575" i="1"/>
  <c r="D2117" i="1"/>
  <c r="D2868" i="1"/>
  <c r="D830" i="1"/>
  <c r="D4649" i="1"/>
  <c r="D4758" i="1"/>
  <c r="D4853" i="1"/>
  <c r="D5017" i="1"/>
  <c r="D843" i="1"/>
  <c r="D724" i="1"/>
  <c r="D916" i="1"/>
  <c r="D1381" i="1"/>
  <c r="D6212" i="1"/>
  <c r="D5632" i="1"/>
  <c r="D5035" i="1"/>
  <c r="D4105" i="1"/>
  <c r="D3060" i="1"/>
  <c r="D3733" i="1"/>
  <c r="D4660" i="1"/>
  <c r="D5820" i="1"/>
  <c r="D5191" i="1"/>
  <c r="D4709" i="1"/>
  <c r="D3229" i="1"/>
  <c r="D1713" i="1"/>
  <c r="D926" i="1"/>
  <c r="D5674" i="1"/>
  <c r="D4961" i="1"/>
  <c r="D5148" i="1"/>
  <c r="D4448" i="1"/>
  <c r="D4897" i="1"/>
  <c r="D4663" i="1"/>
  <c r="D4367" i="1"/>
  <c r="D5188" i="1"/>
  <c r="D4979" i="1"/>
  <c r="D4824" i="1"/>
  <c r="D3270" i="1"/>
  <c r="D2472" i="1"/>
  <c r="D1555" i="1"/>
  <c r="D1776" i="1"/>
  <c r="D4353" i="1"/>
  <c r="D4330" i="1"/>
  <c r="D313" i="1"/>
  <c r="D2932" i="1"/>
  <c r="D5138" i="1"/>
  <c r="D2153" i="1"/>
  <c r="D4359" i="1"/>
  <c r="D4420" i="1"/>
  <c r="D2851" i="1"/>
  <c r="D495" i="1"/>
  <c r="D2941" i="1"/>
  <c r="D485" i="1"/>
  <c r="D458" i="1"/>
  <c r="D2692" i="1"/>
  <c r="D3594" i="1"/>
  <c r="D3216" i="1"/>
  <c r="D5348" i="1"/>
  <c r="D862" i="1"/>
  <c r="D3488" i="1"/>
  <c r="D3141" i="1"/>
  <c r="D4461" i="1"/>
  <c r="D5226" i="1"/>
  <c r="D579" i="1"/>
  <c r="D2020" i="1"/>
  <c r="D2993" i="1"/>
  <c r="D5114" i="1"/>
  <c r="D2213" i="1"/>
  <c r="D4106" i="1"/>
  <c r="D3144" i="1"/>
  <c r="D6204" i="1"/>
  <c r="D1065" i="1"/>
  <c r="D1914" i="1"/>
  <c r="D2064" i="1"/>
  <c r="D1246" i="1"/>
  <c r="D4890" i="1"/>
  <c r="D1707" i="1"/>
  <c r="D4149" i="1"/>
  <c r="D1646" i="1"/>
  <c r="D3935" i="1"/>
  <c r="D1595" i="1"/>
  <c r="D3752" i="1"/>
  <c r="D2438" i="1"/>
  <c r="D2430" i="1"/>
  <c r="D1082" i="1"/>
  <c r="D2139" i="1"/>
  <c r="D4480" i="1"/>
  <c r="D2746" i="1"/>
  <c r="D852" i="1"/>
  <c r="D3810" i="1"/>
  <c r="D868" i="1"/>
  <c r="D1414" i="1"/>
  <c r="D1235" i="1"/>
  <c r="D1387" i="1"/>
  <c r="D1965" i="1"/>
  <c r="D1303" i="1"/>
  <c r="D2861" i="1"/>
  <c r="D2437" i="1"/>
  <c r="D1440" i="1"/>
  <c r="D649" i="1"/>
  <c r="D2771" i="1"/>
  <c r="D1606" i="1"/>
  <c r="D2081" i="1"/>
  <c r="D3642" i="1"/>
  <c r="D2497" i="1"/>
  <c r="D6375" i="1"/>
  <c r="D808" i="1"/>
  <c r="D955" i="1"/>
  <c r="D1571" i="1"/>
  <c r="D1256" i="1"/>
  <c r="D2858" i="1"/>
  <c r="D2216" i="1"/>
  <c r="D3189" i="1"/>
  <c r="D1942" i="1"/>
  <c r="D2171" i="1"/>
  <c r="D2558" i="1"/>
  <c r="D795" i="1"/>
  <c r="D940" i="1"/>
  <c r="D1899" i="1"/>
  <c r="D1696" i="1"/>
  <c r="D1243" i="1"/>
  <c r="D4378" i="1"/>
  <c r="D1772" i="1"/>
  <c r="D2130" i="1"/>
  <c r="D3954" i="1"/>
  <c r="D381" i="1"/>
  <c r="D2983" i="1"/>
  <c r="D3051" i="1"/>
  <c r="D1476" i="1"/>
  <c r="D3050" i="1"/>
  <c r="D366" i="1"/>
  <c r="D1915" i="1"/>
  <c r="D1157" i="1"/>
  <c r="D2500" i="1"/>
  <c r="D1593" i="1"/>
  <c r="D2230" i="1"/>
  <c r="D3030" i="1"/>
  <c r="D4999" i="1"/>
  <c r="D1101" i="1"/>
  <c r="D651" i="1"/>
  <c r="D2560" i="1"/>
  <c r="D1313" i="1"/>
  <c r="D2591" i="1"/>
  <c r="D3541" i="1"/>
  <c r="D2053" i="1"/>
  <c r="D1665" i="1"/>
  <c r="D1241" i="1"/>
  <c r="D1460" i="1"/>
  <c r="D1386" i="1"/>
  <c r="D4003" i="1"/>
  <c r="D1337" i="1"/>
  <c r="D1005" i="1"/>
  <c r="D1584" i="1"/>
  <c r="D2537" i="1"/>
  <c r="D1426" i="1"/>
  <c r="D3685" i="1"/>
  <c r="D1226" i="1"/>
  <c r="D1093" i="1"/>
  <c r="D3004" i="1"/>
  <c r="D4063" i="1"/>
  <c r="D3812" i="1"/>
  <c r="D2186" i="1"/>
  <c r="D3380" i="1"/>
  <c r="D1545" i="1"/>
  <c r="D1835" i="1"/>
  <c r="D4644" i="1"/>
  <c r="D2384" i="1"/>
  <c r="D1950" i="1"/>
  <c r="D2045" i="1"/>
  <c r="D4389" i="1"/>
  <c r="D699" i="1"/>
  <c r="D1081" i="1"/>
  <c r="D1838" i="1"/>
  <c r="D1574" i="1"/>
  <c r="D6064" i="1"/>
  <c r="D1717" i="1"/>
  <c r="D1582" i="1"/>
  <c r="D3417" i="1"/>
  <c r="D3956" i="1"/>
  <c r="D866" i="1"/>
  <c r="D3781" i="1"/>
  <c r="D1398" i="1"/>
  <c r="D1679" i="1"/>
  <c r="D2987" i="1"/>
  <c r="D4530" i="1"/>
  <c r="D3792" i="1"/>
  <c r="D981" i="1"/>
  <c r="D1361" i="1"/>
  <c r="D3712" i="1"/>
  <c r="D2842" i="1"/>
  <c r="D1809" i="1"/>
  <c r="D660" i="1"/>
  <c r="D433" i="1"/>
  <c r="D1444" i="1"/>
  <c r="D2174" i="1"/>
  <c r="D2694" i="1"/>
  <c r="D838" i="1"/>
  <c r="D639" i="1"/>
  <c r="D1522" i="1"/>
  <c r="D2099" i="1"/>
  <c r="D863" i="1"/>
  <c r="D2886" i="1"/>
  <c r="D1286" i="1"/>
  <c r="D706" i="1"/>
  <c r="D858" i="1"/>
  <c r="D946" i="1"/>
  <c r="D552" i="1"/>
  <c r="D665" i="1"/>
  <c r="D924" i="1"/>
  <c r="D1121" i="1"/>
  <c r="D905" i="1"/>
  <c r="D1050" i="1"/>
  <c r="D1240" i="1"/>
  <c r="D606" i="1"/>
  <c r="D1710" i="1"/>
  <c r="D719" i="1"/>
  <c r="D581" i="1"/>
  <c r="D755" i="1"/>
  <c r="D914" i="1"/>
  <c r="D3052" i="1"/>
  <c r="D645" i="1"/>
  <c r="D815" i="1"/>
  <c r="D1138" i="1"/>
  <c r="D727" i="1"/>
  <c r="D1215" i="1"/>
  <c r="D816" i="1"/>
  <c r="D760" i="1"/>
  <c r="D1363" i="1"/>
  <c r="D718" i="1"/>
  <c r="D1462" i="1"/>
  <c r="D698" i="1"/>
  <c r="D973" i="1"/>
  <c r="D678" i="1"/>
  <c r="D715" i="1"/>
  <c r="D797" i="1"/>
  <c r="D1499" i="1"/>
  <c r="D741" i="1"/>
  <c r="D1183" i="1"/>
  <c r="D3186" i="1"/>
  <c r="D677" i="1"/>
  <c r="D1031" i="1"/>
  <c r="D621" i="1"/>
  <c r="D664" i="1"/>
  <c r="D587" i="1"/>
  <c r="D696" i="1"/>
  <c r="D1419" i="1"/>
  <c r="D756" i="1"/>
  <c r="D2778" i="1"/>
  <c r="D7627" i="1"/>
  <c r="D8129" i="1"/>
  <c r="D8240" i="1"/>
  <c r="D8152" i="1"/>
  <c r="D8224" i="1"/>
  <c r="D8176" i="1"/>
  <c r="D8218" i="1"/>
  <c r="D8075" i="1"/>
  <c r="D7614" i="1"/>
  <c r="D8179" i="1"/>
  <c r="D8204" i="1"/>
  <c r="D8140" i="1"/>
  <c r="D8173" i="1"/>
  <c r="D8271" i="1"/>
  <c r="D8251" i="1"/>
  <c r="D8196" i="1"/>
  <c r="D8267" i="1"/>
  <c r="D7755" i="1"/>
  <c r="D8028" i="1"/>
  <c r="D7925" i="1"/>
  <c r="D8354" i="1"/>
  <c r="D8352" i="1"/>
  <c r="D8512" i="1"/>
  <c r="D8482" i="1"/>
  <c r="D7953" i="1"/>
  <c r="D8050" i="1"/>
  <c r="D8186" i="1"/>
  <c r="D8165" i="1"/>
  <c r="D8189" i="1"/>
  <c r="D7853" i="1"/>
  <c r="D7736" i="1"/>
  <c r="D8062" i="1"/>
  <c r="D8168" i="1"/>
  <c r="D8039" i="1"/>
  <c r="D7818" i="1"/>
  <c r="D7653" i="1"/>
  <c r="D8064" i="1"/>
  <c r="D7635" i="1"/>
  <c r="D8130" i="1"/>
  <c r="D8228" i="1"/>
  <c r="D7369" i="1"/>
  <c r="D8221" i="1"/>
  <c r="D8258" i="1"/>
  <c r="D8079" i="1"/>
  <c r="D7726" i="1"/>
  <c r="D8117" i="1"/>
  <c r="D7906" i="1"/>
  <c r="D8175" i="1"/>
  <c r="D8073" i="1"/>
  <c r="D8108" i="1"/>
  <c r="D7486" i="1"/>
  <c r="D6800" i="1"/>
  <c r="D7297" i="1"/>
  <c r="D6956" i="1"/>
  <c r="D6886" i="1"/>
  <c r="D6936" i="1"/>
  <c r="D7912" i="1"/>
  <c r="D7378" i="1"/>
  <c r="D6849" i="1"/>
  <c r="D7135" i="1"/>
  <c r="D7511" i="1"/>
  <c r="D7817" i="1"/>
  <c r="D7091" i="1"/>
  <c r="D6719" i="1"/>
  <c r="D7415" i="1"/>
  <c r="D7203" i="1"/>
  <c r="D6643" i="1"/>
  <c r="D6796" i="1"/>
  <c r="D7284" i="1"/>
  <c r="D7422" i="1"/>
  <c r="D6678" i="1"/>
  <c r="D7090" i="1"/>
  <c r="D7066" i="1"/>
  <c r="D8333" i="1"/>
  <c r="D8311" i="1"/>
  <c r="D8437" i="1"/>
  <c r="D8394" i="1"/>
  <c r="D8439" i="1"/>
  <c r="D8503" i="1"/>
  <c r="D8457" i="1"/>
  <c r="D8499" i="1"/>
  <c r="D8504" i="1"/>
  <c r="D8532" i="1"/>
  <c r="D8481" i="1"/>
  <c r="D6947" i="1"/>
  <c r="D7106" i="1"/>
  <c r="D6327" i="1"/>
  <c r="D7145" i="1"/>
  <c r="D7994" i="1"/>
  <c r="D7896" i="1"/>
  <c r="D7851" i="1"/>
  <c r="D8024" i="1"/>
  <c r="D7924" i="1"/>
  <c r="D7764" i="1"/>
  <c r="D8054" i="1"/>
  <c r="D8044" i="1"/>
  <c r="D7747" i="1"/>
  <c r="D8010" i="1"/>
  <c r="D7549" i="1"/>
  <c r="D7880" i="1"/>
  <c r="D7740" i="1"/>
  <c r="D7634" i="1"/>
  <c r="D8205" i="1"/>
  <c r="D8252" i="1"/>
  <c r="D8161" i="1"/>
  <c r="D7759" i="1"/>
  <c r="D7872" i="1"/>
  <c r="D7986" i="1"/>
  <c r="D8046" i="1"/>
  <c r="D8291" i="1"/>
  <c r="D8094" i="1"/>
  <c r="D8264" i="1"/>
  <c r="D8429" i="1"/>
  <c r="D8256" i="1"/>
  <c r="D7712" i="1"/>
  <c r="D7305" i="1"/>
  <c r="D8435" i="1"/>
  <c r="D8379" i="1"/>
  <c r="D8287" i="1"/>
  <c r="D8141" i="1"/>
  <c r="D8220" i="1"/>
  <c r="D8098" i="1"/>
  <c r="D8277" i="1"/>
  <c r="D7845" i="1"/>
  <c r="D8069" i="1"/>
  <c r="D7109" i="1"/>
  <c r="D7723" i="1"/>
  <c r="D7821" i="1"/>
  <c r="D7096" i="1"/>
  <c r="D7801" i="1"/>
  <c r="D8281" i="1"/>
  <c r="D8417" i="1"/>
  <c r="D8385" i="1"/>
  <c r="D8314" i="1"/>
  <c r="D8392" i="1"/>
  <c r="D8308" i="1"/>
  <c r="D8381" i="1"/>
  <c r="D8539" i="1"/>
  <c r="D8285" i="1"/>
  <c r="D8540" i="1"/>
  <c r="D8360" i="1"/>
  <c r="D8488" i="1"/>
  <c r="D8534" i="1"/>
  <c r="D8238" i="1"/>
  <c r="D8369" i="1"/>
  <c r="D8518" i="1"/>
  <c r="D8106" i="1"/>
  <c r="D7644" i="1"/>
  <c r="D8138" i="1"/>
  <c r="D8229" i="1"/>
  <c r="D8134" i="1"/>
  <c r="D8025" i="1"/>
  <c r="D8423" i="1"/>
  <c r="D8380" i="1"/>
  <c r="D8404" i="1"/>
  <c r="D8450" i="1"/>
  <c r="D8448" i="1"/>
  <c r="D8438" i="1"/>
  <c r="D8557" i="1"/>
  <c r="D8546" i="1"/>
  <c r="D8573" i="1"/>
  <c r="D8560" i="1"/>
  <c r="D8579" i="1"/>
  <c r="D8507" i="1"/>
  <c r="D7294" i="1"/>
  <c r="D7556" i="1"/>
  <c r="D8519" i="1"/>
  <c r="D8033" i="1"/>
  <c r="D8312" i="1"/>
  <c r="D8006" i="1"/>
  <c r="D7440" i="1"/>
  <c r="D7807" i="1"/>
  <c r="D7528" i="1"/>
  <c r="D7365" i="1"/>
  <c r="D8242" i="1"/>
  <c r="D8217" i="1"/>
  <c r="D8209" i="1"/>
  <c r="D7888" i="1"/>
  <c r="D7037" i="1"/>
  <c r="D6986" i="1"/>
  <c r="D6894" i="1"/>
  <c r="D7080" i="1"/>
  <c r="D6874" i="1"/>
  <c r="D8335" i="1"/>
  <c r="D8388" i="1"/>
  <c r="D8547" i="1"/>
  <c r="D8564" i="1"/>
  <c r="D8565" i="1"/>
  <c r="D8568" i="1"/>
  <c r="D8580" i="1"/>
  <c r="D8575" i="1"/>
  <c r="D8574" i="1"/>
  <c r="D8572" i="1"/>
  <c r="D8576" i="1"/>
  <c r="D8582" i="1"/>
  <c r="D7703" i="1"/>
  <c r="D7409" i="1"/>
  <c r="D8107" i="1"/>
  <c r="D7089" i="1"/>
  <c r="D7324" i="1"/>
  <c r="D6877" i="1"/>
  <c r="D8103" i="1"/>
  <c r="D8158" i="1"/>
  <c r="D8085" i="1"/>
  <c r="D8159" i="1"/>
  <c r="D7999" i="1"/>
  <c r="D8067" i="1"/>
  <c r="D8145" i="1"/>
  <c r="D6732" i="1"/>
  <c r="D6997" i="1"/>
  <c r="D6518" i="1"/>
  <c r="D6729" i="1"/>
  <c r="D8543" i="1"/>
  <c r="D8566" i="1"/>
  <c r="D8515" i="1"/>
  <c r="D8563" i="1"/>
  <c r="D8581" i="1"/>
  <c r="D8571" i="1"/>
  <c r="D8586" i="1"/>
  <c r="D6955" i="1"/>
  <c r="D7676" i="1"/>
  <c r="D6984" i="1"/>
  <c r="D6739" i="1"/>
  <c r="D6730" i="1"/>
  <c r="D7161" i="1"/>
  <c r="D6994" i="1"/>
  <c r="D6760" i="1"/>
  <c r="D7058" i="1"/>
  <c r="D7344" i="1"/>
  <c r="D6817" i="1"/>
  <c r="D6925" i="1"/>
  <c r="D6981" i="1"/>
  <c r="D6669" i="1"/>
  <c r="D6977" i="1"/>
  <c r="D7064" i="1"/>
  <c r="D6848" i="1"/>
  <c r="D7032" i="1"/>
  <c r="D6887" i="1"/>
  <c r="D8201" i="1"/>
  <c r="D7889" i="1"/>
  <c r="D8551" i="1"/>
  <c r="D8552" i="1"/>
  <c r="D8542" i="1"/>
  <c r="D8561" i="1"/>
  <c r="D8550" i="1"/>
  <c r="D8562" i="1"/>
  <c r="D8556" i="1"/>
  <c r="D8570" i="1"/>
  <c r="D6792" i="1"/>
  <c r="D6952" i="1"/>
  <c r="D6782" i="1"/>
  <c r="D5554" i="1"/>
  <c r="D6150" i="1"/>
  <c r="D6240" i="1"/>
  <c r="D7575" i="1"/>
  <c r="D7176" i="1"/>
  <c r="D6999" i="1"/>
  <c r="D6526" i="1"/>
  <c r="D8268" i="1"/>
  <c r="D8427" i="1"/>
  <c r="D8216" i="1"/>
  <c r="D7609" i="1"/>
  <c r="D7432" i="1"/>
  <c r="D6579" i="1"/>
  <c r="D6988" i="1"/>
  <c r="D5963" i="1"/>
  <c r="D6305" i="1"/>
  <c r="D6237" i="1"/>
  <c r="D6009" i="1"/>
  <c r="D5386" i="1"/>
  <c r="D4108" i="1"/>
  <c r="D5762" i="1"/>
  <c r="D5781" i="1"/>
  <c r="D6241" i="1"/>
  <c r="D6666" i="1"/>
  <c r="D5600" i="1"/>
  <c r="D4289" i="1"/>
  <c r="D8441" i="1"/>
  <c r="D8389" i="1"/>
  <c r="D8478" i="1"/>
  <c r="D8510" i="1"/>
  <c r="D8459" i="1"/>
  <c r="D8527" i="1"/>
  <c r="D8535" i="1"/>
  <c r="D8548" i="1"/>
  <c r="D7547" i="1"/>
  <c r="D6192" i="1"/>
  <c r="D6763" i="1"/>
  <c r="D6269" i="1"/>
  <c r="D6454" i="1"/>
  <c r="D6300" i="1"/>
  <c r="D6385" i="1"/>
  <c r="D6002" i="1"/>
  <c r="D6105" i="1"/>
  <c r="D6039" i="1"/>
  <c r="D6019" i="1"/>
  <c r="D5339" i="1"/>
  <c r="D6660" i="1"/>
  <c r="D6908" i="1"/>
  <c r="D5885" i="1"/>
  <c r="D6609" i="1"/>
  <c r="D6516" i="1"/>
  <c r="D6942" i="1"/>
  <c r="D6423" i="1"/>
  <c r="D5942" i="1"/>
  <c r="D6564" i="1"/>
  <c r="D6553" i="1"/>
  <c r="D5995" i="1"/>
  <c r="D6390" i="1"/>
  <c r="D5497" i="1"/>
  <c r="D5882" i="1"/>
  <c r="D6279" i="1"/>
  <c r="D4769" i="1"/>
  <c r="D5250" i="1"/>
  <c r="D5152" i="1"/>
  <c r="D5501" i="1"/>
  <c r="D5556" i="1"/>
  <c r="D5330" i="1"/>
  <c r="D5507" i="1"/>
  <c r="D5112" i="1"/>
  <c r="D6045" i="1"/>
  <c r="D6232" i="1"/>
  <c r="D5765" i="1"/>
  <c r="D5953" i="1"/>
  <c r="D6427" i="1"/>
  <c r="D6320" i="1"/>
  <c r="D5936" i="1"/>
  <c r="D5889" i="1"/>
  <c r="D7079" i="1"/>
  <c r="D7680" i="1"/>
  <c r="D6585" i="1"/>
  <c r="D6910" i="1"/>
  <c r="D6819" i="1"/>
  <c r="D6958" i="1"/>
  <c r="D6540" i="1"/>
  <c r="D6216" i="1"/>
  <c r="D6612" i="1"/>
  <c r="D7095" i="1"/>
  <c r="D8142" i="1"/>
  <c r="D8384" i="1"/>
  <c r="D8460" i="1"/>
  <c r="D8390" i="1"/>
  <c r="D8487" i="1"/>
  <c r="D8567" i="1"/>
  <c r="D8501" i="1"/>
  <c r="D8456" i="1"/>
  <c r="D8555" i="1"/>
  <c r="D6195" i="1"/>
  <c r="D5880" i="1"/>
  <c r="D6312" i="1"/>
  <c r="D5215" i="1"/>
  <c r="D5840" i="1"/>
  <c r="D6720" i="1"/>
  <c r="D6833" i="1"/>
  <c r="D7120" i="1"/>
  <c r="D6885" i="1"/>
  <c r="D6679" i="1"/>
  <c r="D7523" i="1"/>
  <c r="D7586" i="1"/>
  <c r="D7641" i="1"/>
  <c r="D7111" i="1"/>
  <c r="D7247" i="1"/>
  <c r="D7158" i="1"/>
  <c r="D6686" i="1"/>
  <c r="D6432" i="1"/>
  <c r="D6842" i="1"/>
  <c r="D7035" i="1"/>
  <c r="D6329" i="1"/>
  <c r="D6573" i="1"/>
  <c r="D7163" i="1"/>
  <c r="D6837" i="1"/>
  <c r="D6891" i="1"/>
  <c r="D6964" i="1"/>
  <c r="D6772" i="1"/>
  <c r="D6618" i="1"/>
  <c r="D6980" i="1"/>
  <c r="D5589" i="1"/>
  <c r="D5494" i="1"/>
  <c r="D6234" i="1"/>
  <c r="D6142" i="1"/>
  <c r="D7075" i="1"/>
  <c r="D7022" i="1"/>
  <c r="D5587" i="1"/>
  <c r="D5174" i="1"/>
  <c r="D5980" i="1"/>
  <c r="D5941" i="1"/>
  <c r="D6066" i="1"/>
  <c r="D5791" i="1"/>
  <c r="D5187" i="1"/>
  <c r="D5422" i="1"/>
  <c r="D5230" i="1"/>
  <c r="D6187" i="1"/>
  <c r="D5220" i="1"/>
  <c r="D6401" i="1"/>
  <c r="D5093" i="1"/>
  <c r="D5026" i="1"/>
  <c r="D4177" i="1"/>
  <c r="D5526" i="1"/>
  <c r="D4397" i="1"/>
  <c r="D5121" i="1"/>
  <c r="D5000" i="1"/>
  <c r="D6004" i="1"/>
  <c r="D5458" i="1"/>
  <c r="D5143" i="1"/>
  <c r="D5009" i="1"/>
  <c r="D5365" i="1"/>
  <c r="D5664" i="1"/>
  <c r="D6451" i="1"/>
  <c r="D6021" i="1"/>
  <c r="D4350" i="1"/>
  <c r="D5561" i="1"/>
  <c r="D4339" i="1"/>
  <c r="D4813" i="1"/>
  <c r="D5431" i="1"/>
  <c r="D4849" i="1"/>
  <c r="D5544" i="1"/>
  <c r="D5069" i="1"/>
  <c r="D5190" i="1"/>
  <c r="D5785" i="1"/>
  <c r="D6026" i="1"/>
  <c r="D5281" i="1"/>
  <c r="D6446" i="1"/>
  <c r="D6718" i="1"/>
  <c r="D6722" i="1"/>
  <c r="D6335" i="1"/>
  <c r="D7129" i="1"/>
  <c r="D6756" i="1"/>
  <c r="D6519" i="1"/>
  <c r="D6646" i="1"/>
  <c r="D6331" i="1"/>
  <c r="D7083" i="1"/>
  <c r="D6456" i="1"/>
  <c r="D7092" i="1"/>
  <c r="D7127" i="1"/>
  <c r="D6041" i="1"/>
  <c r="D6486" i="1"/>
  <c r="D6630" i="1"/>
  <c r="D7446" i="1"/>
  <c r="D6826" i="1"/>
  <c r="D7121" i="1"/>
  <c r="D6905" i="1"/>
  <c r="D6937" i="1"/>
  <c r="D7654" i="1"/>
  <c r="D6276" i="1"/>
  <c r="D6377" i="1"/>
  <c r="D6602" i="1"/>
  <c r="D6982" i="1"/>
  <c r="D6961" i="1"/>
  <c r="D7146" i="1"/>
  <c r="D6869" i="1"/>
  <c r="D7065" i="1"/>
  <c r="D6088" i="1"/>
  <c r="D6818" i="1"/>
  <c r="D6744" i="1"/>
  <c r="D6330" i="1"/>
  <c r="D6788" i="1"/>
  <c r="D6283" i="1"/>
  <c r="D6738" i="1"/>
  <c r="D6917" i="1"/>
  <c r="D7721" i="1"/>
  <c r="D7004" i="1"/>
  <c r="D6664" i="1"/>
  <c r="D5536" i="1"/>
  <c r="D6654" i="1"/>
  <c r="D6027" i="1"/>
  <c r="D6778" i="1"/>
  <c r="D6657" i="1"/>
  <c r="D6342" i="1"/>
  <c r="D6351" i="1"/>
  <c r="D6642" i="1"/>
  <c r="D6316" i="1"/>
  <c r="D5991" i="1"/>
  <c r="D5860" i="1"/>
  <c r="D6816" i="1"/>
  <c r="D5904" i="1"/>
  <c r="D5952" i="1"/>
  <c r="D6094" i="1"/>
  <c r="D6346" i="1"/>
  <c r="D6496" i="1"/>
  <c r="D6529" i="1"/>
  <c r="D6201" i="1"/>
  <c r="D6198" i="1"/>
  <c r="D5972" i="1"/>
  <c r="D7099" i="1"/>
  <c r="D5910" i="1"/>
  <c r="D6381" i="1"/>
  <c r="D6166" i="1"/>
  <c r="D6513" i="1"/>
  <c r="D7039" i="1"/>
  <c r="D5940" i="1"/>
  <c r="D5757" i="1"/>
  <c r="D6343" i="1"/>
  <c r="D2945" i="1"/>
  <c r="D5363" i="1"/>
  <c r="D6001" i="1"/>
  <c r="D5829" i="1"/>
  <c r="D5264" i="1"/>
  <c r="D5409" i="1"/>
  <c r="D5818" i="1"/>
  <c r="D6418" i="1"/>
  <c r="D5636" i="1"/>
  <c r="D5604" i="1"/>
  <c r="D5692" i="1"/>
  <c r="D5928" i="1"/>
  <c r="D1144" i="1"/>
  <c r="D1777" i="1"/>
  <c r="D1644" i="1"/>
  <c r="D4347" i="1"/>
  <c r="D5731" i="1"/>
  <c r="D5896" i="1"/>
  <c r="D6406" i="1"/>
  <c r="D5436" i="1"/>
  <c r="D6356" i="1"/>
  <c r="D5684" i="1"/>
  <c r="D5888" i="1"/>
  <c r="D6458" i="1"/>
  <c r="D6403" i="1"/>
  <c r="D1802" i="1"/>
  <c r="D3242" i="1"/>
  <c r="D1334" i="1"/>
  <c r="D829" i="1"/>
  <c r="D2473" i="1"/>
  <c r="D3150" i="1"/>
  <c r="D1427" i="1"/>
  <c r="D2312" i="1"/>
  <c r="D2102" i="1"/>
  <c r="D5061" i="1"/>
  <c r="D3841" i="1"/>
  <c r="D2675" i="1"/>
  <c r="D1896" i="1"/>
  <c r="D725" i="1"/>
  <c r="D5956" i="1"/>
  <c r="D5773" i="1"/>
  <c r="D6455" i="1"/>
  <c r="D5132" i="1"/>
  <c r="D5838" i="1"/>
  <c r="D5951" i="1"/>
  <c r="D6215" i="1"/>
  <c r="D6252" i="1"/>
  <c r="D5763" i="1"/>
  <c r="D6181" i="1"/>
  <c r="D5726" i="1"/>
  <c r="D5297" i="1"/>
  <c r="D1422" i="1"/>
  <c r="D2706" i="1"/>
  <c r="D4014" i="1"/>
  <c r="D1112" i="1"/>
  <c r="D2504" i="1"/>
  <c r="D1676" i="1"/>
  <c r="D730" i="1"/>
  <c r="D732" i="1"/>
  <c r="D3363" i="1"/>
  <c r="D6696" i="1"/>
  <c r="D5541" i="1"/>
  <c r="D6836" i="1"/>
  <c r="D6172" i="1"/>
  <c r="D6176" i="1"/>
  <c r="D5779" i="1"/>
  <c r="D3783" i="1"/>
  <c r="D731" i="1"/>
  <c r="D2401" i="1"/>
  <c r="D2244" i="1"/>
  <c r="D1077" i="1"/>
  <c r="D738" i="1"/>
  <c r="D5396" i="1"/>
  <c r="D804" i="1"/>
  <c r="D4963" i="1"/>
  <c r="D590" i="1"/>
  <c r="D720" i="1"/>
  <c r="D682" i="1"/>
  <c r="D2819" i="1"/>
  <c r="D982" i="1"/>
  <c r="D872" i="1"/>
  <c r="D3416" i="1"/>
  <c r="D4185" i="1"/>
  <c r="D586" i="1"/>
  <c r="D4588" i="1"/>
  <c r="D574" i="1"/>
  <c r="D789" i="1"/>
  <c r="D1945" i="1"/>
  <c r="D771" i="1"/>
  <c r="D1820" i="1"/>
  <c r="D886" i="1"/>
  <c r="D1852" i="1"/>
  <c r="D828" i="1"/>
  <c r="D1017" i="1"/>
  <c r="D6545" i="1"/>
  <c r="D5741" i="1"/>
  <c r="D6139" i="1"/>
  <c r="D5871" i="1"/>
  <c r="D5161" i="1"/>
  <c r="D4814" i="1"/>
  <c r="D4753" i="1"/>
  <c r="D5844" i="1"/>
  <c r="D5759" i="1"/>
  <c r="D5680" i="1"/>
  <c r="D5216" i="1"/>
  <c r="D5242" i="1"/>
  <c r="D5177" i="1"/>
  <c r="D5819" i="1"/>
  <c r="D4946" i="1"/>
  <c r="D5517" i="1"/>
  <c r="D5532" i="1"/>
  <c r="D5154" i="1"/>
  <c r="D6326" i="1"/>
  <c r="D5922" i="1"/>
  <c r="D5518" i="1"/>
  <c r="D5378" i="1"/>
  <c r="D5504" i="1"/>
  <c r="D5417" i="1"/>
  <c r="D5361" i="1"/>
  <c r="D4767" i="1"/>
  <c r="D5584" i="1"/>
  <c r="D5029" i="1"/>
  <c r="D6191" i="1"/>
  <c r="D5169" i="1"/>
  <c r="D6014" i="1"/>
  <c r="D6566" i="1"/>
  <c r="D5913" i="1"/>
  <c r="D5723" i="1"/>
  <c r="D5868" i="1"/>
  <c r="D5389" i="1"/>
  <c r="D5367" i="1"/>
  <c r="D5462" i="1"/>
  <c r="D5060" i="1"/>
  <c r="D5985" i="1"/>
  <c r="D5453" i="1"/>
  <c r="D5987" i="1"/>
  <c r="D6100" i="1"/>
  <c r="D5623" i="1"/>
  <c r="D4986" i="1"/>
  <c r="D5283" i="1"/>
  <c r="D6096" i="1"/>
  <c r="D5095" i="1"/>
  <c r="D4634" i="1"/>
  <c r="D5894" i="1"/>
  <c r="D969" i="1"/>
  <c r="D873" i="1"/>
  <c r="D1062" i="1"/>
  <c r="D1357" i="1"/>
  <c r="D848" i="1"/>
  <c r="D925" i="1"/>
  <c r="D1787" i="1"/>
  <c r="D887" i="1"/>
  <c r="D902" i="1"/>
  <c r="D4302" i="1"/>
  <c r="D1217" i="1"/>
  <c r="D659" i="1"/>
  <c r="D975" i="1"/>
  <c r="D5312" i="1"/>
  <c r="D1953" i="1"/>
  <c r="D947" i="1"/>
  <c r="D826" i="1"/>
  <c r="D729" i="1"/>
  <c r="D666" i="1"/>
  <c r="D2902" i="1"/>
  <c r="D893" i="1"/>
  <c r="D2041" i="1"/>
  <c r="D723" i="1"/>
  <c r="D1926" i="1"/>
  <c r="D653" i="1"/>
  <c r="D705" i="1"/>
  <c r="D6843" i="1"/>
  <c r="D6292" i="1"/>
  <c r="D4543" i="1"/>
  <c r="D4985" i="1"/>
  <c r="D4959" i="1"/>
  <c r="D5601" i="1"/>
  <c r="D6036" i="1"/>
  <c r="D5224" i="1"/>
  <c r="D5032" i="1"/>
  <c r="D5666" i="1"/>
  <c r="D5335" i="1"/>
  <c r="D4904" i="1"/>
  <c r="D4989" i="1"/>
  <c r="D3102" i="1"/>
  <c r="D4661" i="1"/>
  <c r="D5293" i="1"/>
  <c r="D6867" i="1"/>
  <c r="D6443" i="1"/>
  <c r="D5970" i="1"/>
  <c r="D6087" i="1"/>
  <c r="D6350" i="1"/>
  <c r="D5921" i="1"/>
  <c r="D5714" i="1"/>
  <c r="D5909" i="1"/>
  <c r="D6299" i="1"/>
  <c r="D5520" i="1"/>
  <c r="D5557" i="1"/>
  <c r="D6481" i="1"/>
  <c r="D6394" i="1"/>
  <c r="D5770" i="1"/>
  <c r="D6043" i="1"/>
  <c r="D6306" i="1"/>
  <c r="D5129" i="1"/>
  <c r="D5658" i="1"/>
  <c r="D6037" i="1"/>
  <c r="D5713" i="1"/>
  <c r="D6209" i="1"/>
  <c r="D5649" i="1"/>
  <c r="D5934" i="1"/>
  <c r="D5734" i="1"/>
  <c r="D6556" i="1"/>
  <c r="D6107" i="1"/>
  <c r="D5602" i="1"/>
  <c r="D6235" i="1"/>
  <c r="D6145" i="1"/>
  <c r="D6010" i="1"/>
  <c r="D6548" i="1"/>
  <c r="D6706" i="1"/>
  <c r="D6233" i="1"/>
  <c r="D6003" i="1"/>
  <c r="D6309" i="1"/>
  <c r="D5919" i="1"/>
  <c r="D5592" i="1"/>
  <c r="D5822" i="1"/>
  <c r="D5653" i="1"/>
  <c r="D6032" i="1"/>
  <c r="D6114" i="1"/>
  <c r="D5162" i="1"/>
  <c r="D5701" i="1"/>
  <c r="D5794" i="1"/>
  <c r="D5477" i="1"/>
  <c r="D5400" i="1"/>
  <c r="D4730" i="1"/>
  <c r="D5605" i="1"/>
  <c r="D5826" i="1"/>
  <c r="D5429" i="1"/>
  <c r="D5926" i="1"/>
  <c r="D5473" i="1"/>
  <c r="D5528" i="1"/>
  <c r="D5551" i="1"/>
  <c r="D5752" i="1"/>
  <c r="D5839" i="1"/>
  <c r="D5056" i="1"/>
  <c r="D5899" i="1"/>
  <c r="D5876" i="1"/>
  <c r="D4544" i="1"/>
  <c r="D4492" i="1"/>
  <c r="D5113" i="1"/>
  <c r="D5799" i="1"/>
  <c r="D6047" i="1"/>
  <c r="D5635" i="1"/>
  <c r="D3198" i="1"/>
  <c r="D4589" i="1"/>
  <c r="D4911" i="1"/>
  <c r="D4568" i="1"/>
  <c r="D5150" i="1"/>
  <c r="D5128" i="1"/>
  <c r="D4759" i="1"/>
  <c r="D4877" i="1"/>
  <c r="D1201" i="1"/>
  <c r="D1216" i="1"/>
  <c r="D803" i="1"/>
  <c r="D708" i="1"/>
  <c r="D921" i="1"/>
  <c r="D3376" i="1"/>
  <c r="D686" i="1"/>
  <c r="D767" i="1"/>
  <c r="D1045" i="1"/>
  <c r="D640" i="1"/>
  <c r="D671" i="1"/>
  <c r="D1116" i="1"/>
  <c r="D806" i="1"/>
  <c r="D662" i="1"/>
  <c r="D646" i="1"/>
  <c r="D5097" i="1"/>
  <c r="D5256" i="1"/>
  <c r="D5353" i="1"/>
  <c r="D5470" i="1"/>
  <c r="D4688" i="1"/>
  <c r="D5158" i="1"/>
  <c r="D5072" i="1"/>
  <c r="D5988" i="1"/>
  <c r="D5823" i="1"/>
  <c r="D5381" i="1"/>
  <c r="D5915" i="1"/>
  <c r="D5614" i="1"/>
  <c r="D4878" i="1"/>
  <c r="D4920" i="1"/>
  <c r="D6103" i="1"/>
  <c r="D4516" i="1"/>
  <c r="D5696" i="1"/>
  <c r="D4893" i="1"/>
  <c r="D4868" i="1"/>
  <c r="D5117" i="1"/>
  <c r="D5094" i="1"/>
  <c r="D4038" i="1"/>
  <c r="D5127" i="1"/>
  <c r="D3964" i="1"/>
  <c r="D2816" i="1"/>
  <c r="D5080" i="1"/>
  <c r="D4705" i="1"/>
  <c r="D6220" i="1"/>
  <c r="D4624" i="1"/>
  <c r="D3669" i="1"/>
  <c r="D4315" i="1"/>
  <c r="D3596" i="1"/>
  <c r="D4924" i="1"/>
  <c r="D4996" i="1"/>
  <c r="D4195" i="1"/>
  <c r="D4205" i="1"/>
  <c r="D4055" i="1"/>
  <c r="D907" i="1"/>
  <c r="D2380" i="1"/>
  <c r="D906" i="1"/>
  <c r="D3335" i="1"/>
  <c r="D2526" i="1"/>
  <c r="D1073" i="1"/>
  <c r="D1041" i="1"/>
  <c r="D849" i="1"/>
  <c r="D636" i="1"/>
  <c r="D1162" i="1"/>
  <c r="D965" i="1"/>
  <c r="D827" i="1"/>
  <c r="D807" i="1"/>
  <c r="D600" i="1"/>
  <c r="D1784" i="1"/>
  <c r="D585" i="1"/>
  <c r="D3001" i="1"/>
  <c r="D788" i="1"/>
  <c r="D2431" i="1"/>
  <c r="D1866" i="1"/>
  <c r="D635" i="1"/>
  <c r="D3391" i="1"/>
  <c r="D2976" i="1"/>
  <c r="D685" i="1"/>
  <c r="D979" i="1"/>
  <c r="D648" i="1"/>
  <c r="D1254" i="1"/>
  <c r="D628" i="1"/>
  <c r="D878" i="1"/>
  <c r="D691" i="1"/>
  <c r="D599" i="1"/>
  <c r="D6641" i="1"/>
  <c r="D5576" i="1"/>
  <c r="D5311" i="1"/>
  <c r="D4887" i="1"/>
  <c r="D5917" i="1"/>
  <c r="D5867" i="1"/>
  <c r="D6076" i="1"/>
  <c r="D4923" i="1"/>
  <c r="D4741" i="1"/>
  <c r="D5362" i="1"/>
  <c r="D3046" i="1"/>
  <c r="D5766" i="1"/>
  <c r="D5758" i="1"/>
  <c r="D4859" i="1"/>
  <c r="D5202" i="1"/>
  <c r="D5478" i="1"/>
  <c r="D6058" i="1"/>
  <c r="D5043" i="1"/>
  <c r="D5506" i="1"/>
  <c r="D5599" i="1"/>
  <c r="D5290" i="1"/>
  <c r="D5835" i="1"/>
  <c r="D5582" i="1"/>
  <c r="D4617" i="1"/>
  <c r="D5350" i="1"/>
  <c r="D4845" i="1"/>
  <c r="D4780" i="1"/>
  <c r="D4638" i="1"/>
  <c r="D4933" i="1"/>
  <c r="D5186" i="1"/>
  <c r="D3808" i="1"/>
  <c r="D4439" i="1"/>
  <c r="D3918" i="1"/>
  <c r="D2974" i="1"/>
  <c r="D5027" i="1"/>
  <c r="D5227" i="1"/>
  <c r="D5107" i="1"/>
  <c r="D4926" i="1"/>
  <c r="D3072" i="1"/>
  <c r="D5223" i="1"/>
  <c r="D2092" i="1"/>
  <c r="D1335" i="1"/>
  <c r="D1764" i="1"/>
  <c r="D999" i="1"/>
  <c r="D1378" i="1"/>
  <c r="D951" i="1"/>
  <c r="D1103" i="1"/>
  <c r="D5958" i="1"/>
  <c r="D4844" i="1"/>
  <c r="D5360" i="1"/>
  <c r="D5618" i="1"/>
  <c r="D5323" i="1"/>
  <c r="D5308" i="1"/>
  <c r="D5903" i="1"/>
  <c r="D5195" i="1"/>
  <c r="D5836" i="1"/>
  <c r="D5207" i="1"/>
  <c r="D5405" i="1"/>
  <c r="D5573" i="1"/>
  <c r="D5697" i="1"/>
  <c r="D5369" i="1"/>
  <c r="D4719" i="1"/>
  <c r="D4178" i="1"/>
  <c r="D4204" i="1"/>
  <c r="D4075" i="1"/>
  <c r="D4582" i="1"/>
  <c r="D3843" i="1"/>
  <c r="D4573" i="1"/>
  <c r="D5059" i="1"/>
  <c r="D3315" i="1"/>
  <c r="D4723" i="1"/>
  <c r="D4803" i="1"/>
  <c r="D4871" i="1"/>
  <c r="D4403" i="1"/>
  <c r="D4704" i="1"/>
  <c r="D3820" i="1"/>
  <c r="D4962" i="1"/>
  <c r="D4240" i="1"/>
  <c r="D3875" i="1"/>
  <c r="D4651" i="1"/>
  <c r="D3938" i="1"/>
  <c r="D3611" i="1"/>
  <c r="D5394" i="1"/>
  <c r="D4821" i="1"/>
  <c r="D5054" i="1"/>
  <c r="D4708" i="1"/>
  <c r="D5284" i="1"/>
  <c r="D5199" i="1"/>
  <c r="D4693" i="1"/>
  <c r="D4030" i="1"/>
  <c r="D5193" i="1"/>
  <c r="D1813" i="1"/>
  <c r="D4467" i="1"/>
  <c r="D4792" i="1"/>
  <c r="D3709" i="1"/>
  <c r="D3045" i="1"/>
  <c r="D1399" i="1"/>
  <c r="D703" i="1"/>
  <c r="D1185" i="1"/>
  <c r="D954" i="1"/>
  <c r="D2416" i="1"/>
  <c r="D2601" i="1"/>
  <c r="D2663" i="1"/>
  <c r="D1372" i="1"/>
  <c r="D5452" i="1"/>
  <c r="D2275" i="1"/>
  <c r="D2131" i="1"/>
  <c r="D834" i="1"/>
  <c r="D5830" i="1"/>
  <c r="D6229" i="1"/>
  <c r="D6157" i="1"/>
  <c r="D5686" i="1"/>
  <c r="D4784" i="1"/>
  <c r="D5020" i="1"/>
  <c r="D6285" i="1"/>
  <c r="D5890" i="1"/>
  <c r="D5961" i="1"/>
  <c r="D3628" i="1"/>
  <c r="D4223" i="1"/>
  <c r="D3894" i="1"/>
  <c r="D3606" i="1"/>
  <c r="D4602" i="1"/>
  <c r="D4491" i="1"/>
  <c r="D5066" i="1"/>
  <c r="D3143" i="1"/>
  <c r="D2798" i="1"/>
  <c r="D4442" i="1"/>
  <c r="D4163" i="1"/>
  <c r="D4152" i="1"/>
  <c r="D3346" i="1"/>
  <c r="D3281" i="1"/>
  <c r="D4913" i="1"/>
  <c r="D4777" i="1"/>
  <c r="D5076" i="1"/>
  <c r="D4650" i="1"/>
  <c r="D4746" i="1"/>
  <c r="D5089" i="1"/>
  <c r="D5418" i="1"/>
  <c r="D6059" i="1"/>
  <c r="D6000" i="1"/>
  <c r="D5531" i="1"/>
  <c r="D4398" i="1"/>
  <c r="D5732" i="1"/>
  <c r="D4548" i="1"/>
  <c r="D5164" i="1"/>
  <c r="D4666" i="1"/>
  <c r="D5300" i="1"/>
  <c r="D5832" i="1"/>
  <c r="D5237" i="1"/>
  <c r="D4629" i="1"/>
  <c r="D4324" i="1"/>
  <c r="D5139" i="1"/>
  <c r="D6038" i="1"/>
  <c r="D5343" i="1"/>
  <c r="D4984" i="1"/>
  <c r="D5079" i="1"/>
  <c r="D6022" i="1"/>
  <c r="D5647" i="1"/>
  <c r="D4449" i="1"/>
  <c r="D4860" i="1"/>
  <c r="D5257" i="1"/>
  <c r="D5607" i="1"/>
  <c r="D4200" i="1"/>
  <c r="D3728" i="1"/>
  <c r="D4712" i="1"/>
  <c r="D5130" i="1"/>
  <c r="D5525" i="1"/>
  <c r="D2699" i="1"/>
  <c r="D4376" i="1"/>
  <c r="D4553" i="1"/>
  <c r="D4067" i="1"/>
  <c r="D4720" i="1"/>
  <c r="D4781" i="1"/>
  <c r="D5608" i="1"/>
  <c r="D4596" i="1"/>
  <c r="D4015" i="1"/>
  <c r="D3828" i="1"/>
  <c r="D3897" i="1"/>
  <c r="D4507" i="1"/>
  <c r="D4949" i="1"/>
  <c r="D3667" i="1"/>
  <c r="D3271" i="1"/>
  <c r="D4510" i="1"/>
  <c r="D2179" i="1"/>
  <c r="D3200" i="1"/>
  <c r="D4188" i="1"/>
  <c r="D4900" i="1"/>
  <c r="D3835" i="1"/>
  <c r="D4276" i="1"/>
  <c r="D616" i="1"/>
  <c r="D1206" i="1"/>
  <c r="D2647" i="1"/>
  <c r="D3434" i="1"/>
  <c r="D2042" i="1"/>
  <c r="D1700" i="1"/>
  <c r="D3031" i="1"/>
  <c r="D1791" i="1"/>
  <c r="D1876" i="1"/>
  <c r="D1711" i="1"/>
  <c r="D1492" i="1"/>
  <c r="D2673" i="1"/>
  <c r="D994" i="1"/>
  <c r="D3388" i="1"/>
  <c r="D860" i="1"/>
  <c r="D3822" i="1"/>
  <c r="D5846" i="1"/>
  <c r="D1592" i="1"/>
  <c r="D927" i="1"/>
  <c r="D1396" i="1"/>
  <c r="D922" i="1"/>
  <c r="D945" i="1"/>
  <c r="D934" i="1"/>
  <c r="D1520" i="1"/>
  <c r="D2247" i="1"/>
  <c r="D1849" i="1"/>
  <c r="D2175" i="1"/>
  <c r="D3476" i="1"/>
  <c r="D2269" i="1"/>
  <c r="D4768" i="1"/>
  <c r="D4425" i="1"/>
  <c r="D2953" i="1"/>
  <c r="D4808" i="1"/>
  <c r="D3533" i="1"/>
  <c r="D5660" i="1"/>
  <c r="D3774" i="1"/>
  <c r="D3136" i="1"/>
  <c r="D2298" i="1"/>
  <c r="D3446" i="1"/>
  <c r="D3066" i="1"/>
  <c r="D4221" i="1"/>
  <c r="D2609" i="1"/>
  <c r="D3119" i="1"/>
  <c r="D1931" i="1"/>
  <c r="D4840" i="1"/>
  <c r="D5364" i="1"/>
  <c r="D4584" i="1"/>
  <c r="D4590" i="1"/>
  <c r="D4925" i="1"/>
  <c r="D5403" i="1"/>
  <c r="D5545" i="1"/>
  <c r="D4148" i="1"/>
  <c r="D4791" i="1"/>
  <c r="D4486" i="1"/>
  <c r="D4646" i="1"/>
  <c r="D4873" i="1"/>
  <c r="D4280" i="1"/>
  <c r="D5194" i="1"/>
  <c r="D5342" i="1"/>
  <c r="D4479" i="1"/>
  <c r="D4935" i="1"/>
  <c r="D4559" i="1"/>
  <c r="D5254" i="1"/>
  <c r="D5967" i="1"/>
  <c r="D5522" i="1"/>
  <c r="D5101" i="1"/>
  <c r="D4945" i="1"/>
  <c r="D4114" i="1"/>
  <c r="D4284" i="1"/>
  <c r="D5182" i="1"/>
  <c r="D5833" i="1"/>
  <c r="D3589" i="1"/>
  <c r="D5255" i="1"/>
  <c r="D3988" i="1"/>
  <c r="D4727" i="1"/>
  <c r="D4773" i="1"/>
  <c r="D4696" i="1"/>
  <c r="D4577" i="1"/>
  <c r="D4909" i="1"/>
  <c r="D3707" i="1"/>
  <c r="D4937" i="1"/>
  <c r="D4880" i="1"/>
  <c r="D5053" i="1"/>
  <c r="D3916" i="1"/>
  <c r="D4059" i="1"/>
  <c r="D5295" i="1"/>
  <c r="D4229" i="1"/>
  <c r="D4888" i="1"/>
  <c r="D4927" i="1"/>
  <c r="D4615" i="1"/>
  <c r="D4281" i="1"/>
  <c r="D2713" i="1"/>
  <c r="D3816" i="1"/>
  <c r="D5218" i="1"/>
  <c r="D4497" i="1"/>
  <c r="D4500" i="1"/>
  <c r="D2629" i="1"/>
  <c r="D3946" i="1"/>
  <c r="D5309" i="1"/>
  <c r="D4608" i="1"/>
  <c r="D4658" i="1"/>
  <c r="D4776" i="1"/>
  <c r="D3387" i="1"/>
  <c r="D5401" i="1"/>
  <c r="D4523" i="1"/>
  <c r="D3278" i="1"/>
  <c r="D1377" i="1"/>
  <c r="D5011" i="1"/>
  <c r="D3778" i="1"/>
  <c r="D4700" i="1"/>
  <c r="D4270" i="1"/>
  <c r="D4291" i="1"/>
  <c r="D4429" i="1"/>
  <c r="D2967" i="1"/>
  <c r="D3678" i="1"/>
  <c r="D5727" i="1"/>
  <c r="D2197" i="1"/>
  <c r="D3389" i="1"/>
  <c r="D2306" i="1"/>
  <c r="D3320" i="1"/>
  <c r="D4460" i="1"/>
  <c r="D3040" i="1"/>
  <c r="D2302" i="1"/>
  <c r="D1740" i="1"/>
  <c r="D3593" i="1"/>
  <c r="D4020" i="1"/>
  <c r="D4862" i="1"/>
  <c r="D4139" i="1"/>
  <c r="D2264" i="1"/>
  <c r="D1511" i="1"/>
  <c r="D4823" i="1"/>
  <c r="D1449" i="1"/>
  <c r="D5209" i="1"/>
  <c r="D2263" i="1"/>
  <c r="D2612" i="1"/>
  <c r="D3379" i="1"/>
  <c r="D1264" i="1"/>
  <c r="D3982" i="1"/>
  <c r="D1369" i="1"/>
  <c r="D1763" i="1"/>
  <c r="D1154" i="1"/>
  <c r="D1591" i="1"/>
  <c r="D3384" i="1"/>
  <c r="D1248" i="1"/>
  <c r="D1210" i="1"/>
  <c r="D2580" i="1"/>
  <c r="D1792" i="1"/>
  <c r="D4680" i="1"/>
  <c r="D3883" i="1"/>
  <c r="D4316" i="1"/>
  <c r="D4682" i="1"/>
  <c r="D3468" i="1"/>
  <c r="D4850" i="1"/>
  <c r="D4848" i="1"/>
  <c r="D4258" i="1"/>
  <c r="D5260" i="1"/>
  <c r="D4765" i="1"/>
  <c r="D3142" i="1"/>
  <c r="D5241" i="1"/>
  <c r="D4513" i="1"/>
  <c r="D5435" i="1"/>
  <c r="D5471" i="1"/>
  <c r="D5205" i="1"/>
  <c r="D4800" i="1"/>
  <c r="D4120" i="1"/>
  <c r="D4760" i="1"/>
  <c r="D4175" i="1"/>
  <c r="D3959" i="1"/>
  <c r="D3968" i="1"/>
  <c r="D5291" i="1"/>
  <c r="D3680" i="1"/>
  <c r="D4872" i="1"/>
  <c r="D4356" i="1"/>
  <c r="D4421" i="1"/>
  <c r="D5289" i="1"/>
  <c r="D3286" i="1"/>
  <c r="D4552" i="1"/>
  <c r="D5572" i="1"/>
  <c r="D3329" i="1"/>
  <c r="D3998" i="1"/>
  <c r="D5509" i="1"/>
  <c r="D5639" i="1"/>
  <c r="D3776" i="1"/>
  <c r="D4954" i="1"/>
  <c r="D3955" i="1"/>
  <c r="D5593" i="1"/>
  <c r="D4977" i="1"/>
  <c r="D5091" i="1"/>
  <c r="D4732" i="1"/>
  <c r="D4817" i="1"/>
  <c r="D5261" i="1"/>
  <c r="D4921" i="1"/>
  <c r="D4183" i="1"/>
  <c r="D5328" i="1"/>
  <c r="D5490" i="1"/>
  <c r="D3554" i="1"/>
  <c r="D3969" i="1"/>
  <c r="D4728" i="1"/>
  <c r="D4628" i="1"/>
  <c r="D4191" i="1"/>
  <c r="D4827" i="1"/>
  <c r="D4818" i="1"/>
  <c r="D4857" i="1"/>
  <c r="D5126" i="1"/>
  <c r="D5235" i="1"/>
  <c r="D5203" i="1"/>
  <c r="D4511" i="1"/>
  <c r="D5954" i="1"/>
  <c r="D4711" i="1"/>
  <c r="D4707" i="1"/>
  <c r="D4975" i="1"/>
  <c r="D5827" i="1"/>
  <c r="D5375" i="1"/>
  <c r="D5419" i="1"/>
  <c r="D5645" i="1"/>
  <c r="D4884" i="1"/>
  <c r="D4672" i="1"/>
  <c r="D5179" i="1"/>
  <c r="D5034" i="1"/>
  <c r="D4774" i="1"/>
  <c r="D4072" i="1"/>
  <c r="D4173" i="1"/>
  <c r="D4113" i="1"/>
  <c r="D5637" i="1"/>
  <c r="D5183" i="1"/>
  <c r="D5285" i="1"/>
  <c r="D5549" i="1"/>
  <c r="D6112" i="1"/>
  <c r="D5372" i="1"/>
  <c r="D5912" i="1"/>
  <c r="D6570" i="1"/>
  <c r="D5617" i="1"/>
  <c r="D5050" i="1"/>
  <c r="D1929" i="1"/>
  <c r="D4799" i="1"/>
  <c r="D3764" i="1"/>
  <c r="D3780" i="1"/>
  <c r="D2506" i="1"/>
  <c r="D3787" i="1"/>
  <c r="D4569" i="1"/>
  <c r="D2530" i="1"/>
  <c r="D2271" i="1"/>
  <c r="D3234" i="1"/>
  <c r="D4687" i="1"/>
  <c r="D4514" i="1"/>
  <c r="D4100" i="1"/>
  <c r="D3904" i="1"/>
  <c r="D1807" i="1"/>
  <c r="D4373" i="1"/>
  <c r="D5136" i="1"/>
  <c r="D3138" i="1"/>
  <c r="D3314" i="1"/>
  <c r="D4453" i="1"/>
  <c r="D3165" i="1"/>
  <c r="D4164" i="1"/>
  <c r="D4686" i="1"/>
  <c r="D4456" i="1"/>
  <c r="D4627" i="1"/>
  <c r="D1423" i="1"/>
  <c r="D5421" i="1"/>
  <c r="D3734" i="1"/>
  <c r="D2946" i="1"/>
  <c r="D5144" i="1"/>
  <c r="D3739" i="1"/>
  <c r="D3601" i="1"/>
  <c r="D3255" i="1"/>
  <c r="D4206" i="1"/>
  <c r="D3716" i="1"/>
  <c r="D2916" i="1"/>
  <c r="D4252" i="1"/>
  <c r="D4505" i="1"/>
  <c r="D4402" i="1"/>
  <c r="D4790" i="1"/>
  <c r="D5002" i="1"/>
  <c r="D3225" i="1"/>
  <c r="D4654" i="1"/>
  <c r="D4876" i="1"/>
  <c r="D4320" i="1"/>
  <c r="D4282" i="1"/>
  <c r="D3726" i="1"/>
  <c r="D4601" i="1"/>
  <c r="D4087" i="1"/>
  <c r="D5008" i="1"/>
  <c r="D5087" i="1"/>
  <c r="D5863" i="1"/>
  <c r="D4094" i="1"/>
  <c r="D5042" i="1"/>
  <c r="D5273" i="1"/>
  <c r="D5206" i="1"/>
  <c r="D5198" i="1"/>
  <c r="D3777" i="1"/>
  <c r="D4689" i="1"/>
  <c r="D3992" i="1"/>
  <c r="D5461" i="1"/>
  <c r="D4203" i="1"/>
  <c r="D5446" i="1"/>
  <c r="D5410" i="1"/>
  <c r="D5022" i="1"/>
  <c r="D4863" i="1"/>
  <c r="D5244" i="1"/>
  <c r="D6115" i="1"/>
  <c r="D6605" i="1"/>
  <c r="D3741" i="1"/>
  <c r="D3332" i="1"/>
  <c r="D4575" i="1"/>
  <c r="D4262" i="1"/>
  <c r="D5352" i="1"/>
  <c r="D4283" i="1"/>
  <c r="D4745" i="1"/>
  <c r="D5629" i="1"/>
  <c r="D5184" i="1"/>
  <c r="D4838" i="1"/>
  <c r="D4312" i="1"/>
  <c r="D4555" i="1"/>
  <c r="D4433" i="1"/>
  <c r="D4379" i="1"/>
  <c r="D4041" i="1"/>
  <c r="D4540" i="1"/>
  <c r="D3625" i="1"/>
  <c r="D5275" i="1"/>
  <c r="D4485" i="1"/>
  <c r="D5559" i="1"/>
  <c r="D4795" i="1"/>
  <c r="D4812" i="1"/>
  <c r="D4057" i="1"/>
  <c r="D3687" i="1"/>
  <c r="D5698" i="1"/>
  <c r="D4957" i="1"/>
  <c r="D4743" i="1"/>
  <c r="D2986" i="1"/>
  <c r="D5176" i="1"/>
  <c r="D3852" i="1"/>
  <c r="D4798" i="1"/>
  <c r="D3871" i="1"/>
  <c r="D2777" i="1"/>
  <c r="D3233" i="1"/>
  <c r="D4673" i="1"/>
  <c r="D4488" i="1"/>
  <c r="D4952" i="1"/>
  <c r="D4623" i="1"/>
  <c r="D3634" i="1"/>
  <c r="D3126" i="1"/>
  <c r="D2670" i="1"/>
  <c r="D3972" i="1"/>
  <c r="D4993" i="1"/>
  <c r="D4286" i="1"/>
  <c r="D4918" i="1"/>
  <c r="D4380" i="1"/>
  <c r="D3330" i="1"/>
  <c r="D2278" i="1"/>
  <c r="D5486" i="1"/>
  <c r="D4694" i="1"/>
  <c r="D5007" i="1"/>
  <c r="D4580" i="1"/>
  <c r="D3831" i="1"/>
  <c r="D3356" i="1"/>
  <c r="D3168" i="1"/>
  <c r="D2241" i="1"/>
  <c r="D2770" i="1"/>
  <c r="D2833" i="1"/>
  <c r="D2989" i="1"/>
  <c r="D3130" i="1"/>
  <c r="D2992" i="1"/>
  <c r="D3762" i="1"/>
  <c r="D5173" i="1"/>
  <c r="D4369" i="1"/>
  <c r="D4770" i="1"/>
  <c r="D3928" i="1"/>
  <c r="D2566" i="1"/>
  <c r="D4181" i="1"/>
  <c r="D1972" i="1"/>
  <c r="D2684" i="1"/>
  <c r="D4786" i="1"/>
  <c r="D4750" i="1"/>
  <c r="D6308" i="1"/>
  <c r="D5181" i="1"/>
  <c r="D3863" i="1"/>
  <c r="D5116" i="1"/>
  <c r="D4533" i="1"/>
  <c r="D4279" i="1"/>
  <c r="D5527" i="1"/>
  <c r="D6328" i="1"/>
  <c r="D5485" i="1"/>
  <c r="D5687" i="1"/>
  <c r="D4088" i="1"/>
  <c r="D5886" i="1"/>
  <c r="D4610" i="1"/>
  <c r="D2627" i="1"/>
  <c r="D3801" i="1"/>
  <c r="D2235" i="1"/>
  <c r="D3912" i="1"/>
  <c r="D3213" i="1"/>
  <c r="D4222" i="1"/>
  <c r="D2176" i="1"/>
  <c r="D4008" i="1"/>
  <c r="D5262" i="1"/>
  <c r="D2636" i="1"/>
  <c r="D4881" i="1"/>
  <c r="D5036" i="1"/>
  <c r="D5771" i="1"/>
  <c r="D4263" i="1"/>
  <c r="D2043" i="1"/>
  <c r="D4870" i="1"/>
  <c r="D5322" i="1"/>
  <c r="D4143" i="1"/>
  <c r="D3747" i="1"/>
  <c r="D4278" i="1"/>
  <c r="D4440" i="1"/>
  <c r="D3827" i="1"/>
  <c r="D5719" i="1"/>
  <c r="D5529" i="1"/>
  <c r="D5252" i="1"/>
  <c r="D3995" i="1"/>
  <c r="D5266" i="1"/>
  <c r="D4220" i="1"/>
  <c r="D2332" i="1"/>
  <c r="D2455" i="1"/>
  <c r="D3829" i="1"/>
  <c r="D3412" i="1"/>
  <c r="D2567" i="1"/>
  <c r="D1910" i="1"/>
  <c r="D5102" i="1"/>
  <c r="D5111" i="1"/>
  <c r="D5577" i="1"/>
  <c r="D4595" i="1"/>
  <c r="D4176" i="1"/>
  <c r="D4166" i="1"/>
  <c r="D4885" i="1"/>
  <c r="D3407" i="1"/>
  <c r="D3582" i="1"/>
  <c r="D3745" i="1"/>
  <c r="D4562" i="1"/>
  <c r="D4522" i="1"/>
  <c r="D3833" i="1"/>
  <c r="D4947" i="1"/>
  <c r="D1919" i="1"/>
  <c r="D4841" i="1"/>
  <c r="D3022" i="1"/>
  <c r="D4039" i="1"/>
  <c r="D2751" i="1"/>
  <c r="D1781" i="1"/>
  <c r="D2718" i="1"/>
  <c r="D2907" i="1"/>
  <c r="D4073" i="1"/>
  <c r="D4062" i="1"/>
  <c r="D3544" i="1"/>
  <c r="D1903" i="1"/>
  <c r="D1106" i="1"/>
  <c r="D8282" i="1"/>
  <c r="D8322" i="1"/>
  <c r="D8202" i="1"/>
  <c r="D8184" i="1"/>
  <c r="D8187" i="1"/>
  <c r="D8102" i="1"/>
  <c r="D7608" i="1"/>
  <c r="D7811" i="1"/>
  <c r="D7933" i="1"/>
  <c r="D7866" i="1"/>
  <c r="D7931" i="1"/>
  <c r="D7960" i="1"/>
  <c r="D7879" i="1"/>
  <c r="D7979" i="1"/>
  <c r="D7895" i="1"/>
  <c r="D7675" i="1"/>
  <c r="D7512" i="1"/>
  <c r="D7692" i="1"/>
  <c r="D7604" i="1"/>
  <c r="D7184" i="1"/>
  <c r="D7130" i="1"/>
  <c r="D7318" i="1"/>
  <c r="D7270" i="1"/>
  <c r="D7485" i="1"/>
  <c r="D7043" i="1"/>
  <c r="D7477" i="1"/>
  <c r="D7322" i="1"/>
  <c r="D7394" i="1"/>
  <c r="D7711" i="1"/>
  <c r="D7996" i="1"/>
  <c r="D8078" i="1"/>
  <c r="D8537" i="1"/>
  <c r="D8477" i="1"/>
  <c r="D8411" i="1"/>
  <c r="D8278" i="1"/>
  <c r="D8155" i="1"/>
  <c r="D8272" i="1"/>
  <c r="D8266" i="1"/>
  <c r="D8293" i="1"/>
  <c r="D8288" i="1"/>
  <c r="D8355" i="1"/>
  <c r="D8307" i="1"/>
  <c r="D8244" i="1"/>
  <c r="D8275" i="1"/>
  <c r="D8153" i="1"/>
  <c r="D8398" i="1"/>
  <c r="D8401" i="1"/>
  <c r="D8377" i="1"/>
  <c r="D8420" i="1"/>
  <c r="D8454" i="1"/>
  <c r="D8533" i="1"/>
  <c r="D8505" i="1"/>
  <c r="D8442" i="1"/>
  <c r="D8516" i="1"/>
  <c r="D7945" i="1"/>
  <c r="D7429" i="1"/>
  <c r="D7831" i="1"/>
  <c r="D7897" i="1"/>
  <c r="D8193" i="1"/>
  <c r="D8151" i="1"/>
  <c r="D8255" i="1"/>
  <c r="D8194" i="1"/>
  <c r="D8212" i="1"/>
  <c r="D8058" i="1"/>
  <c r="D8030" i="1"/>
  <c r="D7971" i="1"/>
  <c r="D7904" i="1"/>
  <c r="D7819" i="1"/>
  <c r="D8082" i="1"/>
  <c r="D8089" i="1"/>
  <c r="D7824" i="1"/>
  <c r="D7757" i="1"/>
  <c r="D8074" i="1"/>
  <c r="D7603" i="1"/>
  <c r="D7975" i="1"/>
  <c r="D7793" i="1"/>
  <c r="D7955" i="1"/>
  <c r="D7973" i="1"/>
  <c r="D7481" i="1"/>
  <c r="D7453" i="1"/>
  <c r="D7770" i="1"/>
  <c r="D7607" i="1"/>
  <c r="D7357" i="1"/>
  <c r="D7170" i="1"/>
  <c r="D7928" i="1"/>
  <c r="D7331" i="1"/>
  <c r="D7424" i="1"/>
  <c r="D7250" i="1"/>
  <c r="D7164" i="1"/>
  <c r="D7157" i="1"/>
  <c r="D7737" i="1"/>
  <c r="D7569" i="1"/>
  <c r="D7775" i="1"/>
  <c r="D7560" i="1"/>
  <c r="D8120" i="1"/>
  <c r="D8091" i="1"/>
  <c r="D8365" i="1"/>
  <c r="D8346" i="1"/>
  <c r="D8262" i="1"/>
  <c r="D8319" i="1"/>
  <c r="D8235" i="1"/>
  <c r="D8172" i="1"/>
  <c r="D8200" i="1"/>
  <c r="D8302" i="1"/>
  <c r="D8211" i="1"/>
  <c r="D8146" i="1"/>
  <c r="D8207" i="1"/>
  <c r="D8298" i="1"/>
  <c r="D8305" i="1"/>
  <c r="D8297" i="1"/>
  <c r="D8347" i="1"/>
  <c r="D8306" i="1"/>
  <c r="D8299" i="1"/>
  <c r="D8315" i="1"/>
  <c r="D8313" i="1"/>
  <c r="D8296" i="1"/>
  <c r="D8364" i="1"/>
  <c r="D7997" i="1"/>
  <c r="D8181" i="1"/>
  <c r="D8226" i="1"/>
  <c r="D7970" i="1"/>
  <c r="D7964" i="1"/>
  <c r="D7958" i="1"/>
  <c r="D8192" i="1"/>
  <c r="D8076" i="1"/>
  <c r="D8386" i="1"/>
  <c r="D8467" i="1"/>
  <c r="D8405" i="1"/>
  <c r="D8370" i="1"/>
  <c r="D8396" i="1"/>
  <c r="D8424" i="1"/>
  <c r="D8522" i="1"/>
  <c r="D8496" i="1"/>
  <c r="D8531" i="1"/>
  <c r="D7758" i="1"/>
  <c r="D7479" i="1"/>
  <c r="D8243" i="1"/>
  <c r="D7786" i="1"/>
  <c r="D8035" i="1"/>
  <c r="D7914" i="1"/>
  <c r="D8195" i="1"/>
  <c r="D7868" i="1"/>
  <c r="D8191" i="1"/>
  <c r="D8160" i="1"/>
  <c r="D8215" i="1"/>
  <c r="D8131" i="1"/>
  <c r="D8115" i="1"/>
  <c r="D8213" i="1"/>
  <c r="D8093" i="1"/>
  <c r="D7637" i="1"/>
  <c r="D8048" i="1"/>
  <c r="D7672" i="1"/>
  <c r="D7855" i="1"/>
  <c r="D7618" i="1"/>
  <c r="D7877" i="1"/>
  <c r="D7600" i="1"/>
  <c r="D7713" i="1"/>
  <c r="D7987" i="1"/>
  <c r="D7832" i="1"/>
  <c r="D7939" i="1"/>
  <c r="D7612" i="1"/>
  <c r="D7558" i="1"/>
  <c r="D7854" i="1"/>
  <c r="D7804" i="1"/>
  <c r="D7381" i="1"/>
  <c r="D7326" i="1"/>
  <c r="D7117" i="1"/>
  <c r="D7401" i="1"/>
  <c r="D7606" i="1"/>
  <c r="D7207" i="1"/>
  <c r="D7728" i="1"/>
  <c r="D7509" i="1"/>
  <c r="D7894" i="1"/>
  <c r="D7760" i="1"/>
  <c r="D7490" i="1"/>
  <c r="D7969" i="1"/>
  <c r="D7799" i="1"/>
  <c r="D8083" i="1"/>
  <c r="D8233" i="1"/>
  <c r="D8403" i="1"/>
  <c r="D8399" i="1"/>
  <c r="D8415" i="1"/>
  <c r="D8428" i="1"/>
  <c r="D8421" i="1"/>
  <c r="D8326" i="1"/>
  <c r="D8317" i="1"/>
  <c r="D8177" i="1"/>
  <c r="D8084" i="1"/>
  <c r="D8026" i="1"/>
  <c r="D8002" i="1"/>
  <c r="D8239" i="1"/>
  <c r="D8214" i="1"/>
  <c r="D8042" i="1"/>
  <c r="D8162" i="1"/>
  <c r="D8021" i="1"/>
  <c r="D7981" i="1"/>
  <c r="D8182" i="1"/>
  <c r="D8269" i="1"/>
  <c r="D8329" i="1"/>
  <c r="D8330" i="1"/>
  <c r="D8320" i="1"/>
  <c r="D8304" i="1"/>
  <c r="D8395" i="1"/>
  <c r="D8410" i="1"/>
  <c r="D8419" i="1"/>
  <c r="D8495" i="1"/>
  <c r="D8476" i="1"/>
  <c r="D8465" i="1"/>
  <c r="D8472" i="1"/>
  <c r="D8374" i="1"/>
  <c r="D8356" i="1"/>
  <c r="D8336" i="1"/>
  <c r="D8357" i="1"/>
  <c r="D8341" i="1"/>
  <c r="D8116" i="1"/>
  <c r="D8147" i="1"/>
  <c r="D8018" i="1"/>
  <c r="D8104" i="1"/>
  <c r="D8198" i="1"/>
  <c r="D8339" i="1"/>
  <c r="D8359" i="1"/>
  <c r="D8292" i="1"/>
  <c r="D8340" i="1"/>
  <c r="D8412" i="1"/>
  <c r="D8400" i="1"/>
  <c r="D8490" i="1"/>
  <c r="D7830" i="1"/>
  <c r="D7631" i="1"/>
  <c r="D7691" i="1"/>
  <c r="D8022" i="1"/>
  <c r="D7816" i="1"/>
  <c r="D8136" i="1"/>
  <c r="D7765" i="1"/>
  <c r="D7574" i="1"/>
  <c r="D7839" i="1"/>
  <c r="D7679" i="1"/>
  <c r="D8096" i="1"/>
  <c r="D7927" i="1"/>
  <c r="D8080" i="1"/>
  <c r="D7814" i="1"/>
  <c r="D8127" i="1"/>
  <c r="D7990" i="1"/>
  <c r="D8004" i="1"/>
  <c r="D7812" i="1"/>
  <c r="D7892" i="1"/>
  <c r="D7998" i="1"/>
  <c r="D7695" i="1"/>
  <c r="D8135" i="1"/>
  <c r="D8086" i="1"/>
  <c r="D7796" i="1"/>
  <c r="D7820" i="1"/>
  <c r="D7788" i="1"/>
  <c r="D7781" i="1"/>
  <c r="D7873" i="1"/>
  <c r="D8036" i="1"/>
  <c r="D7495" i="1"/>
  <c r="D7341" i="1"/>
  <c r="D7849" i="1"/>
  <c r="D7209" i="1"/>
  <c r="D7546" i="1"/>
  <c r="D7249" i="1"/>
  <c r="D7462" i="1"/>
  <c r="D7136" i="1"/>
  <c r="D7144" i="1"/>
  <c r="D7285" i="1"/>
  <c r="D7526" i="1"/>
  <c r="D7913" i="1"/>
  <c r="D7834" i="1"/>
  <c r="D7470" i="1"/>
  <c r="D7974" i="1"/>
  <c r="D8150" i="1"/>
  <c r="D8174" i="1"/>
  <c r="D8081" i="1"/>
  <c r="D8246" i="1"/>
  <c r="D8137" i="1"/>
  <c r="D8124" i="1"/>
  <c r="D7805" i="1"/>
  <c r="D7993" i="1"/>
  <c r="D7905" i="1"/>
  <c r="D7794" i="1"/>
  <c r="D7965" i="1"/>
  <c r="D8095" i="1"/>
  <c r="D7694" i="1"/>
  <c r="D7469" i="1"/>
  <c r="D7529" i="1"/>
  <c r="D7995" i="1"/>
  <c r="D7920" i="1"/>
  <c r="D7795" i="1"/>
  <c r="D8119" i="1"/>
  <c r="D7919" i="1"/>
  <c r="D8199" i="1"/>
  <c r="D8237" i="1"/>
  <c r="D8283" i="1"/>
  <c r="D8250" i="1"/>
  <c r="D8334" i="1"/>
  <c r="D8351" i="1"/>
  <c r="D8263" i="1"/>
  <c r="D8406" i="1"/>
  <c r="D8414" i="1"/>
  <c r="D8511" i="1"/>
  <c r="D8387" i="1"/>
  <c r="D8433" i="1"/>
  <c r="D8461" i="1"/>
  <c r="D8422" i="1"/>
  <c r="D8178" i="1"/>
  <c r="D8367" i="1"/>
  <c r="D8371" i="1"/>
  <c r="D8232" i="1"/>
  <c r="D8402" i="1"/>
  <c r="D8310" i="1"/>
  <c r="D8289" i="1"/>
  <c r="D8009" i="1"/>
  <c r="D6803" i="1"/>
  <c r="D8144" i="1"/>
  <c r="D8056" i="1"/>
  <c r="D8270" i="1"/>
  <c r="D8118" i="1"/>
  <c r="D8259" i="1"/>
  <c r="D8166" i="1"/>
  <c r="D8372" i="1"/>
  <c r="D8431" i="1"/>
  <c r="D8525" i="1"/>
  <c r="D8484" i="1"/>
  <c r="D8520" i="1"/>
  <c r="D7023" i="1"/>
  <c r="D7592" i="1"/>
  <c r="D7847" i="1"/>
  <c r="D7418" i="1"/>
  <c r="D7846" i="1"/>
  <c r="D7797" i="1"/>
  <c r="D7838" i="1"/>
  <c r="D7581" i="1"/>
  <c r="D7587" i="1"/>
  <c r="D7878" i="1"/>
  <c r="D7867" i="1"/>
  <c r="D7745" i="1"/>
  <c r="D8027" i="1"/>
  <c r="D8032" i="1"/>
  <c r="D7739" i="1"/>
  <c r="D7840" i="1"/>
  <c r="D7625" i="1"/>
  <c r="D7456" i="1"/>
  <c r="D7544" i="1"/>
  <c r="D7909" i="1"/>
  <c r="D7785" i="1"/>
  <c r="D8180" i="1"/>
  <c r="D8113" i="1"/>
  <c r="D8122" i="1"/>
  <c r="D8101" i="1"/>
  <c r="D8088" i="1"/>
  <c r="D7551" i="1"/>
  <c r="D7520" i="1"/>
  <c r="D7605" i="1"/>
  <c r="D7900" i="1"/>
  <c r="D7716" i="1"/>
  <c r="D7320" i="1"/>
  <c r="D7639" i="1"/>
  <c r="D7311" i="1"/>
  <c r="D7698" i="1"/>
  <c r="D7392" i="1"/>
  <c r="D7665" i="1"/>
  <c r="D7488" i="1"/>
  <c r="D7445" i="1"/>
  <c r="D7055" i="1"/>
  <c r="D7563" i="1"/>
  <c r="D7474" i="1"/>
  <c r="D7202" i="1"/>
  <c r="D7741" i="1"/>
  <c r="D7580" i="1"/>
  <c r="D7497" i="1"/>
  <c r="D7356" i="1"/>
  <c r="D7578" i="1"/>
  <c r="D7911" i="1"/>
  <c r="D7934" i="1"/>
  <c r="D8097" i="1"/>
  <c r="D8128" i="1"/>
  <c r="D8017" i="1"/>
  <c r="D7862" i="1"/>
  <c r="D7848" i="1"/>
  <c r="D7752" i="1"/>
  <c r="D7646" i="1"/>
  <c r="D7815" i="1"/>
  <c r="D7961" i="1"/>
  <c r="D7351" i="1"/>
  <c r="D7383" i="1"/>
  <c r="D7826" i="1"/>
  <c r="D7114" i="1"/>
  <c r="D7633" i="1"/>
  <c r="D8245" i="1"/>
  <c r="D7962" i="1"/>
  <c r="D8157" i="1"/>
  <c r="D8257" i="1"/>
  <c r="D8112" i="1"/>
  <c r="D8294" i="1"/>
  <c r="D8345" i="1"/>
  <c r="D8378" i="1"/>
  <c r="D8443" i="1"/>
  <c r="D8514" i="1"/>
  <c r="D8529" i="1"/>
  <c r="D8475" i="1"/>
  <c r="D8463" i="1"/>
  <c r="D8468" i="1"/>
  <c r="D8397" i="1"/>
  <c r="D8361" i="1"/>
  <c r="D8342" i="1"/>
  <c r="D8328" i="1"/>
  <c r="D8344" i="1"/>
  <c r="D8171" i="1"/>
  <c r="D8231" i="1"/>
  <c r="D8284" i="1"/>
  <c r="D8148" i="1"/>
  <c r="D8052" i="1"/>
  <c r="D8290" i="1"/>
  <c r="D8230" i="1"/>
  <c r="D8241" i="1"/>
  <c r="D8203" i="1"/>
  <c r="D8254" i="1"/>
  <c r="D8301" i="1"/>
  <c r="D8408" i="1"/>
  <c r="D8391" i="1"/>
  <c r="D7663" i="1"/>
  <c r="D7212" i="1"/>
  <c r="D8037" i="1"/>
  <c r="D8125" i="1"/>
  <c r="D7595" i="1"/>
  <c r="D7967" i="1"/>
  <c r="D8055" i="1"/>
  <c r="D7948" i="1"/>
  <c r="D7916" i="1"/>
  <c r="D7983" i="1"/>
  <c r="D7426" i="1"/>
  <c r="D7729" i="1"/>
  <c r="D7776" i="1"/>
  <c r="D7750" i="1"/>
  <c r="D7725" i="1"/>
  <c r="D7937" i="1"/>
  <c r="D7881" i="1"/>
  <c r="D7705" i="1"/>
  <c r="D8011" i="1"/>
  <c r="D7727" i="1"/>
  <c r="D7216" i="1"/>
  <c r="D7647" i="1"/>
  <c r="D7538" i="1"/>
  <c r="D7767" i="1"/>
  <c r="D7491" i="1"/>
  <c r="D7472" i="1"/>
  <c r="D7626" i="1"/>
  <c r="D8156" i="1"/>
  <c r="D8061" i="1"/>
  <c r="D7537" i="1"/>
  <c r="D7572" i="1"/>
  <c r="D7262" i="1"/>
  <c r="D7542" i="1"/>
  <c r="D7468" i="1"/>
  <c r="D7332" i="1"/>
  <c r="D7632" i="1"/>
  <c r="D7452" i="1"/>
  <c r="D7210" i="1"/>
  <c r="D7236" i="1"/>
  <c r="D7122" i="1"/>
  <c r="D7709" i="1"/>
  <c r="D7256" i="1"/>
  <c r="D7268" i="1"/>
  <c r="D6985" i="1"/>
  <c r="D7956" i="1"/>
  <c r="D7222" i="1"/>
  <c r="D7142" i="1"/>
  <c r="D7352" i="1"/>
  <c r="D6927" i="1"/>
  <c r="D6897" i="1"/>
  <c r="D6898" i="1"/>
  <c r="D6946" i="1"/>
  <c r="D6989" i="1"/>
  <c r="D6919" i="1"/>
  <c r="D7276" i="1"/>
  <c r="D7483" i="1"/>
  <c r="D7992" i="1"/>
  <c r="D7683" i="1"/>
  <c r="D7673" i="1"/>
  <c r="D7988" i="1"/>
  <c r="D7119" i="1"/>
  <c r="D7071" i="1"/>
  <c r="D7334" i="1"/>
  <c r="D7382" i="1"/>
  <c r="D7330" i="1"/>
  <c r="D7317" i="1"/>
  <c r="D7263" i="1"/>
  <c r="D7615" i="1"/>
  <c r="D7693" i="1"/>
  <c r="D7954" i="1"/>
  <c r="D7844" i="1"/>
  <c r="D7899" i="1"/>
  <c r="D7989" i="1"/>
  <c r="D8248" i="1"/>
  <c r="D8223" i="1"/>
  <c r="D7749" i="1"/>
  <c r="D8105" i="1"/>
  <c r="D8111" i="1"/>
  <c r="D8114" i="1"/>
  <c r="D8149" i="1"/>
  <c r="D8316" i="1"/>
  <c r="D8349" i="1"/>
  <c r="D8444" i="1"/>
  <c r="D8491" i="1"/>
  <c r="D8485" i="1"/>
  <c r="D8483" i="1"/>
  <c r="D8509" i="1"/>
  <c r="D8473" i="1"/>
  <c r="D8393" i="1"/>
  <c r="D8373" i="1"/>
  <c r="D8332" i="1"/>
  <c r="D8375" i="1"/>
  <c r="D8366" i="1"/>
  <c r="D8321" i="1"/>
  <c r="D8208" i="1"/>
  <c r="D8273" i="1"/>
  <c r="D8164" i="1"/>
  <c r="D8303" i="1"/>
  <c r="D8183" i="1"/>
  <c r="D8139" i="1"/>
  <c r="D8070" i="1"/>
  <c r="D8012" i="1"/>
  <c r="D8236" i="1"/>
  <c r="D8368" i="1"/>
  <c r="D7543" i="1"/>
  <c r="D8190" i="1"/>
  <c r="D7978" i="1"/>
  <c r="D7193" i="1"/>
  <c r="D7589" i="1"/>
  <c r="D7278" i="1"/>
  <c r="D7701" i="1"/>
  <c r="D7405" i="1"/>
  <c r="D7385" i="1"/>
  <c r="D7293" i="1"/>
  <c r="D7598" i="1"/>
  <c r="D7753" i="1"/>
  <c r="D7957" i="1"/>
  <c r="D7941" i="1"/>
  <c r="D7858" i="1"/>
  <c r="D7591" i="1"/>
  <c r="D7947" i="1"/>
  <c r="D7982" i="1"/>
  <c r="D7946" i="1"/>
  <c r="D8016" i="1"/>
  <c r="D7582" i="1"/>
  <c r="D8051" i="1"/>
  <c r="D7882" i="1"/>
  <c r="D7677" i="1"/>
  <c r="D7548" i="1"/>
  <c r="D7651" i="1"/>
  <c r="D7473" i="1"/>
  <c r="D7585" i="1"/>
  <c r="D8059" i="1"/>
  <c r="D7742" i="1"/>
  <c r="D7206" i="1"/>
  <c r="D7514" i="1"/>
  <c r="D7224" i="1"/>
  <c r="D7610" i="1"/>
  <c r="D7302" i="1"/>
  <c r="D7215" i="1"/>
  <c r="D7425" i="1"/>
  <c r="D7179" i="1"/>
  <c r="D7244" i="1"/>
  <c r="D7887" i="1"/>
  <c r="D7940" i="1"/>
  <c r="D7235" i="1"/>
  <c r="D7535" i="1"/>
  <c r="D7233" i="1"/>
  <c r="D7789" i="1"/>
  <c r="D7068" i="1"/>
  <c r="D7255" i="1"/>
  <c r="D7336" i="1"/>
  <c r="D7282" i="1"/>
  <c r="D7279" i="1"/>
  <c r="D7076" i="1"/>
  <c r="D6741" i="1"/>
  <c r="D6801" i="1"/>
  <c r="D6402" i="1"/>
  <c r="D6812" i="1"/>
  <c r="D7053" i="1"/>
  <c r="D7266" i="1"/>
  <c r="D7149" i="1"/>
  <c r="D6644" i="1"/>
  <c r="D7655" i="1"/>
  <c r="D7241" i="1"/>
  <c r="D7852" i="1"/>
  <c r="D7448" i="1"/>
  <c r="D7923" i="1"/>
  <c r="D7376" i="1"/>
  <c r="D7823" i="1"/>
  <c r="D6945" i="1"/>
  <c r="D6683" i="1"/>
  <c r="D7124" i="1"/>
  <c r="D7337" i="1"/>
  <c r="D7411" i="1"/>
  <c r="D7371" i="1"/>
  <c r="D7991" i="1"/>
  <c r="D7803" i="1"/>
  <c r="D7367" i="1"/>
  <c r="D8498" i="1"/>
  <c r="D8324" i="1"/>
  <c r="D7938" i="1"/>
  <c r="D8029" i="1"/>
  <c r="D8092" i="1"/>
  <c r="D7768" i="1"/>
  <c r="D8154" i="1"/>
  <c r="D7876" i="1"/>
  <c r="D8188" i="1"/>
  <c r="D7972" i="1"/>
  <c r="D8123" i="1"/>
  <c r="D8210" i="1"/>
  <c r="D8295" i="1"/>
  <c r="D8407" i="1"/>
  <c r="D8480" i="1"/>
  <c r="D8449" i="1"/>
  <c r="D8523" i="1"/>
  <c r="D8462" i="1"/>
  <c r="D8455" i="1"/>
  <c r="D8432" i="1"/>
  <c r="D8327" i="1"/>
  <c r="D8197" i="1"/>
  <c r="D8338" i="1"/>
  <c r="D8325" i="1"/>
  <c r="D8451" i="1"/>
  <c r="D8471" i="1"/>
  <c r="D8309" i="1"/>
  <c r="D8446" i="1"/>
  <c r="D8265" i="1"/>
  <c r="D7714" i="1"/>
  <c r="D7482" i="1"/>
  <c r="D8121" i="1"/>
  <c r="D8474" i="1"/>
  <c r="D7837" i="1"/>
  <c r="D8185" i="1"/>
  <c r="D8110" i="1"/>
  <c r="D7921" i="1"/>
  <c r="D7457" i="1"/>
  <c r="D7671" i="1"/>
  <c r="D7828" i="1"/>
  <c r="D7977" i="1"/>
  <c r="D7196" i="1"/>
  <c r="D7272" i="1"/>
  <c r="D7886" i="1"/>
  <c r="D7471" i="1"/>
  <c r="D7396" i="1"/>
  <c r="D7722" i="1"/>
  <c r="D7539" i="1"/>
  <c r="D7890" i="1"/>
  <c r="D7046" i="1"/>
  <c r="D7507" i="1"/>
  <c r="D7943" i="1"/>
  <c r="D7809" i="1"/>
  <c r="D7731" i="1"/>
  <c r="D7842" i="1"/>
  <c r="D7687" i="1"/>
  <c r="D7777" i="1"/>
  <c r="D7762" i="1"/>
  <c r="D7506" i="1"/>
  <c r="D7327" i="1"/>
  <c r="D7554" i="1"/>
  <c r="D7380" i="1"/>
  <c r="D7617" i="1"/>
  <c r="D7301" i="1"/>
  <c r="D7659" i="1"/>
  <c r="D7450" i="1"/>
  <c r="D7950" i="1"/>
  <c r="D7397" i="1"/>
  <c r="D7260" i="1"/>
  <c r="D7522" i="1"/>
  <c r="D7884" i="1"/>
  <c r="D7688" i="1"/>
  <c r="D7410" i="1"/>
  <c r="D7346" i="1"/>
  <c r="D7108" i="1"/>
  <c r="D7077" i="1"/>
  <c r="D7944" i="1"/>
  <c r="D7243" i="1"/>
  <c r="D7307" i="1"/>
  <c r="D7123" i="1"/>
  <c r="D7459" i="1"/>
  <c r="D7288" i="1"/>
  <c r="D7460" i="1"/>
  <c r="D7231" i="1"/>
  <c r="D6844" i="1"/>
  <c r="D7003" i="1"/>
  <c r="D7140" i="1"/>
  <c r="D6354" i="1"/>
  <c r="D6671" i="1"/>
  <c r="D7002" i="1"/>
  <c r="D6144" i="1"/>
  <c r="D7104" i="1"/>
  <c r="D7386" i="1"/>
  <c r="D7138" i="1"/>
  <c r="D7414" i="1"/>
  <c r="D7611" i="1"/>
  <c r="D8057" i="1"/>
  <c r="D6916" i="1"/>
  <c r="D6974" i="1"/>
  <c r="D7348" i="1"/>
  <c r="D7258" i="1"/>
  <c r="D7754" i="1"/>
  <c r="D7304" i="1"/>
  <c r="D7221" i="1"/>
  <c r="D7871" i="1"/>
  <c r="D7630" i="1"/>
  <c r="D7833" i="1"/>
  <c r="D8019" i="1"/>
  <c r="D7952" i="1"/>
  <c r="D7662" i="1"/>
  <c r="D7579" i="1"/>
  <c r="D7850" i="1"/>
  <c r="D7518" i="1"/>
  <c r="D7667" i="1"/>
  <c r="D8071" i="1"/>
  <c r="D8247" i="1"/>
  <c r="D8348" i="1"/>
  <c r="D8413" i="1"/>
  <c r="D8489" i="1"/>
  <c r="D8464" i="1"/>
  <c r="D8502" i="1"/>
  <c r="D8409" i="1"/>
  <c r="D8434" i="1"/>
  <c r="D8497" i="1"/>
  <c r="D8436" i="1"/>
  <c r="D8492" i="1"/>
  <c r="D8445" i="1"/>
  <c r="D8452" i="1"/>
  <c r="D8362" i="1"/>
  <c r="D8274" i="1"/>
  <c r="D8169" i="1"/>
  <c r="D8225" i="1"/>
  <c r="D7959" i="1"/>
  <c r="D8261" i="1"/>
  <c r="D8343" i="1"/>
  <c r="D7555" i="1"/>
  <c r="D7735" i="1"/>
  <c r="D7857" i="1"/>
  <c r="D7968" i="1"/>
  <c r="D7864" i="1"/>
  <c r="D7281" i="1"/>
  <c r="D7619" i="1"/>
  <c r="D7778" i="1"/>
  <c r="D7808" i="1"/>
  <c r="D7377" i="1"/>
  <c r="D7355" i="1"/>
  <c r="D7205" i="1"/>
  <c r="D7303" i="1"/>
  <c r="D7374" i="1"/>
  <c r="D7640" i="1"/>
  <c r="D7791" i="1"/>
  <c r="D7328" i="1"/>
  <c r="D7702" i="1"/>
  <c r="D7436" i="1"/>
  <c r="D7661" i="1"/>
  <c r="D7642" i="1"/>
  <c r="D7594" i="1"/>
  <c r="D7319" i="1"/>
  <c r="D7567" i="1"/>
  <c r="D8126" i="1"/>
  <c r="D7420" i="1"/>
  <c r="D7182" i="1"/>
  <c r="D7267" i="1"/>
  <c r="D7669" i="1"/>
  <c r="D7239" i="1"/>
  <c r="D7444" i="1"/>
  <c r="D7519" i="1"/>
  <c r="D7110" i="1"/>
  <c r="D7715" i="1"/>
  <c r="D7553" i="1"/>
  <c r="D7802" i="1"/>
  <c r="D7187" i="1"/>
  <c r="D7234" i="1"/>
  <c r="D7540" i="1"/>
  <c r="D7806" i="1"/>
  <c r="D7126" i="1"/>
  <c r="D7387" i="1"/>
  <c r="D7047" i="1"/>
  <c r="D7427" i="1"/>
  <c r="D7536" i="1"/>
  <c r="D7112" i="1"/>
  <c r="D6935" i="1"/>
  <c r="D7029" i="1"/>
  <c r="D7010" i="1"/>
  <c r="D7340" i="1"/>
  <c r="D7013" i="1"/>
  <c r="D7678" i="1"/>
  <c r="D7208" i="1"/>
  <c r="D7220" i="1"/>
  <c r="D6511" i="1"/>
  <c r="D6577" i="1"/>
  <c r="D6319" i="1"/>
  <c r="D6543" i="1"/>
  <c r="D6588" i="1"/>
  <c r="D7503" i="1"/>
  <c r="D7438" i="1"/>
  <c r="D7188" i="1"/>
  <c r="D7372" i="1"/>
  <c r="D7391" i="1"/>
  <c r="D8041" i="1"/>
  <c r="D7942" i="1"/>
  <c r="D8222" i="1"/>
  <c r="D8358" i="1"/>
  <c r="D8425" i="1"/>
  <c r="D8418" i="1"/>
  <c r="D8470" i="1"/>
  <c r="D8466" i="1"/>
  <c r="D8493" i="1"/>
  <c r="D8517" i="1"/>
  <c r="D8494" i="1"/>
  <c r="D8524" i="1"/>
  <c r="D8513" i="1"/>
  <c r="D8526" i="1"/>
  <c r="D8508" i="1"/>
  <c r="D8376" i="1"/>
  <c r="D8286" i="1"/>
  <c r="D8020" i="1"/>
  <c r="D8049" i="1"/>
  <c r="D8008" i="1"/>
  <c r="D7596" i="1"/>
  <c r="D7930" i="1"/>
  <c r="D8100" i="1"/>
  <c r="D8087" i="1"/>
  <c r="D8383" i="1"/>
  <c r="D8279" i="1"/>
  <c r="D8167" i="1"/>
  <c r="D7915" i="1"/>
  <c r="D7829" i="1"/>
  <c r="D7650" i="1"/>
  <c r="D7827" i="1"/>
  <c r="D7883" i="1"/>
  <c r="D7863" i="1"/>
  <c r="D7493" i="1"/>
  <c r="D7963" i="1"/>
  <c r="D7442" i="1"/>
  <c r="D7150" i="1"/>
  <c r="D7421" i="1"/>
  <c r="D7531" i="1"/>
  <c r="D7496" i="1"/>
  <c r="D7366" i="1"/>
  <c r="D6787" i="1"/>
  <c r="D7487" i="1"/>
  <c r="D7588" i="1"/>
  <c r="D7891" i="1"/>
  <c r="D7903" i="1"/>
  <c r="D7719" i="1"/>
  <c r="D7576" i="1"/>
  <c r="D7399" i="1"/>
  <c r="D7893" i="1"/>
  <c r="D7133" i="1"/>
  <c r="D7751" i="1"/>
  <c r="D8003" i="1"/>
  <c r="D7720" i="1"/>
  <c r="D7985" i="1"/>
  <c r="D7416" i="1"/>
  <c r="D7550" i="1"/>
  <c r="D7682" i="1"/>
  <c r="D7384" i="1"/>
  <c r="D7115" i="1"/>
  <c r="D7502" i="1"/>
  <c r="D7162" i="1"/>
  <c r="D7836" i="1"/>
  <c r="D7980" i="1"/>
  <c r="D7865" i="1"/>
  <c r="D7191" i="1"/>
  <c r="D7492" i="1"/>
  <c r="D7566" i="1"/>
  <c r="D7143" i="1"/>
  <c r="D7398" i="1"/>
  <c r="D7062" i="1"/>
  <c r="D7217" i="1"/>
  <c r="D7439" i="1"/>
  <c r="D7063" i="1"/>
  <c r="D7178" i="1"/>
  <c r="D6960" i="1"/>
  <c r="D7242" i="1"/>
  <c r="D6902" i="1"/>
  <c r="D7225" i="1"/>
  <c r="D6853" i="1"/>
  <c r="D6923" i="1"/>
  <c r="D7081" i="1"/>
  <c r="D6711" i="1"/>
  <c r="D7088" i="1"/>
  <c r="D6542" i="1"/>
  <c r="D6575" i="1"/>
  <c r="D6608" i="1"/>
  <c r="D7027" i="1"/>
  <c r="D6510" i="1"/>
  <c r="D7684" i="1"/>
  <c r="D8053" i="1"/>
  <c r="D7189" i="1"/>
  <c r="D7620" i="1"/>
  <c r="D8015" i="1"/>
  <c r="D7658" i="1"/>
  <c r="D8000" i="1"/>
  <c r="D8143" i="1"/>
  <c r="D8163" i="1"/>
  <c r="D8132" i="1"/>
  <c r="D8353" i="1"/>
  <c r="D8382" i="1"/>
  <c r="D8416" i="1"/>
  <c r="D8453" i="1"/>
  <c r="D8323" i="1"/>
  <c r="D8521" i="1"/>
  <c r="D8430" i="1"/>
  <c r="D8536" i="1"/>
  <c r="D8486" i="1"/>
  <c r="D8500" i="1"/>
  <c r="D8458" i="1"/>
  <c r="D8363" i="1"/>
  <c r="D7623" i="1"/>
  <c r="D7825" i="1"/>
  <c r="D7917" i="1"/>
  <c r="D7194" i="1"/>
  <c r="D7668" i="1"/>
  <c r="D8249" i="1"/>
  <c r="D8260" i="1"/>
  <c r="D8227" i="1"/>
  <c r="D8109" i="1"/>
  <c r="D8063" i="1"/>
  <c r="D7936" i="1"/>
  <c r="D8014" i="1"/>
  <c r="D8060" i="1"/>
  <c r="D7704" i="1"/>
  <c r="D7342" i="1"/>
  <c r="D7744" i="1"/>
  <c r="D7329" i="1"/>
  <c r="D7624" i="1"/>
  <c r="D7700" i="1"/>
  <c r="D7273" i="1"/>
  <c r="D7613" i="1"/>
  <c r="D7861" i="1"/>
  <c r="D7388" i="1"/>
  <c r="D7364" i="1"/>
  <c r="D7622" i="1"/>
  <c r="D7338" i="1"/>
  <c r="D7648" i="1"/>
  <c r="D7467" i="1"/>
  <c r="D7464" i="1"/>
  <c r="D7408" i="1"/>
  <c r="D7746" i="1"/>
  <c r="D8007" i="1"/>
  <c r="D7527" i="1"/>
  <c r="D8040" i="1"/>
  <c r="D7261" i="1"/>
  <c r="D7870" i="1"/>
  <c r="D7935" i="1"/>
  <c r="D7269" i="1"/>
  <c r="D7756" i="1"/>
  <c r="D7738" i="1"/>
  <c r="D7734" i="1"/>
  <c r="D7280" i="1"/>
  <c r="D7230" i="1"/>
  <c r="D7565" i="1"/>
  <c r="D7349" i="1"/>
  <c r="D7321" i="1"/>
  <c r="D7227" i="1"/>
  <c r="D7524" i="1"/>
  <c r="D7350" i="1"/>
  <c r="D7435" i="1"/>
  <c r="D7283" i="1"/>
  <c r="D7345" i="1"/>
  <c r="D7922" i="1"/>
  <c r="D7042" i="1"/>
  <c r="D7413" i="1"/>
  <c r="D7204" i="1"/>
  <c r="D7154" i="1"/>
  <c r="D7097" i="1"/>
  <c r="D7125" i="1"/>
  <c r="D7061" i="1"/>
  <c r="D7173" i="1"/>
  <c r="D7018" i="1"/>
  <c r="D7264" i="1"/>
  <c r="D6850" i="1"/>
  <c r="D7008" i="1"/>
  <c r="D6840" i="1"/>
  <c r="D6648" i="1"/>
  <c r="D6685" i="1"/>
  <c r="D6827" i="1"/>
  <c r="D6217" i="1"/>
  <c r="D6614" i="1"/>
  <c r="D6965" i="1"/>
  <c r="D7014" i="1"/>
  <c r="D6829" i="1"/>
  <c r="D7898" i="1"/>
  <c r="D7798" i="1"/>
  <c r="D8090" i="1"/>
  <c r="D8099" i="1"/>
  <c r="D8034" i="1"/>
  <c r="D8300" i="1"/>
  <c r="D8331" i="1"/>
  <c r="D8440" i="1"/>
  <c r="D8426" i="1"/>
  <c r="D8447" i="1"/>
  <c r="D8545" i="1"/>
  <c r="D8469" i="1"/>
  <c r="D8544" i="1"/>
  <c r="D8559" i="1"/>
  <c r="D8554" i="1"/>
  <c r="D8318" i="1"/>
  <c r="D8253" i="1"/>
  <c r="D8047" i="1"/>
  <c r="D8045" i="1"/>
  <c r="D7901" i="1"/>
  <c r="D7929" i="1"/>
  <c r="D8043" i="1"/>
  <c r="D7718" i="1"/>
  <c r="D7743" i="1"/>
  <c r="D7810" i="1"/>
  <c r="D7783" i="1"/>
  <c r="D8077" i="1"/>
  <c r="D8066" i="1"/>
  <c r="D7649" i="1"/>
  <c r="D7570" i="1"/>
  <c r="D7976" i="1"/>
  <c r="D7843" i="1"/>
  <c r="D7664" i="1"/>
  <c r="D7295" i="1"/>
  <c r="D7131" i="1"/>
  <c r="D7645" i="1"/>
  <c r="D7699" i="1"/>
  <c r="D7822" i="1"/>
  <c r="D7441" i="1"/>
  <c r="D7218" i="1"/>
  <c r="D7784" i="1"/>
  <c r="D7666" i="1"/>
  <c r="D8013" i="1"/>
  <c r="D7478" i="1"/>
  <c r="D7214" i="1"/>
  <c r="D7347" i="1"/>
  <c r="D7265" i="1"/>
  <c r="D7534" i="1"/>
  <c r="D7616" i="1"/>
  <c r="D7296" i="1"/>
  <c r="D7323" i="1"/>
  <c r="D7494" i="1"/>
  <c r="D7602" i="1"/>
  <c r="D7358" i="1"/>
  <c r="D7159" i="1"/>
  <c r="D7174" i="1"/>
  <c r="D7333" i="1"/>
  <c r="D7763" i="1"/>
  <c r="D7228" i="1"/>
  <c r="D7175" i="1"/>
  <c r="D7237" i="1"/>
  <c r="D7400" i="1"/>
  <c r="D7183" i="1"/>
  <c r="D7274" i="1"/>
  <c r="D7087" i="1"/>
  <c r="D7067" i="1"/>
  <c r="D7139" i="1"/>
  <c r="D7033" i="1"/>
  <c r="D7316" i="1"/>
  <c r="D6990" i="1"/>
  <c r="D7073" i="1"/>
  <c r="D7072" i="1"/>
  <c r="D6978" i="1"/>
  <c r="D6202" i="1"/>
  <c r="D6549" i="1"/>
  <c r="D6604" i="1"/>
  <c r="D6670" i="1"/>
  <c r="D6617" i="1"/>
  <c r="D6907" i="1"/>
  <c r="D7517" i="1"/>
  <c r="D8479" i="1"/>
  <c r="D8538" i="1"/>
  <c r="D8541" i="1"/>
  <c r="D8065" i="1"/>
  <c r="D7790" i="1"/>
  <c r="D7151" i="1"/>
  <c r="D7733" i="1"/>
  <c r="D7910" i="1"/>
  <c r="D7696" i="1"/>
  <c r="D7792" i="1"/>
  <c r="D7515" i="1"/>
  <c r="D7966" i="1"/>
  <c r="D7774" i="1"/>
  <c r="D7779" i="1"/>
  <c r="D7949" i="1"/>
  <c r="D7869" i="1"/>
  <c r="D7885" i="1"/>
  <c r="D7902" i="1"/>
  <c r="D7500" i="1"/>
  <c r="D7406" i="1"/>
  <c r="D7951" i="1"/>
  <c r="D7730" i="1"/>
  <c r="D7772" i="1"/>
  <c r="D7577" i="1"/>
  <c r="D7656" i="1"/>
  <c r="D7458" i="1"/>
  <c r="D7724" i="1"/>
  <c r="D7813" i="1"/>
  <c r="D7354" i="1"/>
  <c r="D7211" i="1"/>
  <c r="D7308" i="1"/>
  <c r="D7505" i="1"/>
  <c r="D7599" i="1"/>
  <c r="D8023" i="1"/>
  <c r="D7674" i="1"/>
  <c r="D7860" i="1"/>
  <c r="D7455" i="1"/>
  <c r="D7559" i="1"/>
  <c r="D7390" i="1"/>
  <c r="D7780" i="1"/>
  <c r="D7499" i="1"/>
  <c r="D7379" i="1"/>
  <c r="D8001" i="1"/>
  <c r="D7449" i="1"/>
  <c r="D7417" i="1"/>
  <c r="D7516" i="1"/>
  <c r="D7583" i="1"/>
  <c r="D7289" i="1"/>
  <c r="D7532" i="1"/>
  <c r="D7451" i="1"/>
  <c r="D7621" i="1"/>
  <c r="D7141" i="1"/>
  <c r="D7232" i="1"/>
  <c r="D7019" i="1"/>
  <c r="D7105" i="1"/>
  <c r="D6973" i="1"/>
  <c r="D7118" i="1"/>
  <c r="D6932" i="1"/>
  <c r="D6780" i="1"/>
  <c r="D6736" i="1"/>
  <c r="D7040" i="1"/>
  <c r="D6531" i="1"/>
  <c r="D7299" i="1"/>
  <c r="D5751" i="1"/>
  <c r="D6063" i="1"/>
  <c r="D7339" i="1"/>
  <c r="D7137" i="1"/>
  <c r="D6968" i="1"/>
  <c r="D6761" i="1"/>
  <c r="D7166" i="1"/>
  <c r="D7200" i="1"/>
  <c r="D7800" i="1"/>
  <c r="D7874" i="1"/>
  <c r="D7298" i="1"/>
  <c r="D7423" i="1"/>
  <c r="D7257" i="1"/>
  <c r="D6951" i="1"/>
  <c r="D7045" i="1"/>
  <c r="D7186" i="1"/>
  <c r="D7052" i="1"/>
  <c r="D7710" i="1"/>
  <c r="D7859" i="1"/>
  <c r="D7552" i="1"/>
  <c r="D7412" i="1"/>
  <c r="D7005" i="1"/>
  <c r="D7252" i="1"/>
  <c r="D7434" i="1"/>
  <c r="D7717" i="1"/>
  <c r="D7686" i="1"/>
  <c r="D8031" i="1"/>
  <c r="D7681" i="1"/>
  <c r="D7908" i="1"/>
  <c r="D7638" i="1"/>
  <c r="D7707" i="1"/>
  <c r="D7185" i="1"/>
  <c r="D7343" i="1"/>
  <c r="D7475" i="1"/>
  <c r="D7433" i="1"/>
  <c r="D7177" i="1"/>
  <c r="D7489" i="1"/>
  <c r="D7652" i="1"/>
  <c r="D7286" i="1"/>
  <c r="D7454" i="1"/>
  <c r="D7766" i="1"/>
  <c r="D7171" i="1"/>
  <c r="D7657" i="1"/>
  <c r="D7375" i="1"/>
  <c r="D7573" i="1"/>
  <c r="D7525" i="1"/>
  <c r="D7504" i="1"/>
  <c r="D7290" i="1"/>
  <c r="D7697" i="1"/>
  <c r="D7513" i="1"/>
  <c r="D7465" i="1"/>
  <c r="D7292" i="1"/>
  <c r="D7690" i="1"/>
  <c r="D7172" i="1"/>
  <c r="D7437" i="1"/>
  <c r="D7561" i="1"/>
  <c r="D7562" i="1"/>
  <c r="D7038" i="1"/>
  <c r="D7057" i="1"/>
  <c r="D6915" i="1"/>
  <c r="D6998" i="1"/>
  <c r="D7190" i="1"/>
  <c r="D6875" i="1"/>
  <c r="D7251" i="1"/>
  <c r="D6841" i="1"/>
  <c r="D7028" i="1"/>
  <c r="D7049" i="1"/>
  <c r="D6599" i="1"/>
  <c r="D6807" i="1"/>
  <c r="D6179" i="1"/>
  <c r="D7152" i="1"/>
  <c r="D7315" i="1"/>
  <c r="D6966" i="1"/>
  <c r="D6735" i="1"/>
  <c r="D7277" i="1"/>
  <c r="D6280" i="1"/>
  <c r="D7000" i="1"/>
  <c r="D6767" i="1"/>
  <c r="D6930" i="1"/>
  <c r="D7084" i="1"/>
  <c r="D7404" i="1"/>
  <c r="D7568" i="1"/>
  <c r="D7054" i="1"/>
  <c r="D7021" i="1"/>
  <c r="D6926" i="1"/>
  <c r="D7155" i="1"/>
  <c r="D7015" i="1"/>
  <c r="D7571" i="1"/>
  <c r="D7584" i="1"/>
  <c r="D7510" i="1"/>
  <c r="D6976" i="1"/>
  <c r="D7025" i="1"/>
  <c r="D6895" i="1"/>
  <c r="D7313" i="1"/>
  <c r="D7389" i="1"/>
  <c r="D7370" i="1"/>
  <c r="D7748" i="1"/>
  <c r="D7875" i="1"/>
  <c r="D7907" i="1"/>
  <c r="D7761" i="1"/>
  <c r="D7926" i="1"/>
  <c r="D7601" i="1"/>
  <c r="D7407" i="1"/>
  <c r="D7199" i="1"/>
  <c r="D7841" i="1"/>
  <c r="D7629" i="1"/>
  <c r="D7628" i="1"/>
  <c r="D8133" i="1"/>
  <c r="D7335" i="1"/>
  <c r="D7419" i="1"/>
  <c r="D7771" i="1"/>
  <c r="D7363" i="1"/>
  <c r="D7685" i="1"/>
  <c r="D7476" i="1"/>
  <c r="D7787" i="1"/>
  <c r="D7708" i="1"/>
  <c r="D7428" i="1"/>
  <c r="D7361" i="1"/>
  <c r="D7431" i="1"/>
  <c r="D7636" i="1"/>
  <c r="D7078" i="1"/>
  <c r="D7393" i="1"/>
  <c r="D6823" i="1"/>
  <c r="D7031" i="1"/>
  <c r="D7059" i="1"/>
  <c r="D6979" i="1"/>
  <c r="D6992" i="1"/>
  <c r="D6591" i="1"/>
  <c r="D6684" i="1"/>
  <c r="D6435" i="1"/>
  <c r="D6507" i="1"/>
  <c r="D6607" i="1"/>
  <c r="D6846" i="1"/>
  <c r="D6727" i="1"/>
  <c r="D6967" i="1"/>
  <c r="D6661" i="1"/>
  <c r="D6692" i="1"/>
  <c r="D6196" i="1"/>
  <c r="D6866" i="1"/>
  <c r="D6704" i="1"/>
  <c r="D6776" i="1"/>
  <c r="D6561" i="1"/>
  <c r="D6856" i="1"/>
  <c r="D7314" i="1"/>
  <c r="D7201" i="1"/>
  <c r="D6928" i="1"/>
  <c r="D6970" i="1"/>
  <c r="D7245" i="1"/>
  <c r="D7932" i="1"/>
  <c r="D8068" i="1"/>
  <c r="D7769" i="1"/>
  <c r="D7856" i="1"/>
  <c r="D7254" i="1"/>
  <c r="D7287" i="1"/>
  <c r="D7229" i="1"/>
  <c r="D7782" i="1"/>
  <c r="D7706" i="1"/>
  <c r="D7689" i="1"/>
  <c r="D7165" i="1"/>
  <c r="D7160" i="1"/>
  <c r="D7498" i="1"/>
  <c r="D7368" i="1"/>
  <c r="D8072" i="1"/>
  <c r="D7918" i="1"/>
  <c r="D7835" i="1"/>
  <c r="D7463" i="1"/>
  <c r="D7300" i="1"/>
  <c r="D7362" i="1"/>
  <c r="D7660" i="1"/>
  <c r="D7248" i="1"/>
  <c r="D7373" i="1"/>
  <c r="D7643" i="1"/>
  <c r="D7134" i="1"/>
  <c r="D7148" i="1"/>
  <c r="D7430" i="1"/>
  <c r="D7271" i="1"/>
  <c r="D7198" i="1"/>
  <c r="D7253" i="1"/>
  <c r="D7056" i="1"/>
  <c r="D7098" i="1"/>
  <c r="D7016" i="1"/>
  <c r="D6710" i="1"/>
  <c r="D6770" i="1"/>
  <c r="D6920" i="1"/>
  <c r="D6750" i="1"/>
  <c r="D6341" i="1"/>
  <c r="D6883" i="1"/>
  <c r="D6547" i="1"/>
  <c r="D6352" i="1"/>
  <c r="D6436" i="1"/>
  <c r="D6922" i="1"/>
  <c r="D7113" i="1"/>
  <c r="D7309" i="1"/>
  <c r="D7156" i="1"/>
  <c r="D6940" i="1"/>
  <c r="D7048" i="1"/>
  <c r="D6821" i="1"/>
  <c r="D6881" i="1"/>
  <c r="D6911" i="1"/>
  <c r="D6743" i="1"/>
  <c r="D6336" i="1"/>
  <c r="D6620" i="1"/>
  <c r="D6674" i="1"/>
  <c r="D6374" i="1"/>
  <c r="D6421" i="1"/>
  <c r="D6205" i="1"/>
  <c r="D6918" i="1"/>
  <c r="D6835" i="1"/>
  <c r="D7312" i="1"/>
  <c r="D7153" i="1"/>
  <c r="D7597" i="1"/>
  <c r="D7007" i="1"/>
  <c r="D7192" i="1"/>
  <c r="D7541" i="1"/>
  <c r="D7773" i="1"/>
  <c r="D7213" i="1"/>
  <c r="D7590" i="1"/>
  <c r="D7521" i="1"/>
  <c r="D7219" i="1"/>
  <c r="D7564" i="1"/>
  <c r="D7447" i="1"/>
  <c r="D7557" i="1"/>
  <c r="D7259" i="1"/>
  <c r="D7501" i="1"/>
  <c r="D7670" i="1"/>
  <c r="D7359" i="1"/>
  <c r="D7484" i="1"/>
  <c r="D7593" i="1"/>
  <c r="D7197" i="1"/>
  <c r="D6914" i="1"/>
  <c r="D7238" i="1"/>
  <c r="D7103" i="1"/>
  <c r="D6987" i="1"/>
  <c r="D6724" i="1"/>
  <c r="D6830" i="1"/>
  <c r="D6896" i="1"/>
  <c r="D6199" i="1"/>
  <c r="D7051" i="1"/>
  <c r="D6931" i="1"/>
  <c r="D6702" i="1"/>
  <c r="D6862" i="1"/>
  <c r="D6975" i="1"/>
  <c r="D6777" i="1"/>
  <c r="D6535" i="1"/>
  <c r="D6753" i="1"/>
  <c r="D7508" i="1"/>
  <c r="D7530" i="1"/>
  <c r="D6864" i="1"/>
  <c r="D7545" i="1"/>
  <c r="D6858" i="1"/>
  <c r="D6814" i="1"/>
  <c r="D6472" i="1"/>
  <c r="D7026" i="1"/>
  <c r="D6502" i="1"/>
  <c r="D6318" i="1"/>
  <c r="D6408" i="1"/>
  <c r="D5916" i="1"/>
  <c r="D6273" i="1"/>
  <c r="D5960" i="1"/>
  <c r="D5800" i="1"/>
  <c r="D6384" i="1"/>
  <c r="D6450" i="1"/>
  <c r="D6369" i="1"/>
  <c r="D6368" i="1"/>
  <c r="D6668" i="1"/>
  <c r="D5837" i="1"/>
  <c r="D6262" i="1"/>
  <c r="D7030" i="1"/>
  <c r="D6855" i="1"/>
  <c r="D6691" i="1"/>
  <c r="D7147" i="1"/>
  <c r="D6861" i="1"/>
  <c r="D6676" i="1"/>
  <c r="D7461" i="1"/>
  <c r="D7533" i="1"/>
  <c r="D7011" i="1"/>
  <c r="D7107" i="1"/>
  <c r="D7116" i="1"/>
  <c r="D7246" i="1"/>
  <c r="D7360" i="1"/>
  <c r="D7353" i="1"/>
  <c r="D7226" i="1"/>
  <c r="D7306" i="1"/>
  <c r="D7070" i="1"/>
  <c r="D7395" i="1"/>
  <c r="D7167" i="1"/>
  <c r="D6934" i="1"/>
  <c r="D6944" i="1"/>
  <c r="D6634" i="1"/>
  <c r="D6863" i="1"/>
  <c r="D6900" i="1"/>
  <c r="D6784" i="1"/>
  <c r="D6246" i="1"/>
  <c r="D6165" i="1"/>
  <c r="D6074" i="1"/>
  <c r="D6924" i="1"/>
  <c r="D6537" i="1"/>
  <c r="D6338" i="1"/>
  <c r="D7480" i="1"/>
  <c r="D6773" i="1"/>
  <c r="D6596" i="1"/>
  <c r="D6689" i="1"/>
  <c r="D6728" i="1"/>
  <c r="D7102" i="1"/>
  <c r="D6943" i="1"/>
  <c r="D6906" i="1"/>
  <c r="D6645" i="1"/>
  <c r="D6416" i="1"/>
  <c r="D6831" i="1"/>
  <c r="D6325" i="1"/>
  <c r="D6611" i="1"/>
  <c r="D6839" i="1"/>
  <c r="D6523" i="1"/>
  <c r="D6110" i="1"/>
  <c r="D6429" i="1"/>
  <c r="D6884" i="1"/>
  <c r="D6244" i="1"/>
  <c r="D6795" i="1"/>
  <c r="D6568" i="1"/>
  <c r="D5812" i="1"/>
  <c r="D5380" i="1"/>
  <c r="D5552" i="1"/>
  <c r="D5580" i="1"/>
  <c r="D6257" i="1"/>
  <c r="D5852" i="1"/>
  <c r="D6188" i="1"/>
  <c r="D6310" i="1"/>
  <c r="D6903" i="1"/>
  <c r="D6993" i="1"/>
  <c r="D6649" i="1"/>
  <c r="D6809" i="1"/>
  <c r="D6681" i="1"/>
  <c r="D6527" i="1"/>
  <c r="D7240" i="1"/>
  <c r="D7101" i="1"/>
  <c r="D6893" i="1"/>
  <c r="D6892" i="1"/>
  <c r="D7310" i="1"/>
  <c r="D7086" i="1"/>
  <c r="D7732" i="1"/>
  <c r="D7443" i="1"/>
  <c r="D6953" i="1"/>
  <c r="D7402" i="1"/>
  <c r="D7009" i="1"/>
  <c r="D7085" i="1"/>
  <c r="D6948" i="1"/>
  <c r="D7041" i="1"/>
  <c r="D6754" i="1"/>
  <c r="D7291" i="1"/>
  <c r="D6913" i="1"/>
  <c r="D6899" i="1"/>
  <c r="D6721" i="1"/>
  <c r="D5598" i="1"/>
  <c r="D6805" i="1"/>
  <c r="D6904" i="1"/>
  <c r="D7034" i="1"/>
  <c r="D7017" i="1"/>
  <c r="D6825" i="1"/>
  <c r="D6879" i="1"/>
  <c r="D7100" i="1"/>
  <c r="D6745" i="1"/>
  <c r="D6621" i="1"/>
  <c r="D7036" i="1"/>
  <c r="D6876" i="1"/>
  <c r="D6524" i="1"/>
  <c r="D6505" i="1"/>
  <c r="D6865" i="1"/>
  <c r="D6396" i="1"/>
  <c r="D6448" i="1"/>
  <c r="D6560" i="1"/>
  <c r="D6005" i="1"/>
  <c r="D6380" i="1"/>
  <c r="D6249" i="1"/>
  <c r="D6501" i="1"/>
  <c r="D6053" i="1"/>
  <c r="D6500" i="1"/>
  <c r="D6236" i="1"/>
  <c r="D6118" i="1"/>
  <c r="D5881" i="1"/>
  <c r="D6465" i="1"/>
  <c r="D5981" i="1"/>
  <c r="D5646" i="1"/>
  <c r="D5166" i="1"/>
  <c r="D5099" i="1"/>
  <c r="D5789" i="1"/>
  <c r="D6193" i="1"/>
  <c r="D6297" i="1"/>
  <c r="D5672" i="1"/>
  <c r="D6264" i="1"/>
  <c r="D6453" i="1"/>
  <c r="D5656" i="1"/>
  <c r="D5983" i="1"/>
  <c r="D6228" i="1"/>
  <c r="D5540" i="1"/>
  <c r="D6162" i="1"/>
  <c r="D6278" i="1"/>
  <c r="D6536" i="1"/>
  <c r="D6239" i="1"/>
  <c r="D6751" i="1"/>
  <c r="D6541" i="1"/>
  <c r="D6713" i="1"/>
  <c r="D6659" i="1"/>
  <c r="D6779" i="1"/>
  <c r="D6971" i="1"/>
  <c r="D6715" i="1"/>
  <c r="D7181" i="1"/>
  <c r="D7325" i="1"/>
  <c r="D7128" i="1"/>
  <c r="D7466" i="1"/>
  <c r="D6949" i="1"/>
  <c r="D7024" i="1"/>
  <c r="D7195" i="1"/>
  <c r="D6687" i="1"/>
  <c r="D7074" i="1"/>
  <c r="D6594" i="1"/>
  <c r="D6872" i="1"/>
  <c r="D6785" i="1"/>
  <c r="D6774" i="1"/>
  <c r="D6371" i="1"/>
  <c r="D6506" i="1"/>
  <c r="D6149" i="1"/>
  <c r="D6434" i="1"/>
  <c r="D6734" i="1"/>
  <c r="D6870" i="1"/>
  <c r="D6747" i="1"/>
  <c r="D7094" i="1"/>
  <c r="D6716" i="1"/>
  <c r="D6880" i="1"/>
  <c r="D6725" i="1"/>
  <c r="D6690" i="1"/>
  <c r="D6857" i="1"/>
  <c r="D7050" i="1"/>
  <c r="D6746" i="1"/>
  <c r="D6766" i="1"/>
  <c r="D6639" i="1"/>
  <c r="D6834" i="1"/>
  <c r="D6514" i="1"/>
  <c r="D6592" i="1"/>
  <c r="D6633" i="1"/>
  <c r="D6581" i="1"/>
  <c r="D6405" i="1"/>
  <c r="D6413" i="1"/>
  <c r="D6466" i="1"/>
  <c r="D6349" i="1"/>
  <c r="D6437" i="1"/>
  <c r="D6520" i="1"/>
  <c r="D5790" i="1"/>
  <c r="D6272" i="1"/>
  <c r="D6333" i="1"/>
  <c r="D6286" i="1"/>
  <c r="D5944" i="1"/>
  <c r="D6135" i="1"/>
  <c r="D5849" i="1"/>
  <c r="D6113" i="1"/>
  <c r="D6538" i="1"/>
  <c r="D5736" i="1"/>
  <c r="D6293" i="1"/>
  <c r="D5850" i="1"/>
  <c r="D6400" i="1"/>
  <c r="D5943" i="1"/>
  <c r="D6532" i="1"/>
  <c r="D5754" i="1"/>
  <c r="D6583" i="1"/>
  <c r="D6304" i="1"/>
  <c r="D6627" i="1"/>
  <c r="D6571" i="1"/>
  <c r="D6991" i="1"/>
  <c r="D6488" i="1"/>
  <c r="D5959" i="1"/>
  <c r="D5159" i="1"/>
  <c r="D5968" i="1"/>
  <c r="D6147" i="1"/>
  <c r="D6474" i="1"/>
  <c r="D6838" i="1"/>
  <c r="D7168" i="1"/>
  <c r="D6655" i="1"/>
  <c r="D6995" i="1"/>
  <c r="D7093" i="1"/>
  <c r="D6888" i="1"/>
  <c r="D6613" i="1"/>
  <c r="D6996" i="1"/>
  <c r="D6854" i="1"/>
  <c r="D6323" i="1"/>
  <c r="D6771" i="1"/>
  <c r="D6534" i="1"/>
  <c r="D6173" i="1"/>
  <c r="D6268" i="1"/>
  <c r="D6463" i="1"/>
  <c r="D6962" i="1"/>
  <c r="D6811" i="1"/>
  <c r="D6847" i="1"/>
  <c r="D6815" i="1"/>
  <c r="D6572" i="1"/>
  <c r="D6622" i="1"/>
  <c r="D6494" i="1"/>
  <c r="D6508" i="1"/>
  <c r="D6445" i="1"/>
  <c r="D6938" i="1"/>
  <c r="D6491" i="1"/>
  <c r="D6623" i="1"/>
  <c r="D6794" i="1"/>
  <c r="D6748" i="1"/>
  <c r="D6921" i="1"/>
  <c r="D6824" i="1"/>
  <c r="D6626" i="1"/>
  <c r="D6544" i="1"/>
  <c r="D6464" i="1"/>
  <c r="D6665" i="1"/>
  <c r="D6441" i="1"/>
  <c r="D5877" i="1"/>
  <c r="D6459" i="1"/>
  <c r="D6068" i="1"/>
  <c r="D6124" i="1"/>
  <c r="D6221" i="1"/>
  <c r="D6889" i="1"/>
  <c r="D6180" i="1"/>
  <c r="D5340" i="1"/>
  <c r="D6219" i="1"/>
  <c r="D6077" i="1"/>
  <c r="D5668" i="1"/>
  <c r="D5996" i="1"/>
  <c r="D5873" i="1"/>
  <c r="D6051" i="1"/>
  <c r="D6467" i="1"/>
  <c r="D5895" i="1"/>
  <c r="D5908" i="1"/>
  <c r="D5925" i="1"/>
  <c r="D5883" i="1"/>
  <c r="D6062" i="1"/>
  <c r="D6121" i="1"/>
  <c r="D5874" i="1"/>
  <c r="D5657" i="1"/>
  <c r="D6586" i="1"/>
  <c r="D5815" i="1"/>
  <c r="D5990" i="1"/>
  <c r="D6307" i="1"/>
  <c r="D6383" i="1"/>
  <c r="D5862" i="1"/>
  <c r="D5821" i="1"/>
  <c r="D5511" i="1"/>
  <c r="D6101" i="1"/>
  <c r="D6183" i="1"/>
  <c r="D6786" i="1"/>
  <c r="D6802" i="1"/>
  <c r="D6504" i="1"/>
  <c r="D6487" i="1"/>
  <c r="D6190" i="1"/>
  <c r="D6485" i="1"/>
  <c r="D5492" i="1"/>
  <c r="D6091" i="1"/>
  <c r="D6740" i="1"/>
  <c r="D8005" i="1"/>
  <c r="D6625" i="1"/>
  <c r="D6933" i="1"/>
  <c r="D7060" i="1"/>
  <c r="D6781" i="1"/>
  <c r="D6799" i="1"/>
  <c r="D6852" i="1"/>
  <c r="D6775" i="1"/>
  <c r="D6873" i="1"/>
  <c r="D6832" i="1"/>
  <c r="D6595" i="1"/>
  <c r="D6576" i="1"/>
  <c r="D6469" i="1"/>
  <c r="D6569" i="1"/>
  <c r="D6615" i="1"/>
  <c r="D6673" i="1"/>
  <c r="D5979" i="1"/>
  <c r="D6651" i="1"/>
  <c r="D5861" i="1"/>
  <c r="D6013" i="1"/>
  <c r="D6530" i="1"/>
  <c r="D6125" i="1"/>
  <c r="D5992" i="1"/>
  <c r="D5788" i="1"/>
  <c r="D6140" i="1"/>
  <c r="D5932" i="1"/>
  <c r="D6024" i="1"/>
  <c r="D5857" i="1"/>
  <c r="D5737" i="1"/>
  <c r="D5795" i="1"/>
  <c r="D5978" i="1"/>
  <c r="D5787" i="1"/>
  <c r="D5634" i="1"/>
  <c r="D5902" i="1"/>
  <c r="D6054" i="1"/>
  <c r="D5515" i="1"/>
  <c r="D5512" i="1"/>
  <c r="D5670" i="1"/>
  <c r="D5644" i="1"/>
  <c r="D6386" i="1"/>
  <c r="D6321" i="1"/>
  <c r="D6017" i="1"/>
  <c r="D6677" i="1"/>
  <c r="D6078" i="1"/>
  <c r="D6804" i="1"/>
  <c r="D6426" i="1"/>
  <c r="D6755" i="1"/>
  <c r="D6123" i="1"/>
  <c r="D5729" i="1"/>
  <c r="D6030" i="1"/>
  <c r="D6366" i="1"/>
  <c r="D6733" i="1"/>
  <c r="D6868" i="1"/>
  <c r="D6714" i="1"/>
  <c r="D6752" i="1"/>
  <c r="D6629" i="1"/>
  <c r="D6104" i="1"/>
  <c r="D6475" i="1"/>
  <c r="D6070" i="1"/>
  <c r="D6127" i="1"/>
  <c r="D6155" i="1"/>
  <c r="D6223" i="1"/>
  <c r="D6562" i="1"/>
  <c r="D6250" i="1"/>
  <c r="D5858" i="1"/>
  <c r="D6941" i="1"/>
  <c r="D6882" i="1"/>
  <c r="D6901" i="1"/>
  <c r="D7044" i="1"/>
  <c r="D7006" i="1"/>
  <c r="D6589" i="1"/>
  <c r="D6522" i="1"/>
  <c r="D7082" i="1"/>
  <c r="D6959" i="1"/>
  <c r="D6797" i="1"/>
  <c r="D6428" i="1"/>
  <c r="D6757" i="1"/>
  <c r="D6650" i="1"/>
  <c r="D6798" i="1"/>
  <c r="D7223" i="1"/>
  <c r="D6663" i="1"/>
  <c r="D6168" i="1"/>
  <c r="D6480" i="1"/>
  <c r="D6337" i="1"/>
  <c r="D6737" i="1"/>
  <c r="D6482" i="1"/>
  <c r="D5964" i="1"/>
  <c r="D6291" i="1"/>
  <c r="D6593" i="1"/>
  <c r="D5900" i="1"/>
  <c r="D5804" i="1"/>
  <c r="D5939" i="1"/>
  <c r="D6340" i="1"/>
  <c r="D6284" i="1"/>
  <c r="D5628" i="1"/>
  <c r="D5204" i="1"/>
  <c r="D6294" i="1"/>
  <c r="D5467" i="1"/>
  <c r="D6085" i="1"/>
  <c r="D5151" i="1"/>
  <c r="D6254" i="1"/>
  <c r="D6503" i="1"/>
  <c r="D5809" i="1"/>
  <c r="D6097" i="1"/>
  <c r="D6210" i="1"/>
  <c r="D6431" i="1"/>
  <c r="D5597" i="1"/>
  <c r="D5703" i="1"/>
  <c r="D5918" i="1"/>
  <c r="D6046" i="1"/>
  <c r="D6296" i="1"/>
  <c r="D6203" i="1"/>
  <c r="D5432" i="1"/>
  <c r="D5538" i="1"/>
  <c r="D5682" i="1"/>
  <c r="D6580" i="1"/>
  <c r="D6703" i="1"/>
  <c r="D6102" i="1"/>
  <c r="D6056" i="1"/>
  <c r="D6652" i="1"/>
  <c r="D6793" i="1"/>
  <c r="D6656" i="1"/>
  <c r="D6042" i="1"/>
  <c r="D6632" i="1"/>
  <c r="D6764" i="1"/>
  <c r="D5817" i="1"/>
  <c r="D6214" i="1"/>
  <c r="D6789" i="1"/>
  <c r="D7169" i="1"/>
  <c r="D6647" i="1"/>
  <c r="D6878" i="1"/>
  <c r="D7180" i="1"/>
  <c r="D7001" i="1"/>
  <c r="D6806" i="1"/>
  <c r="D6701" i="1"/>
  <c r="D6939" i="1"/>
  <c r="D6963" i="1"/>
  <c r="D6559" i="1"/>
  <c r="D6546" i="1"/>
  <c r="D6972" i="1"/>
  <c r="D6266" i="1"/>
  <c r="D6517" i="1"/>
  <c r="D6160" i="1"/>
  <c r="D6698" i="1"/>
  <c r="D6587" i="1"/>
  <c r="D6303" i="1"/>
  <c r="D6600" i="1"/>
  <c r="D6131" i="1"/>
  <c r="D6255" i="1"/>
  <c r="D6477" i="1"/>
  <c r="D6314" i="1"/>
  <c r="D5691" i="1"/>
  <c r="D5702" i="1"/>
  <c r="D5878" i="1"/>
  <c r="D5884" i="1"/>
  <c r="D5622" i="1"/>
  <c r="D6260" i="1"/>
  <c r="D6034" i="1"/>
  <c r="D5441" i="1"/>
  <c r="D6313" i="1"/>
  <c r="D5356" i="1"/>
  <c r="D6473" i="1"/>
  <c r="D5720" i="1"/>
  <c r="D6339" i="1"/>
  <c r="D5505" i="1"/>
  <c r="D5769" i="1"/>
  <c r="D5638" i="1"/>
  <c r="D6206" i="1"/>
  <c r="D5625" i="1"/>
  <c r="D6023" i="1"/>
  <c r="D5721" i="1"/>
  <c r="D5717" i="1"/>
  <c r="D5851" i="1"/>
  <c r="D6080" i="1"/>
  <c r="D6151" i="1"/>
  <c r="D6557" i="1"/>
  <c r="D6052" i="1"/>
  <c r="D6197" i="1"/>
  <c r="D6495" i="1"/>
  <c r="D6635" i="1"/>
  <c r="D6471" i="1"/>
  <c r="D6072" i="1"/>
  <c r="D6820" i="1"/>
  <c r="D6708" i="1"/>
  <c r="D6040" i="1"/>
  <c r="D6092" i="1"/>
  <c r="D6768" i="1"/>
  <c r="D6810" i="1"/>
  <c r="D6969" i="1"/>
  <c r="D6860" i="1"/>
  <c r="D6705" i="1"/>
  <c r="D6695" i="1"/>
  <c r="D6680" i="1"/>
  <c r="D7020" i="1"/>
  <c r="D6653" i="1"/>
  <c r="D6490" i="1"/>
  <c r="D6440" i="1"/>
  <c r="D6422" i="1"/>
  <c r="D6332" i="1"/>
  <c r="D6399" i="1"/>
  <c r="D6227" i="1"/>
  <c r="D6493" i="1"/>
  <c r="D6828" i="1"/>
  <c r="D6231" i="1"/>
  <c r="D5740" i="1"/>
  <c r="D6159" i="1"/>
  <c r="D6411" i="1"/>
  <c r="D6081" i="1"/>
  <c r="D6420" i="1"/>
  <c r="D5366" i="1"/>
  <c r="D5798" i="1"/>
  <c r="D6222" i="1"/>
  <c r="D5854" i="1"/>
  <c r="D5374" i="1"/>
  <c r="D5661" i="1"/>
  <c r="D5875" i="1"/>
  <c r="D5466" i="1"/>
  <c r="D6509" i="1"/>
  <c r="D5334" i="1"/>
  <c r="D6167" i="1"/>
  <c r="D5831" i="1"/>
  <c r="D5498" i="1"/>
  <c r="D6028" i="1"/>
  <c r="D6175" i="1"/>
  <c r="D6281" i="1"/>
  <c r="D5591" i="1"/>
  <c r="D5774" i="1"/>
  <c r="D6111" i="1"/>
  <c r="D5707" i="1"/>
  <c r="D5974" i="1"/>
  <c r="D5924" i="1"/>
  <c r="D6498" i="1"/>
  <c r="D6367" i="1"/>
  <c r="D5879" i="1"/>
  <c r="D6132" i="1"/>
  <c r="D6360" i="1"/>
  <c r="D6808" i="1"/>
  <c r="D6130" i="1"/>
  <c r="D6353" i="1"/>
  <c r="D6851" i="1"/>
  <c r="D6950" i="1"/>
  <c r="D6957" i="1"/>
  <c r="D6758" i="1"/>
  <c r="D6929" i="1"/>
  <c r="D6672" i="1"/>
  <c r="D6619" i="1"/>
  <c r="D6759" i="1"/>
  <c r="D6637" i="1"/>
  <c r="D6253" i="1"/>
  <c r="D6395" i="1"/>
  <c r="D6302" i="1"/>
  <c r="D6412" i="1"/>
  <c r="D6090" i="1"/>
  <c r="D6247" i="1"/>
  <c r="D6460" i="1"/>
  <c r="D5768" i="1"/>
  <c r="D6020" i="1"/>
  <c r="D5743" i="1"/>
  <c r="D6558" i="1"/>
  <c r="D5611" i="1"/>
  <c r="D5609" i="1"/>
  <c r="D6065" i="1"/>
  <c r="D6398" i="1"/>
  <c r="D6116" i="1"/>
  <c r="D5479" i="1"/>
  <c r="D6086" i="1"/>
  <c r="D5510" i="1"/>
  <c r="D6073" i="1"/>
  <c r="D5590" i="1"/>
  <c r="D5733" i="1"/>
  <c r="D6174" i="1"/>
  <c r="D6225" i="1"/>
  <c r="D6156" i="1"/>
  <c r="D5783" i="1"/>
  <c r="D5377" i="1"/>
  <c r="D5984" i="1"/>
  <c r="D6407" i="1"/>
  <c r="D5294" i="1"/>
  <c r="D5393" i="1"/>
  <c r="D5947" i="1"/>
  <c r="D6177" i="1"/>
  <c r="D6082" i="1"/>
  <c r="D6430" i="1"/>
  <c r="D5845" i="1"/>
  <c r="D6138" i="1"/>
  <c r="D6287" i="1"/>
  <c r="D5811" i="1"/>
  <c r="D6298" i="1"/>
  <c r="D5824" i="1"/>
  <c r="D6372" i="1"/>
  <c r="D6392" i="1"/>
  <c r="D6265" i="1"/>
  <c r="D6057" i="1"/>
  <c r="D7403" i="1"/>
  <c r="D6628" i="1"/>
  <c r="D6478" i="1"/>
  <c r="D6762" i="1"/>
  <c r="D6452" i="1"/>
  <c r="D6468" i="1"/>
  <c r="D6391" i="1"/>
  <c r="D6813" i="1"/>
  <c r="D6682" i="1"/>
  <c r="D6726" i="1"/>
  <c r="D6251" i="1"/>
  <c r="D6521" i="1"/>
  <c r="D6492" i="1"/>
  <c r="D6301" i="1"/>
  <c r="D6769" i="1"/>
  <c r="D6954" i="1"/>
  <c r="D5891" i="1"/>
  <c r="D5760" i="1"/>
  <c r="D5848" i="1"/>
  <c r="D6439" i="1"/>
  <c r="D6259" i="1"/>
  <c r="D6410" i="1"/>
  <c r="D6409" i="1"/>
  <c r="D5999" i="1"/>
  <c r="D5245" i="1"/>
  <c r="D6362" i="1"/>
  <c r="D6137" i="1"/>
  <c r="D5280" i="1"/>
  <c r="D5012" i="1"/>
  <c r="D5650" i="1"/>
  <c r="D5443" i="1"/>
  <c r="D6050" i="1"/>
  <c r="D5563" i="1"/>
  <c r="D5761" i="1"/>
  <c r="D5738" i="1"/>
  <c r="D6075" i="1"/>
  <c r="D6610" i="1"/>
  <c r="D5475" i="1"/>
  <c r="D5404" i="1"/>
  <c r="D5897" i="1"/>
  <c r="D5710" i="1"/>
  <c r="D5997" i="1"/>
  <c r="D5124" i="1"/>
  <c r="D6012" i="1"/>
  <c r="D5588" i="1"/>
  <c r="D6389" i="1"/>
  <c r="D5971" i="1"/>
  <c r="D5596" i="1"/>
  <c r="D5547" i="1"/>
  <c r="D5855" i="1"/>
  <c r="D6099" i="1"/>
  <c r="D5189" i="1"/>
  <c r="D7275" i="1"/>
  <c r="D6723" i="1"/>
  <c r="D6552" i="1"/>
  <c r="D6731" i="1"/>
  <c r="D6890" i="1"/>
  <c r="D6742" i="1"/>
  <c r="D7012" i="1"/>
  <c r="D6707" i="1"/>
  <c r="D6578" i="1"/>
  <c r="D6324" i="1"/>
  <c r="D6417" i="1"/>
  <c r="D6497" i="1"/>
  <c r="D6555" i="1"/>
  <c r="D6274" i="1"/>
  <c r="D5946" i="1"/>
  <c r="D5671" i="1"/>
  <c r="D6129" i="1"/>
  <c r="D6184" i="1"/>
  <c r="D6322" i="1"/>
  <c r="D6457" i="1"/>
  <c r="D5892" i="1"/>
  <c r="D5767" i="1"/>
  <c r="D5571" i="1"/>
  <c r="D5977" i="1"/>
  <c r="D5358" i="1"/>
  <c r="D5537" i="1"/>
  <c r="D6153" i="1"/>
  <c r="D5344" i="1"/>
  <c r="D5568" i="1"/>
  <c r="D5278" i="1"/>
  <c r="D5583" i="1"/>
  <c r="D6584" i="1"/>
  <c r="D6106" i="1"/>
  <c r="D5739" i="1"/>
  <c r="D5627" i="1"/>
  <c r="D5806" i="1"/>
  <c r="D6243" i="1"/>
  <c r="D5709" i="1"/>
  <c r="D5777" i="1"/>
  <c r="D6551" i="1"/>
  <c r="D5610" i="1"/>
  <c r="D5454" i="1"/>
  <c r="D5681" i="1"/>
  <c r="D5196" i="1"/>
  <c r="D5192" i="1"/>
  <c r="D6248" i="1"/>
  <c r="D5930" i="1"/>
  <c r="D5695" i="1"/>
  <c r="D6141" i="1"/>
  <c r="D6590" i="1"/>
  <c r="D6638" i="1"/>
  <c r="D6822" i="1"/>
  <c r="D6533" i="1"/>
  <c r="D6675" i="1"/>
  <c r="D6983" i="1"/>
  <c r="D6424" i="1"/>
  <c r="D6515" i="1"/>
  <c r="D6525" i="1"/>
  <c r="D6447" i="1"/>
  <c r="D6539" i="1"/>
  <c r="D6415" i="1"/>
  <c r="D6213" i="1"/>
  <c r="D6108" i="1"/>
  <c r="D5962" i="1"/>
  <c r="D5927" i="1"/>
  <c r="D6136" i="1"/>
  <c r="D6275" i="1"/>
  <c r="D6361" i="1"/>
  <c r="D5796" i="1"/>
  <c r="D6462" i="1"/>
  <c r="D5382" i="1"/>
  <c r="D5655" i="1"/>
  <c r="D6709" i="1"/>
  <c r="D5905" i="1"/>
  <c r="D6033" i="1"/>
  <c r="D5451" i="1"/>
  <c r="D6044" i="1"/>
  <c r="D5753" i="1"/>
  <c r="D5383" i="1"/>
  <c r="D5603" i="1"/>
  <c r="D5514" i="1"/>
  <c r="D5349" i="1"/>
  <c r="D5460" i="1"/>
  <c r="D5523" i="1"/>
  <c r="D5704" i="1"/>
  <c r="D5586" i="1"/>
  <c r="D6256" i="1"/>
  <c r="D5307" i="1"/>
  <c r="D4598" i="1"/>
  <c r="D5539" i="1"/>
  <c r="D4655" i="1"/>
  <c r="D4934" i="1"/>
  <c r="D5856" i="1"/>
  <c r="D4796" i="1"/>
  <c r="D4413" i="1"/>
  <c r="D5240" i="1"/>
  <c r="D5802" i="1"/>
  <c r="D6109" i="1"/>
  <c r="D6700" i="1"/>
  <c r="D6699" i="1"/>
  <c r="D6567" i="1"/>
  <c r="D6483" i="1"/>
  <c r="D6449" i="1"/>
  <c r="D6295" i="1"/>
  <c r="D6528" i="1"/>
  <c r="D6344" i="1"/>
  <c r="D6624" i="1"/>
  <c r="D6499" i="1"/>
  <c r="D6461" i="1"/>
  <c r="D6006" i="1"/>
  <c r="D6120" i="1"/>
  <c r="D6158" i="1"/>
  <c r="D6479" i="1"/>
  <c r="D6373" i="1"/>
  <c r="D6311" i="1"/>
  <c r="D5898" i="1"/>
  <c r="D5565" i="1"/>
  <c r="D5746" i="1"/>
  <c r="D6117" i="1"/>
  <c r="D6598" i="1"/>
  <c r="D5938" i="1"/>
  <c r="D5950" i="1"/>
  <c r="D6211" i="1"/>
  <c r="D5379" i="1"/>
  <c r="D5749" i="1"/>
  <c r="D5813" i="1"/>
  <c r="D5870" i="1"/>
  <c r="D6444" i="1"/>
  <c r="D5673" i="1"/>
  <c r="D6015" i="1"/>
  <c r="D5780" i="1"/>
  <c r="D5327" i="1"/>
  <c r="D5296" i="1"/>
  <c r="D5110" i="1"/>
  <c r="D5408" i="1"/>
  <c r="D5641" i="1"/>
  <c r="D5025" i="1"/>
  <c r="D5067" i="1"/>
  <c r="D5750" i="1"/>
  <c r="D5677" i="1"/>
  <c r="D5104" i="1"/>
  <c r="D3539" i="1"/>
  <c r="D5792" i="1"/>
  <c r="D5325" i="1"/>
  <c r="D4908" i="1"/>
  <c r="D4443" i="1"/>
  <c r="D5747" i="1"/>
  <c r="D5533" i="1"/>
  <c r="D5748" i="1"/>
  <c r="D6025" i="1"/>
  <c r="D5935" i="1"/>
  <c r="D6693" i="1"/>
  <c r="D6667" i="1"/>
  <c r="D6512" i="1"/>
  <c r="D6717" i="1"/>
  <c r="D6636" i="1"/>
  <c r="D6859" i="1"/>
  <c r="D6783" i="1"/>
  <c r="D6550" i="1"/>
  <c r="D6258" i="1"/>
  <c r="D6414" i="1"/>
  <c r="D6126" i="1"/>
  <c r="D6476" i="1"/>
  <c r="D6133" i="1"/>
  <c r="D6018" i="1"/>
  <c r="D5786" i="1"/>
  <c r="D6200" i="1"/>
  <c r="D5816" i="1"/>
  <c r="D6048" i="1"/>
  <c r="D6067" i="1"/>
  <c r="D5923" i="1"/>
  <c r="D5911" i="1"/>
  <c r="D6164" i="1"/>
  <c r="D5564" i="1"/>
  <c r="D5842" i="1"/>
  <c r="D5808" i="1"/>
  <c r="D5579" i="1"/>
  <c r="D5949" i="1"/>
  <c r="D5744" i="1"/>
  <c r="D6161" i="1"/>
  <c r="D6606" i="1"/>
  <c r="D5425" i="1"/>
  <c r="D5445" i="1"/>
  <c r="D5566" i="1"/>
  <c r="D4334" i="1"/>
  <c r="D4337" i="1"/>
  <c r="D5801" i="1"/>
  <c r="D4898" i="1"/>
  <c r="D5676" i="1"/>
  <c r="D5468" i="1"/>
  <c r="D5098" i="1"/>
  <c r="D6134" i="1"/>
  <c r="D5157" i="1"/>
  <c r="D6029" i="1"/>
  <c r="D5550" i="1"/>
  <c r="D4504" i="1"/>
  <c r="D6154" i="1"/>
  <c r="D5675" i="1"/>
  <c r="D5866" i="1"/>
  <c r="D6419" i="1"/>
  <c r="D6871" i="1"/>
  <c r="D6163" i="1"/>
  <c r="D6378" i="1"/>
  <c r="D6631" i="1"/>
  <c r="D6912" i="1"/>
  <c r="D6364" i="1"/>
  <c r="D6765" i="1"/>
  <c r="D6194" i="1"/>
  <c r="D6095" i="1"/>
  <c r="D6358" i="1"/>
  <c r="D6267" i="1"/>
  <c r="D6224" i="1"/>
  <c r="D5728" i="1"/>
  <c r="D6433" i="1"/>
  <c r="D5772" i="1"/>
  <c r="D6189" i="1"/>
  <c r="D6489" i="1"/>
  <c r="D6688" i="1"/>
  <c r="D5694" i="1"/>
  <c r="D5690" i="1"/>
  <c r="D5640" i="1"/>
  <c r="D6079" i="1"/>
  <c r="D5651" i="1"/>
  <c r="D5521" i="1"/>
  <c r="D5437" i="1"/>
  <c r="D5699" i="1"/>
  <c r="D6089" i="1"/>
  <c r="D5434" i="1"/>
  <c r="D5730" i="1"/>
  <c r="D5075" i="1"/>
  <c r="D6069" i="1"/>
  <c r="D5659" i="1"/>
  <c r="D5901" i="1"/>
  <c r="D4960" i="1"/>
  <c r="D5574" i="1"/>
  <c r="D5945" i="1"/>
  <c r="D5331" i="1"/>
  <c r="D4501" i="1"/>
  <c r="D4820" i="1"/>
  <c r="D4782" i="1"/>
  <c r="D5399" i="1"/>
  <c r="D5685" i="1"/>
  <c r="D5423" i="1"/>
  <c r="D4549" i="1"/>
  <c r="D5496" i="1"/>
  <c r="D5642" i="1"/>
  <c r="D6790" i="1"/>
  <c r="D6171" i="1"/>
  <c r="D6697" i="1"/>
  <c r="D6582" i="1"/>
  <c r="D6238" i="1"/>
  <c r="D6277" i="1"/>
  <c r="D5957" i="1"/>
  <c r="D6404" i="1"/>
  <c r="D6791" i="1"/>
  <c r="D6565" i="1"/>
  <c r="D6616" i="1"/>
  <c r="D6442" i="1"/>
  <c r="D6119" i="1"/>
  <c r="D6484" i="1"/>
  <c r="D6603" i="1"/>
  <c r="D6230" i="1"/>
  <c r="D6270" i="1"/>
  <c r="D6658" i="1"/>
  <c r="D6438" i="1"/>
  <c r="D6245" i="1"/>
  <c r="D6031" i="1"/>
  <c r="D6143" i="1"/>
  <c r="D5626" i="1"/>
  <c r="D5810" i="1"/>
  <c r="D6128" i="1"/>
  <c r="D5508" i="1"/>
  <c r="D6185" i="1"/>
  <c r="D5887" i="1"/>
  <c r="D5413" i="1"/>
  <c r="D4801" i="1"/>
  <c r="D3846" i="1"/>
  <c r="D5966" i="1"/>
  <c r="D5370" i="1"/>
  <c r="D5534" i="1"/>
  <c r="D3939" i="1"/>
  <c r="D4846" i="1"/>
  <c r="D5465" i="1"/>
  <c r="D5969" i="1"/>
  <c r="D5247" i="1"/>
  <c r="D5700" i="1"/>
  <c r="D5200" i="1"/>
  <c r="D5160" i="1"/>
  <c r="D5155" i="1"/>
  <c r="D4357" i="1"/>
  <c r="D4641" i="1"/>
  <c r="D5764" i="1"/>
  <c r="D5965" i="1"/>
  <c r="D6393" i="1"/>
  <c r="D5612" i="1"/>
  <c r="D6379" i="1"/>
  <c r="D5955" i="1"/>
  <c r="D6334" i="1"/>
  <c r="D6242" i="1"/>
  <c r="D6601" i="1"/>
  <c r="D7132" i="1"/>
  <c r="D6597" i="1"/>
  <c r="D6749" i="1"/>
  <c r="D6712" i="1"/>
  <c r="D6662" i="1"/>
  <c r="D6098" i="1"/>
  <c r="D6007" i="1"/>
  <c r="D6357" i="1"/>
  <c r="D5869" i="1"/>
  <c r="D5048" i="1"/>
  <c r="D6387" i="1"/>
  <c r="D5847" i="1"/>
  <c r="D5391" i="1"/>
  <c r="D5416" i="1"/>
  <c r="D4836" i="1"/>
  <c r="D5756" i="1"/>
  <c r="D4865" i="1"/>
  <c r="D4785" i="1"/>
  <c r="D4771" i="1"/>
  <c r="D5669" i="1"/>
  <c r="D6370" i="1"/>
  <c r="D5481" i="1"/>
  <c r="D5484" i="1"/>
  <c r="D5976" i="1"/>
  <c r="D4314" i="1"/>
  <c r="D5055" i="1"/>
  <c r="D4153" i="1"/>
  <c r="D5171" i="1"/>
  <c r="D4802" i="1"/>
  <c r="D5488" i="1"/>
  <c r="D5778" i="1"/>
  <c r="D5326" i="1"/>
  <c r="D5073" i="1"/>
  <c r="D5797" i="1"/>
  <c r="D7069" i="1"/>
  <c r="D6574" i="1"/>
  <c r="D6359" i="1"/>
  <c r="D6563" i="1"/>
  <c r="D6169" i="1"/>
  <c r="D6288" i="1"/>
  <c r="D6365" i="1"/>
  <c r="D6317" i="1"/>
  <c r="D6226" i="1"/>
  <c r="D5937" i="1"/>
  <c r="D5755" i="1"/>
  <c r="D5232" i="1"/>
  <c r="D6363" i="1"/>
  <c r="D6122" i="1"/>
  <c r="D6170" i="1"/>
  <c r="D5535" i="1"/>
  <c r="D5133" i="1"/>
  <c r="D5178" i="1"/>
  <c r="D5096" i="1"/>
  <c r="D6909" i="1"/>
  <c r="D5689" i="1"/>
  <c r="D4506" i="1"/>
  <c r="D4186" i="1"/>
  <c r="D4869" i="1"/>
  <c r="D6148" i="1"/>
  <c r="D5074" i="1"/>
  <c r="D5268" i="1"/>
  <c r="D4670" i="1"/>
  <c r="D4550" i="1"/>
  <c r="D5122" i="1"/>
  <c r="D5542" i="1"/>
  <c r="D4343" i="1"/>
  <c r="D4233" i="1"/>
  <c r="D4956" i="1"/>
  <c r="D4982" i="1"/>
  <c r="D5299" i="1"/>
  <c r="D5351" i="1"/>
  <c r="D5440" i="1"/>
  <c r="D5459" i="1"/>
  <c r="D5455" i="1"/>
  <c r="D4738" i="1"/>
  <c r="D5975" i="1"/>
  <c r="D6388" i="1"/>
  <c r="D5865" i="1"/>
  <c r="D5775" i="1"/>
  <c r="D6084" i="1"/>
  <c r="D6035" i="1"/>
  <c r="D6186" i="1"/>
  <c r="D6290" i="1"/>
  <c r="D6218" i="1"/>
  <c r="D5853" i="1"/>
  <c r="D6146" i="1"/>
  <c r="D5667" i="1"/>
  <c r="D5834" i="1"/>
  <c r="D5782" i="1"/>
  <c r="D5973" i="1"/>
  <c r="D5724" i="1"/>
  <c r="D5037" i="1"/>
  <c r="D4155" i="1"/>
  <c r="D4490" i="1"/>
  <c r="D4789" i="1"/>
  <c r="D5472" i="1"/>
  <c r="D5141" i="1"/>
  <c r="D4932" i="1"/>
  <c r="D5693" i="1"/>
  <c r="D5513" i="1"/>
  <c r="D5044" i="1"/>
  <c r="D5722" i="1"/>
  <c r="D5115" i="1"/>
  <c r="D5402" i="1"/>
  <c r="D5615" i="1"/>
  <c r="D5208" i="1"/>
  <c r="D4184" i="1"/>
  <c r="D4931" i="1"/>
  <c r="D5906" i="1"/>
  <c r="D5282" i="1"/>
  <c r="D4463" i="1"/>
  <c r="D5168" i="1"/>
  <c r="D5304" i="1"/>
  <c r="D5449" i="1"/>
  <c r="D6083" i="1"/>
  <c r="D5776" i="1"/>
  <c r="D5585" i="1"/>
  <c r="D5994" i="1"/>
  <c r="D5718" i="1"/>
  <c r="D6060" i="1"/>
  <c r="D5859" i="1"/>
  <c r="D6315" i="1"/>
  <c r="D5630" i="1"/>
  <c r="D5841" i="1"/>
  <c r="D5105" i="1"/>
  <c r="D4620" i="1"/>
  <c r="D5989" i="1"/>
  <c r="D6397" i="1"/>
  <c r="D5442" i="1"/>
  <c r="D3681" i="1"/>
  <c r="D4632" i="1"/>
  <c r="D5993" i="1"/>
  <c r="D5345" i="1"/>
  <c r="D3979" i="1"/>
  <c r="D3139" i="1"/>
  <c r="D5064" i="1"/>
  <c r="D5725" i="1"/>
  <c r="D4854" i="1"/>
  <c r="D5211" i="1"/>
  <c r="D5948" i="1"/>
  <c r="D4906" i="1"/>
  <c r="D5553" i="1"/>
  <c r="D4335" i="1"/>
  <c r="D4169" i="1"/>
  <c r="D4377" i="1"/>
  <c r="D4172" i="1"/>
  <c r="D5503" i="1"/>
  <c r="D5172" i="1"/>
  <c r="D5711" i="1"/>
  <c r="D4656" i="1"/>
  <c r="D4140" i="1"/>
  <c r="D4016" i="1"/>
  <c r="D5398" i="1"/>
  <c r="D5355" i="1"/>
  <c r="D4174" i="1"/>
  <c r="D5530" i="1"/>
  <c r="D5814" i="1"/>
  <c r="D5662" i="1"/>
  <c r="D5560" i="1"/>
  <c r="D5221" i="1"/>
  <c r="D4299" i="1"/>
  <c r="D5457" i="1"/>
  <c r="D5825" i="1"/>
  <c r="D5108" i="1"/>
  <c r="D5679" i="1"/>
  <c r="D5392" i="1"/>
  <c r="D6425" i="1"/>
  <c r="D5313" i="1"/>
  <c r="D5267" i="1"/>
  <c r="D5548" i="1"/>
  <c r="D3624" i="1"/>
  <c r="D4806" i="1"/>
  <c r="D3670" i="1"/>
  <c r="D3357" i="1"/>
  <c r="D2093" i="1"/>
  <c r="D3461" i="1"/>
  <c r="D3864" i="1"/>
  <c r="D1869" i="1"/>
  <c r="D4718" i="1"/>
  <c r="D1557" i="1"/>
  <c r="D2120" i="1"/>
  <c r="D1015" i="1"/>
  <c r="D1656" i="1"/>
  <c r="D4586" i="1"/>
  <c r="D1500" i="1"/>
  <c r="D4043" i="1"/>
  <c r="D4839" i="1"/>
  <c r="D5450" i="1"/>
  <c r="D5491" i="1"/>
  <c r="D4435" i="1"/>
  <c r="D4311" i="1"/>
  <c r="D3882" i="1"/>
  <c r="D4407" i="1"/>
  <c r="D4843" i="1"/>
  <c r="D3721" i="1"/>
  <c r="D4253" i="1"/>
  <c r="D5033" i="1"/>
  <c r="D3557" i="1"/>
  <c r="D4026" i="1"/>
  <c r="D2845" i="1"/>
  <c r="D3279" i="1"/>
  <c r="D5185" i="1"/>
  <c r="D4025" i="1"/>
  <c r="D5336" i="1"/>
  <c r="D4499" i="1"/>
  <c r="D4508" i="1"/>
  <c r="D5270" i="1"/>
  <c r="D4303" i="1"/>
  <c r="D4702" i="1"/>
  <c r="D4358" i="1"/>
  <c r="D4747" i="1"/>
  <c r="D3187" i="1"/>
  <c r="D3675" i="1"/>
  <c r="D4408" i="1"/>
  <c r="D3516" i="1"/>
  <c r="D3261" i="1"/>
  <c r="D1908" i="1"/>
  <c r="D3865" i="1"/>
  <c r="D3156" i="1"/>
  <c r="D2962" i="1"/>
  <c r="D2813" i="1"/>
  <c r="D4345" i="1"/>
  <c r="D4958" i="1"/>
  <c r="D4729" i="1"/>
  <c r="D3451" i="1"/>
  <c r="D2350" i="1"/>
  <c r="D1233" i="1"/>
  <c r="D4171" i="1"/>
  <c r="D1694" i="1"/>
  <c r="D2796" i="1"/>
  <c r="D3264" i="1"/>
  <c r="D2189" i="1"/>
  <c r="D2467" i="1"/>
  <c r="D1941" i="1"/>
  <c r="D3191" i="1"/>
  <c r="D2571" i="1"/>
  <c r="D1944" i="1"/>
  <c r="D2456" i="1"/>
  <c r="D3283" i="1"/>
  <c r="D3850" i="1"/>
  <c r="D1351" i="1"/>
  <c r="D2536" i="1"/>
  <c r="D1741" i="1"/>
  <c r="D2080" i="1"/>
  <c r="D1408" i="1"/>
  <c r="D1565" i="1"/>
  <c r="D2075" i="1"/>
  <c r="D3210" i="1"/>
  <c r="D1879" i="1"/>
  <c r="D2669" i="1"/>
  <c r="D2611" i="1"/>
  <c r="D2988" i="1"/>
  <c r="D3645" i="1"/>
  <c r="D2841" i="1"/>
  <c r="D1596" i="1"/>
  <c r="D3414" i="1"/>
  <c r="D4410" i="1"/>
  <c r="D2882" i="1"/>
  <c r="D3236" i="1"/>
  <c r="D4293" i="1"/>
  <c r="D2049" i="1"/>
  <c r="D1236" i="1"/>
  <c r="D2027" i="1"/>
  <c r="D2360" i="1"/>
  <c r="D3114" i="1"/>
  <c r="D3285" i="1"/>
  <c r="D2067" i="1"/>
  <c r="D1736" i="1"/>
  <c r="D1598" i="1"/>
  <c r="D2214" i="1"/>
  <c r="D3580" i="1"/>
  <c r="D2223" i="1"/>
  <c r="D1681" i="1"/>
  <c r="D4995" i="1"/>
  <c r="D1668" i="1"/>
  <c r="D1976" i="1"/>
  <c r="D2844" i="1"/>
  <c r="D3963" i="1"/>
  <c r="D1872" i="1"/>
  <c r="D1709" i="1"/>
  <c r="D3518" i="1"/>
  <c r="D3663" i="1"/>
  <c r="D984" i="1"/>
  <c r="D2143" i="1"/>
  <c r="D1842" i="1"/>
  <c r="D1232" i="1"/>
  <c r="D2768" i="1"/>
  <c r="D2221" i="1"/>
  <c r="D1501" i="1"/>
  <c r="D1468" i="1"/>
  <c r="D2509" i="1"/>
  <c r="D1174" i="1"/>
  <c r="D1890" i="1"/>
  <c r="D1388" i="1"/>
  <c r="D1447" i="1"/>
  <c r="D1192" i="1"/>
  <c r="D2604" i="1"/>
  <c r="D2326" i="1"/>
  <c r="D2422" i="1"/>
  <c r="D2114" i="1"/>
  <c r="D1936" i="1"/>
  <c r="D2874" i="1"/>
  <c r="D2516" i="1"/>
  <c r="D1284" i="1"/>
  <c r="D1140" i="1"/>
  <c r="D2460" i="1"/>
  <c r="D1530" i="1"/>
  <c r="D1891" i="1"/>
  <c r="D2135" i="1"/>
  <c r="D1558" i="1"/>
  <c r="D1708" i="1"/>
  <c r="D1383" i="1"/>
  <c r="D3359" i="1"/>
  <c r="D2568" i="1"/>
  <c r="D1846" i="1"/>
  <c r="D4633" i="1"/>
  <c r="D1189" i="1"/>
  <c r="D2089" i="1"/>
  <c r="D2199" i="1"/>
  <c r="D4348" i="1"/>
  <c r="D2424" i="1"/>
  <c r="D1445" i="1"/>
  <c r="D1239" i="1"/>
  <c r="D908" i="1"/>
  <c r="D3272" i="1"/>
  <c r="D1034" i="1"/>
  <c r="D3858" i="1"/>
  <c r="D2801" i="1"/>
  <c r="D3758" i="1"/>
  <c r="D3708" i="1"/>
  <c r="D4368" i="1"/>
  <c r="D2270" i="1"/>
  <c r="D1551" i="1"/>
  <c r="D1158" i="1"/>
  <c r="D3445" i="1"/>
  <c r="D1957" i="1"/>
  <c r="D3803" i="1"/>
  <c r="D2057" i="1"/>
  <c r="D1352" i="1"/>
  <c r="D2369" i="1"/>
  <c r="D1019" i="1"/>
  <c r="D2809" i="1"/>
  <c r="D1895" i="1"/>
  <c r="D3161" i="1"/>
  <c r="D1229" i="1"/>
  <c r="D1998" i="1"/>
  <c r="D1514" i="1"/>
  <c r="D2132" i="1"/>
  <c r="D4525" i="1"/>
  <c r="D2786" i="1"/>
  <c r="D1366" i="1"/>
  <c r="D3727" i="1"/>
  <c r="D3540" i="1"/>
  <c r="D4519" i="1"/>
  <c r="D1457" i="1"/>
  <c r="D3925" i="1"/>
  <c r="D2267" i="1"/>
  <c r="D1362" i="1"/>
  <c r="D2195" i="1"/>
  <c r="D879" i="1"/>
  <c r="D3558" i="1"/>
  <c r="D3847" i="1"/>
  <c r="D1202" i="1"/>
  <c r="D3942" i="1"/>
  <c r="D1703" i="1"/>
  <c r="D3338" i="1"/>
  <c r="D1986" i="1"/>
  <c r="D1609" i="1"/>
  <c r="D5123" i="1"/>
  <c r="D5648" i="1"/>
  <c r="D4955" i="1"/>
  <c r="D5569" i="1"/>
  <c r="D6016" i="1"/>
  <c r="D4697" i="1"/>
  <c r="D5071" i="1"/>
  <c r="D4951" i="1"/>
  <c r="D6348" i="1"/>
  <c r="D5444" i="1"/>
  <c r="D5137" i="1"/>
  <c r="D5385" i="1"/>
  <c r="D4526" i="1"/>
  <c r="D5212" i="1"/>
  <c r="D5062" i="1"/>
  <c r="D3809" i="1"/>
  <c r="D3495" i="1"/>
  <c r="D5317" i="1"/>
  <c r="D5663" i="1"/>
  <c r="D6345" i="1"/>
  <c r="D6061" i="1"/>
  <c r="D6289" i="1"/>
  <c r="D6178" i="1"/>
  <c r="D5982" i="1"/>
  <c r="D5708" i="1"/>
  <c r="D6382" i="1"/>
  <c r="D6152" i="1"/>
  <c r="D4805" i="1"/>
  <c r="D2892" i="1"/>
  <c r="D5570" i="1"/>
  <c r="D4761" i="1"/>
  <c r="D5341" i="1"/>
  <c r="D5998" i="1"/>
  <c r="D5474" i="1"/>
  <c r="D6049" i="1"/>
  <c r="D5805" i="1"/>
  <c r="D6347" i="1"/>
  <c r="D5301" i="1"/>
  <c r="D5581" i="1"/>
  <c r="D6011" i="1"/>
  <c r="D5555" i="1"/>
  <c r="D5558" i="1"/>
  <c r="D5784" i="1"/>
  <c r="D6261" i="1"/>
  <c r="D5329" i="1"/>
  <c r="D4539" i="1"/>
  <c r="D5016" i="1"/>
  <c r="D5524" i="1"/>
  <c r="D5499" i="1"/>
  <c r="D5735" i="1"/>
  <c r="D5487" i="1"/>
  <c r="D5843" i="1"/>
  <c r="D4591" i="1"/>
  <c r="D6694" i="1"/>
  <c r="D6263" i="1"/>
  <c r="D6271" i="1"/>
  <c r="D6071" i="1"/>
  <c r="D6845" i="1"/>
  <c r="D6470" i="1"/>
  <c r="D4948" i="1"/>
  <c r="D5562" i="1"/>
  <c r="D5716" i="1"/>
  <c r="D5793" i="1"/>
  <c r="D5463" i="1"/>
  <c r="D5415" i="1"/>
  <c r="D5041" i="1"/>
  <c r="D4739" i="1"/>
  <c r="D5214" i="1"/>
  <c r="D5197" i="1"/>
  <c r="D5156" i="1"/>
  <c r="D4748" i="1"/>
  <c r="D3811" i="1"/>
  <c r="D4600" i="1"/>
  <c r="D5384" i="1"/>
  <c r="D4778" i="1"/>
  <c r="D5543" i="1"/>
  <c r="D5314" i="1"/>
  <c r="D3492" i="1"/>
  <c r="D5243" i="1"/>
  <c r="D5715" i="1"/>
  <c r="D5500" i="1"/>
  <c r="D5712" i="1"/>
  <c r="D5390" i="1"/>
  <c r="D5324" i="1"/>
  <c r="D5665" i="1"/>
  <c r="D3952" i="1"/>
  <c r="D5005" i="1"/>
  <c r="D5414" i="1"/>
  <c r="D5272" i="1"/>
  <c r="D5302" i="1"/>
  <c r="D5931" i="1"/>
  <c r="D5578" i="1"/>
  <c r="D4587" i="1"/>
  <c r="D4978" i="1"/>
  <c r="D5803" i="1"/>
  <c r="D5337" i="1"/>
  <c r="D5469" i="1"/>
  <c r="D5131" i="1"/>
  <c r="D4894" i="1"/>
  <c r="D4807" i="1"/>
  <c r="D5430" i="1"/>
  <c r="D5213" i="1"/>
  <c r="D5933" i="1"/>
  <c r="D5502" i="1"/>
  <c r="D3519" i="1"/>
  <c r="D4165" i="1"/>
  <c r="D5546" i="1"/>
  <c r="D3328" i="1"/>
  <c r="D5347" i="1"/>
  <c r="D5411" i="1"/>
  <c r="D5265" i="1"/>
  <c r="D4614" i="1"/>
  <c r="D4297" i="1"/>
  <c r="D5028" i="1"/>
  <c r="D5828" i="1"/>
  <c r="D5249" i="1"/>
  <c r="D5516" i="1"/>
  <c r="D6376" i="1"/>
  <c r="D4198" i="1"/>
  <c r="D5354" i="1"/>
  <c r="D5305" i="1"/>
  <c r="D5424" i="1"/>
  <c r="D4815" i="1"/>
  <c r="D5619" i="1"/>
  <c r="D5031" i="1"/>
  <c r="D5624" i="1"/>
  <c r="D4385" i="1"/>
  <c r="D4551" i="1"/>
  <c r="D4669" i="1"/>
  <c r="D4236" i="1"/>
  <c r="D5406" i="1"/>
  <c r="D5483" i="1"/>
  <c r="D4715" i="1"/>
  <c r="D5321" i="1"/>
  <c r="D5643" i="1"/>
  <c r="D3422" i="1"/>
  <c r="D4346" i="1"/>
  <c r="D4980" i="1"/>
  <c r="D4804" i="1"/>
  <c r="D4317" i="1"/>
  <c r="D5519" i="1"/>
  <c r="D4006" i="1"/>
  <c r="D5083" i="1"/>
  <c r="D3435" i="1"/>
  <c r="D5234" i="1"/>
  <c r="D5165" i="1"/>
  <c r="D4192" i="1"/>
  <c r="D4619" i="1"/>
  <c r="D5316" i="1"/>
  <c r="D5319" i="1"/>
  <c r="D5683" i="1"/>
  <c r="D5929" i="1"/>
  <c r="D4653" i="1"/>
  <c r="D5253" i="1"/>
  <c r="D5907" i="1"/>
  <c r="D5271" i="1"/>
  <c r="D4127" i="1"/>
  <c r="D4889" i="1"/>
  <c r="D5058" i="1"/>
  <c r="D5742" i="1"/>
  <c r="D5306" i="1"/>
  <c r="D4754" i="1"/>
  <c r="D4430" i="1"/>
  <c r="D3914" i="1"/>
  <c r="D4160" i="1"/>
  <c r="D4145" i="1"/>
  <c r="D5595" i="1"/>
  <c r="D4257" i="1"/>
  <c r="D5298" i="1"/>
  <c r="D5864" i="1"/>
  <c r="D4710" i="1"/>
  <c r="D5346" i="1"/>
  <c r="D5175" i="1"/>
  <c r="D4639" i="1"/>
  <c r="D3123" i="1"/>
  <c r="D3622" i="1"/>
  <c r="D5412" i="1"/>
  <c r="D5288" i="1"/>
  <c r="D5613" i="1"/>
  <c r="D4287" i="1"/>
  <c r="D5387" i="1"/>
  <c r="D5706" i="1"/>
  <c r="D5654" i="1"/>
  <c r="D5118" i="1"/>
  <c r="D5427" i="1"/>
  <c r="D4964" i="1"/>
  <c r="D4794" i="1"/>
  <c r="D5320" i="1"/>
  <c r="D4659" i="1"/>
  <c r="D4528" i="1"/>
  <c r="D5201" i="1"/>
  <c r="D3997" i="1"/>
  <c r="D4536" i="1"/>
  <c r="D4983" i="1"/>
  <c r="D4085" i="1"/>
  <c r="D5448" i="1"/>
  <c r="D3455" i="1"/>
  <c r="D5068" i="1"/>
  <c r="D5616" i="1"/>
  <c r="D4737" i="1"/>
  <c r="D5246" i="1"/>
  <c r="D4110" i="1"/>
  <c r="D4819" i="1"/>
  <c r="D5426" i="1"/>
  <c r="D4970" i="1"/>
  <c r="D5019" i="1"/>
  <c r="D5476" i="1"/>
  <c r="D5373" i="1"/>
  <c r="D4929" i="1"/>
  <c r="D4734" i="1"/>
  <c r="D4483" i="1"/>
  <c r="D3817" i="1"/>
  <c r="D5090" i="1"/>
  <c r="D4001" i="1"/>
  <c r="D3471" i="1"/>
  <c r="D5338" i="1"/>
  <c r="D4783" i="1"/>
  <c r="D4322" i="1"/>
  <c r="D4077" i="1"/>
  <c r="D4679" i="1"/>
  <c r="D3989" i="1"/>
  <c r="D4950" i="1"/>
  <c r="D4969" i="1"/>
  <c r="D5388" i="1"/>
  <c r="D5395" i="1"/>
  <c r="D5914" i="1"/>
  <c r="D5135" i="1"/>
  <c r="D4943" i="1"/>
  <c r="D3347" i="1"/>
  <c r="D5269" i="1"/>
  <c r="D4912" i="1"/>
  <c r="D5893" i="1"/>
  <c r="D4997" i="1"/>
  <c r="D4891" i="1"/>
  <c r="D4668" i="1"/>
  <c r="D3763" i="1"/>
  <c r="D4154" i="1"/>
  <c r="D4939" i="1"/>
  <c r="D4990" i="1"/>
  <c r="D5371" i="1"/>
  <c r="D4662" i="1"/>
  <c r="D6182" i="1"/>
  <c r="D4762" i="1"/>
  <c r="D4401" i="1"/>
  <c r="D3360" i="1"/>
  <c r="D3839" i="1"/>
  <c r="D3532" i="1"/>
  <c r="D3936" i="1"/>
  <c r="D4115" i="1"/>
  <c r="D4930" i="1"/>
  <c r="D4468" i="1"/>
  <c r="D5368" i="1"/>
  <c r="D4879" i="1"/>
  <c r="D3404" i="1"/>
  <c r="D5134" i="1"/>
  <c r="D5051" i="1"/>
  <c r="D2994" i="1"/>
  <c r="D5631" i="1"/>
  <c r="D3401" i="1"/>
  <c r="D4928" i="1"/>
  <c r="D4755" i="1"/>
  <c r="D3658" i="1"/>
  <c r="D4190" i="1"/>
  <c r="D4477" i="1"/>
  <c r="D3797" i="1"/>
  <c r="D5081" i="1"/>
  <c r="D4830" i="1"/>
  <c r="D4107" i="1"/>
  <c r="D4457" i="1"/>
  <c r="D4361" i="1"/>
  <c r="D3686" i="1"/>
  <c r="D4576" i="1"/>
  <c r="D5039" i="1"/>
  <c r="D3450" i="1"/>
  <c r="D4074" i="1"/>
  <c r="D3647" i="1"/>
  <c r="D4384" i="1"/>
  <c r="D5287" i="1"/>
  <c r="D3094" i="1"/>
  <c r="D4260" i="1"/>
  <c r="D4097" i="1"/>
  <c r="D4054" i="1"/>
  <c r="D3965" i="1"/>
  <c r="D3673" i="1"/>
  <c r="D4382" i="1"/>
  <c r="D4541" i="1"/>
  <c r="D3697" i="1"/>
  <c r="D5109" i="1"/>
  <c r="D5620" i="1"/>
  <c r="D5119" i="1"/>
  <c r="D3805" i="1"/>
  <c r="D5229" i="1"/>
  <c r="D4078" i="1"/>
  <c r="D5219" i="1"/>
  <c r="D4061" i="1"/>
  <c r="D3960" i="1"/>
  <c r="D2869" i="1"/>
  <c r="D3397" i="1"/>
  <c r="D4866" i="1"/>
  <c r="D3700" i="1"/>
  <c r="D2908" i="1"/>
  <c r="D3750" i="1"/>
  <c r="D4612" i="1"/>
  <c r="D3506" i="1"/>
  <c r="D4722" i="1"/>
  <c r="D5263" i="1"/>
  <c r="D4469" i="1"/>
  <c r="D4161" i="1"/>
  <c r="D3746" i="1"/>
  <c r="D4991" i="1"/>
  <c r="D4594" i="1"/>
  <c r="D4618" i="1"/>
  <c r="D6093" i="1"/>
  <c r="D4941" i="1"/>
  <c r="D2458" i="1"/>
  <c r="D4621" i="1"/>
  <c r="D4581" i="1"/>
  <c r="D5217" i="1"/>
  <c r="D4735" i="1"/>
  <c r="D4248" i="1"/>
  <c r="D2249" i="1"/>
  <c r="D5085" i="1"/>
  <c r="D5259" i="1"/>
  <c r="D4561" i="1"/>
  <c r="D4967" i="1"/>
  <c r="D5277" i="1"/>
  <c r="D5447" i="1"/>
  <c r="D4875" i="1"/>
  <c r="D3182" i="1"/>
  <c r="D3662" i="1"/>
  <c r="D4829" i="1"/>
  <c r="D4721" i="1"/>
  <c r="D5163" i="1"/>
  <c r="D3927" i="1"/>
  <c r="D4230" i="1"/>
  <c r="D4241" i="1"/>
  <c r="D3373" i="1"/>
  <c r="D4643" i="1"/>
  <c r="D3794" i="1"/>
  <c r="D5332" i="1"/>
  <c r="D3382" i="1"/>
  <c r="D4254" i="1"/>
  <c r="D4744" i="1"/>
  <c r="D3905" i="1"/>
  <c r="D5274" i="1"/>
  <c r="D4310" i="1"/>
  <c r="D4117" i="1"/>
  <c r="D3931" i="1"/>
  <c r="D4498" i="1"/>
  <c r="D3342" i="1"/>
  <c r="D5082" i="1"/>
  <c r="D4304" i="1"/>
  <c r="D2659" i="1"/>
  <c r="D3431" i="1"/>
  <c r="D4210" i="1"/>
  <c r="D4237" i="1"/>
  <c r="D3790" i="1"/>
  <c r="D4309" i="1"/>
  <c r="D3318" i="1"/>
  <c r="D3211" i="1"/>
  <c r="D3911" i="1"/>
  <c r="D5001" i="1"/>
  <c r="D4273" i="1"/>
  <c r="D2802" i="1"/>
  <c r="D5046" i="1"/>
  <c r="D2998" i="1"/>
  <c r="D2761" i="1"/>
  <c r="D3479" i="1"/>
  <c r="D4068" i="1"/>
  <c r="D4124" i="1"/>
  <c r="D5125" i="1"/>
  <c r="D1428" i="1"/>
  <c r="D4313" i="1"/>
  <c r="D3405" i="1"/>
  <c r="D5872" i="1"/>
  <c r="D1441" i="1"/>
  <c r="D4842" i="1"/>
  <c r="D3584" i="1"/>
  <c r="D3308" i="1"/>
  <c r="D2596" i="1"/>
  <c r="D5040" i="1"/>
  <c r="D2814" i="1"/>
  <c r="D2626" i="1"/>
  <c r="D3698" i="1"/>
  <c r="D4474" i="1"/>
  <c r="D4775" i="1"/>
  <c r="D5633" i="1"/>
  <c r="D3915" i="1"/>
  <c r="D4381" i="1"/>
  <c r="D4896" i="1"/>
  <c r="D4129" i="1"/>
  <c r="D3390" i="1"/>
  <c r="D2545" i="1"/>
  <c r="D3549" i="1"/>
  <c r="D4534" i="1"/>
  <c r="D2313" i="1"/>
  <c r="D5225" i="1"/>
  <c r="D4642" i="1"/>
  <c r="D3900" i="1"/>
  <c r="D3343" i="1"/>
  <c r="D3826" i="1"/>
  <c r="D4370" i="1"/>
  <c r="D4249" i="1"/>
  <c r="D2374" i="1"/>
  <c r="D3888" i="1"/>
  <c r="D4084" i="1"/>
  <c r="D5021" i="1"/>
  <c r="D3974" i="1"/>
  <c r="D4387" i="1"/>
  <c r="D3466" i="1"/>
  <c r="D4327" i="1"/>
  <c r="D3521" i="1"/>
  <c r="D2299" i="1"/>
  <c r="D3679" i="1"/>
  <c r="D3520" i="1"/>
  <c r="D4130" i="1"/>
  <c r="D3550" i="1"/>
  <c r="D4426" i="1"/>
  <c r="D3000" i="1"/>
  <c r="D3684" i="1"/>
  <c r="D2535" i="1"/>
  <c r="D2033" i="1"/>
  <c r="D3922" i="1"/>
  <c r="D2539" i="1"/>
  <c r="D4288" i="1"/>
  <c r="D5688" i="1"/>
  <c r="D4444" i="1"/>
  <c r="D5142" i="1"/>
  <c r="D2371" i="1"/>
  <c r="D2944" i="1"/>
  <c r="D4261" i="1"/>
  <c r="D4637" i="1"/>
  <c r="D4517" i="1"/>
  <c r="D2030" i="1"/>
  <c r="D3699" i="1"/>
  <c r="D4454" i="1"/>
  <c r="D4764" i="1"/>
  <c r="D4752" i="1"/>
  <c r="D4128" i="1"/>
  <c r="D4966" i="1"/>
  <c r="D5480" i="1"/>
  <c r="D4132" i="1"/>
  <c r="D4332" i="1"/>
  <c r="D3464" i="1"/>
  <c r="D4189" i="1"/>
  <c r="D4226" i="1"/>
  <c r="D4731" i="1"/>
  <c r="D3152" i="1"/>
  <c r="D2320" i="1"/>
  <c r="D2293" i="1"/>
  <c r="D4852" i="1"/>
  <c r="D3782" i="1"/>
  <c r="D3661" i="1"/>
  <c r="D4531" i="1"/>
  <c r="D1648" i="1"/>
  <c r="D4125" i="1"/>
  <c r="D3807" i="1"/>
  <c r="D2119" i="1"/>
  <c r="D5231" i="1"/>
  <c r="D2617" i="1"/>
  <c r="D4441" i="1"/>
  <c r="D4048" i="1"/>
  <c r="D2203" i="1"/>
  <c r="D3500" i="1"/>
  <c r="D3867" i="1"/>
  <c r="D5482" i="1"/>
  <c r="D1943" i="1"/>
  <c r="D3442" i="1"/>
  <c r="D4355" i="1"/>
  <c r="D3674" i="1"/>
  <c r="D4470" i="1"/>
  <c r="D3985" i="1"/>
  <c r="D1878" i="1"/>
  <c r="D2820" i="1"/>
  <c r="D2245" i="1"/>
  <c r="D4146" i="1"/>
  <c r="D3008" i="1"/>
  <c r="D3249" i="1"/>
  <c r="D2630" i="1"/>
  <c r="D3496" i="1"/>
  <c r="D2331" i="1"/>
  <c r="D3524" i="1"/>
  <c r="D3383" i="1"/>
  <c r="D3996" i="1"/>
  <c r="D3824" i="1"/>
  <c r="D4150" i="1"/>
  <c r="D4328" i="1"/>
  <c r="D3768" i="1"/>
  <c r="D4742" i="1"/>
  <c r="D4864" i="1"/>
  <c r="D2423" i="1"/>
  <c r="D3644" i="1"/>
  <c r="D4123" i="1"/>
  <c r="D4609" i="1"/>
  <c r="D3514" i="1"/>
  <c r="D4968" i="1"/>
  <c r="D3484" i="1"/>
  <c r="D3845" i="1"/>
  <c r="D3800" i="1"/>
  <c r="D3626" i="1"/>
  <c r="D1135" i="1"/>
  <c r="D2470" i="1"/>
  <c r="D4157" i="1"/>
  <c r="D3228" i="1"/>
  <c r="D4365" i="1"/>
  <c r="D3798" i="1"/>
  <c r="D2317" i="1"/>
  <c r="D3453" i="1"/>
  <c r="D4104" i="1"/>
  <c r="D2711" i="1"/>
  <c r="D4005" i="1"/>
  <c r="D3106" i="1"/>
  <c r="D3528" i="1"/>
  <c r="D1242" i="1"/>
  <c r="D3336" i="1"/>
  <c r="D4901" i="1"/>
  <c r="D4701" i="1"/>
  <c r="D6055" i="1"/>
  <c r="D2311" i="1"/>
  <c r="D4032" i="1"/>
  <c r="D5149" i="1"/>
  <c r="D1785" i="1"/>
  <c r="D2486" i="1"/>
  <c r="D3895" i="1"/>
  <c r="D4294" i="1"/>
  <c r="D3705" i="1"/>
  <c r="D2875" i="1"/>
  <c r="D2529" i="1"/>
  <c r="D2877" i="1"/>
  <c r="D2981" i="1"/>
  <c r="D1952" i="1"/>
  <c r="D3773" i="1"/>
  <c r="D4585" i="1"/>
  <c r="D1578" i="1"/>
  <c r="D5807" i="1"/>
  <c r="D5077" i="1"/>
  <c r="D3287" i="1"/>
  <c r="D4834" i="1"/>
  <c r="D3877" i="1"/>
  <c r="D4009" i="1"/>
  <c r="D4012" i="1"/>
  <c r="D3312" i="1"/>
  <c r="D5318" i="1"/>
  <c r="D4684" i="1"/>
  <c r="D3370" i="1"/>
  <c r="D3489" i="1"/>
  <c r="D1502" i="1"/>
  <c r="D2654" i="1"/>
  <c r="D1208" i="1"/>
  <c r="D2082" i="1"/>
  <c r="D1001" i="1"/>
  <c r="D1762" i="1"/>
  <c r="D2984" i="1"/>
  <c r="D1863" i="1"/>
  <c r="D1409" i="1"/>
  <c r="D2060" i="1"/>
  <c r="D1153" i="1"/>
  <c r="D1190" i="1"/>
  <c r="D2009" i="1"/>
  <c r="D1395" i="1"/>
  <c r="D1253" i="1"/>
  <c r="D972" i="1"/>
  <c r="D2046" i="1"/>
  <c r="D1051" i="1"/>
  <c r="D2039" i="1"/>
  <c r="D1547" i="1"/>
  <c r="D963" i="1"/>
  <c r="D1714" i="1"/>
  <c r="D1258" i="1"/>
  <c r="D2068" i="1"/>
  <c r="D3218" i="1"/>
  <c r="D822" i="1"/>
  <c r="D2300" i="1"/>
  <c r="D3535" i="1"/>
  <c r="D3395" i="1"/>
  <c r="D2638" i="1"/>
  <c r="D1262" i="1"/>
  <c r="D3641" i="1"/>
  <c r="D1966" i="1"/>
  <c r="D1131" i="1"/>
  <c r="D2410" i="1"/>
  <c r="D989" i="1"/>
  <c r="D4907" i="1"/>
  <c r="D3096" i="1"/>
  <c r="D4938" i="1"/>
  <c r="D4564" i="1"/>
  <c r="D2084" i="1"/>
  <c r="D2695" i="1"/>
  <c r="D3556" i="1"/>
  <c r="D2294" i="1"/>
  <c r="D4121" i="1"/>
  <c r="D2613" i="1"/>
  <c r="D2061" i="1"/>
  <c r="D3348" i="1"/>
  <c r="D1756" i="1"/>
  <c r="D1559" i="1"/>
  <c r="D1851" i="1"/>
  <c r="D911" i="1"/>
  <c r="D2136" i="1"/>
  <c r="D3025" i="1"/>
  <c r="D3256" i="1"/>
  <c r="D2094" i="1"/>
  <c r="D1220" i="1"/>
  <c r="D2363" i="1"/>
  <c r="D874" i="1"/>
  <c r="D1421" i="1"/>
  <c r="D2013" i="1"/>
  <c r="D3637" i="1"/>
  <c r="D2003" i="1"/>
  <c r="D1769" i="1"/>
  <c r="D3160" i="1"/>
  <c r="D1817" i="1"/>
  <c r="D2598" i="1"/>
  <c r="D4565" i="1"/>
  <c r="D2712" i="1"/>
  <c r="D2170" i="1"/>
  <c r="D3137" i="1"/>
  <c r="D4494" i="1"/>
  <c r="D2679" i="1"/>
  <c r="D2781" i="1"/>
  <c r="D4772" i="1"/>
  <c r="D2427" i="1"/>
  <c r="D1748" i="1"/>
  <c r="D3791" i="1"/>
  <c r="D2934" i="1"/>
  <c r="D2653" i="1"/>
  <c r="D3133" i="1"/>
  <c r="D2126" i="1"/>
  <c r="D1367" i="1"/>
  <c r="D3823" i="1"/>
  <c r="D2224" i="1"/>
  <c r="D2824" i="1"/>
  <c r="D3361" i="1"/>
  <c r="D3067" i="1"/>
  <c r="D2187" i="1"/>
  <c r="D2620" i="1"/>
  <c r="D3023" i="1"/>
  <c r="D1796" i="1"/>
  <c r="D1290" i="1"/>
  <c r="D3369" i="1"/>
  <c r="D1586" i="1"/>
  <c r="D2888" i="1"/>
  <c r="D2606" i="1"/>
  <c r="D1573" i="1"/>
  <c r="D3433" i="1"/>
  <c r="D2029" i="1"/>
  <c r="D1104" i="1"/>
  <c r="D2023" i="1"/>
  <c r="D1221" i="1"/>
  <c r="D1332" i="1"/>
  <c r="D857" i="1"/>
  <c r="D4394" i="1"/>
  <c r="D1035" i="1"/>
  <c r="D1916" i="1"/>
  <c r="D4196" i="1"/>
  <c r="D1306" i="1"/>
  <c r="D1364" i="1"/>
  <c r="D1518" i="1"/>
  <c r="D3037" i="1"/>
  <c r="D1244" i="1"/>
  <c r="D1594" i="1"/>
  <c r="D3334" i="1"/>
  <c r="D958" i="1"/>
  <c r="D3167" i="1"/>
  <c r="D3398" i="1"/>
  <c r="D2811" i="1"/>
  <c r="D1056" i="1"/>
  <c r="D2378" i="1"/>
  <c r="D4851" i="1"/>
  <c r="D2309" i="1"/>
  <c r="D1000" i="1"/>
  <c r="D2160" i="1"/>
  <c r="D2782" i="1"/>
  <c r="D1439" i="1"/>
  <c r="D3497" i="1"/>
  <c r="D4604" i="1"/>
  <c r="D3169" i="1"/>
  <c r="D1177" i="1"/>
  <c r="D750" i="1"/>
  <c r="D5106" i="1"/>
  <c r="D1855" i="1"/>
  <c r="D1605" i="1"/>
  <c r="D5606" i="1"/>
  <c r="D2720" i="1"/>
  <c r="D2166" i="1"/>
  <c r="D2668" i="1"/>
  <c r="D3921" i="1"/>
  <c r="D1892" i="1"/>
  <c r="D3147" i="1"/>
  <c r="D3691" i="1"/>
  <c r="D4396" i="1"/>
  <c r="D1110" i="1"/>
  <c r="D1536" i="1"/>
  <c r="D904" i="1"/>
  <c r="D1302" i="1"/>
  <c r="D2236" i="1"/>
  <c r="D1316" i="1"/>
  <c r="D4446" i="1"/>
  <c r="D3420" i="1"/>
  <c r="D1917" i="1"/>
  <c r="D1347" i="1"/>
  <c r="D2487" i="1"/>
  <c r="D3230" i="1"/>
  <c r="D1692" i="1"/>
  <c r="D2297" i="1"/>
  <c r="D1839" i="1"/>
  <c r="D4086" i="1"/>
  <c r="D1750" i="1"/>
  <c r="D3999" i="1"/>
  <c r="D2556" i="1"/>
  <c r="D1360" i="1"/>
  <c r="D2442" i="1"/>
  <c r="D3293" i="1"/>
  <c r="D4537" i="1"/>
  <c r="D2128" i="1"/>
  <c r="D2779" i="1"/>
  <c r="D2825" i="1"/>
  <c r="D4069" i="1"/>
  <c r="D4464" i="1"/>
  <c r="D1526" i="1"/>
  <c r="D1742" i="1"/>
  <c r="D3350" i="1"/>
  <c r="D1136" i="1"/>
  <c r="D2789" i="1"/>
  <c r="D3695" i="1"/>
  <c r="D1564" i="1"/>
  <c r="D1273" i="1"/>
  <c r="D1267" i="1"/>
  <c r="D1949" i="1"/>
  <c r="D1907" i="1"/>
  <c r="D5464" i="1"/>
  <c r="D3039" i="1"/>
  <c r="D2161" i="1"/>
  <c r="D2231" i="1"/>
  <c r="D2417" i="1"/>
  <c r="D1032" i="1"/>
  <c r="D1821" i="1"/>
  <c r="D2079" i="1"/>
  <c r="D3220" i="1"/>
  <c r="D1857" i="1"/>
  <c r="D4079" i="1"/>
  <c r="D1684" i="1"/>
  <c r="D1410" i="1"/>
  <c r="D2641" i="1"/>
  <c r="D2909" i="1"/>
  <c r="D1238" i="1"/>
  <c r="D899" i="1"/>
  <c r="D1172" i="1"/>
  <c r="D2925" i="1"/>
  <c r="D1643" i="1"/>
  <c r="D3355" i="1"/>
  <c r="D3064" i="1"/>
  <c r="D2359" i="1"/>
  <c r="D2318" i="1"/>
  <c r="D4274" i="1"/>
  <c r="D1272" i="1"/>
  <c r="D2594" i="1"/>
  <c r="D2541" i="1"/>
  <c r="D2829" i="1"/>
  <c r="D3560" i="1"/>
  <c r="D2015" i="1"/>
  <c r="D3639" i="1"/>
  <c r="D1472" i="1"/>
  <c r="D1126" i="1"/>
  <c r="D1345" i="1"/>
  <c r="D1550" i="1"/>
  <c r="D2830" i="1"/>
  <c r="D2345" i="1"/>
  <c r="D1886" i="1"/>
  <c r="D2225" i="1"/>
  <c r="D932" i="1"/>
  <c r="D3765" i="1"/>
  <c r="D976" i="1"/>
  <c r="D3268" i="1"/>
  <c r="D1529" i="1"/>
  <c r="D656" i="1"/>
  <c r="D2310" i="1"/>
  <c r="D2540" i="1"/>
  <c r="D2686" i="1"/>
  <c r="D4268" i="1"/>
  <c r="D2316" i="1"/>
  <c r="D2507" i="1"/>
  <c r="D2173" i="1"/>
  <c r="D3206" i="1"/>
  <c r="D4677" i="1"/>
  <c r="D734" i="1"/>
  <c r="D1580" i="1"/>
  <c r="D4607" i="1"/>
  <c r="D3323" i="1"/>
  <c r="D3702" i="1"/>
  <c r="D2905" i="1"/>
  <c r="D3174" i="1"/>
  <c r="D1758" i="1"/>
  <c r="D4826" i="1"/>
  <c r="D3876" i="1"/>
  <c r="D1662" i="1"/>
  <c r="D2090" i="1"/>
  <c r="D5052" i="1"/>
  <c r="D4521" i="1"/>
  <c r="D4471" i="1"/>
  <c r="D2870" i="1"/>
  <c r="D1818" i="1"/>
  <c r="D3499" i="1"/>
  <c r="D2454" i="1"/>
  <c r="D3413" i="1"/>
  <c r="D1389" i="1"/>
  <c r="D1505" i="1"/>
  <c r="D2002" i="1"/>
  <c r="D3967" i="1"/>
  <c r="D3970" i="1"/>
  <c r="D4757" i="1"/>
  <c r="D3966" i="1"/>
  <c r="D2483" i="1"/>
  <c r="D1850" i="1"/>
  <c r="D2377" i="1"/>
  <c r="D2411" i="1"/>
  <c r="D4636" i="1"/>
  <c r="D2978" i="1"/>
  <c r="D3838" i="1"/>
  <c r="D2125" i="1"/>
  <c r="D2439" i="1"/>
  <c r="D3507" i="1"/>
  <c r="D4953" i="1"/>
  <c r="D3215" i="1"/>
  <c r="D2803" i="1"/>
  <c r="D4972" i="1"/>
  <c r="D4011" i="1"/>
  <c r="D3070" i="1"/>
  <c r="D4825" i="1"/>
  <c r="D4572" i="1"/>
  <c r="D5222" i="1"/>
  <c r="D5063" i="1"/>
  <c r="D4988" i="1"/>
  <c r="D4509" i="1"/>
  <c r="D1385" i="1"/>
  <c r="D2452" i="1"/>
  <c r="D2065" i="1"/>
  <c r="D3977" i="1"/>
  <c r="D2333" i="1"/>
  <c r="D1963" i="1"/>
  <c r="D1856" i="1"/>
  <c r="D2741" i="1"/>
  <c r="D3730" i="1"/>
  <c r="D4495" i="1"/>
  <c r="D4170" i="1"/>
  <c r="D3188" i="1"/>
  <c r="D2757" i="1"/>
  <c r="D1403" i="1"/>
  <c r="D3462" i="1"/>
  <c r="D2073" i="1"/>
  <c r="D1581" i="1"/>
  <c r="D4546" i="1"/>
  <c r="D4436" i="1"/>
  <c r="D2628" i="1"/>
  <c r="D3041" i="1"/>
  <c r="D3962" i="1"/>
  <c r="D3649" i="1"/>
  <c r="D5420" i="1"/>
  <c r="D4867" i="1"/>
  <c r="D5086" i="1"/>
  <c r="D2885" i="1"/>
  <c r="D3244" i="1"/>
  <c r="D1541" i="1"/>
  <c r="D3082" i="1"/>
  <c r="D1509" i="1"/>
  <c r="D4216" i="1"/>
  <c r="D5024" i="1"/>
  <c r="D2445" i="1"/>
  <c r="D1759" i="1"/>
  <c r="D2937" i="1"/>
  <c r="D4271" i="1"/>
  <c r="D2755" i="1"/>
  <c r="D1867" i="1"/>
  <c r="D1937" i="1"/>
  <c r="D2109" i="1"/>
  <c r="D4810" i="1"/>
  <c r="D4597" i="1"/>
  <c r="D4683" i="1"/>
  <c r="D4473" i="1"/>
  <c r="D5210" i="1"/>
  <c r="D4916" i="1"/>
  <c r="D3158" i="1"/>
  <c r="D4037" i="1"/>
  <c r="D3071" i="1"/>
  <c r="D2393" i="1"/>
  <c r="D2710" i="1"/>
  <c r="D2834" i="1"/>
  <c r="D2538" i="1"/>
  <c r="D2111" i="1"/>
  <c r="D1814" i="1"/>
  <c r="D2622" i="1"/>
  <c r="D3913" i="1"/>
  <c r="D4336" i="1"/>
  <c r="D3396" i="1"/>
  <c r="D2355" i="1"/>
  <c r="D2038" i="1"/>
  <c r="D2281" i="1"/>
  <c r="D2855" i="1"/>
  <c r="D2148" i="1"/>
  <c r="D2017" i="1"/>
  <c r="D3971" i="1"/>
  <c r="D3166" i="1"/>
  <c r="D2282" i="1"/>
  <c r="D3443" i="1"/>
  <c r="D2127" i="1"/>
  <c r="D1816" i="1"/>
  <c r="D1618" i="1"/>
  <c r="D4269" i="1"/>
  <c r="D3671" i="1"/>
  <c r="D4002" i="1"/>
  <c r="D3305" i="1"/>
  <c r="D3275" i="1"/>
  <c r="D2708" i="1"/>
  <c r="D2426" i="1"/>
  <c r="D4331" i="1"/>
  <c r="D3949" i="1"/>
  <c r="D3393" i="1"/>
  <c r="D2954" i="1"/>
  <c r="D1789" i="1"/>
  <c r="D1621" i="1"/>
  <c r="D3917" i="1"/>
  <c r="D5023" i="1"/>
  <c r="D4022" i="1"/>
  <c r="D3460" i="1"/>
  <c r="D1832" i="1"/>
  <c r="D1534" i="1"/>
  <c r="D2336" i="1"/>
  <c r="D3277" i="1"/>
  <c r="D3151" i="1"/>
  <c r="D4903" i="1"/>
  <c r="D1259" i="1"/>
  <c r="D4102" i="1"/>
  <c r="D2063" i="1"/>
  <c r="D4481" i="1"/>
  <c r="D2421" i="1"/>
  <c r="D3403" i="1"/>
  <c r="D2677" i="1"/>
  <c r="D3325" i="1"/>
  <c r="D3183" i="1"/>
  <c r="D4502" i="1"/>
  <c r="D2399" i="1"/>
  <c r="D3732" i="1"/>
  <c r="D2508" i="1"/>
  <c r="D3108" i="1"/>
  <c r="D4255" i="1"/>
  <c r="D2395" i="1"/>
  <c r="D4103" i="1"/>
  <c r="D2839" i="1"/>
  <c r="D2351" i="1"/>
  <c r="D2972" i="1"/>
  <c r="D2286" i="1"/>
  <c r="D3421" i="1"/>
  <c r="D3862" i="1"/>
  <c r="D3423" i="1"/>
  <c r="D2691" i="1"/>
  <c r="D3085" i="1"/>
  <c r="D1339" i="1"/>
  <c r="D2951" i="1"/>
  <c r="D2222" i="1"/>
  <c r="D2565" i="1"/>
  <c r="D4290" i="1"/>
  <c r="D3503" i="1"/>
  <c r="D1743" i="1"/>
  <c r="D3056" i="1"/>
  <c r="D3619" i="1"/>
  <c r="D3813" i="1"/>
  <c r="D2226" i="1"/>
  <c r="D2070" i="1"/>
  <c r="D3796" i="1"/>
  <c r="D1602" i="1"/>
  <c r="D3581" i="1"/>
  <c r="D3555" i="1"/>
  <c r="D2785" i="1"/>
  <c r="D3748" i="1"/>
  <c r="D3190" i="1"/>
  <c r="D3109" i="1"/>
  <c r="D4144" i="1"/>
  <c r="D3908" i="1"/>
  <c r="D2729" i="1"/>
  <c r="D1503" i="1"/>
  <c r="D4400" i="1"/>
  <c r="D1964" i="1"/>
  <c r="D4338" i="1"/>
  <c r="D1806" i="1"/>
  <c r="D2273" i="1"/>
  <c r="D2323" i="1"/>
  <c r="D2736" i="1"/>
  <c r="D2156" i="1"/>
  <c r="D3559" i="1"/>
  <c r="D1702" i="1"/>
  <c r="D4035" i="1"/>
  <c r="D2730" i="1"/>
  <c r="D1436" i="1"/>
  <c r="D1654" i="1"/>
  <c r="D2948" i="1"/>
  <c r="D2764" i="1"/>
  <c r="D1657" i="1"/>
  <c r="D4135" i="1"/>
  <c r="D5120" i="1"/>
  <c r="D2637" i="1"/>
  <c r="D3113" i="1"/>
  <c r="D2639" i="1"/>
  <c r="D1658" i="1"/>
  <c r="D2044" i="1"/>
  <c r="D3282" i="1"/>
  <c r="D3311" i="1"/>
  <c r="D3879" i="1"/>
  <c r="D2903" i="1"/>
  <c r="D2690" i="1"/>
  <c r="D2443" i="1"/>
  <c r="D2517" i="1"/>
  <c r="D1882" i="1"/>
  <c r="D5078" i="1"/>
  <c r="D3526" i="1"/>
  <c r="D2413" i="1"/>
  <c r="D1686" i="1"/>
  <c r="D2444" i="1"/>
  <c r="D2758" i="1"/>
  <c r="D2929" i="1"/>
  <c r="D1631" i="1"/>
  <c r="D2146" i="1"/>
  <c r="D1456" i="1"/>
  <c r="D1527" i="1"/>
  <c r="D1833" i="1"/>
  <c r="D2574" i="1"/>
  <c r="D2680" i="1"/>
  <c r="D3710" i="1"/>
  <c r="D4431" i="1"/>
  <c r="D1746" i="1"/>
  <c r="D2920" i="1"/>
  <c r="D2575" i="1"/>
  <c r="D2671" i="1"/>
  <c r="D1761" i="1"/>
  <c r="D1973" i="1"/>
  <c r="D2383" i="1"/>
  <c r="D3975" i="1"/>
  <c r="D4652" i="1"/>
  <c r="D1442" i="1"/>
  <c r="D4427" i="1"/>
  <c r="D3950" i="1"/>
  <c r="D3248" i="1"/>
  <c r="D1322" i="1"/>
  <c r="D3195" i="1"/>
  <c r="D986" i="1"/>
  <c r="D2512" i="1"/>
  <c r="D2573" i="1"/>
  <c r="D1698" i="1"/>
  <c r="D3688" i="1"/>
  <c r="D4835" i="1"/>
  <c r="D2523" i="1"/>
  <c r="D1268" i="1"/>
  <c r="D2643" i="1"/>
  <c r="D1061" i="1"/>
  <c r="D875" i="1"/>
  <c r="D3573" i="1"/>
  <c r="D1634" i="1"/>
  <c r="D1022" i="1"/>
  <c r="D1067" i="1"/>
  <c r="D1475" i="1"/>
  <c r="D3880" i="1"/>
  <c r="D3600" i="1"/>
  <c r="D2152" i="1"/>
  <c r="D3924" i="1"/>
  <c r="D2889" i="1"/>
  <c r="D2047" i="1"/>
  <c r="D978" i="1"/>
  <c r="D1655" i="1"/>
  <c r="D1925" i="1"/>
  <c r="D1858" i="1"/>
  <c r="D1897" i="1"/>
  <c r="D853" i="1"/>
  <c r="D1021" i="1"/>
  <c r="D2256" i="1"/>
  <c r="D1137" i="1"/>
  <c r="D3005" i="1"/>
  <c r="D1728" i="1"/>
  <c r="D881" i="1"/>
  <c r="D2911" i="1"/>
  <c r="D3043" i="1"/>
  <c r="D1996" i="1"/>
  <c r="D4239" i="1"/>
  <c r="D1826" i="1"/>
  <c r="D1413" i="1"/>
  <c r="D1415" i="1"/>
  <c r="D1066" i="1"/>
  <c r="D5014" i="1"/>
  <c r="D961" i="1"/>
  <c r="D1960" i="1"/>
  <c r="D2167" i="1"/>
  <c r="D3884" i="1"/>
  <c r="D2112" i="1"/>
  <c r="D1508" i="1"/>
  <c r="D2036" i="1"/>
  <c r="D1285" i="1"/>
  <c r="D3759" i="1"/>
  <c r="D726" i="1"/>
  <c r="D4405" i="1"/>
  <c r="D883" i="1"/>
  <c r="D1010" i="1"/>
  <c r="D1642" i="1"/>
  <c r="D774" i="1"/>
  <c r="D4251" i="1"/>
  <c r="D3120" i="1"/>
  <c r="D1171" i="1"/>
  <c r="D1721" i="1"/>
  <c r="D1411" i="1"/>
  <c r="D3986" i="1"/>
  <c r="D2471" i="1"/>
  <c r="D1672" i="1"/>
  <c r="D2850" i="1"/>
  <c r="D2144" i="1"/>
  <c r="D1587" i="1"/>
  <c r="D4036" i="1"/>
  <c r="D4725" i="1"/>
  <c r="D2138" i="1"/>
  <c r="D2349" i="1"/>
  <c r="D2206" i="1"/>
  <c r="D1788" i="1"/>
  <c r="D1227" i="1"/>
  <c r="D1934" i="1"/>
  <c r="D1483" i="1"/>
  <c r="D2961" i="1"/>
  <c r="D1384" i="1"/>
  <c r="D2004" i="1"/>
  <c r="D2382" i="1"/>
  <c r="D2970" i="1"/>
  <c r="D4162" i="1"/>
  <c r="D2217" i="1"/>
  <c r="D1437" i="1"/>
  <c r="D1495" i="1"/>
  <c r="D4182" i="1"/>
  <c r="D5315" i="1"/>
  <c r="D2878" i="1"/>
  <c r="D4404" i="1"/>
  <c r="D3598" i="1"/>
  <c r="D2522" i="1"/>
  <c r="D3586" i="1"/>
  <c r="D4219" i="1"/>
  <c r="D1987" i="1"/>
  <c r="D1887" i="1"/>
  <c r="D4489" i="1"/>
  <c r="D3301" i="1"/>
  <c r="D2288" i="1"/>
  <c r="D2123" i="1"/>
  <c r="D2883" i="1"/>
  <c r="D2050" i="1"/>
  <c r="D3208" i="1"/>
  <c r="D5092" i="1"/>
  <c r="D4756" i="1"/>
  <c r="D4475" i="1"/>
  <c r="D1355" i="1"/>
  <c r="D964" i="1"/>
  <c r="D1639" i="1"/>
  <c r="D2631" i="1"/>
  <c r="D854" i="1"/>
  <c r="D1029" i="1"/>
  <c r="D2279" i="1"/>
  <c r="D3088" i="1"/>
  <c r="D2007" i="1"/>
  <c r="D1181" i="1"/>
  <c r="D2840" i="1"/>
  <c r="D1320" i="1"/>
  <c r="D1023" i="1"/>
  <c r="D1947" i="1"/>
  <c r="D1266" i="1"/>
  <c r="D3014" i="1"/>
  <c r="D2837" i="1"/>
  <c r="D1677" i="1"/>
  <c r="D1542" i="1"/>
  <c r="D1096" i="1"/>
  <c r="D4690" i="1"/>
  <c r="D1840" i="1"/>
  <c r="D2397" i="1"/>
  <c r="D1142" i="1"/>
  <c r="D2876" i="1"/>
  <c r="D2339" i="1"/>
  <c r="D1219" i="1"/>
  <c r="D1279" i="1"/>
  <c r="D1400" i="1"/>
  <c r="D2014" i="1"/>
  <c r="D1341" i="1"/>
  <c r="D1094" i="1"/>
  <c r="D2942" i="1"/>
  <c r="D4295" i="1"/>
  <c r="D3568" i="1"/>
  <c r="D2074" i="1"/>
  <c r="D3784" i="1"/>
  <c r="D4388" i="1"/>
  <c r="D2502" i="1"/>
  <c r="D3367" i="1"/>
  <c r="D1773" i="1"/>
  <c r="D3932" i="1"/>
  <c r="D3609" i="1"/>
  <c r="D2469" i="1"/>
  <c r="D2338" i="1"/>
  <c r="D2561" i="1"/>
  <c r="D3886" i="1"/>
  <c r="D3164" i="1"/>
  <c r="D4040" i="1"/>
  <c r="D3035" i="1"/>
  <c r="D4122" i="1"/>
  <c r="D3418" i="1"/>
  <c r="D3563" i="1"/>
  <c r="D3304" i="1"/>
  <c r="D4095" i="1"/>
  <c r="D4828" i="1"/>
  <c r="D3454" i="1"/>
  <c r="D3677" i="1"/>
  <c r="D1213" i="1"/>
  <c r="D3099" i="1"/>
  <c r="D3235" i="1"/>
  <c r="D2034" i="1"/>
  <c r="D3018" i="1"/>
  <c r="D3207" i="1"/>
  <c r="D2259" i="1"/>
  <c r="D3718" i="1"/>
  <c r="D2450" i="1"/>
  <c r="D2305" i="1"/>
  <c r="D4364" i="1"/>
  <c r="D2463" i="1"/>
  <c r="D4882" i="1"/>
  <c r="D1780" i="1"/>
  <c r="D1405" i="1"/>
  <c r="D1902" i="1"/>
  <c r="D3375" i="1"/>
  <c r="D3632" i="1"/>
  <c r="D4179" i="1"/>
  <c r="D1829" i="1"/>
  <c r="D1847" i="1"/>
  <c r="D1853" i="1"/>
  <c r="D3095" i="1"/>
  <c r="D3616" i="1"/>
  <c r="D2192" i="1"/>
  <c r="D2715" i="1"/>
  <c r="D4207" i="1"/>
  <c r="D2480" i="1"/>
  <c r="D3937" i="1"/>
  <c r="D3223" i="1"/>
  <c r="D1861" i="1"/>
  <c r="D2314" i="1"/>
  <c r="D2032" i="1"/>
  <c r="D1827" i="1"/>
  <c r="D1218" i="1"/>
  <c r="D3438" i="1"/>
  <c r="D1325" i="1"/>
  <c r="D1129" i="1"/>
  <c r="D1452" i="1"/>
  <c r="D1058" i="1"/>
  <c r="D2129" i="1"/>
  <c r="D1939" i="1"/>
  <c r="D3447" i="1"/>
  <c r="D3769" i="1"/>
  <c r="D1603" i="1"/>
  <c r="D2623" i="1"/>
  <c r="D2586" i="1"/>
  <c r="D1768" i="1"/>
  <c r="D2832" i="1"/>
  <c r="D3201" i="1"/>
  <c r="D4515" i="1"/>
  <c r="D3135" i="1"/>
  <c r="D2255" i="1"/>
  <c r="D2207" i="1"/>
  <c r="D2548" i="1"/>
  <c r="D2980" i="1"/>
  <c r="D966" i="1"/>
  <c r="D2917" i="1"/>
  <c r="D1507" i="1"/>
  <c r="D1585" i="1"/>
  <c r="D950" i="1"/>
  <c r="D1647" i="1"/>
  <c r="D1068" i="1"/>
  <c r="D1760" i="1"/>
  <c r="D3848" i="1"/>
  <c r="D3331" i="1"/>
  <c r="D1590" i="1"/>
  <c r="D1251" i="1"/>
  <c r="D2655" i="1"/>
  <c r="D856" i="1"/>
  <c r="D1961" i="1"/>
  <c r="D2658" i="1"/>
  <c r="D2520" i="1"/>
  <c r="D1652" i="1"/>
  <c r="D3547" i="1"/>
  <c r="D2178" i="1"/>
  <c r="D1344" i="1"/>
  <c r="D1900" i="1"/>
  <c r="D4089" i="1"/>
  <c r="D2001" i="1"/>
  <c r="D3246" i="1"/>
  <c r="D1739" i="1"/>
  <c r="D785" i="1"/>
  <c r="D1418" i="1"/>
  <c r="D1299" i="1"/>
  <c r="D5057" i="1"/>
  <c r="D1599" i="1"/>
  <c r="D1359" i="1"/>
  <c r="D1975" i="1"/>
  <c r="D3193" i="1"/>
  <c r="D2321" i="1"/>
  <c r="D3840" i="1"/>
  <c r="D1819" i="1"/>
  <c r="D3478" i="1"/>
  <c r="D1151" i="1"/>
  <c r="D1127" i="1"/>
  <c r="D1485" i="1"/>
  <c r="D3523" i="1"/>
  <c r="D4049" i="1"/>
  <c r="D2193" i="1"/>
  <c r="D2748" i="1"/>
  <c r="D2952" i="1"/>
  <c r="D2881" i="1"/>
  <c r="D4423" i="1"/>
  <c r="D3536" i="1"/>
  <c r="D2682" i="1"/>
  <c r="D1977" i="1"/>
  <c r="D2547" i="1"/>
  <c r="D2257" i="1"/>
  <c r="D1346" i="1"/>
  <c r="D1407" i="1"/>
  <c r="D1991" i="1"/>
  <c r="D1560" i="1"/>
  <c r="D1018" i="1"/>
  <c r="D1007" i="1"/>
  <c r="D919" i="1"/>
  <c r="D2498" i="1"/>
  <c r="D1150" i="1"/>
  <c r="D2252" i="1"/>
  <c r="D3415" i="1"/>
  <c r="D2087" i="1"/>
  <c r="D2742" i="1"/>
  <c r="D1179" i="1"/>
  <c r="D1128" i="1"/>
  <c r="D3262" i="1"/>
  <c r="D3742" i="1"/>
  <c r="D2693" i="1"/>
  <c r="D1927" i="1"/>
  <c r="D1875" i="1"/>
  <c r="D2890" i="1"/>
  <c r="D3399" i="1"/>
  <c r="D4465" i="1"/>
  <c r="D1424" i="1"/>
  <c r="D5153" i="1"/>
  <c r="D1993" i="1"/>
  <c r="D2490" i="1"/>
  <c r="D1052" i="1"/>
  <c r="D1120" i="1"/>
  <c r="D805" i="1"/>
  <c r="D3512" i="1"/>
  <c r="D859" i="1"/>
  <c r="D762" i="1"/>
  <c r="D1904" i="1"/>
  <c r="D3204" i="1"/>
  <c r="D3638" i="1"/>
  <c r="D4066" i="1"/>
  <c r="D1008" i="1"/>
  <c r="D2518" i="1"/>
  <c r="D3260" i="1"/>
  <c r="D1289" i="1"/>
  <c r="D1510" i="1"/>
  <c r="D3080" i="1"/>
  <c r="D997" i="1"/>
  <c r="D2853" i="1"/>
  <c r="D2940" i="1"/>
  <c r="D1519" i="1"/>
  <c r="D1037" i="1"/>
  <c r="D2776" i="1"/>
  <c r="D4090" i="1"/>
  <c r="D1554" i="1"/>
  <c r="D745" i="1"/>
  <c r="D4259" i="1"/>
  <c r="D4599" i="1"/>
  <c r="D3149" i="1"/>
  <c r="D2985" i="1"/>
  <c r="D1611" i="1"/>
  <c r="D3859" i="1"/>
  <c r="D2939" i="1"/>
  <c r="D3289" i="1"/>
  <c r="D3036" i="1"/>
  <c r="D882" i="1"/>
  <c r="D1038" i="1"/>
  <c r="D3016" i="1"/>
  <c r="D2759" i="1"/>
  <c r="D913" i="1"/>
  <c r="D2141" i="1"/>
  <c r="D962" i="1"/>
  <c r="D2296" i="1"/>
  <c r="D1280" i="1"/>
  <c r="D2633" i="1"/>
  <c r="D1075" i="1"/>
  <c r="D3240" i="1"/>
  <c r="D2846" i="1"/>
  <c r="D1122" i="1"/>
  <c r="D1824" i="1"/>
  <c r="D2831" i="1"/>
  <c r="D2973" i="1"/>
  <c r="D5303" i="1"/>
  <c r="D3290" i="1"/>
  <c r="D3627" i="1"/>
  <c r="D1070" i="1"/>
  <c r="D2169" i="1"/>
  <c r="D1098" i="1"/>
  <c r="D3487" i="1"/>
  <c r="D895" i="1"/>
  <c r="D840" i="1"/>
  <c r="D1176" i="1"/>
  <c r="D2481" i="1"/>
  <c r="D949" i="1"/>
  <c r="D1013" i="1"/>
  <c r="D2906" i="1"/>
  <c r="D2997" i="1"/>
  <c r="D1860" i="1"/>
  <c r="D3892" i="1"/>
  <c r="D2602" i="1"/>
  <c r="D2055" i="1"/>
  <c r="D1105" i="1"/>
  <c r="D1783" i="1"/>
  <c r="D2301" i="1"/>
  <c r="D2625" i="1"/>
  <c r="D2514" i="1"/>
  <c r="D2451" i="1"/>
  <c r="D2006" i="1"/>
  <c r="D3595" i="1"/>
  <c r="D1095" i="1"/>
  <c r="D3274" i="1"/>
  <c r="D2086" i="1"/>
  <c r="D2484" i="1"/>
  <c r="D1874" i="1"/>
  <c r="D3509" i="1"/>
  <c r="D1255" i="1"/>
  <c r="D3511" i="1"/>
  <c r="D1090" i="1"/>
  <c r="D1704" i="1"/>
  <c r="D4942" i="1"/>
  <c r="D3701" i="1"/>
  <c r="D1610" i="1"/>
  <c r="D5428" i="1"/>
  <c r="D4272" i="1"/>
  <c r="D3853" i="1"/>
  <c r="D1984" i="1"/>
  <c r="D1563" i="1"/>
  <c r="D1946" i="1"/>
  <c r="D3994" i="1"/>
  <c r="D3374" i="1"/>
  <c r="D4227" i="1"/>
  <c r="D2836" i="1"/>
  <c r="D3910" i="1"/>
  <c r="D2731" i="1"/>
  <c r="D5407" i="1"/>
  <c r="D4318" i="1"/>
  <c r="D3542" i="1"/>
  <c r="D3804" i="1"/>
  <c r="D3567" i="1"/>
  <c r="D3515" i="1"/>
  <c r="D3834" i="1"/>
  <c r="D4212" i="1"/>
  <c r="D3084" i="1"/>
  <c r="D2927" i="1"/>
  <c r="D3063" i="1"/>
  <c r="D3110" i="1"/>
  <c r="D4422" i="1"/>
  <c r="D1458" i="1"/>
  <c r="D2624" i="1"/>
  <c r="D3576" i="1"/>
  <c r="D876" i="1"/>
  <c r="D1207" i="1"/>
  <c r="D2307" i="1"/>
  <c r="D1627" i="1"/>
  <c r="D1349" i="1"/>
  <c r="D2408" i="1"/>
  <c r="D3761" i="1"/>
  <c r="D2019" i="1"/>
  <c r="D4625" i="1"/>
  <c r="D2018" i="1"/>
  <c r="D3714" i="1"/>
  <c r="D1804" i="1"/>
  <c r="D1455" i="1"/>
  <c r="D1260" i="1"/>
  <c r="D2688" i="1"/>
  <c r="D1922" i="1"/>
  <c r="D2115" i="1"/>
  <c r="D2979" i="1"/>
  <c r="D1697" i="1"/>
  <c r="D1632" i="1"/>
  <c r="D1230" i="1"/>
  <c r="D897" i="1"/>
  <c r="D778" i="1"/>
  <c r="D4692" i="1"/>
  <c r="D2457" i="1"/>
  <c r="D3140" i="1"/>
  <c r="D2229" i="1"/>
  <c r="D3527" i="1"/>
  <c r="D2926" i="1"/>
  <c r="D1380" i="1"/>
  <c r="D1392" i="1"/>
  <c r="D1020" i="1"/>
  <c r="D971" i="1"/>
  <c r="D4197" i="1"/>
  <c r="D2697" i="1"/>
  <c r="D1072" i="1"/>
  <c r="D2872" i="1"/>
  <c r="D3377" i="1"/>
  <c r="D3322" i="1"/>
  <c r="D3502" i="1"/>
  <c r="D3857" i="1"/>
  <c r="D2991" i="1"/>
  <c r="D3241" i="1"/>
  <c r="D3090" i="1"/>
  <c r="D1099" i="1"/>
  <c r="D1463" i="1"/>
  <c r="D794" i="1"/>
  <c r="D3945" i="1"/>
  <c r="D2977" i="1"/>
  <c r="D1848" i="1"/>
  <c r="D2251" i="1"/>
  <c r="D3819" i="1"/>
  <c r="D1928" i="1"/>
  <c r="D2261" i="1"/>
  <c r="D1281" i="1"/>
  <c r="D2847" i="1"/>
  <c r="D1801" i="1"/>
  <c r="D1430" i="1"/>
  <c r="D2268" i="1"/>
  <c r="D3426" i="1"/>
  <c r="D2950" i="1"/>
  <c r="D2478" i="1"/>
  <c r="D4611" i="1"/>
  <c r="D1825" i="1"/>
  <c r="D3575" i="1"/>
  <c r="D1771" i="1"/>
  <c r="D1309" i="1"/>
  <c r="D2376" i="1"/>
  <c r="D4234" i="1"/>
  <c r="D1988" i="1"/>
  <c r="D2150" i="1"/>
  <c r="D1469" i="1"/>
  <c r="D2364" i="1"/>
  <c r="D2198" i="1"/>
  <c r="D2576" i="1"/>
  <c r="D3486" i="1"/>
  <c r="D1666" i="1"/>
  <c r="D3148" i="1"/>
  <c r="D3923" i="1"/>
  <c r="D1828" i="1"/>
  <c r="D2220" i="1"/>
  <c r="D918" i="1"/>
  <c r="D1222" i="1"/>
  <c r="D1443" i="1"/>
  <c r="D3690" i="1"/>
  <c r="D2106" i="1"/>
  <c r="D2703" i="1"/>
  <c r="D1678" i="1"/>
  <c r="D1883" i="1"/>
  <c r="D2583" i="1"/>
  <c r="D1071" i="1"/>
  <c r="D2295" i="1"/>
  <c r="D3861" i="1"/>
  <c r="D2365" i="1"/>
  <c r="D2435" i="1"/>
  <c r="D3806" i="1"/>
  <c r="D2188" i="1"/>
  <c r="D3111" i="1"/>
  <c r="D2274" i="1"/>
  <c r="D2287" i="1"/>
  <c r="D1178" i="1"/>
  <c r="D1712" i="1"/>
  <c r="D3116" i="1"/>
  <c r="D1370" i="1"/>
  <c r="D5745" i="1"/>
  <c r="D1989" i="1"/>
  <c r="D1027" i="1"/>
  <c r="D1247" i="1"/>
  <c r="D1092" i="1"/>
  <c r="D2340" i="1"/>
  <c r="D1994" i="1"/>
  <c r="D3033" i="1"/>
  <c r="D1935" i="1"/>
  <c r="D2740" i="1"/>
  <c r="D1793" i="1"/>
  <c r="D3719" i="1"/>
  <c r="D2373" i="1"/>
  <c r="D1304" i="1"/>
  <c r="D1471" i="1"/>
  <c r="D2404" i="1"/>
  <c r="D2232" i="1"/>
  <c r="D2240" i="1"/>
  <c r="D2239" i="1"/>
  <c r="D2806" i="1"/>
  <c r="D1465" i="1"/>
  <c r="D1880" i="1"/>
  <c r="D1115" i="1"/>
  <c r="D939" i="1"/>
  <c r="D1429" i="1"/>
  <c r="D1288" i="1"/>
  <c r="D861" i="1"/>
  <c r="D4733" i="1"/>
  <c r="D3424" i="1"/>
  <c r="D1484" i="1"/>
  <c r="D3177" i="1"/>
  <c r="D1358" i="1"/>
  <c r="D1729" i="1"/>
  <c r="D2024" i="1"/>
  <c r="D1923" i="1"/>
  <c r="D2501" i="1"/>
  <c r="D1336" i="1"/>
  <c r="D1182" i="1"/>
  <c r="D1894" i="1"/>
  <c r="D3303" i="1"/>
  <c r="D4064" i="1"/>
  <c r="D4209" i="1"/>
  <c r="D851" i="1"/>
  <c r="D2122" i="1"/>
  <c r="D1160" i="1"/>
  <c r="D2505" i="1"/>
  <c r="D1118" i="1"/>
  <c r="D2368" i="1"/>
  <c r="D1490" i="1"/>
  <c r="D1691" i="1"/>
  <c r="D3011" i="1"/>
  <c r="D2062" i="1"/>
  <c r="D2180" i="1"/>
  <c r="D1905" i="1"/>
  <c r="D3146" i="1"/>
  <c r="D4676" i="1"/>
  <c r="D1723" i="1"/>
  <c r="D2054" i="1"/>
  <c r="D1026" i="1"/>
  <c r="D749" i="1"/>
  <c r="D3590" i="1"/>
  <c r="D825" i="1"/>
  <c r="D1086" i="1"/>
  <c r="D1671" i="1"/>
  <c r="D1614" i="1"/>
  <c r="D3427" i="1"/>
  <c r="D1753" i="1"/>
  <c r="D4527" i="1"/>
  <c r="D1992" i="1"/>
  <c r="D1487" i="1"/>
  <c r="D1312" i="1"/>
  <c r="D4395" i="1"/>
  <c r="D2347" i="1"/>
  <c r="D957" i="1"/>
  <c r="D2552" i="1"/>
  <c r="D3494" i="1"/>
  <c r="D3740" i="1"/>
  <c r="D1156" i="1"/>
  <c r="D1382" i="1"/>
  <c r="D1446" i="1"/>
  <c r="D2790" i="1"/>
  <c r="D1494" i="1"/>
  <c r="D4325" i="1"/>
  <c r="D3629" i="1"/>
  <c r="D2754" i="1"/>
  <c r="D3933" i="1"/>
  <c r="D3510" i="1"/>
  <c r="D2489" i="1"/>
  <c r="D4706" i="1"/>
  <c r="D2610" i="1"/>
  <c r="D2292" i="1"/>
  <c r="D3012" i="1"/>
  <c r="D1701" i="1"/>
  <c r="D3444" i="1"/>
  <c r="D2234" i="1"/>
  <c r="D2025" i="1"/>
  <c r="D1755" i="1"/>
  <c r="D2233" i="1"/>
  <c r="D1870" i="1"/>
  <c r="D2924" i="1"/>
  <c r="D2645" i="1"/>
  <c r="D3075" i="1"/>
  <c r="D2884" i="1"/>
  <c r="D2201" i="1"/>
  <c r="D1727" i="1"/>
  <c r="D4362" i="1"/>
  <c r="D810" i="1"/>
  <c r="D1375" i="1"/>
  <c r="D3368" i="1"/>
  <c r="D2072" i="1"/>
  <c r="D3814" i="1"/>
  <c r="D2527" i="1"/>
  <c r="D1391" i="1"/>
  <c r="D1521" i="1"/>
  <c r="D1745" i="1"/>
  <c r="D2780" i="1"/>
  <c r="D3214" i="1"/>
  <c r="D2533" i="1"/>
  <c r="D960" i="1"/>
  <c r="D3097" i="1"/>
  <c r="D4111" i="1"/>
  <c r="D1884" i="1"/>
  <c r="D3284" i="1"/>
  <c r="D2474" i="1"/>
  <c r="D1212" i="1"/>
  <c r="D1719" i="1"/>
  <c r="D2432" i="1"/>
  <c r="D1466" i="1"/>
  <c r="D2728" i="1"/>
  <c r="D1552" i="1"/>
  <c r="D2938" i="1"/>
  <c r="D3722" i="1"/>
  <c r="D1515" i="1"/>
  <c r="D2134" i="1"/>
  <c r="D2208" i="1"/>
  <c r="D3337" i="1"/>
  <c r="D4571" i="1"/>
  <c r="D4458" i="1"/>
  <c r="D2342" i="1"/>
  <c r="D2165" i="1"/>
  <c r="D4393" i="1"/>
  <c r="D4247" i="1"/>
  <c r="D2510" i="1"/>
  <c r="D4109" i="1"/>
  <c r="D2553" i="1"/>
  <c r="D3579" i="1"/>
  <c r="D4855" i="1"/>
  <c r="D1909" i="1"/>
  <c r="D4973" i="1"/>
  <c r="D4047" i="1"/>
  <c r="D1888" i="1"/>
  <c r="D3538" i="1"/>
  <c r="D4793" i="1"/>
  <c r="D4406" i="1"/>
  <c r="D2215" i="1"/>
  <c r="D3531" i="1"/>
  <c r="D3885" i="1"/>
  <c r="D3026" i="1"/>
  <c r="D3480" i="1"/>
  <c r="D3317" i="1"/>
  <c r="D1200" i="1"/>
  <c r="D1300" i="1"/>
  <c r="D3465" i="1"/>
  <c r="D1735" i="1"/>
  <c r="D1779" i="1"/>
  <c r="D1314" i="1"/>
  <c r="D3636" i="1"/>
  <c r="D1630" i="1"/>
  <c r="D1155" i="1"/>
  <c r="D1567" i="1"/>
  <c r="D2021" i="1"/>
  <c r="D4136" i="1"/>
  <c r="D2185" i="1"/>
  <c r="D3100" i="1"/>
  <c r="D1196" i="1"/>
  <c r="D2894" i="1"/>
  <c r="D2966" i="1"/>
  <c r="D2366" i="1"/>
  <c r="D2398" i="1"/>
  <c r="D3546" i="1"/>
  <c r="D3432" i="1"/>
  <c r="D4994" i="1"/>
  <c r="D3689" i="1"/>
  <c r="D3854" i="1"/>
  <c r="D4462" i="1"/>
  <c r="D1841" i="1"/>
  <c r="D2649" i="1"/>
  <c r="D2564" i="1"/>
  <c r="D3400" i="1"/>
  <c r="D2732" i="1"/>
  <c r="D1705" i="1"/>
  <c r="D3250" i="1"/>
  <c r="D1459" i="1"/>
  <c r="D4101" i="1"/>
  <c r="D3452" i="1"/>
  <c r="D2011" i="1"/>
  <c r="D3310" i="1"/>
  <c r="D2379" i="1"/>
  <c r="D2854" i="1"/>
  <c r="D3078" i="1"/>
  <c r="D2358" i="1"/>
  <c r="D1734" i="1"/>
  <c r="D1752" i="1"/>
  <c r="D1688" i="1"/>
  <c r="D4763" i="1"/>
  <c r="D3456" i="1"/>
  <c r="D3292" i="1"/>
  <c r="D1577" i="1"/>
  <c r="D1087" i="1"/>
  <c r="D3425" i="1"/>
  <c r="D2590" i="1"/>
  <c r="D2797" i="1"/>
  <c r="D3232" i="1"/>
  <c r="D4134" i="1"/>
  <c r="D2551" i="1"/>
  <c r="D1397" i="1"/>
  <c r="D2394" i="1"/>
  <c r="D1854" i="1"/>
  <c r="D2177" i="1"/>
  <c r="D2597" i="1"/>
  <c r="D4217" i="1"/>
  <c r="D4218" i="1"/>
  <c r="D2016" i="1"/>
  <c r="D4126" i="1"/>
  <c r="D1722" i="1"/>
  <c r="D1187" i="1"/>
  <c r="D2022" i="1"/>
  <c r="D3530" i="1"/>
  <c r="D1689" i="1"/>
  <c r="D2151" i="1"/>
  <c r="D3448" i="1"/>
  <c r="D1548" i="1"/>
  <c r="D1625" i="1"/>
  <c r="D3501" i="1"/>
  <c r="D4000" i="1"/>
  <c r="D1498" i="1"/>
  <c r="D1737" i="1"/>
  <c r="D1938" i="1"/>
  <c r="D3951" i="1"/>
  <c r="D3878" i="1"/>
  <c r="D993" i="1"/>
  <c r="D1831" i="1"/>
  <c r="D1663" i="1"/>
  <c r="D1810" i="1"/>
  <c r="D1619" i="1"/>
  <c r="D3010" i="1"/>
  <c r="D3602" i="1"/>
  <c r="D2028" i="1"/>
  <c r="D2440" i="1"/>
  <c r="D2956" i="1"/>
  <c r="D3019" i="1"/>
  <c r="D4342" i="1"/>
  <c r="D2644" i="1"/>
  <c r="D3044" i="1"/>
  <c r="D5333" i="1"/>
  <c r="D1970" i="1"/>
  <c r="D901" i="1"/>
  <c r="D2205" i="1"/>
  <c r="D2968" i="1"/>
  <c r="D1305" i="1"/>
  <c r="D3302" i="1"/>
  <c r="D1486" i="1"/>
  <c r="D3013" i="1"/>
  <c r="D2862" i="1"/>
  <c r="D3049" i="1"/>
  <c r="D3409" i="1"/>
  <c r="D3173" i="1"/>
  <c r="D2864" i="1"/>
  <c r="D2585" i="1"/>
  <c r="D4560" i="1"/>
  <c r="D2280" i="1"/>
  <c r="D4437" i="1"/>
  <c r="D3381" i="1"/>
  <c r="D4351" i="1"/>
  <c r="D4883" i="1"/>
  <c r="D2479" i="1"/>
  <c r="D2387" i="1"/>
  <c r="D3868" i="1"/>
  <c r="D1786" i="1"/>
  <c r="D2191" i="1"/>
  <c r="D3470" i="1"/>
  <c r="D3132" i="1"/>
  <c r="D3296" i="1"/>
  <c r="D4447" i="1"/>
  <c r="D2963" i="1"/>
  <c r="D3744" i="1"/>
  <c r="D2642" i="1"/>
  <c r="D2805" i="1"/>
  <c r="D2315" i="1"/>
  <c r="D2283" i="1"/>
  <c r="D3153" i="1"/>
  <c r="D2662" i="1"/>
  <c r="D1985" i="1"/>
  <c r="D4535" i="1"/>
  <c r="D3976" i="1"/>
  <c r="D3212" i="1"/>
  <c r="D5006" i="1"/>
  <c r="D4225" i="1"/>
  <c r="D3591" i="1"/>
  <c r="D4158" i="1"/>
  <c r="D2254" i="1"/>
  <c r="D2707" i="1"/>
  <c r="D3909" i="1"/>
  <c r="D4091" i="1"/>
  <c r="D4902" i="1"/>
  <c r="D4450" i="1"/>
  <c r="D2091" i="1"/>
  <c r="D3155" i="1"/>
  <c r="D4301" i="1"/>
  <c r="D3654" i="1"/>
  <c r="D2103" i="1"/>
  <c r="D3771" i="1"/>
  <c r="D4119" i="1"/>
  <c r="D5359" i="1"/>
  <c r="D4579" i="1"/>
  <c r="D2531" i="1"/>
  <c r="D2370" i="1"/>
  <c r="D712" i="1"/>
  <c r="D657" i="1"/>
  <c r="D1660" i="1"/>
  <c r="D3633" i="1"/>
  <c r="D1513" i="1"/>
  <c r="D3724" i="1"/>
  <c r="D4213" i="1"/>
  <c r="D3779" i="1"/>
  <c r="D2515" i="1"/>
  <c r="D4235" i="1"/>
  <c r="D2949" i="1"/>
  <c r="D4411" i="1"/>
  <c r="D3307" i="1"/>
  <c r="D3706" i="1"/>
  <c r="D4256" i="1"/>
  <c r="D2995" i="1"/>
  <c r="D2784" i="1"/>
  <c r="D1958" i="1"/>
  <c r="D3386" i="1"/>
  <c r="D4056" i="1"/>
  <c r="D4681" i="1"/>
  <c r="D2648" i="1"/>
  <c r="D1451" i="1"/>
  <c r="D3566" i="1"/>
  <c r="D5233" i="1"/>
  <c r="D3493" i="1"/>
  <c r="D2848" i="1"/>
  <c r="D3300" i="1"/>
  <c r="D3743" i="1"/>
  <c r="D3903" i="1"/>
  <c r="D4416" i="1"/>
  <c r="D3006" i="1"/>
  <c r="D2524" i="1"/>
  <c r="D2528" i="1"/>
  <c r="D3053" i="1"/>
  <c r="D4131" i="1"/>
  <c r="D2040" i="1"/>
  <c r="D3683" i="1"/>
  <c r="D1562" i="1"/>
  <c r="D2183" i="1"/>
  <c r="D1432" i="1"/>
  <c r="D4833" i="1"/>
  <c r="D2425" i="1"/>
  <c r="D3365" i="1"/>
  <c r="D3344" i="1"/>
  <c r="D4691" i="1"/>
  <c r="D3021" i="1"/>
  <c r="D4321" i="1"/>
  <c r="D3107" i="1"/>
  <c r="D3237" i="1"/>
  <c r="D5258" i="1"/>
  <c r="D3548" i="1"/>
  <c r="D2922" i="1"/>
  <c r="D2618" i="1"/>
  <c r="D1166" i="1"/>
  <c r="D1968" i="1"/>
  <c r="D4399" i="1"/>
  <c r="D987" i="1"/>
  <c r="D2555" i="1"/>
  <c r="D4071" i="1"/>
  <c r="D1930" i="1"/>
  <c r="D3574" i="1"/>
  <c r="D2958" i="1"/>
  <c r="D4052" i="1"/>
  <c r="D1489" i="1"/>
  <c r="D3610" i="1"/>
  <c r="D2414" i="1"/>
  <c r="D4201" i="1"/>
  <c r="D2960" i="1"/>
  <c r="D1845" i="1"/>
  <c r="D2466" i="1"/>
  <c r="D4096" i="1"/>
  <c r="D1328" i="1"/>
  <c r="D4244" i="1"/>
  <c r="D1572" i="1"/>
  <c r="D2887" i="1"/>
  <c r="D1356" i="1"/>
  <c r="D1448" i="1"/>
  <c r="D2266" i="1"/>
  <c r="D1054" i="1"/>
  <c r="D3428" i="1"/>
  <c r="D1531" i="1"/>
  <c r="D4141" i="1"/>
  <c r="D2396" i="1"/>
  <c r="D1277" i="1"/>
  <c r="D1263" i="1"/>
  <c r="D2719" i="1"/>
  <c r="D2491" i="1"/>
  <c r="D3491" i="1"/>
  <c r="D3653" i="1"/>
  <c r="D2076" i="1"/>
  <c r="D3692" i="1"/>
  <c r="D3825" i="1"/>
  <c r="D3299" i="1"/>
  <c r="D2402" i="1"/>
  <c r="D3086" i="1"/>
  <c r="D3247" i="1"/>
  <c r="D1506" i="1"/>
  <c r="D2242" i="1"/>
  <c r="D1024" i="1"/>
  <c r="D2348" i="1"/>
  <c r="D1496" i="1"/>
  <c r="D1338" i="1"/>
  <c r="D1184" i="1"/>
  <c r="D1815" i="1"/>
  <c r="D2118" i="1"/>
  <c r="D1795" i="1"/>
  <c r="D1583" i="1"/>
  <c r="D3856" i="1"/>
  <c r="D1516" i="1"/>
  <c r="D1865" i="1"/>
  <c r="D896" i="1"/>
  <c r="D2168" i="1"/>
  <c r="D1114" i="1"/>
  <c r="D2550" i="1"/>
  <c r="D2910" i="1"/>
  <c r="D5045" i="1"/>
  <c r="D1188" i="1"/>
  <c r="D3906" i="1"/>
  <c r="D1716" i="1"/>
  <c r="D2696" i="1"/>
  <c r="D2248" i="1"/>
  <c r="D2863" i="1"/>
  <c r="D2930" i="1"/>
  <c r="D1042" i="1"/>
  <c r="D1873" i="1"/>
  <c r="D2493" i="1"/>
  <c r="D3948" i="1"/>
  <c r="D5489" i="1"/>
  <c r="D1843" i="1"/>
  <c r="D3128" i="1"/>
  <c r="D2897" i="1"/>
  <c r="D3184" i="1"/>
  <c r="D3832" i="1"/>
  <c r="D1307" i="1"/>
  <c r="D4583" i="1"/>
  <c r="D3630" i="1"/>
  <c r="D1980" i="1"/>
  <c r="D1318" i="1"/>
  <c r="D1180" i="1"/>
  <c r="D4992" i="1"/>
  <c r="D3944" i="1"/>
  <c r="D2557" i="1"/>
  <c r="D1294" i="1"/>
  <c r="D3028" i="1"/>
  <c r="D3180" i="1"/>
  <c r="D2172" i="1"/>
  <c r="D2098" i="1"/>
  <c r="D836" i="1"/>
  <c r="D1588" i="1"/>
  <c r="D1197" i="1"/>
  <c r="D2665" i="1"/>
  <c r="D1921" i="1"/>
  <c r="D2290" i="1"/>
  <c r="D1589" i="1"/>
  <c r="D4664" i="1"/>
  <c r="D1301" i="1"/>
  <c r="D2196" i="1"/>
  <c r="D2260" i="1"/>
  <c r="D1999" i="1"/>
  <c r="D1718" i="1"/>
  <c r="D1348" i="1"/>
  <c r="D5567" i="1"/>
  <c r="D5397" i="1"/>
  <c r="D1532" i="1"/>
  <c r="D2700" i="1"/>
  <c r="D4308" i="1"/>
  <c r="D2284" i="1"/>
  <c r="D2048" i="1"/>
  <c r="D3873" i="1"/>
  <c r="D3618" i="1"/>
  <c r="D2499" i="1"/>
  <c r="D2815" i="1"/>
  <c r="D2453" i="1"/>
  <c r="D4713" i="1"/>
  <c r="D3385" i="1"/>
  <c r="D2390" i="1"/>
  <c r="D4445" i="1"/>
  <c r="D2155" i="1"/>
  <c r="D4899" i="1"/>
  <c r="D4699" i="1"/>
  <c r="D3907" i="1"/>
  <c r="D2212" i="1"/>
  <c r="D1488" i="1"/>
  <c r="D1123" i="1"/>
  <c r="D3340" i="1"/>
  <c r="D1682" i="1"/>
  <c r="D3125" i="1"/>
  <c r="D3881" i="1"/>
  <c r="D2891" i="1"/>
  <c r="D3068" i="1"/>
  <c r="D4245" i="1"/>
  <c r="D3537" i="1"/>
  <c r="D1924" i="1"/>
  <c r="D3061" i="1"/>
  <c r="D2616" i="1"/>
  <c r="D2448" i="1"/>
  <c r="D2896" i="1"/>
  <c r="D3648" i="1"/>
  <c r="D4375" i="1"/>
  <c r="D4027" i="1"/>
  <c r="D4275" i="1"/>
  <c r="D3562" i="1"/>
  <c r="D2965" i="1"/>
  <c r="D3437" i="1"/>
  <c r="D2838" i="1"/>
  <c r="D4215" i="1"/>
  <c r="D1617" i="1"/>
  <c r="D4631" i="1"/>
  <c r="D3836" i="1"/>
  <c r="D3477" i="1"/>
  <c r="D3170" i="1"/>
  <c r="D3219" i="1"/>
  <c r="D4816" i="1"/>
  <c r="D2147" i="1"/>
  <c r="D824" i="1"/>
  <c r="D1310" i="1"/>
  <c r="D2133" i="1"/>
  <c r="D3572" i="1"/>
  <c r="D1725" i="1"/>
  <c r="D5433" i="1"/>
  <c r="D3772" i="1"/>
  <c r="D4168" i="1"/>
  <c r="D3844" i="1"/>
  <c r="D1149" i="1"/>
  <c r="D2592" i="1"/>
  <c r="D800" i="1"/>
  <c r="D2357" i="1"/>
  <c r="D1186" i="1"/>
  <c r="D742" i="1"/>
  <c r="D1079" i="1"/>
  <c r="D1170" i="1"/>
  <c r="D3402" i="1"/>
  <c r="D4208" i="1"/>
  <c r="D3920" i="1"/>
  <c r="D1556" i="1"/>
  <c r="D801" i="1"/>
  <c r="D1543" i="1"/>
  <c r="D1376" i="1"/>
  <c r="D1195" i="1"/>
  <c r="D4341" i="1"/>
  <c r="D2096" i="1"/>
  <c r="D4487" i="1"/>
  <c r="D1673" i="1"/>
  <c r="D2678" i="1"/>
  <c r="D776" i="1"/>
  <c r="D864" i="1"/>
  <c r="D920" i="1"/>
  <c r="D1635" i="1"/>
  <c r="D4856" i="1"/>
  <c r="D1308" i="1"/>
  <c r="D1535" i="1"/>
  <c r="D977" i="1"/>
  <c r="D2181" i="1"/>
  <c r="D3089" i="1"/>
  <c r="D2621" i="1"/>
  <c r="D3265" i="1"/>
  <c r="D3472" i="1"/>
  <c r="D3991" i="1"/>
  <c r="D3321" i="1"/>
  <c r="D3855" i="1"/>
  <c r="D1470" i="1"/>
  <c r="D4017" i="1"/>
  <c r="D4905" i="1"/>
  <c r="D4099" i="1"/>
  <c r="D3551" i="1"/>
  <c r="D3849" i="1"/>
  <c r="D2794" i="1"/>
  <c r="D4360" i="1"/>
  <c r="D4895" i="1"/>
  <c r="D980" i="1"/>
  <c r="D2959" i="1"/>
  <c r="D5065" i="1"/>
  <c r="D3513" i="1"/>
  <c r="D4567" i="1"/>
  <c r="D2588" i="1"/>
  <c r="D1342" i="1"/>
  <c r="D2936" i="1"/>
  <c r="D4520" i="1"/>
  <c r="D5070" i="1"/>
  <c r="D4307" i="1"/>
  <c r="D3553" i="1"/>
  <c r="D3578" i="1"/>
  <c r="D4242" i="1"/>
  <c r="D4556" i="1"/>
  <c r="D5015" i="1"/>
  <c r="D3482" i="1"/>
  <c r="D2434" i="1"/>
  <c r="D3757" i="1"/>
  <c r="D1402" i="1"/>
  <c r="D4417" i="1"/>
  <c r="D3324" i="1"/>
  <c r="D3117" i="1"/>
  <c r="D4482" i="1"/>
  <c r="D3729" i="1"/>
  <c r="D2923" i="1"/>
  <c r="D3481" i="1"/>
  <c r="D2238" i="1"/>
  <c r="D3105" i="1"/>
  <c r="D2544" i="1"/>
  <c r="D4051" i="1"/>
  <c r="D1667" i="1"/>
  <c r="D1607" i="1"/>
  <c r="D3185" i="1"/>
  <c r="D2163" i="1"/>
  <c r="D2600" i="1"/>
  <c r="D1333" i="1"/>
  <c r="D4724" i="1"/>
  <c r="D1675" i="1"/>
  <c r="D2492" i="1"/>
  <c r="D1102" i="1"/>
  <c r="D1808" i="1"/>
  <c r="D3623" i="1"/>
  <c r="D5013" i="1"/>
  <c r="D1979" i="1"/>
  <c r="D5103" i="1"/>
  <c r="D1653" i="1"/>
  <c r="D1292" i="1"/>
  <c r="D2773" i="1"/>
  <c r="D2476" i="1"/>
  <c r="D1568" i="1"/>
  <c r="D3333" i="1"/>
  <c r="D1859" i="1"/>
  <c r="D1747" i="1"/>
  <c r="D1615" i="1"/>
  <c r="D1319" i="1"/>
  <c r="D1633" i="1"/>
  <c r="D753" i="1"/>
  <c r="D765" i="1"/>
  <c r="D813" i="1"/>
  <c r="D2651" i="1"/>
  <c r="D704" i="1"/>
  <c r="D903" i="1"/>
  <c r="D889" i="1"/>
  <c r="D1438" i="1"/>
  <c r="D1265" i="1"/>
  <c r="D891" i="1"/>
  <c r="D869" i="1"/>
  <c r="D661" i="1"/>
  <c r="D1097" i="1"/>
  <c r="D764" i="1"/>
  <c r="D700" i="1"/>
  <c r="D1083" i="1"/>
  <c r="D985" i="1"/>
  <c r="D846" i="1"/>
  <c r="D766" i="1"/>
  <c r="D1152" i="1"/>
  <c r="D1048" i="1"/>
  <c r="D3083" i="1"/>
  <c r="D2826" i="1"/>
  <c r="D2078" i="1"/>
  <c r="D1674" i="1"/>
  <c r="D2113" i="1"/>
  <c r="D956" i="1"/>
  <c r="D713" i="1"/>
  <c r="D1016" i="1"/>
  <c r="D1464" i="1"/>
  <c r="D1685" i="1"/>
  <c r="D2807" i="1"/>
  <c r="D1373" i="1"/>
  <c r="D1624" i="1"/>
  <c r="D1269" i="1"/>
  <c r="D2375" i="1"/>
  <c r="D1749" i="1"/>
  <c r="D1661" i="1"/>
  <c r="D3893" i="1"/>
  <c r="D3266" i="1"/>
  <c r="D763" i="1"/>
  <c r="D676" i="1"/>
  <c r="D693" i="1"/>
  <c r="D1374" i="1"/>
  <c r="D595" i="1"/>
  <c r="D823" i="1"/>
  <c r="D1257" i="1"/>
  <c r="D701" i="1"/>
  <c r="D809" i="1"/>
  <c r="D2066" i="1"/>
  <c r="D2285" i="1"/>
  <c r="D3958" i="1"/>
  <c r="D572" i="1"/>
  <c r="D1109" i="1"/>
  <c r="D802" i="1"/>
  <c r="D580" i="1"/>
  <c r="D910" i="1"/>
  <c r="D2465" i="1"/>
  <c r="D995" i="1"/>
  <c r="D1139" i="1"/>
  <c r="D689" i="1"/>
  <c r="D2969" i="1"/>
  <c r="D787" i="1"/>
  <c r="D837" i="1"/>
  <c r="D1214" i="1"/>
  <c r="D692" i="1"/>
  <c r="D680" i="1"/>
  <c r="D709" i="1"/>
  <c r="D583" i="1"/>
  <c r="D3353" i="1"/>
  <c r="D2137" i="1"/>
  <c r="D2322" i="1"/>
  <c r="D890" i="1"/>
  <c r="D915" i="1"/>
  <c r="D1091" i="1"/>
  <c r="D811" i="1"/>
  <c r="D2319" i="1"/>
  <c r="D769" i="1"/>
  <c r="D1331" i="1"/>
  <c r="D1069" i="1"/>
  <c r="D1417" i="1"/>
  <c r="D1731" i="1"/>
  <c r="D937" i="1"/>
  <c r="D722" i="1"/>
  <c r="D814" i="1"/>
  <c r="D929" i="1"/>
  <c r="D842" i="1"/>
  <c r="D1044" i="1"/>
  <c r="D992" i="1"/>
  <c r="D2468" i="1"/>
  <c r="D1125" i="1"/>
  <c r="D1194" i="1"/>
  <c r="D1823" i="1"/>
  <c r="D2407" i="1"/>
  <c r="D1836" i="1"/>
  <c r="D2687" i="1"/>
  <c r="D818" i="1"/>
  <c r="D782" i="1"/>
  <c r="D1146" i="1"/>
  <c r="D559" i="1"/>
  <c r="D779" i="1"/>
  <c r="D1049" i="1"/>
  <c r="D850" i="1"/>
  <c r="D2262" i="1"/>
  <c r="D620" i="1"/>
  <c r="D619" i="1"/>
  <c r="D1014" i="1"/>
  <c r="D3104" i="1"/>
  <c r="D747" i="1"/>
  <c r="D674" i="1"/>
  <c r="D1132" i="1"/>
  <c r="D752" i="1"/>
  <c r="D768" i="1"/>
  <c r="D739" i="1"/>
  <c r="D1540" i="1"/>
  <c r="D675" i="1"/>
  <c r="D855" i="1"/>
  <c r="D1113" i="1"/>
  <c r="D1164" i="1"/>
  <c r="D930" i="1"/>
  <c r="D1311" i="1"/>
  <c r="D1148" i="1"/>
  <c r="D663" i="1"/>
  <c r="D743" i="1"/>
  <c r="D3038" i="1"/>
  <c r="D841" i="1"/>
  <c r="D2121" i="1"/>
  <c r="D912" i="1"/>
  <c r="D757" i="1"/>
  <c r="D2428" i="1"/>
  <c r="D652" i="1"/>
  <c r="D1084" i="1"/>
  <c r="D988" i="1"/>
  <c r="D1011" i="1"/>
  <c r="D2059" i="1"/>
  <c r="D1165" i="1"/>
  <c r="D673" i="1"/>
  <c r="D894" i="1"/>
  <c r="D1173" i="1"/>
  <c r="D1108" i="1"/>
  <c r="D1962" i="1"/>
  <c r="D1906" i="1"/>
  <c r="D702" i="1"/>
  <c r="D3017" i="1"/>
  <c r="D1601" i="1"/>
  <c r="D2162" i="1"/>
  <c r="D1293" i="1"/>
  <c r="D1002" i="1"/>
  <c r="D1039" i="1"/>
  <c r="D3269" i="1"/>
  <c r="D948" i="1"/>
  <c r="D900" i="1"/>
  <c r="D2614" i="1"/>
  <c r="D617" i="1"/>
  <c r="D1030" i="1"/>
  <c r="D933" i="1"/>
  <c r="D737" i="1"/>
  <c r="D710" i="1"/>
  <c r="D1040" i="1"/>
  <c r="D959" i="1"/>
  <c r="D821" i="1"/>
  <c r="D938" i="1"/>
  <c r="D1089" i="1"/>
  <c r="D791" i="1"/>
  <c r="D792" i="1"/>
  <c r="D610" i="1"/>
  <c r="D793" i="1"/>
  <c r="D1616" i="1"/>
  <c r="D1368" i="1"/>
  <c r="D1326" i="1"/>
  <c r="D1175" i="1"/>
  <c r="D1057" i="1"/>
  <c r="D1533" i="1"/>
  <c r="D1036" i="1"/>
  <c r="D1765" i="1"/>
  <c r="D1198" i="1"/>
  <c r="D637" i="1"/>
  <c r="D735" i="1"/>
  <c r="D2388" i="1"/>
  <c r="D1622" i="1"/>
  <c r="D877" i="1"/>
  <c r="D2546" i="1"/>
  <c r="D1651" i="1"/>
  <c r="D941" i="1"/>
  <c r="D935" i="1"/>
  <c r="D786" i="1"/>
  <c r="D740" i="1"/>
  <c r="D833" i="1"/>
  <c r="D839" i="1"/>
  <c r="D943" i="1"/>
  <c r="D832" i="1"/>
  <c r="D681" i="1"/>
  <c r="D812" i="1"/>
  <c r="D1467" i="1"/>
  <c r="D2389" i="1"/>
  <c r="D1416" i="1"/>
  <c r="D931" i="1"/>
  <c r="D2652" i="1"/>
  <c r="D796" i="1"/>
  <c r="D998" i="1"/>
  <c r="D888" i="1"/>
  <c r="D870" i="1"/>
  <c r="D608" i="1"/>
  <c r="D746" i="1"/>
  <c r="D990" i="1"/>
  <c r="D1085" i="1"/>
  <c r="D1371" i="1"/>
  <c r="D584" i="1"/>
  <c r="D694" i="1"/>
  <c r="D819" i="1"/>
  <c r="D759" i="1"/>
  <c r="D589" i="1"/>
  <c r="D575" i="1"/>
  <c r="D1193" i="1"/>
  <c r="D2865" i="1"/>
  <c r="D783" i="1"/>
  <c r="D1076" i="1"/>
  <c r="D634" i="1"/>
  <c r="D654" i="1"/>
  <c r="D612" i="1"/>
  <c r="D570" i="1"/>
  <c r="D618" i="1"/>
  <c r="D1474" i="1"/>
  <c r="D1134" i="1"/>
  <c r="D775" i="1"/>
  <c r="D602" i="1"/>
  <c r="D554" i="1"/>
  <c r="D551" i="1"/>
  <c r="D1130" i="1"/>
  <c r="D622" i="1"/>
  <c r="D687" i="1"/>
  <c r="D588" i="1"/>
  <c r="D603" i="1"/>
  <c r="D711" i="1"/>
  <c r="D5621" i="1"/>
  <c r="D3703" i="1"/>
  <c r="D4042" i="1"/>
  <c r="D2898" i="1"/>
  <c r="D3919" i="1"/>
  <c r="D3731" i="1"/>
  <c r="D4044" i="1"/>
  <c r="D3599" i="1"/>
  <c r="D4874" i="1"/>
  <c r="D1812" i="1"/>
  <c r="D4371" i="1"/>
  <c r="D3597" i="1"/>
  <c r="D4965" i="1"/>
  <c r="D4832" i="1"/>
  <c r="D3947" i="1"/>
  <c r="D3055" i="1"/>
  <c r="D3608" i="1"/>
  <c r="D2787" i="1"/>
  <c r="D2595" i="1"/>
  <c r="D3162" i="1"/>
  <c r="D3818" i="1"/>
  <c r="D4667" i="1"/>
  <c r="D4858" i="1"/>
  <c r="D4034" i="1"/>
  <c r="D2982" i="1"/>
  <c r="D3009" i="1"/>
  <c r="D3145" i="1"/>
  <c r="D2849" i="1"/>
  <c r="D5100" i="1"/>
  <c r="D3490" i="1"/>
  <c r="D3419" i="1"/>
  <c r="D4566" i="1"/>
  <c r="D2792" i="1"/>
  <c r="D4472" i="1"/>
  <c r="D2204" i="1"/>
  <c r="D3682" i="1"/>
  <c r="D4019" i="1"/>
  <c r="D3789" i="1"/>
  <c r="D1732" i="1"/>
  <c r="D4214" i="1"/>
  <c r="D5248" i="1"/>
  <c r="D2182" i="1"/>
  <c r="D3469" i="1"/>
  <c r="D3665" i="1"/>
  <c r="D3720" i="1"/>
  <c r="D2812" i="1"/>
  <c r="D3569" i="1"/>
  <c r="D4717" i="1"/>
  <c r="D3196" i="1"/>
  <c r="D5038" i="1"/>
  <c r="D1683" i="1"/>
  <c r="D3351" i="1"/>
  <c r="D3651" i="1"/>
  <c r="D4648" i="1"/>
  <c r="D2880" i="1"/>
  <c r="D3534" i="1"/>
  <c r="D4726" i="1"/>
  <c r="D4603" i="1"/>
  <c r="D4861" i="1"/>
  <c r="D4532" i="1"/>
  <c r="D3766" i="1"/>
  <c r="D3364" i="1"/>
  <c r="D4224" i="1"/>
  <c r="D4300" i="1"/>
  <c r="D3394" i="1"/>
  <c r="D1450" i="1"/>
  <c r="D3901" i="1"/>
  <c r="D4265" i="1"/>
  <c r="D2857" i="1"/>
  <c r="D4390" i="1"/>
  <c r="D3179" i="1"/>
  <c r="D4232" i="1"/>
  <c r="D2477" i="1"/>
  <c r="D3366" i="1"/>
  <c r="D5239" i="1"/>
  <c r="D3508" i="1"/>
  <c r="D4847" i="1"/>
  <c r="D2356" i="1"/>
  <c r="D4976" i="1"/>
  <c r="D4058" i="1"/>
  <c r="D3436" i="1"/>
  <c r="D2739" i="1"/>
  <c r="D4974" i="1"/>
  <c r="D2367" i="1"/>
  <c r="D4142" i="1"/>
  <c r="D2904" i="1"/>
  <c r="D3738" i="1"/>
  <c r="D4298" i="1"/>
  <c r="D1664" i="1"/>
  <c r="D3990" i="1"/>
  <c r="D3973" i="1"/>
  <c r="D4018" i="1"/>
  <c r="D1837" i="1"/>
  <c r="D2975" i="1"/>
  <c r="D4545" i="1"/>
  <c r="D3127" i="1"/>
  <c r="D3981" i="1"/>
  <c r="D4267" i="1"/>
  <c r="D3672" i="1"/>
  <c r="D3872" i="1"/>
  <c r="D4021" i="1"/>
  <c r="D2964" i="1"/>
  <c r="D3209" i="1"/>
  <c r="D4478" i="1"/>
  <c r="D4250" i="1"/>
  <c r="D5276" i="1"/>
  <c r="D4736" i="1"/>
  <c r="D4438" i="1"/>
  <c r="D2749" i="1"/>
  <c r="D2650" i="1"/>
  <c r="D2835" i="1"/>
  <c r="D4392" i="1"/>
  <c r="D4333" i="1"/>
  <c r="D3378" i="1"/>
  <c r="D4557" i="1"/>
  <c r="D4352" i="1"/>
  <c r="D942" i="1"/>
  <c r="D1546" i="1"/>
  <c r="D3226" i="1"/>
  <c r="D3202" i="1"/>
  <c r="D4292" i="1"/>
  <c r="D2362" i="1"/>
  <c r="D3830" i="1"/>
  <c r="D4635" i="1"/>
  <c r="D2702" i="1"/>
  <c r="D5652" i="1"/>
  <c r="D5438" i="1"/>
  <c r="D4563" i="1"/>
  <c r="D3463" i="1"/>
  <c r="D2866" i="1"/>
  <c r="D3498" i="1"/>
  <c r="D3124" i="1"/>
  <c r="D2211" i="1"/>
  <c r="D1834" i="1"/>
  <c r="D3372" i="1"/>
  <c r="D3640" i="1"/>
  <c r="D3631" i="1"/>
  <c r="D5376" i="1"/>
  <c r="D1744" i="1"/>
  <c r="D2660" i="1"/>
  <c r="D1932" i="1"/>
  <c r="D1203" i="1"/>
  <c r="D3735" i="1"/>
  <c r="D4944" i="1"/>
  <c r="D2154" i="1"/>
  <c r="D4518" i="1"/>
  <c r="D4640" i="1"/>
  <c r="D3725" i="1"/>
  <c r="D3737" i="1"/>
  <c r="D2327" i="1"/>
  <c r="D3793" i="1"/>
  <c r="D3668" i="1"/>
  <c r="D5140" i="1"/>
  <c r="D3842" i="1"/>
  <c r="D2914" i="1"/>
  <c r="D3203" i="1"/>
  <c r="D4412" i="1"/>
  <c r="D4981" i="1"/>
  <c r="D3392" i="1"/>
  <c r="D4076" i="1"/>
  <c r="D5310" i="1"/>
  <c r="D3815" i="1"/>
  <c r="D2666" i="1"/>
  <c r="D2726" i="1"/>
  <c r="D4922" i="1"/>
  <c r="D3795" i="1"/>
  <c r="D4476" i="1"/>
  <c r="D3552" i="1"/>
  <c r="D3178" i="1"/>
  <c r="D3254" i="1"/>
  <c r="D3583" i="1"/>
  <c r="D2593" i="1"/>
  <c r="D2804" i="1"/>
  <c r="D2488" i="1"/>
  <c r="D4167" i="1"/>
  <c r="D2701" i="1"/>
  <c r="D4305" i="1"/>
  <c r="D3588" i="1"/>
  <c r="D3953" i="1"/>
  <c r="D3565" i="1"/>
  <c r="D2893" i="1"/>
  <c r="D3870" i="1"/>
  <c r="D4459" i="1"/>
  <c r="D1733" i="1"/>
  <c r="D2385" i="1"/>
  <c r="D2672" i="1"/>
  <c r="D1539" i="1"/>
  <c r="D1549" i="1"/>
  <c r="D2661" i="1"/>
  <c r="D3259" i="1"/>
  <c r="D3047" i="1"/>
  <c r="D2210" i="1"/>
  <c r="D2400" i="1"/>
  <c r="D3439" i="1"/>
  <c r="D4045" i="1"/>
  <c r="D4606" i="1"/>
  <c r="D3406" i="1"/>
  <c r="D2933" i="1"/>
  <c r="D1978" i="1"/>
  <c r="D2253" i="1"/>
  <c r="D4578" i="1"/>
  <c r="D2035" i="1"/>
  <c r="D2194" i="1"/>
  <c r="D3517" i="1"/>
  <c r="D4354" i="1"/>
  <c r="D4766" i="1"/>
  <c r="D3074" i="1"/>
  <c r="D3522" i="1"/>
  <c r="D4409" i="1"/>
  <c r="D2947" i="1"/>
  <c r="D2821" i="1"/>
  <c r="D1690" i="1"/>
  <c r="D3676" i="1"/>
  <c r="D4386" i="1"/>
  <c r="D3371" i="1"/>
  <c r="D4434" i="1"/>
  <c r="D2689" i="1"/>
  <c r="D3081" i="1"/>
  <c r="D3860" i="1"/>
  <c r="D3786" i="1"/>
  <c r="D5170" i="1"/>
  <c r="D2603" i="1"/>
  <c r="D4266" i="1"/>
  <c r="D2867" i="1"/>
  <c r="D5147" i="1"/>
  <c r="D3940" i="1"/>
  <c r="D3032" i="1"/>
  <c r="D2823" i="1"/>
  <c r="D2955" i="1"/>
  <c r="D2765" i="1"/>
  <c r="D4524" i="1"/>
  <c r="D6554" i="1"/>
  <c r="D1234" i="1"/>
  <c r="D1537" i="1"/>
  <c r="D2582" i="1"/>
  <c r="D1613" i="1"/>
  <c r="D1623" i="1"/>
  <c r="D4082" i="1"/>
  <c r="D2788" i="1"/>
  <c r="D3339" i="1"/>
  <c r="D4542" i="1"/>
  <c r="D3837" i="1"/>
  <c r="D4451" i="1"/>
  <c r="D3171" i="1"/>
  <c r="D3652" i="1"/>
  <c r="D2635" i="1"/>
  <c r="D1799" i="1"/>
  <c r="D1982" i="1"/>
  <c r="D3941" i="1"/>
  <c r="D3564" i="1"/>
  <c r="D3603" i="1"/>
  <c r="D4915" i="1"/>
  <c r="D2843" i="1"/>
  <c r="D880" i="1"/>
  <c r="D1636" i="1"/>
  <c r="D1920" i="1"/>
  <c r="D2766" i="1"/>
  <c r="D3273" i="1"/>
  <c r="D2392" i="1"/>
  <c r="D1147" i="1"/>
  <c r="D1798" i="1"/>
  <c r="D2352" i="1"/>
  <c r="D1276" i="1"/>
  <c r="D3660" i="1"/>
  <c r="D2496" i="1"/>
  <c r="D2664" i="1"/>
  <c r="D4277" i="1"/>
  <c r="D5180" i="1"/>
  <c r="D4156" i="1"/>
  <c r="D2095" i="1"/>
  <c r="D2957" i="1"/>
  <c r="D3159" i="1"/>
  <c r="D2386" i="1"/>
  <c r="D3785" i="1"/>
  <c r="D3664" i="1"/>
  <c r="D4645" i="1"/>
  <c r="D2918" i="1"/>
  <c r="D3978" i="1"/>
  <c r="D1800" i="1"/>
  <c r="D5030" i="1"/>
  <c r="D2990" i="1"/>
  <c r="D3243" i="1"/>
  <c r="D3224" i="1"/>
  <c r="D2762" i="1"/>
  <c r="D4118" i="1"/>
  <c r="D3238" i="1"/>
  <c r="D3529" i="1"/>
  <c r="D2420" i="1"/>
  <c r="D2572" i="1"/>
  <c r="D2000" i="1"/>
  <c r="D2485" i="1"/>
  <c r="D1774" i="1"/>
  <c r="D2005" i="1"/>
  <c r="D2159" i="1"/>
  <c r="D4940" i="1"/>
  <c r="D2581" i="1"/>
  <c r="D1433" i="1"/>
  <c r="D1670" i="1"/>
  <c r="D1478" i="1"/>
  <c r="D3024" i="1"/>
  <c r="D1453" i="1"/>
  <c r="D4622" i="1"/>
  <c r="D3091" i="1"/>
  <c r="D1620" i="1"/>
  <c r="D1491" i="1"/>
  <c r="D2587" i="1"/>
  <c r="D2543" i="1"/>
  <c r="D3767" i="1"/>
  <c r="D1324" i="1"/>
  <c r="D2058" i="1"/>
  <c r="D3245" i="1"/>
  <c r="D1940" i="1"/>
  <c r="D4678" i="1"/>
  <c r="D4264" i="1"/>
  <c r="D2657" i="1"/>
  <c r="D3002" i="1"/>
  <c r="D2494" i="1"/>
  <c r="D1901" i="1"/>
  <c r="D4363" i="1"/>
  <c r="D2329" i="1"/>
  <c r="D1822" i="1"/>
  <c r="D2200" i="1"/>
  <c r="D1981" i="1"/>
  <c r="D2511" i="1"/>
  <c r="D1163" i="1"/>
  <c r="D2343" i="1"/>
  <c r="D1553" i="1"/>
  <c r="D3288" i="1"/>
  <c r="D3115" i="1"/>
  <c r="D1524" i="1"/>
  <c r="D3280" i="1"/>
  <c r="D2752" i="1"/>
  <c r="D4323" i="1"/>
  <c r="D2734" i="1"/>
  <c r="D2441" i="1"/>
  <c r="D2149" i="1"/>
  <c r="D2459" i="1"/>
  <c r="D3620" i="1"/>
  <c r="D2265" i="1"/>
  <c r="D1641" i="1"/>
  <c r="D1566" i="1"/>
  <c r="D1695" i="1"/>
  <c r="D2353" i="1"/>
  <c r="D1881" i="1"/>
  <c r="D1454" i="1"/>
  <c r="D4374" i="1"/>
  <c r="D4187" i="1"/>
  <c r="D3034" i="1"/>
  <c r="D2503" i="1"/>
  <c r="D2895" i="1"/>
  <c r="D2303" i="1"/>
  <c r="D2799" i="1"/>
  <c r="D2202" i="1"/>
  <c r="D1687" i="1"/>
  <c r="D1434" i="1"/>
  <c r="D4326" i="1"/>
  <c r="D1706" i="1"/>
  <c r="D3192" i="1"/>
  <c r="D1354" i="1"/>
  <c r="D3163" i="1"/>
  <c r="D2012" i="1"/>
  <c r="D2915" i="1"/>
  <c r="D3605" i="1"/>
  <c r="D2008" i="1"/>
  <c r="D1951" i="1"/>
  <c r="D1390" i="1"/>
  <c r="D2717" i="1"/>
  <c r="D2919" i="1"/>
  <c r="D4344" i="1"/>
  <c r="D1680" i="1"/>
  <c r="D2871" i="1"/>
  <c r="D3440" i="1"/>
  <c r="D2325" i="1"/>
  <c r="D4116" i="1"/>
  <c r="D1379" i="1"/>
  <c r="D1797" i="1"/>
  <c r="D4716" i="1"/>
  <c r="D3475" i="1"/>
  <c r="D4493" i="1"/>
  <c r="D2828" i="1"/>
  <c r="D2818" i="1"/>
  <c r="D4917" i="1"/>
  <c r="D1576" i="1"/>
  <c r="D2605" i="1"/>
  <c r="D3059" i="1"/>
  <c r="D3231" i="1"/>
  <c r="D1637" i="1"/>
  <c r="D2791" i="1"/>
  <c r="D2219" i="1"/>
  <c r="D2532" i="1"/>
  <c r="D4010" i="1"/>
  <c r="D4112" i="1"/>
  <c r="D3077" i="1"/>
  <c r="D2681" i="1"/>
  <c r="D4998" i="1"/>
  <c r="D4657" i="1"/>
  <c r="D4231" i="1"/>
  <c r="D2088" i="1"/>
  <c r="D1864" i="1"/>
  <c r="D3181" i="1"/>
  <c r="D4418" i="1"/>
  <c r="D2391" i="1"/>
  <c r="D3751" i="1"/>
  <c r="D4243" i="1"/>
  <c r="D3326" i="1"/>
  <c r="D2928" i="1"/>
  <c r="D1898" i="1"/>
  <c r="D2429" i="1"/>
  <c r="D3635" i="1"/>
  <c r="D3079" i="1"/>
  <c r="D1570" i="1"/>
  <c r="D2822" i="1"/>
  <c r="D2406" i="1"/>
  <c r="D3458" i="1"/>
  <c r="D3483" i="1"/>
  <c r="D3756" i="1"/>
  <c r="D3585" i="1"/>
  <c r="D3898" i="1"/>
  <c r="D1561" i="1"/>
  <c r="D2725" i="1"/>
  <c r="D5010" i="1"/>
  <c r="D1317" i="1"/>
  <c r="D1199" i="1"/>
  <c r="D2534" i="1"/>
  <c r="D1504" i="1"/>
  <c r="D1365" i="1"/>
  <c r="D1287" i="1"/>
  <c r="D1228" i="1"/>
  <c r="D4671" i="1"/>
  <c r="D1767" i="1"/>
  <c r="D1954" i="1"/>
  <c r="D1877" i="1"/>
  <c r="D2607" i="1"/>
  <c r="D2714" i="1"/>
  <c r="D1913" i="1"/>
  <c r="D3943" i="1"/>
  <c r="D2372" i="1"/>
  <c r="D4714" i="1"/>
  <c r="D1211" i="1"/>
  <c r="D2052" i="1"/>
  <c r="D3027" i="1"/>
  <c r="D4811" i="1"/>
  <c r="D4554" i="1"/>
  <c r="D1525" i="1"/>
  <c r="D1871" i="1"/>
  <c r="D3607" i="1"/>
  <c r="D3175" i="1"/>
  <c r="D3545" i="1"/>
  <c r="D2735" i="1"/>
  <c r="D3890" i="1"/>
  <c r="D4138" i="1"/>
  <c r="D4028" i="1"/>
  <c r="D3048" i="1"/>
  <c r="D4749" i="1"/>
  <c r="D3980" i="1"/>
  <c r="D5003" i="1"/>
  <c r="D4484" i="1"/>
  <c r="D3076" i="1"/>
  <c r="D4133" i="1"/>
  <c r="D4503" i="1"/>
  <c r="D4685" i="1"/>
  <c r="D3129" i="1"/>
  <c r="D5146" i="1"/>
  <c r="D3755" i="1"/>
  <c r="D2482" i="1"/>
  <c r="D2721" i="1"/>
  <c r="D2723" i="1"/>
  <c r="D1481" i="1"/>
  <c r="D3253" i="1"/>
  <c r="D2808" i="1"/>
  <c r="D3821" i="1"/>
  <c r="D2542" i="1"/>
  <c r="D1538" i="1"/>
  <c r="D2733" i="1"/>
  <c r="D2069" i="1"/>
  <c r="D1321" i="1"/>
  <c r="D2291" i="1"/>
  <c r="D3957" i="1"/>
  <c r="D2608" i="1"/>
  <c r="D4914" i="1"/>
  <c r="D1315" i="1"/>
  <c r="D991" i="1"/>
  <c r="D2724" i="1"/>
  <c r="D1669" i="1"/>
  <c r="D2330" i="1"/>
  <c r="D2674" i="1"/>
  <c r="D2335" i="1"/>
  <c r="D1650" i="1"/>
  <c r="D4558" i="1"/>
  <c r="D4083" i="1"/>
  <c r="D4391" i="1"/>
  <c r="D3592" i="1"/>
  <c r="D3866" i="1"/>
  <c r="D3134" i="1"/>
  <c r="D2727" i="1"/>
  <c r="D2308" i="1"/>
  <c r="D5495" i="1"/>
  <c r="D2698" i="1"/>
  <c r="D4372" i="1"/>
  <c r="D1204" i="1"/>
  <c r="D2827" i="1"/>
  <c r="D5357" i="1"/>
  <c r="D1790" i="1"/>
  <c r="D3459" i="1"/>
  <c r="D3983" i="1"/>
  <c r="D4013" i="1"/>
  <c r="D3258" i="1"/>
  <c r="D1528" i="1"/>
  <c r="D2577" i="1"/>
  <c r="D2433" i="1"/>
  <c r="D2767" i="1"/>
  <c r="D2218" i="1"/>
  <c r="D2289" i="1"/>
  <c r="D1751" i="1"/>
  <c r="D2461" i="1"/>
  <c r="D2304" i="1"/>
  <c r="D3441" i="1"/>
  <c r="D2100" i="1"/>
  <c r="D3257" i="1"/>
  <c r="D3753" i="1"/>
  <c r="D1393" i="1"/>
  <c r="D3646" i="1"/>
  <c r="D2549" i="1"/>
  <c r="D3874" i="1"/>
  <c r="D3098" i="1"/>
  <c r="D3069" i="1"/>
  <c r="D4987" i="1"/>
  <c r="D2793" i="1"/>
  <c r="D4831" i="1"/>
  <c r="D3613" i="1"/>
  <c r="D3474" i="1"/>
  <c r="D4081" i="1"/>
  <c r="D3657" i="1"/>
  <c r="D4147" i="1"/>
  <c r="D4031" i="1"/>
  <c r="D4340" i="1"/>
  <c r="D5145" i="1"/>
  <c r="D4024" i="1"/>
  <c r="D4936" i="1"/>
  <c r="D3291" i="1"/>
  <c r="D3993" i="1"/>
  <c r="D2209" i="1"/>
  <c r="D3604" i="1"/>
  <c r="D4383" i="1"/>
  <c r="D3205" i="1"/>
  <c r="D4455" i="1"/>
  <c r="D3485" i="1"/>
  <c r="D3704" i="1"/>
  <c r="D5047" i="1"/>
  <c r="D3614" i="1"/>
  <c r="D1775" i="1"/>
  <c r="D1659" i="1"/>
  <c r="D3543" i="1"/>
  <c r="D4180" i="1"/>
  <c r="D4703" i="1"/>
  <c r="D2900" i="1"/>
  <c r="D3715" i="1"/>
  <c r="D3092" i="1"/>
  <c r="D3294" i="1"/>
  <c r="D1912" i="1"/>
  <c r="D5594" i="1"/>
  <c r="D2328" i="1"/>
  <c r="D1983" i="1"/>
  <c r="D3319" i="1"/>
  <c r="D3197" i="1"/>
  <c r="D3341" i="1"/>
  <c r="D1918" i="1"/>
  <c r="D2852" i="1"/>
  <c r="D2097" i="1"/>
  <c r="D5018" i="1"/>
  <c r="D3306" i="1"/>
  <c r="D4605" i="1"/>
  <c r="D2683" i="1"/>
  <c r="D4046" i="1"/>
  <c r="D2563" i="1"/>
  <c r="D1893" i="1"/>
  <c r="D3612" i="1"/>
  <c r="D3267" i="1"/>
  <c r="D1757" i="1"/>
  <c r="D4246" i="1"/>
  <c r="D3172" i="1"/>
  <c r="D3176" i="1"/>
  <c r="D1649" i="1"/>
  <c r="D2971" i="1"/>
  <c r="D1604" i="1"/>
  <c r="D3504" i="1"/>
  <c r="D3065" i="1"/>
  <c r="D1479" i="1"/>
  <c r="D3217" i="1"/>
  <c r="D3015" i="1"/>
  <c r="D4366" i="1"/>
  <c r="D2709" i="1"/>
  <c r="D1971" i="1"/>
  <c r="D1480" i="1"/>
  <c r="D3961" i="1"/>
  <c r="D3345" i="1"/>
  <c r="D1523" i="1"/>
  <c r="D2447" i="1"/>
  <c r="D3736" i="1"/>
  <c r="D2101" i="1"/>
  <c r="D1629" i="1"/>
  <c r="D3449" i="1"/>
  <c r="D4630" i="1"/>
  <c r="D2277" i="1"/>
  <c r="D3362" i="1"/>
  <c r="D2519" i="1"/>
  <c r="D3316" i="1"/>
  <c r="D1997" i="1"/>
  <c r="D2140" i="1"/>
  <c r="D4193" i="1"/>
  <c r="D3930" i="1"/>
  <c r="D3696" i="1"/>
  <c r="D3411" i="1"/>
  <c r="D4674" i="1"/>
  <c r="D1933" i="1"/>
  <c r="D3297" i="1"/>
  <c r="D2750" i="1"/>
  <c r="D4665" i="1"/>
  <c r="D1805" i="1"/>
  <c r="D3239" i="1"/>
  <c r="D2415" i="1"/>
  <c r="D2800" i="1"/>
  <c r="D3118" i="1"/>
  <c r="D2716" i="1"/>
  <c r="D3891" i="1"/>
  <c r="D4616" i="1"/>
  <c r="D2157" i="1"/>
  <c r="D2646" i="1"/>
  <c r="D974" i="1"/>
  <c r="D2354" i="1"/>
  <c r="D4971" i="1"/>
  <c r="D1461" i="1"/>
  <c r="D1343" i="1"/>
  <c r="D3617" i="1"/>
  <c r="D1497" i="1"/>
  <c r="D2931" i="1"/>
  <c r="D1047" i="1"/>
  <c r="D4070" i="1"/>
  <c r="D2243" i="1"/>
  <c r="D3899" i="1"/>
  <c r="D3799" i="1"/>
  <c r="D2116" i="1"/>
  <c r="D2381" i="1"/>
  <c r="D3467" i="1"/>
  <c r="D1889" i="1"/>
  <c r="D4698" i="1"/>
  <c r="D1948" i="1"/>
  <c r="D2745" i="1"/>
  <c r="D4496" i="1"/>
  <c r="D3352" i="1"/>
  <c r="D4296" i="1"/>
  <c r="D4919" i="1"/>
  <c r="D1477" i="1"/>
  <c r="D3410" i="1"/>
  <c r="D3276" i="1"/>
  <c r="D2935" i="1"/>
  <c r="D2996" i="1"/>
  <c r="D2772" i="1"/>
  <c r="D3615" i="1"/>
  <c r="D2859" i="1"/>
  <c r="D4574" i="1"/>
  <c r="D2056" i="1"/>
  <c r="D3131" i="1"/>
  <c r="D3851" i="1"/>
  <c r="D1715" i="1"/>
  <c r="D3650" i="1"/>
  <c r="D1699" i="1"/>
  <c r="D3313" i="1"/>
  <c r="D1298" i="1"/>
  <c r="D2083" i="1"/>
  <c r="D2513" i="1"/>
  <c r="D2856" i="1"/>
  <c r="D5228" i="1"/>
  <c r="D3525" i="1"/>
  <c r="D1340" i="1"/>
  <c r="D1401" i="1"/>
  <c r="D936" i="1"/>
  <c r="D2921" i="1"/>
  <c r="D1278" i="1"/>
  <c r="D1404" i="1"/>
  <c r="D1990" i="1"/>
  <c r="D1724" i="1"/>
  <c r="D2737" i="1"/>
  <c r="D1252" i="1"/>
  <c r="D885" i="1"/>
  <c r="D1955" i="1"/>
  <c r="D1640" i="1"/>
  <c r="D2037" i="1"/>
  <c r="D2449" i="1"/>
  <c r="D3571" i="1"/>
  <c r="D2190" i="1"/>
  <c r="D4779" i="1"/>
  <c r="D3003" i="1"/>
  <c r="D5251" i="1"/>
  <c r="D3199" i="1"/>
  <c r="D3711" i="1"/>
  <c r="D3505" i="1"/>
  <c r="D4592" i="1"/>
  <c r="D2676" i="1"/>
  <c r="D4211" i="1"/>
  <c r="D3869" i="1"/>
  <c r="D4424" i="1"/>
  <c r="D4023" i="1"/>
  <c r="D5084" i="1"/>
  <c r="D3984" i="1"/>
  <c r="D3154" i="1"/>
  <c r="D2599" i="1"/>
  <c r="D1868" i="1"/>
  <c r="D1482" i="1"/>
  <c r="D1794" i="1"/>
  <c r="D4199" i="1"/>
  <c r="D2738" i="1"/>
  <c r="D4238" i="1"/>
  <c r="D1420" i="1"/>
  <c r="D1544" i="1"/>
  <c r="D3309" i="1"/>
  <c r="D1329" i="1"/>
  <c r="D1626" i="1"/>
  <c r="D2462" i="1"/>
  <c r="D1119" i="1"/>
  <c r="D865" i="1"/>
  <c r="D4202" i="1"/>
  <c r="D2124" i="1"/>
  <c r="D3717" i="1"/>
  <c r="D4033" i="1"/>
  <c r="D1512" i="1"/>
  <c r="D3643" i="1"/>
  <c r="D4329" i="1"/>
  <c r="D3902" i="1"/>
  <c r="D5292" i="1"/>
  <c r="D3713" i="1"/>
  <c r="D4892" i="1"/>
  <c r="D3666" i="1"/>
  <c r="D2077" i="1"/>
  <c r="D4570" i="1"/>
  <c r="D2873" i="1"/>
  <c r="D3227" i="1"/>
  <c r="D3749" i="1"/>
  <c r="D2227" i="1"/>
  <c r="D4098" i="1"/>
  <c r="D4092" i="1"/>
  <c r="D2756" i="1"/>
  <c r="D1995" i="1"/>
  <c r="D3754" i="1"/>
  <c r="D2436" i="1"/>
  <c r="D1844" i="1"/>
  <c r="D2104" i="1"/>
  <c r="D3430" i="1"/>
  <c r="D3029" i="1"/>
  <c r="D1645" i="1"/>
  <c r="D1579" i="1"/>
  <c r="D3057" i="1"/>
  <c r="D3889" i="1"/>
  <c r="D2901" i="1"/>
  <c r="D1778" i="1"/>
  <c r="D1063" i="1"/>
  <c r="D1754" i="1"/>
  <c r="D3659" i="1"/>
  <c r="D1738" i="1"/>
  <c r="D4626" i="1"/>
  <c r="D4910" i="1"/>
  <c r="D3112" i="1"/>
  <c r="D5286" i="1"/>
  <c r="D4837" i="1"/>
  <c r="D4809" i="1"/>
  <c r="D1782" i="1"/>
  <c r="D4007" i="1"/>
  <c r="D4452" i="1"/>
  <c r="D3887" i="1"/>
  <c r="D2634" i="1"/>
  <c r="D1225" i="1"/>
  <c r="D3408" i="1"/>
  <c r="D2419" i="1"/>
  <c r="D1435" i="1"/>
  <c r="D3221" i="1"/>
  <c r="D2105" i="1"/>
  <c r="D1974" i="1"/>
  <c r="D2051" i="1"/>
  <c r="D2337" i="1"/>
  <c r="D1143" i="1"/>
  <c r="D2559" i="1"/>
  <c r="D1275" i="1"/>
  <c r="D2685" i="1"/>
  <c r="D2324" i="1"/>
  <c r="D3121" i="1"/>
  <c r="D2475" i="1"/>
  <c r="D4428" i="1"/>
  <c r="D2521" i="1"/>
  <c r="D3157" i="1"/>
  <c r="D2705" i="1"/>
  <c r="D4319" i="1"/>
  <c r="D4228" i="1"/>
  <c r="D4285" i="1"/>
  <c r="D3987" i="1"/>
  <c r="D4306" i="1"/>
  <c r="D2899" i="1"/>
  <c r="D2142" i="1"/>
  <c r="D2569" i="1"/>
  <c r="D3122" i="1"/>
  <c r="D3929" i="1"/>
  <c r="D2341" i="1"/>
  <c r="D1693" i="1"/>
  <c r="D2525" i="1"/>
  <c r="D2667" i="1"/>
  <c r="D1811" i="1"/>
  <c r="D1107" i="1"/>
  <c r="D2334" i="1"/>
  <c r="D1231" i="1"/>
  <c r="D2412" i="1"/>
  <c r="D1004" i="1"/>
  <c r="D2817" i="1"/>
  <c r="D3723" i="1"/>
  <c r="D2464" i="1"/>
  <c r="D3093" i="1"/>
  <c r="D1959" i="1"/>
  <c r="D2361" i="1"/>
  <c r="D4419" i="1"/>
  <c r="D4080" i="1"/>
  <c r="D4529" i="1"/>
  <c r="D3073" i="1"/>
  <c r="D2783" i="1"/>
  <c r="D1969" i="1"/>
  <c r="D5238" i="1"/>
  <c r="D1766" i="1"/>
  <c r="D2640" i="1"/>
  <c r="D1911" i="1"/>
  <c r="D1250" i="1"/>
  <c r="D2999" i="1"/>
  <c r="D3020" i="1"/>
  <c r="D2071" i="1"/>
  <c r="D1885" i="1"/>
  <c r="D3054" i="1"/>
  <c r="D3577" i="1"/>
  <c r="D2570" i="1"/>
  <c r="D2722" i="1"/>
  <c r="D2405" i="1"/>
  <c r="D3062" i="1"/>
  <c r="D2409" i="1"/>
  <c r="D3252" i="1"/>
  <c r="D3327" i="1"/>
  <c r="D1327" i="1"/>
  <c r="D4050" i="1"/>
  <c r="D4053" i="1"/>
  <c r="D1145" i="1"/>
  <c r="D1967" i="1"/>
  <c r="D2704" i="1"/>
  <c r="D2085" i="1"/>
  <c r="D2418" i="1"/>
  <c r="D3222" i="1"/>
  <c r="D1046" i="1"/>
  <c r="D1638" i="1"/>
  <c r="D1064" i="1"/>
  <c r="D2158" i="1"/>
  <c r="D1770" i="1"/>
  <c r="D1406" i="1"/>
  <c r="D3770" i="1"/>
  <c r="D3007" i="1"/>
  <c r="D967" i="1"/>
  <c r="D3760" i="1"/>
  <c r="D1159" i="1"/>
  <c r="D4788" i="1"/>
  <c r="D4159" i="1"/>
  <c r="D2031" i="1"/>
  <c r="D1282" i="1"/>
  <c r="D2246" i="1"/>
  <c r="D2747" i="1"/>
  <c r="D3896" i="1"/>
  <c r="D3358" i="1"/>
  <c r="D2743" i="1"/>
  <c r="D1628" i="1"/>
  <c r="D1493" i="1"/>
  <c r="D2107" i="1"/>
  <c r="D4415" i="1"/>
  <c r="D2344" i="1"/>
  <c r="D1830" i="1"/>
  <c r="D2774" i="1"/>
  <c r="D1517" i="1"/>
  <c r="D3457" i="1"/>
  <c r="D1025" i="1"/>
  <c r="D4751" i="1"/>
  <c r="D2164" i="1"/>
  <c r="D3298" i="1"/>
  <c r="D2860" i="1"/>
  <c r="D2228" i="1"/>
  <c r="D2744" i="1"/>
  <c r="D1575" i="1"/>
  <c r="D2346" i="1"/>
  <c r="D1078" i="1"/>
  <c r="D1270" i="1"/>
  <c r="D835" i="1"/>
  <c r="D1209" i="1"/>
  <c r="D1274" i="1"/>
  <c r="D1597" i="1"/>
  <c r="D1394" i="1"/>
  <c r="D1720" i="1"/>
  <c r="D3251" i="1"/>
  <c r="D2656" i="1"/>
  <c r="D4593" i="1"/>
  <c r="D3570" i="1"/>
  <c r="D2912" i="1"/>
  <c r="D3561" i="1"/>
  <c r="D1074" i="1"/>
  <c r="D3349" i="1"/>
  <c r="D2763" i="1"/>
  <c r="D1169" i="1"/>
  <c r="D1803" i="1"/>
  <c r="D3587" i="1"/>
  <c r="D1033" i="1"/>
  <c r="D2584" i="1"/>
  <c r="D2589" i="1"/>
  <c r="D3934" i="1"/>
  <c r="D1261" i="1"/>
  <c r="D4060" i="1"/>
  <c r="D2403" i="1"/>
  <c r="D2769" i="1"/>
  <c r="D1055" i="1"/>
  <c r="D4029" i="1"/>
  <c r="D4137" i="1"/>
  <c r="D2632" i="1"/>
  <c r="D3693" i="1"/>
  <c r="D1726" i="1"/>
  <c r="D1060" i="1"/>
  <c r="D2258" i="1"/>
  <c r="D1133" i="1"/>
  <c r="D2446" i="1"/>
  <c r="D3058" i="1"/>
  <c r="D1612" i="1"/>
  <c r="D3775" i="1"/>
  <c r="D2495" i="1"/>
  <c r="D4466" i="1"/>
  <c r="D1161" i="1"/>
  <c r="D2775" i="1"/>
  <c r="D1249" i="1"/>
  <c r="D2753" i="1"/>
  <c r="D3042" i="1"/>
  <c r="D1205" i="1"/>
  <c r="D1956" i="1"/>
  <c r="D1473" i="1"/>
  <c r="D3194" i="1"/>
  <c r="D1006" i="1"/>
  <c r="D3103" i="1"/>
  <c r="D3429" i="1"/>
  <c r="D847" i="1"/>
  <c r="D1291" i="1"/>
  <c r="D1323" i="1"/>
  <c r="D1296" i="1"/>
  <c r="D1100" i="1"/>
  <c r="D2879" i="1"/>
  <c r="D831" i="1"/>
  <c r="D244" i="1"/>
  <c r="D1353" i="1"/>
  <c r="D213" i="1"/>
  <c r="D4194" i="1"/>
  <c r="D229" i="1"/>
  <c r="D2250" i="1"/>
  <c r="D230" i="1"/>
  <c r="D8206" i="1"/>
  <c r="D49" i="1"/>
  <c r="D456" i="1"/>
  <c r="D326" i="1"/>
  <c r="D341" i="1"/>
  <c r="D306" i="1"/>
  <c r="D325" i="1"/>
  <c r="D58" i="1"/>
  <c r="D173" i="1"/>
  <c r="D131" i="1"/>
  <c r="D56" i="1"/>
  <c r="D108" i="1"/>
  <c r="D66" i="1"/>
  <c r="D221" i="1"/>
  <c r="D228" i="1"/>
  <c r="D63" i="1"/>
  <c r="D98" i="1"/>
  <c r="D46" i="1"/>
  <c r="D150" i="1"/>
  <c r="D25" i="1"/>
  <c r="D340" i="1"/>
  <c r="D368" i="1"/>
  <c r="D241" i="1"/>
  <c r="D62" i="1"/>
  <c r="D169" i="1"/>
  <c r="D55" i="1"/>
</calcChain>
</file>

<file path=xl/sharedStrings.xml><?xml version="1.0" encoding="utf-8"?>
<sst xmlns="http://schemas.openxmlformats.org/spreadsheetml/2006/main" count="55057" uniqueCount="907">
  <si>
    <t xml:space="preserve">N2O emission per area </t>
  </si>
  <si>
    <t xml:space="preserve">Units </t>
  </si>
  <si>
    <t xml:space="preserve">Year </t>
  </si>
  <si>
    <t xml:space="preserve">Month/Season </t>
  </si>
  <si>
    <t xml:space="preserve">Location </t>
  </si>
  <si>
    <t xml:space="preserve">Note </t>
  </si>
  <si>
    <t>g N2O m−2 yr−1</t>
  </si>
  <si>
    <t>Humber estaury</t>
  </si>
  <si>
    <t xml:space="preserve">UK </t>
  </si>
  <si>
    <t xml:space="preserve">Forth estaury </t>
  </si>
  <si>
    <t xml:space="preserve">Tees estaury </t>
  </si>
  <si>
    <t xml:space="preserve">Tyne estaury </t>
  </si>
  <si>
    <t xml:space="preserve">April </t>
  </si>
  <si>
    <t xml:space="preserve">Tay estaury </t>
  </si>
  <si>
    <t xml:space="preserve">Tweed estaury </t>
  </si>
  <si>
    <t>Barnes, J., and N. J. P. Owens (1999), Denitrification and nitrous oxide concentrations in the Humber Estuary, UK, and adjacent coastal zones, Mar. Pollut. Bull., 37(3–7), 247–260, doi:10.1016/S0025-326X(99) 00079-X.</t>
  </si>
  <si>
    <t xml:space="preserve">Colne estaury </t>
  </si>
  <si>
    <t>Dong, L. F., D. B. Nedwell, I. Colbeck, and J. Finch (2004), Nitrous oxide emission from some English and Welsh rivers and estuaries, Water Air Soil Pollut., 4, 127–134, doi:10.1007/s11267-004-3022-4.</t>
  </si>
  <si>
    <t xml:space="preserve">Stour estaury </t>
  </si>
  <si>
    <t xml:space="preserve">Orwell estaury </t>
  </si>
  <si>
    <t xml:space="preserve">Deben estaury </t>
  </si>
  <si>
    <t xml:space="preserve">Febraury </t>
  </si>
  <si>
    <t xml:space="preserve">Thames estaury </t>
  </si>
  <si>
    <t>De Wilde, H. P. J., and M. J. M. De Bie (2000), Nitrous oxide in the Schelde estuary: Production by nitrification and emission to the atmo sphere, Mar. Chem., 69, 203–216, doi:10.1016/S0304-4203(99)00106-1.</t>
  </si>
  <si>
    <t xml:space="preserve">Tamar estaury </t>
  </si>
  <si>
    <t xml:space="preserve">Conwy estaury </t>
  </si>
  <si>
    <t xml:space="preserve">Schelde estaury </t>
  </si>
  <si>
    <t xml:space="preserve">Elbe estaury </t>
  </si>
  <si>
    <t xml:space="preserve">Germany </t>
  </si>
  <si>
    <t>Middelburg, J. J., and J. Nieuwenhuize (2000), Uptake of dissolved inor ganic nitrogen in turbid, tidal estuaries, Mar. Ecol. Prog. Ser., 132, 79–88, doi:10.3354/meps192079.</t>
  </si>
  <si>
    <t xml:space="preserve">Ems estaury  </t>
  </si>
  <si>
    <t xml:space="preserve">Girode estaury </t>
  </si>
  <si>
    <t>France</t>
  </si>
  <si>
    <t xml:space="preserve">September </t>
  </si>
  <si>
    <t xml:space="preserve">Loire estaury </t>
  </si>
  <si>
    <t xml:space="preserve">France </t>
  </si>
  <si>
    <t xml:space="preserve">August </t>
  </si>
  <si>
    <t xml:space="preserve">Douro estaury </t>
  </si>
  <si>
    <t>Portugal</t>
  </si>
  <si>
    <t xml:space="preserve">May </t>
  </si>
  <si>
    <t xml:space="preserve">Wash estaury </t>
  </si>
  <si>
    <t xml:space="preserve">Bodden waters estaury </t>
  </si>
  <si>
    <t>Bange, H. W. (2006), Nitrous oxide and methane in European coastal waters, Estuarine Coastal Shelf Sci., 70(3), 361–374, doi:10.1016/j. ecss.2006.05.042.</t>
  </si>
  <si>
    <t xml:space="preserve">July, August  </t>
  </si>
  <si>
    <t>Black Sea‐Danube plume</t>
  </si>
  <si>
    <t>Amouroux, D., G. Roberts, S. Rapsomanikis, and M. O. Andreae (2002), Biogenic gas (CH4,N2O, DMS) emission to the atmosphere from near‐shore and shelf waters of the north‐western Black Sea, Estuarine Coastal Shelf Sci., 54, 575–587, doi:10.1006/ecss.2000.0666.</t>
  </si>
  <si>
    <t xml:space="preserve">Rhone river plume </t>
  </si>
  <si>
    <t>Marty, D., P. Bonin, V. Michotey, and M. Bianchi (2001), Bacterial biogas production in coastal systems affected by freshwater inputs, Cont. Shelf Res., 21, 2105–2115, doi:10.1016/S0278-4343(01)00045-0.</t>
  </si>
  <si>
    <t xml:space="preserve">July </t>
  </si>
  <si>
    <t xml:space="preserve">Amvrakikos Bay </t>
  </si>
  <si>
    <t xml:space="preserve">Greece </t>
  </si>
  <si>
    <t>Bange, H. W., S. Rapsomanikis, and M. O. Andreae (1996), Nitrous oxide in coastal waters, Global Biogeochem. Cycles, 10(1), 197–207, doi:10.1029/95GB03834.</t>
  </si>
  <si>
    <t>estaury of  the Guadalete River</t>
  </si>
  <si>
    <t xml:space="preserve">Spain </t>
  </si>
  <si>
    <t>Burgos, M., Ortega, T., &amp; Forja, J. M. (2017). Temporal and spatial variation of N₂O production from estuarine and marine shallow systems of Cadiz Bay (SW, Spain). Science of the Total Environment, 607–608, 141–151. https://doi.org/10.1016/j.scitotenv.2017.07.021</t>
  </si>
  <si>
    <t>Rio San Pedro Creek</t>
  </si>
  <si>
    <t>Sancti Petri Channel</t>
  </si>
  <si>
    <t>Boknis Eck</t>
  </si>
  <si>
    <t>Ma, X., Lennartz, S. T., &amp; Bange, H. W. (2019). A multi-year observation of nitrous oxide at the Boknis Eck Time Series Station in the Eckernförde Bay (southwestern Baltic Sea). Biogeosciences, 16(19), 4097–4111. https://doi.org/10.5194/bg-16-4097-2019</t>
  </si>
  <si>
    <t>nmol m−2 s−1</t>
  </si>
  <si>
    <t>April to December</t>
  </si>
  <si>
    <t>Roskilde Fjord</t>
  </si>
  <si>
    <t>Denmark</t>
  </si>
  <si>
    <t>Lequy, E., Asmala, E., Ibrom, A., Loubet, B., Massad, R. S., Markager, S., &amp; Garnier, J. (2022). Contribution from a eutrophic temperate estuary to the landscape flux of nitrous oxide. Water Research, 216, 118874. https://doi.org/10.1016/j.watres.2022.118874</t>
  </si>
  <si>
    <t>July to December</t>
  </si>
  <si>
    <t>estaury of Guadalquivir river</t>
  </si>
  <si>
    <t>Huertas, I. E., Flecha, S., Navarro, G., Pérez, F. F., &amp; de la Paz, M. (2018). Spatio-temporal variability and controls on methane and nitrous oxide in the Guadalquivir Estuary, Southwestern Europe. Aquatic Sciences, 80(29). https://doi.org/10.1007/s00027-018-0580-5</t>
  </si>
  <si>
    <t> 4</t>
  </si>
  <si>
    <t>November</t>
  </si>
  <si>
    <t>Strait of Gibraltar</t>
  </si>
  <si>
    <t>south of the Iberian Peninsula</t>
  </si>
  <si>
    <t>August</t>
  </si>
  <si>
    <t xml:space="preserve">February </t>
  </si>
  <si>
    <t>North Aegean Sea</t>
  </si>
  <si>
    <t>South Aegean Sea</t>
  </si>
  <si>
    <t xml:space="preserve">Eastern Ionian Sea shelf </t>
  </si>
  <si>
    <t>4–8 July</t>
  </si>
  <si>
    <t>Sierra, A., Jiménez-López, D., Ortega, T., Gómez-Parra, A., &amp; Forja, J. (2020). Factors controlling the variability and emissions of greenhouse gases (CO₂, CH₄ and N₂O) in three estuaries of the Southern Iberian Atlantic Basin during July 2017. Marine Chemistry, 103867.   https://doi.org/10.1016/j.marchem.2020.103867</t>
  </si>
  <si>
    <t>16–19 July</t>
  </si>
  <si>
    <t xml:space="preserve">Guadiana estaury </t>
  </si>
  <si>
    <t>11–14 July</t>
  </si>
  <si>
    <t xml:space="preserve">Tinto-Odiel estaury </t>
  </si>
  <si>
    <t>Spain</t>
  </si>
  <si>
    <t>Setúbal Bay</t>
  </si>
  <si>
    <t>31 July and 02 August</t>
  </si>
  <si>
    <t>Sado estaury</t>
  </si>
  <si>
    <t>Gonçalves, C., Brogueira, M. J., &amp; Nogueira, M. (2015). Tidal and spatial variability of nitrous oxide (N₂O) in Sado estuary (Portugal). Estuarine, Coastal and Shelf Science, 167, 466–474. https://doi.org/10.1016/j.ecss.2015.10.028</t>
  </si>
  <si>
    <t>Minho</t>
  </si>
  <si>
    <t>Gonçalves C., Brogueira M.J. 2017. Spatial variability of nitrous oxide in the Minho and Lima estuaries (Portugal). Sci. Mar. 81(3): 317-326. doi: http://dx.doi.org/10.3989/scimar.04637.26A</t>
  </si>
  <si>
    <t>September</t>
  </si>
  <si>
    <t>Lima</t>
  </si>
  <si>
    <t xml:space="preserve">November, April and July </t>
  </si>
  <si>
    <t>Central Celtic Sea</t>
  </si>
  <si>
    <t>Lessin, G., Polimene, L., Artioli, Y., Butenschön, M., Clark, D. R., Brown, I., &amp;Rees, A. P. (2020). Modeling the seasonality and controls of nitrous oxide emissions on the northwest European continental shelf. Journal of Geophysical Research: Biogeosciences, 125, e2019JG005613. https://doi.org/ 10.1029/2019JG005613</t>
  </si>
  <si>
    <t xml:space="preserve">June and July </t>
  </si>
  <si>
    <t>Northern North Sea</t>
  </si>
  <si>
    <t>Long Forties area</t>
  </si>
  <si>
    <t>Southern North Sea</t>
  </si>
  <si>
    <t>mg m-2 d-1</t>
  </si>
  <si>
    <t>May 2003 and November 2004</t>
  </si>
  <si>
    <t xml:space="preserve">Temmesjoki estaury </t>
  </si>
  <si>
    <t>Finland</t>
  </si>
  <si>
    <t>t km−2 a−1</t>
  </si>
  <si>
    <t>Station Lutjewad</t>
  </si>
  <si>
    <t>Dutch North Sea coast</t>
  </si>
  <si>
    <t>14–18 March</t>
  </si>
  <si>
    <t>Mar Menor</t>
  </si>
  <si>
    <t>Iberian Peninsula</t>
  </si>
  <si>
    <t>12–18 September</t>
  </si>
  <si>
    <t>Edinburgh along the Firth of Forth</t>
  </si>
  <si>
    <t>south-east Scotland</t>
  </si>
  <si>
    <t>March to April 1998</t>
  </si>
  <si>
    <t>Schelde estuary</t>
  </si>
  <si>
    <t>de Bie MJ, Middelburg JJ, Starink M, Laanbroek HJ (2002) Factors controlling nitrous oxide at the microbial community and estua rine scale. Mar Ecol Prog Ser 240:1–9</t>
  </si>
  <si>
    <t>May</t>
  </si>
  <si>
    <t xml:space="preserve">Tagus estaury </t>
  </si>
  <si>
    <t>Gonçalves C, Brogueira MJ, Camões MF (2010) Seasonal and tidal influence on the variability of nitrous oxide in the Tagus estuary, Portugal. Sci Marina 74(S1):57–66</t>
  </si>
  <si>
    <t>February, May, August and November</t>
  </si>
  <si>
    <t>Seine river estaury</t>
  </si>
  <si>
    <t>Garnier J, Cébron A, Tallec G, Billen G, Sebilo M, Martinez A (2006) Nitrogen behaviour and nitrous oxide emission in the tidal Seine River estuary (France) as influenced by human activities in the upstream watershed. Biogeochemistry 77(3):305–326</t>
  </si>
  <si>
    <t>Southern Baltic Sea</t>
  </si>
  <si>
    <t>Ría of A Coruna</t>
  </si>
  <si>
    <t>north of Cape Fisterra</t>
  </si>
  <si>
    <t>de la Paz, M., Pérez, F. F., Álvarez, M., &amp; Bode, A. (2024). Seasonal ventilation controls nitrous oxide emission in the NW Iberian upwelling. Progress in Oceanography. https://doi.org/10.1016/j.pocean.2024.103261</t>
  </si>
  <si>
    <t>Ría of Vigo</t>
  </si>
  <si>
    <t>south of Cape Fisterra</t>
  </si>
  <si>
    <t xml:space="preserve">March </t>
  </si>
  <si>
    <t>Schulz, G., Sanders, T., Voynova, Y. G., Bange, H. W., &amp; Dähnke, K. (2023). Seasonal variability of nitrous oxide concentrations and emissions in a temperate estuary. Biogeosciences, 20(12), 3229–3247. https://doi.org/10.5194/bg-20-3229-2023</t>
  </si>
  <si>
    <t>March</t>
  </si>
  <si>
    <t>Ria Formosa lagoon</t>
  </si>
  <si>
    <t>Faro</t>
  </si>
  <si>
    <t>October</t>
  </si>
  <si>
    <t xml:space="preserve">Tavira </t>
  </si>
  <si>
    <t>Faro - Olhao</t>
  </si>
  <si>
    <t>Olhao West</t>
  </si>
  <si>
    <t>Tavira</t>
  </si>
  <si>
    <t>Faro northwest</t>
  </si>
  <si>
    <t>Bukowo</t>
  </si>
  <si>
    <t>coastal lake</t>
  </si>
  <si>
    <t>Gardno</t>
  </si>
  <si>
    <t>Jamno</t>
  </si>
  <si>
    <t>Kopań</t>
  </si>
  <si>
    <t>Łebsko</t>
  </si>
  <si>
    <t>Resko</t>
  </si>
  <si>
    <t>Wicko</t>
  </si>
  <si>
    <t>16 to 28 June</t>
  </si>
  <si>
    <t>north-easternshelfofthe GulfofCádiz</t>
  </si>
  <si>
    <t>LM86</t>
  </si>
  <si>
    <t>19 to 29 November</t>
  </si>
  <si>
    <t>31 January to 10 February</t>
  </si>
  <si>
    <t>14 to 26 May</t>
  </si>
  <si>
    <t>W92</t>
  </si>
  <si>
    <t> Gulf of Cádiz</t>
  </si>
  <si>
    <t>Ortega, T., Jiménez-López, D., Sierra, A., Ponce, R., &amp; Forja, J. (n.d.). Greenhouse gas assemblages (CO2, CH4 and N2O) in the continental shelf of the Gulf of Cadiz (SW Iberian Peninsula). Science of the Total Environment. Universidad de Cádiz, Facultad de Ciencias del Mar y Ambientales, INMAR. Retrieved from www.elsevier.com/locate/scitotenv</t>
  </si>
  <si>
    <t>June</t>
  </si>
  <si>
    <t>December</t>
  </si>
  <si>
    <t xml:space="preserve">June </t>
  </si>
  <si>
    <t xml:space="preserve">January </t>
  </si>
  <si>
    <t>eastern shelf of the Gulf of Cádiz</t>
  </si>
  <si>
    <t>Sierra, A., Jiménez-López, D., Ortega, T., Ponce, R., Bellanco, M. J., Sánchez-Leal, R., Gómez-Parra, A., &amp; Forja, J. (2017). Distribution of N₂O in the eastern shelf of the Gulf of Cadiz (SW Iberian Peninsula). Science of the Total Environment, 593–594, 796–808. https://doi.org/10.1016/j.scitotenv.2017.03.189</t>
  </si>
  <si>
    <t>Mar - Dec</t>
  </si>
  <si>
    <t>Humber estuary</t>
  </si>
  <si>
    <t>July</t>
  </si>
  <si>
    <t>Curonian Lagoon</t>
  </si>
  <si>
    <t>Vistula Lagoon</t>
  </si>
  <si>
    <t>Oder Lagoon</t>
  </si>
  <si>
    <t>Cheung, H. L. S., Zilius, M., Politi, T., Lorre, E., Vybernaite-Lubiene, I., Santos, I., &amp; Bonaglia, S. (2024). Data for the article "Eutrophic coastal lagoons as hotspots of nitrous oxide emissions" [Data set]. Zenodo. https://doi.org/10.5281/zenodo.13889545</t>
  </si>
  <si>
    <t>Curonian Lagoon, Station 1</t>
  </si>
  <si>
    <t>Curonian Lagoon, Station 2</t>
  </si>
  <si>
    <t>CuronianLagoon, Station 2</t>
  </si>
  <si>
    <t>Vistula Lagoon, Station 1</t>
  </si>
  <si>
    <t>Vistula Lagoon, Station 2</t>
  </si>
  <si>
    <t>Oder Lagoon, Station 1</t>
  </si>
  <si>
    <t>Oder Lagoon, Station 2</t>
  </si>
  <si>
    <t>pmol m-2 s-1</t>
  </si>
  <si>
    <t>1994 - 1997</t>
  </si>
  <si>
    <t>Northern Bodden water</t>
  </si>
  <si>
    <t>Greifswalder Bodden</t>
  </si>
  <si>
    <t>Peenestrom</t>
  </si>
  <si>
    <t>Kleines Ha</t>
  </si>
  <si>
    <t>GD1</t>
  </si>
  <si>
    <t>GD2</t>
  </si>
  <si>
    <t>GD3</t>
  </si>
  <si>
    <t>GD4</t>
  </si>
  <si>
    <t>GD5</t>
  </si>
  <si>
    <t>April</t>
  </si>
  <si>
    <t>Reydarfjordur</t>
  </si>
  <si>
    <t>Berufjordur</t>
  </si>
  <si>
    <t>Gullmar Fjord</t>
  </si>
  <si>
    <t>Hake Fjord</t>
  </si>
  <si>
    <t>By Fjord</t>
  </si>
  <si>
    <t xml:space="preserve">Sermilik Fjord </t>
  </si>
  <si>
    <t>Latitude (°)</t>
  </si>
  <si>
    <t>Longitude (°)</t>
  </si>
  <si>
    <r>
      <t xml:space="preserve">de la Paz, M., Huertas, I. E., Flecha, S., Ríos, A. F., &amp; Pérez, F. F. (2015). Nitrous oxide and methane in Atlantic and Mediterranean waters in the Strait of Gibraltar: Air-sea fluxes and inter-basin exchange. </t>
    </r>
    <r>
      <rPr>
        <i/>
        <sz val="12"/>
        <color theme="1"/>
        <rFont val="Times New Roman"/>
        <family val="1"/>
      </rPr>
      <t>Progress in Oceanography</t>
    </r>
    <r>
      <rPr>
        <sz val="12"/>
        <color theme="1"/>
        <rFont val="Times New Roman"/>
        <family val="1"/>
      </rPr>
      <t>, 138, 18–31. https://doi.org/10.1016/j.pocean.2015.09.004</t>
    </r>
  </si>
  <si>
    <r>
      <t xml:space="preserve">Bange, H. W., Rapsomanikis, S., &amp; Andreae, M. O. (1996). The Aegean Sea as a source of atmospheric nitrous oxide and methane. </t>
    </r>
    <r>
      <rPr>
        <i/>
        <sz val="12"/>
        <color theme="1"/>
        <rFont val="Times New Roman"/>
        <family val="1"/>
      </rPr>
      <t>Marine Chemistry, 53</t>
    </r>
    <r>
      <rPr>
        <sz val="12"/>
        <color theme="1"/>
        <rFont val="Times New Roman"/>
        <family val="1"/>
      </rPr>
      <t>(1-2), 41-49. https://doi.org/10.1016/S0304-4203(96)00011-4</t>
    </r>
  </si>
  <si>
    <r>
      <t xml:space="preserve">Van der Laan, S., Neubert, R. E. M., &amp; Meijer, H. A. J. (2009). Methane and nitrous oxide emissions in The Netherlands: Ambient measurements support the national inventories. </t>
    </r>
    <r>
      <rPr>
        <i/>
        <sz val="12"/>
        <color theme="1"/>
        <rFont val="Times New Roman"/>
        <family val="1"/>
      </rPr>
      <t>Atmospheric Chemistry and Physics, 9</t>
    </r>
    <r>
      <rPr>
        <sz val="12"/>
        <color theme="1"/>
        <rFont val="Times New Roman"/>
        <family val="1"/>
      </rPr>
      <t>(23), 9369–9379. https://doi.org/10.5194/acp-9-9369-2009</t>
    </r>
  </si>
  <si>
    <r>
      <t xml:space="preserve">Famulari, D., Nemitz, E., Di Marco, C., Phillips, G. J., Thomas, R., House, E., &amp; Fowler, D. (2009). Eddy-covariance measurements of nitrous oxide fluxes above a city. </t>
    </r>
    <r>
      <rPr>
        <i/>
        <sz val="12"/>
        <color theme="1"/>
        <rFont val="Times New Roman"/>
        <family val="1"/>
      </rPr>
      <t>Agricultural and Forest Meteorology, 149</t>
    </r>
    <r>
      <rPr>
        <sz val="12"/>
        <color theme="1"/>
        <rFont val="Times New Roman"/>
        <family val="1"/>
      </rPr>
      <t>(10), 1941-1954. https://doi.org/10.1016/j.agrformet.2009.08.003</t>
    </r>
  </si>
  <si>
    <r>
      <t xml:space="preserve">Ferrón, S., Ortega, T., Gómez-Parra, A., &amp; Forja, J. M. (2007). Seasonal study of dissolved CH₄, CO₂, and N₂O in a shallow tidal system of the bay of Cádiz (SW Spain). </t>
    </r>
    <r>
      <rPr>
        <i/>
        <sz val="12"/>
        <color theme="1"/>
        <rFont val="Times New Roman"/>
        <family val="1"/>
      </rPr>
      <t>Journal of Marine Systems, 66</t>
    </r>
    <r>
      <rPr>
        <sz val="12"/>
        <color theme="1"/>
        <rFont val="Times New Roman"/>
        <family val="1"/>
      </rPr>
      <t>(1-4), 244–257. https://doi.org/10.1016/j.jmarsys.2006.03.010</t>
    </r>
  </si>
  <si>
    <r>
      <t xml:space="preserve">Sierra, A., Correia, C., Ortega, T., Forja, J., Rodrigues, M., &amp; Cravo, A. (2024). Dynamics of CO₂, CH₄, and N₂O in Ria Formosa coastal lagoon (southwestern Iberia) and export to the Gulf of Cadiz. </t>
    </r>
    <r>
      <rPr>
        <i/>
        <sz val="12"/>
        <color theme="1"/>
        <rFont val="Times New Roman"/>
        <family val="1"/>
      </rPr>
      <t>Science of the Total Environment, 906</t>
    </r>
    <r>
      <rPr>
        <sz val="12"/>
        <color theme="1"/>
        <rFont val="Times New Roman"/>
        <family val="1"/>
      </rPr>
      <t>, 167094. https://doi.org/10.1016/j.scitotenv.2023.167094</t>
    </r>
  </si>
  <si>
    <r>
      <t xml:space="preserve">De Wilde, H. P. J., &amp; de Bie, M. J. M. (2000). Nitrous oxide in the Schelde estuary: Production by nitrification and emission to the atmosphere. </t>
    </r>
    <r>
      <rPr>
        <i/>
        <sz val="12"/>
        <color theme="1"/>
        <rFont val="Times New Roman"/>
        <family val="1"/>
      </rPr>
      <t>Marine Chemistry, 69</t>
    </r>
    <r>
      <rPr>
        <sz val="12"/>
        <color theme="1"/>
        <rFont val="Times New Roman"/>
        <family val="1"/>
      </rPr>
      <t>(3), 203–216. https://doi.org/10.1016/S0304-4203(99)00097-2</t>
    </r>
  </si>
  <si>
    <t>Blackwater estuary</t>
  </si>
  <si>
    <t xml:space="preserve">Adams, C. A., Andrews, J. E. &amp; Jickells, T. Nitrous oxide and methane fluxes vs. carbon, nitrogen and phosphorous burial in new intertidal and saltmarsh sediments. Science of the Total Environment 434, 240-251 (2012). </t>
  </si>
  <si>
    <t xml:space="preserve">Dausse, A. et al. Biogeochemical functioning of grazed estuarine tidal marshes along a salinity gradient. Estuarine, Coastal and Shelf Science 100, 83–92 (2012 ). </t>
  </si>
  <si>
    <t>Dovey estuary</t>
  </si>
  <si>
    <t>Crossens Marsh</t>
  </si>
  <si>
    <t>Torridge estuary</t>
  </si>
  <si>
    <t>Rio San Pedro creek</t>
  </si>
  <si>
    <t>Couesnon</t>
  </si>
  <si>
    <t xml:space="preserve">Ferron, S., Ortega, T., Gomez-Parra, A. &amp; Forja, J. M. Seasonal study of dissolved CH4, CO2 and N2O in a shallow tidal system of the bay of Cadiz (SW Spain). Journal of Marine Systems 66, 244–257 (2007 ); Ferrón, S., Ortega, T. &amp; Forja, J. M. Benthic fluxes in a tidal salt marsh creek affected by fish farm activities: Río San Pedro (Bay of Cádiz, SW Spain). Marine Chemistry 113, 50-62 (2009). </t>
  </si>
  <si>
    <t xml:space="preserve">Kenny, C. et al. The Release of Nitrous Oxide from the Intertidal Zones of Two European Estuaries in Response to Increased Ammonium and Nitrate Loading. Water, Air, &amp; Soil Pollution: Focus 4, 61–66 (2004). </t>
  </si>
  <si>
    <t>Colne</t>
  </si>
  <si>
    <t>Stour</t>
  </si>
  <si>
    <t>Orwell</t>
  </si>
  <si>
    <t>Deben</t>
  </si>
  <si>
    <t>Conwy</t>
  </si>
  <si>
    <t>Humber</t>
  </si>
  <si>
    <t>Wash</t>
  </si>
  <si>
    <t>Forth</t>
  </si>
  <si>
    <t>Tamar</t>
  </si>
  <si>
    <t xml:space="preserve">Tyne </t>
  </si>
  <si>
    <t>Tees</t>
  </si>
  <si>
    <t xml:space="preserve">Tay </t>
  </si>
  <si>
    <t>Tweed</t>
  </si>
  <si>
    <t>Loire</t>
  </si>
  <si>
    <t>Gironde</t>
  </si>
  <si>
    <t xml:space="preserve">Seine </t>
  </si>
  <si>
    <t>Ems</t>
  </si>
  <si>
    <t>Elbe</t>
  </si>
  <si>
    <t>Bodden waters, Southern Baltic Sea</t>
  </si>
  <si>
    <t>Eckernförde Bay/Baltic Sea</t>
  </si>
  <si>
    <t>Limfjorden</t>
  </si>
  <si>
    <t>Norsminde Fjord</t>
  </si>
  <si>
    <t>Scheldt</t>
  </si>
  <si>
    <t>Black Sea-Danube plume</t>
  </si>
  <si>
    <t>Amvrakikos Bay</t>
  </si>
  <si>
    <t>﻿Liminganlahti Bay</t>
  </si>
  <si>
    <t>Douro</t>
  </si>
  <si>
    <t>Tagus Estuary</t>
  </si>
  <si>
    <t>Sado estuary</t>
  </si>
  <si>
    <t>Guadiana</t>
  </si>
  <si>
    <t>Guadalquivir</t>
  </si>
  <si>
    <t>Tinto - Odiel</t>
  </si>
  <si>
    <t>Guadalete</t>
  </si>
  <si>
    <t>Cadiz Bay</t>
  </si>
  <si>
    <t>Gulf of Cadiz</t>
  </si>
  <si>
    <t xml:space="preserve">Dong, L. F., Nedwell, D. B., Colbeck, I. &amp; Finch, J. Nitrous oxide emissions from some English and Welsh rivers and estuaries. Water, Air and Soil Pollution: Focus 4, 127-134 (2004). </t>
  </si>
  <si>
    <t>Barnes, J. &amp; Owens, N. J. P. Denitrification and nitrous oxide concentrations in the Humber estuary, UK, and adjacent coastal zones. Marine Pollution Bulletin 37, 247-260 (1998)</t>
  </si>
  <si>
    <t>nmol N2O-N m^-2 h^-1</t>
  </si>
  <si>
    <t>Jan</t>
  </si>
  <si>
    <t>Feb</t>
  </si>
  <si>
    <t>Brightlingsea</t>
  </si>
  <si>
    <t>Alresford</t>
  </si>
  <si>
    <t>Wivenhoe</t>
  </si>
  <si>
    <t>The Hythe</t>
  </si>
  <si>
    <t>UK</t>
  </si>
  <si>
    <t>BTD8</t>
  </si>
  <si>
    <t>D10_1</t>
  </si>
  <si>
    <t>D11</t>
  </si>
  <si>
    <t>D12</t>
  </si>
  <si>
    <t>D4</t>
  </si>
  <si>
    <t>D5</t>
  </si>
  <si>
    <t>BTD1</t>
  </si>
  <si>
    <t>BTD2</t>
  </si>
  <si>
    <t>BTD3</t>
  </si>
  <si>
    <t>BTD4</t>
  </si>
  <si>
    <t>BTD5</t>
  </si>
  <si>
    <t>BTD7</t>
  </si>
  <si>
    <t>BTDGraben</t>
  </si>
  <si>
    <t>D15</t>
  </si>
  <si>
    <t>BTD6</t>
  </si>
  <si>
    <t>65.755192</t>
  </si>
  <si>
    <t>65.789461</t>
  </si>
  <si>
    <t>65.824276</t>
  </si>
  <si>
    <t>65.857776</t>
  </si>
  <si>
    <t>65.892130</t>
  </si>
  <si>
    <t>65.927734</t>
  </si>
  <si>
    <t>65.959998</t>
  </si>
  <si>
    <t>65.988503</t>
  </si>
  <si>
    <t>65.992779</t>
  </si>
  <si>
    <t>65.995476</t>
  </si>
  <si>
    <t>66.019334</t>
  </si>
  <si>
    <t>66.026245</t>
  </si>
  <si>
    <t>66.039933</t>
  </si>
  <si>
    <t>66.045679</t>
  </si>
  <si>
    <t>66.057090</t>
  </si>
  <si>
    <t>66.056863</t>
  </si>
  <si>
    <t>66.056434</t>
  </si>
  <si>
    <t>66.055969</t>
  </si>
  <si>
    <t>66.055144</t>
  </si>
  <si>
    <t>66.054372</t>
  </si>
  <si>
    <t>66.084242</t>
  </si>
  <si>
    <t>66.105849</t>
  </si>
  <si>
    <t>66.117537</t>
  </si>
  <si>
    <t>66.122949</t>
  </si>
  <si>
    <t>66.123373</t>
  </si>
  <si>
    <t>66.122544</t>
  </si>
  <si>
    <t>66.112138</t>
  </si>
  <si>
    <t>66.107531</t>
  </si>
  <si>
    <t>66.107337</t>
  </si>
  <si>
    <t>66.105181</t>
  </si>
  <si>
    <t>66.098666</t>
  </si>
  <si>
    <t>66.098161</t>
  </si>
  <si>
    <t>66.097687</t>
  </si>
  <si>
    <t>66.095326</t>
  </si>
  <si>
    <t>66.092624</t>
  </si>
  <si>
    <t>66.091611</t>
  </si>
  <si>
    <t>66.091153</t>
  </si>
  <si>
    <t>66.086295</t>
  </si>
  <si>
    <t>66.082801</t>
  </si>
  <si>
    <t>66.082645</t>
  </si>
  <si>
    <t>66.082592</t>
  </si>
  <si>
    <t>66.076517</t>
  </si>
  <si>
    <t>66.074500</t>
  </si>
  <si>
    <t>66.073999</t>
  </si>
  <si>
    <t>66.073773</t>
  </si>
  <si>
    <t>66.080348</t>
  </si>
  <si>
    <t>66.091038</t>
  </si>
  <si>
    <t>66.102355</t>
  </si>
  <si>
    <t>66.119667</t>
  </si>
  <si>
    <t>66.123229</t>
  </si>
  <si>
    <t>66.122889</t>
  </si>
  <si>
    <t>66.110479</t>
  </si>
  <si>
    <t>66.080171</t>
  </si>
  <si>
    <t>66.046909</t>
  </si>
  <si>
    <t>66.025943</t>
  </si>
  <si>
    <t>66.023574</t>
  </si>
  <si>
    <t>66.021977</t>
  </si>
  <si>
    <t>66.020785</t>
  </si>
  <si>
    <t>66.027682</t>
  </si>
  <si>
    <t>66.025810</t>
  </si>
  <si>
    <t>66.024157</t>
  </si>
  <si>
    <t>66.029795</t>
  </si>
  <si>
    <t>66.028045</t>
  </si>
  <si>
    <t>66.027458</t>
  </si>
  <si>
    <t>66.029200</t>
  </si>
  <si>
    <t>66.028635</t>
  </si>
  <si>
    <t>66.029246</t>
  </si>
  <si>
    <t>66.028704</t>
  </si>
  <si>
    <t>66.027520</t>
  </si>
  <si>
    <t>66.026332</t>
  </si>
  <si>
    <t>66.028478</t>
  </si>
  <si>
    <t>66.027525</t>
  </si>
  <si>
    <t>66.030215</t>
  </si>
  <si>
    <t>66.030823</t>
  </si>
  <si>
    <t>66.030180</t>
  </si>
  <si>
    <t>66.029439</t>
  </si>
  <si>
    <t>66.028997</t>
  </si>
  <si>
    <t>66.029147</t>
  </si>
  <si>
    <t>66.028912</t>
  </si>
  <si>
    <t>66.024491</t>
  </si>
  <si>
    <t>65.997118</t>
  </si>
  <si>
    <t>65.971449</t>
  </si>
  <si>
    <t>65.959084</t>
  </si>
  <si>
    <t>65.954454</t>
  </si>
  <si>
    <t>65.954690</t>
  </si>
  <si>
    <t>65.954406</t>
  </si>
  <si>
    <t>65.952754</t>
  </si>
  <si>
    <t>65.955418</t>
  </si>
  <si>
    <t>65.956243</t>
  </si>
  <si>
    <t>65.955561</t>
  </si>
  <si>
    <t>65.953598</t>
  </si>
  <si>
    <t>65.952625</t>
  </si>
  <si>
    <t>65.950756</t>
  </si>
  <si>
    <t>65.948157</t>
  </si>
  <si>
    <t>65.946088</t>
  </si>
  <si>
    <t>65.942798</t>
  </si>
  <si>
    <t>65.948822</t>
  </si>
  <si>
    <t>65.952102</t>
  </si>
  <si>
    <t>65.954888</t>
  </si>
  <si>
    <t>65.953380</t>
  </si>
  <si>
    <t>65.953637</t>
  </si>
  <si>
    <t>65.954323</t>
  </si>
  <si>
    <t>65.952822</t>
  </si>
  <si>
    <t>65.950097</t>
  </si>
  <si>
    <t>65.953581</t>
  </si>
  <si>
    <t>65.952581</t>
  </si>
  <si>
    <t>65.954274</t>
  </si>
  <si>
    <t>65.955922</t>
  </si>
  <si>
    <t>65.952530</t>
  </si>
  <si>
    <t>65.949764</t>
  </si>
  <si>
    <t>65.945642</t>
  </si>
  <si>
    <t>65.949452</t>
  </si>
  <si>
    <t>65.948948</t>
  </si>
  <si>
    <t>65.937742</t>
  </si>
  <si>
    <t>65.933425</t>
  </si>
  <si>
    <t>65.929158</t>
  </si>
  <si>
    <t>65.925587</t>
  </si>
  <si>
    <t>65.924785</t>
  </si>
  <si>
    <t>65.920559</t>
  </si>
  <si>
    <t>65.917017</t>
  </si>
  <si>
    <t>65.913649</t>
  </si>
  <si>
    <t>65.912280</t>
  </si>
  <si>
    <t>65.911666</t>
  </si>
  <si>
    <t>65.910501</t>
  </si>
  <si>
    <t>65.908753</t>
  </si>
  <si>
    <t>65.910791</t>
  </si>
  <si>
    <t>65.911673</t>
  </si>
  <si>
    <t>65.910612</t>
  </si>
  <si>
    <t>65.911062</t>
  </si>
  <si>
    <t>65.911830</t>
  </si>
  <si>
    <t>65.912915</t>
  </si>
  <si>
    <t>65.911464</t>
  </si>
  <si>
    <t>65.910076</t>
  </si>
  <si>
    <t>65.910914</t>
  </si>
  <si>
    <t>65.909402</t>
  </si>
  <si>
    <t>65.908490</t>
  </si>
  <si>
    <t>65.906670</t>
  </si>
  <si>
    <t>65.904975</t>
  </si>
  <si>
    <t>65.902430</t>
  </si>
  <si>
    <t>65.899057</t>
  </si>
  <si>
    <t>65.896405</t>
  </si>
  <si>
    <t>65.893898</t>
  </si>
  <si>
    <t>65.888202</t>
  </si>
  <si>
    <t>65.884244</t>
  </si>
  <si>
    <t>65.880564</t>
  </si>
  <si>
    <t>65.876930</t>
  </si>
  <si>
    <t>65.871680</t>
  </si>
  <si>
    <t>65.867331</t>
  </si>
  <si>
    <t>65.863235</t>
  </si>
  <si>
    <t>65.858148</t>
  </si>
  <si>
    <t>65.853044</t>
  </si>
  <si>
    <t>65.848165</t>
  </si>
  <si>
    <t>65.843448</t>
  </si>
  <si>
    <t>65.838190</t>
  </si>
  <si>
    <t>65.833260</t>
  </si>
  <si>
    <t>65.829249</t>
  </si>
  <si>
    <t>65.823536</t>
  </si>
  <si>
    <t>65.818593</t>
  </si>
  <si>
    <t>65.814929</t>
  </si>
  <si>
    <t>65.811022</t>
  </si>
  <si>
    <t>65.806518</t>
  </si>
  <si>
    <t>65.801961</t>
  </si>
  <si>
    <t>65.797448</t>
  </si>
  <si>
    <t>65.793496</t>
  </si>
  <si>
    <t>65.791000</t>
  </si>
  <si>
    <t>65.788895</t>
  </si>
  <si>
    <t>65.786531</t>
  </si>
  <si>
    <t>65.783128</t>
  </si>
  <si>
    <t>65.779434</t>
  </si>
  <si>
    <t>65.775441</t>
  </si>
  <si>
    <t>65.771411</t>
  </si>
  <si>
    <t>65.767370</t>
  </si>
  <si>
    <t>65.764326</t>
  </si>
  <si>
    <t>65.760854</t>
  </si>
  <si>
    <t>65.757160</t>
  </si>
  <si>
    <t>65.754048</t>
  </si>
  <si>
    <t>65.750760</t>
  </si>
  <si>
    <t>65.747603</t>
  </si>
  <si>
    <t>65.744586</t>
  </si>
  <si>
    <t>65.741947</t>
  </si>
  <si>
    <t>65.739180</t>
  </si>
  <si>
    <t>65.735746</t>
  </si>
  <si>
    <t>65.733045</t>
  </si>
  <si>
    <t>65.732216</t>
  </si>
  <si>
    <t>65.730153</t>
  </si>
  <si>
    <t>65.726897</t>
  </si>
  <si>
    <t>65.724381</t>
  </si>
  <si>
    <t>65.722331</t>
  </si>
  <si>
    <t>65.719335</t>
  </si>
  <si>
    <t>65.716369</t>
  </si>
  <si>
    <t>65.711532</t>
  </si>
  <si>
    <t>65.707597</t>
  </si>
  <si>
    <t>65.703394</t>
  </si>
  <si>
    <t>65.700318</t>
  </si>
  <si>
    <t>65.695669</t>
  </si>
  <si>
    <t>65.691450</t>
  </si>
  <si>
    <t>65.687876</t>
  </si>
  <si>
    <t>65.685959</t>
  </si>
  <si>
    <t>65.683820</t>
  </si>
  <si>
    <t>65.683164</t>
  </si>
  <si>
    <t>65.684496</t>
  </si>
  <si>
    <t>65.684286</t>
  </si>
  <si>
    <t>65.686607</t>
  </si>
  <si>
    <t>65.689876</t>
  </si>
  <si>
    <t>65.693790</t>
  </si>
  <si>
    <t>-38.006570</t>
  </si>
  <si>
    <t>-37.991544</t>
  </si>
  <si>
    <t>-37.967653</t>
  </si>
  <si>
    <t>-37.938748</t>
  </si>
  <si>
    <t>-37.909381</t>
  </si>
  <si>
    <t>-37.884212</t>
  </si>
  <si>
    <t>-37.873947</t>
  </si>
  <si>
    <t>-37.872911</t>
  </si>
  <si>
    <t>-37.870307</t>
  </si>
  <si>
    <t>-37.847177</t>
  </si>
  <si>
    <t>-37.835517</t>
  </si>
  <si>
    <t>-37.833290</t>
  </si>
  <si>
    <t>-37.825932</t>
  </si>
  <si>
    <t>-37.813213</t>
  </si>
  <si>
    <t>-37.816027</t>
  </si>
  <si>
    <t>-37.820888</t>
  </si>
  <si>
    <t>-37.825992</t>
  </si>
  <si>
    <t>-37.829556</t>
  </si>
  <si>
    <t>-37.833661</t>
  </si>
  <si>
    <t>-37.828017</t>
  </si>
  <si>
    <t>-37.811957</t>
  </si>
  <si>
    <t>-37.831206</t>
  </si>
  <si>
    <t>-37.839432</t>
  </si>
  <si>
    <t>-37.839208</t>
  </si>
  <si>
    <t>-37.838527</t>
  </si>
  <si>
    <t>-37.816046</t>
  </si>
  <si>
    <t>-37.810783</t>
  </si>
  <si>
    <t>-37.810481</t>
  </si>
  <si>
    <t>-37.796755</t>
  </si>
  <si>
    <t>-37.775857</t>
  </si>
  <si>
    <t>-37.777432</t>
  </si>
  <si>
    <t>-37.778806</t>
  </si>
  <si>
    <t>-37.771117</t>
  </si>
  <si>
    <t>-37.740647</t>
  </si>
  <si>
    <t>-37.734458</t>
  </si>
  <si>
    <t>-37.734466</t>
  </si>
  <si>
    <t>-37.706927</t>
  </si>
  <si>
    <t>-37.695462</t>
  </si>
  <si>
    <t>-37.695776</t>
  </si>
  <si>
    <t>-37.695891</t>
  </si>
  <si>
    <t>-37.671638</t>
  </si>
  <si>
    <t>-37.666662</t>
  </si>
  <si>
    <t>-37.668176</t>
  </si>
  <si>
    <t>-37.669377</t>
  </si>
  <si>
    <t>-37.689738</t>
  </si>
  <si>
    <t>-37.760312</t>
  </si>
  <si>
    <t>-37.826784</t>
  </si>
  <si>
    <t>-37.880307</t>
  </si>
  <si>
    <t>-37.888222</t>
  </si>
  <si>
    <t>-37.888122</t>
  </si>
  <si>
    <t>-37.900092</t>
  </si>
  <si>
    <t>-37.904301</t>
  </si>
  <si>
    <t>-37.905369</t>
  </si>
  <si>
    <t>-37.917704</t>
  </si>
  <si>
    <t>-37.918208</t>
  </si>
  <si>
    <t>-37.917620</t>
  </si>
  <si>
    <t>-37.917356</t>
  </si>
  <si>
    <t>-37.900656</t>
  </si>
  <si>
    <t>-37.902254</t>
  </si>
  <si>
    <t>-37.900661</t>
  </si>
  <si>
    <t>-37.882694</t>
  </si>
  <si>
    <t>-37.884802</t>
  </si>
  <si>
    <t>-37.860346</t>
  </si>
  <si>
    <t>-37.858297</t>
  </si>
  <si>
    <t>-37.859637</t>
  </si>
  <si>
    <t>-37.861251</t>
  </si>
  <si>
    <t>-37.861667</t>
  </si>
  <si>
    <t>-37.864050</t>
  </si>
  <si>
    <t>-37.864747</t>
  </si>
  <si>
    <t>-37.837739</t>
  </si>
  <si>
    <t>-37.837693</t>
  </si>
  <si>
    <t>-37.820902</t>
  </si>
  <si>
    <t>-37.822525</t>
  </si>
  <si>
    <t>-37.823847</t>
  </si>
  <si>
    <t>-37.820746</t>
  </si>
  <si>
    <t>-37.820931</t>
  </si>
  <si>
    <t>-37.803255</t>
  </si>
  <si>
    <t>-37.800815</t>
  </si>
  <si>
    <t>-37.806508</t>
  </si>
  <si>
    <t>-37.817161</t>
  </si>
  <si>
    <t>-37.819640</t>
  </si>
  <si>
    <t>-37.782217</t>
  </si>
  <si>
    <t>-37.771961</t>
  </si>
  <si>
    <t>-37.779845</t>
  </si>
  <si>
    <t>-37.797003</t>
  </si>
  <si>
    <t>-37.796268</t>
  </si>
  <si>
    <t>-37.796131</t>
  </si>
  <si>
    <t>-37.792232</t>
  </si>
  <si>
    <t>-37.790245</t>
  </si>
  <si>
    <t>-37.787548</t>
  </si>
  <si>
    <t>-37.786406</t>
  </si>
  <si>
    <t>-37.785581</t>
  </si>
  <si>
    <t>-37.784293</t>
  </si>
  <si>
    <t>-37.784349</t>
  </si>
  <si>
    <t>-37.783895</t>
  </si>
  <si>
    <t>-37.789634</t>
  </si>
  <si>
    <t>-37.799657</t>
  </si>
  <si>
    <t>-37.816781</t>
  </si>
  <si>
    <t>-37.815786</t>
  </si>
  <si>
    <t>-37.848721</t>
  </si>
  <si>
    <t>-37.843940</t>
  </si>
  <si>
    <t>-37.840773</t>
  </si>
  <si>
    <t>-37.839341</t>
  </si>
  <si>
    <t>-37.839115</t>
  </si>
  <si>
    <t>-37.838533</t>
  </si>
  <si>
    <t>-37.833262</t>
  </si>
  <si>
    <t>-37.871597</t>
  </si>
  <si>
    <t>-37.865240</t>
  </si>
  <si>
    <t>-37.846511</t>
  </si>
  <si>
    <t>-37.849013</t>
  </si>
  <si>
    <t>-37.852518</t>
  </si>
  <si>
    <t>-37.836702</t>
  </si>
  <si>
    <t>-37.835214</t>
  </si>
  <si>
    <t>-37.854811</t>
  </si>
  <si>
    <t>-37.852766</t>
  </si>
  <si>
    <t>-37.850624</t>
  </si>
  <si>
    <t>-37.843490</t>
  </si>
  <si>
    <t>-37.839300</t>
  </si>
  <si>
    <t>-37.836802</t>
  </si>
  <si>
    <t>-37.844233</t>
  </si>
  <si>
    <t>-37.840421</t>
  </si>
  <si>
    <t>-37.838312</t>
  </si>
  <si>
    <t>-37.830182</t>
  </si>
  <si>
    <t>-37.825846</t>
  </si>
  <si>
    <t>-37.828557</t>
  </si>
  <si>
    <t>-37.821092</t>
  </si>
  <si>
    <t>-37.820647</t>
  </si>
  <si>
    <t>-37.822904</t>
  </si>
  <si>
    <t>-37.821023</t>
  </si>
  <si>
    <t>-37.821624</t>
  </si>
  <si>
    <t>-37.827246</t>
  </si>
  <si>
    <t>-37.829195</t>
  </si>
  <si>
    <t>-37.827953</t>
  </si>
  <si>
    <t>-37.831327</t>
  </si>
  <si>
    <t>-37.829795</t>
  </si>
  <si>
    <t>-37.835750</t>
  </si>
  <si>
    <t>-37.839444</t>
  </si>
  <si>
    <t>-37.843655</t>
  </si>
  <si>
    <t>-37.848006</t>
  </si>
  <si>
    <t>-37.852085</t>
  </si>
  <si>
    <t>-37.856514</t>
  </si>
  <si>
    <t>-37.860728</t>
  </si>
  <si>
    <t>-37.864437</t>
  </si>
  <si>
    <t>-37.869749</t>
  </si>
  <si>
    <t>-37.876565</t>
  </si>
  <si>
    <t>-37.881862</t>
  </si>
  <si>
    <t>-37.887714</t>
  </si>
  <si>
    <t>-37.896989</t>
  </si>
  <si>
    <t>-37.903254</t>
  </si>
  <si>
    <t>-37.910396</t>
  </si>
  <si>
    <t>-37.916956</t>
  </si>
  <si>
    <t>-37.922663</t>
  </si>
  <si>
    <t>-37.927243</t>
  </si>
  <si>
    <t>-37.931302</t>
  </si>
  <si>
    <t>-37.934032</t>
  </si>
  <si>
    <t>-37.936148</t>
  </si>
  <si>
    <t>-37.936036</t>
  </si>
  <si>
    <t>-37.935566</t>
  </si>
  <si>
    <t>-37.936149</t>
  </si>
  <si>
    <t>-37.936667</t>
  </si>
  <si>
    <t>-37.937979</t>
  </si>
  <si>
    <t>-37.938753</t>
  </si>
  <si>
    <t>-37.942762</t>
  </si>
  <si>
    <t>-37.941377</t>
  </si>
  <si>
    <t>-37.939403</t>
  </si>
  <si>
    <t>-37.941606</t>
  </si>
  <si>
    <t>-37.942495</t>
  </si>
  <si>
    <t>-37.944222</t>
  </si>
  <si>
    <t>-37.947211</t>
  </si>
  <si>
    <t>-37.949948</t>
  </si>
  <si>
    <t>-37.952398</t>
  </si>
  <si>
    <t>-37.954639</t>
  </si>
  <si>
    <t>-37.955809</t>
  </si>
  <si>
    <t>-37.959278</t>
  </si>
  <si>
    <t>-37.960724</t>
  </si>
  <si>
    <t>-37.962724</t>
  </si>
  <si>
    <t>-37.962919</t>
  </si>
  <si>
    <t>-37.962359</t>
  </si>
  <si>
    <t>-37.963695</t>
  </si>
  <si>
    <t>-37.963584</t>
  </si>
  <si>
    <t>-37.965663</t>
  </si>
  <si>
    <t>-37.966367</t>
  </si>
  <si>
    <t>-37.971361</t>
  </si>
  <si>
    <t>-37.975885</t>
  </si>
  <si>
    <t>-37.978443</t>
  </si>
  <si>
    <t>-37.981656</t>
  </si>
  <si>
    <t>-37.987825</t>
  </si>
  <si>
    <t>-37.991695</t>
  </si>
  <si>
    <t>-37.995094</t>
  </si>
  <si>
    <t>-38.006851</t>
  </si>
  <si>
    <t>-38.004704</t>
  </si>
  <si>
    <t>-38.010719</t>
  </si>
  <si>
    <t>-38.016346</t>
  </si>
  <si>
    <t>-38.020057</t>
  </si>
  <si>
    <t>-38.021441</t>
  </si>
  <si>
    <t>-38.021055</t>
  </si>
  <si>
    <t>-38.020553</t>
  </si>
  <si>
    <t>-38.017257</t>
  </si>
  <si>
    <t>-38.015599</t>
  </si>
  <si>
    <t>-38.011442</t>
  </si>
  <si>
    <t>-38.008070</t>
  </si>
  <si>
    <t>-38.007133</t>
  </si>
  <si>
    <t>-38.002833</t>
  </si>
  <si>
    <t>-37.998945</t>
  </si>
  <si>
    <t>-37.994358</t>
  </si>
  <si>
    <t>µg m⁻² d⁻¹</t>
  </si>
  <si>
    <t>Country</t>
  </si>
  <si>
    <t>St. Dv</t>
  </si>
  <si>
    <t>July 2001 - October 2002</t>
  </si>
  <si>
    <t xml:space="preserve">April 2001 - August 2002 </t>
  </si>
  <si>
    <t xml:space="preserve">Feb 2001 - August 2002 </t>
  </si>
  <si>
    <t xml:space="preserve">Feb 2000 - Jan 2001 </t>
  </si>
  <si>
    <t xml:space="preserve">Sep 1996 - Mar 1997 </t>
  </si>
  <si>
    <t xml:space="preserve">August 2001 - May 2002 </t>
  </si>
  <si>
    <t xml:space="preserve">Apr 2000 - Feb 2001 </t>
  </si>
  <si>
    <t xml:space="preserve">August 2002 - May 2003 </t>
  </si>
  <si>
    <t xml:space="preserve">Oct 1978 - Jul 1996 </t>
  </si>
  <si>
    <t xml:space="preserve">October 1996 - June 1997 </t>
  </si>
  <si>
    <t xml:space="preserve">1994 - 1997 </t>
  </si>
  <si>
    <t>2013 - 2015</t>
  </si>
  <si>
    <t>2005 - 2017</t>
  </si>
  <si>
    <t>2003 - 2004</t>
  </si>
  <si>
    <t>2014 - 2015</t>
  </si>
  <si>
    <t>2016 - 2017</t>
  </si>
  <si>
    <t>June1994 – April1997</t>
  </si>
  <si>
    <t>February – May, July, September2004</t>
  </si>
  <si>
    <t xml:space="preserve">July - October </t>
  </si>
  <si>
    <t>April - August</t>
  </si>
  <si>
    <t xml:space="preserve">February - August </t>
  </si>
  <si>
    <t xml:space="preserve">February - January </t>
  </si>
  <si>
    <t>September - March</t>
  </si>
  <si>
    <t xml:space="preserve">August - May </t>
  </si>
  <si>
    <t xml:space="preserve">April - Febraury </t>
  </si>
  <si>
    <t xml:space="preserve">October - July </t>
  </si>
  <si>
    <t xml:space="preserve">October - June </t>
  </si>
  <si>
    <t xml:space="preserve">March, June, September </t>
  </si>
  <si>
    <t xml:space="preserve">February, May, July and November </t>
  </si>
  <si>
    <t xml:space="preserve">28–29 Aprril </t>
  </si>
  <si>
    <t>2–4 June</t>
  </si>
  <si>
    <t>1–2 August</t>
  </si>
  <si>
    <t>4–5 June</t>
  </si>
  <si>
    <t>30 July – 1 Augest</t>
  </si>
  <si>
    <t>19–20 June</t>
  </si>
  <si>
    <t>9–11 September</t>
  </si>
  <si>
    <t>10–12 March</t>
  </si>
  <si>
    <t xml:space="preserve">4–5 May </t>
  </si>
  <si>
    <t>27–28 July</t>
  </si>
  <si>
    <t>1–2 March</t>
  </si>
  <si>
    <t>03 December</t>
  </si>
  <si>
    <t>12 December</t>
  </si>
  <si>
    <t>18 December</t>
  </si>
  <si>
    <t>08 January</t>
  </si>
  <si>
    <t>16 January</t>
  </si>
  <si>
    <t>21 January</t>
  </si>
  <si>
    <t>29 January</t>
  </si>
  <si>
    <t>31 January</t>
  </si>
  <si>
    <t>13 February</t>
  </si>
  <si>
    <t>27 February</t>
  </si>
  <si>
    <t>28 February</t>
  </si>
  <si>
    <t>11 March</t>
  </si>
  <si>
    <t>31 March</t>
  </si>
  <si>
    <t>09 April</t>
  </si>
  <si>
    <t>23 April</t>
  </si>
  <si>
    <t>24 April</t>
  </si>
  <si>
    <t>07 May</t>
  </si>
  <si>
    <t>28 May</t>
  </si>
  <si>
    <t>09 June</t>
  </si>
  <si>
    <t>18 June</t>
  </si>
  <si>
    <t>19 June</t>
  </si>
  <si>
    <t>24 June</t>
  </si>
  <si>
    <t>08 July</t>
  </si>
  <si>
    <t>16 July</t>
  </si>
  <si>
    <t>17 July</t>
  </si>
  <si>
    <t>22 July</t>
  </si>
  <si>
    <t>04 August</t>
  </si>
  <si>
    <t>11 August</t>
  </si>
  <si>
    <t>12 August</t>
  </si>
  <si>
    <t>01 September</t>
  </si>
  <si>
    <t>07 September</t>
  </si>
  <si>
    <t>08 September</t>
  </si>
  <si>
    <t>16 September</t>
  </si>
  <si>
    <t>06 October</t>
  </si>
  <si>
    <t>07 October</t>
  </si>
  <si>
    <t>08 October</t>
  </si>
  <si>
    <t>03 November</t>
  </si>
  <si>
    <t>05 November</t>
  </si>
  <si>
    <t>17 November</t>
  </si>
  <si>
    <t>01 December</t>
  </si>
  <si>
    <t>08 December</t>
  </si>
  <si>
    <t>23 June</t>
  </si>
  <si>
    <t>25 April</t>
  </si>
  <si>
    <t>26 April</t>
  </si>
  <si>
    <t>27 April</t>
  </si>
  <si>
    <t>30 May</t>
  </si>
  <si>
    <t>31 May</t>
  </si>
  <si>
    <t>01 June</t>
  </si>
  <si>
    <t>14 July</t>
  </si>
  <si>
    <t>15 July</t>
  </si>
  <si>
    <t>18 July</t>
  </si>
  <si>
    <t>27 July</t>
  </si>
  <si>
    <t>28 July</t>
  </si>
  <si>
    <t>09 September</t>
  </si>
  <si>
    <t>28 September</t>
  </si>
  <si>
    <t>24 July</t>
  </si>
  <si>
    <t>10 July</t>
  </si>
  <si>
    <t>− 7,1</t>
  </si>
  <si>
    <t>0,12 </t>
  </si>
  <si>
    <t>0,02 </t>
  </si>
  <si>
    <t>0,11 </t>
  </si>
  <si>
    <t>0,99 </t>
  </si>
  <si>
    <t xml:space="preserve">−0,4 </t>
  </si>
  <si>
    <t xml:space="preserve">−0,9 </t>
  </si>
  <si>
    <t>33,6 </t>
  </si>
  <si>
    <t>0,6 </t>
  </si>
  <si>
    <t>2,6 </t>
  </si>
  <si>
    <t>3,4 </t>
  </si>
  <si>
    <t>1,7 </t>
  </si>
  <si>
    <t>0,5 </t>
  </si>
  <si>
    <t>2,2 </t>
  </si>
  <si>
    <t>1,4 </t>
  </si>
  <si>
    <t>0,4 </t>
  </si>
  <si>
    <t>−0,3 </t>
  </si>
  <si>
    <t>−1,1 </t>
  </si>
  <si>
    <t>−1,0</t>
  </si>
  <si>
    <t xml:space="preserve"> salt marsh area </t>
  </si>
  <si>
    <t>Netherlands</t>
  </si>
  <si>
    <t>Scotland</t>
  </si>
  <si>
    <t>salt marsh area</t>
  </si>
  <si>
    <t>Ukraine</t>
  </si>
  <si>
    <t>Black Sea</t>
  </si>
  <si>
    <t>at the entrance of Eckernförde Bay, Southwestern Baltic Sea</t>
  </si>
  <si>
    <t>Seine River Estuary</t>
  </si>
  <si>
    <r>
      <t xml:space="preserve">De Wilde, H. P. J., &amp; de Bie, M. J. M. (2000). Nitrous oxide in the Schelde estuary: Production by nitrification and emission to the atmosphere. </t>
    </r>
    <r>
      <rPr>
        <i/>
        <sz val="12"/>
        <color theme="1"/>
        <rFont val="Times New Roman"/>
        <family val="1"/>
      </rPr>
      <t>Marine Chemistry, 69</t>
    </r>
    <r>
      <rPr>
        <sz val="12"/>
        <color theme="1"/>
        <rFont val="Times New Roman"/>
        <family val="1"/>
      </rPr>
      <t>(3), 203–216. https://doi.org/10.1016/S0304-4203(99)00106-1</t>
    </r>
  </si>
  <si>
    <t>Poland</t>
  </si>
  <si>
    <r>
      <t xml:space="preserve">Barnes, J., &amp; Owens, N. (1999). Denitrification and nitrous oxide concentrations in the Humber Estuary, UK, and adjacent coastal zones. </t>
    </r>
    <r>
      <rPr>
        <i/>
        <sz val="12"/>
        <color theme="1"/>
        <rFont val="Times New Roman"/>
        <family val="1"/>
      </rPr>
      <t>Marine Pollution Bulletin</t>
    </r>
    <r>
      <rPr>
        <sz val="12"/>
        <color theme="1"/>
        <rFont val="Times New Roman"/>
        <family val="1"/>
      </rPr>
      <t xml:space="preserve">, </t>
    </r>
    <r>
      <rPr>
        <i/>
        <sz val="12"/>
        <color theme="1"/>
        <rFont val="Times New Roman"/>
        <family val="1"/>
      </rPr>
      <t>37</t>
    </r>
    <r>
      <rPr>
        <sz val="12"/>
        <color theme="1"/>
        <rFont val="Times New Roman"/>
        <family val="1"/>
      </rPr>
      <t>(3–7), 247–260. https://doi.org/10.1016/s0025-326x(99)00079-x</t>
    </r>
  </si>
  <si>
    <t>Lithuania</t>
  </si>
  <si>
    <t>Model LM86, whole area</t>
  </si>
  <si>
    <t>Model W92, whole area</t>
  </si>
  <si>
    <t>Model M86, whole area</t>
  </si>
  <si>
    <t>Guadalquivir estuary</t>
  </si>
  <si>
    <t>Guadalquivir estuary, transect, could not find coord</t>
  </si>
  <si>
    <t>Iceland</t>
  </si>
  <si>
    <t>Fjord</t>
  </si>
  <si>
    <t>Sweden</t>
  </si>
  <si>
    <t>Greenland</t>
  </si>
  <si>
    <t>https://doi.org/10.6084/m9.figshare.22351267</t>
  </si>
  <si>
    <t>NA</t>
  </si>
  <si>
    <t>Colne Estuary</t>
  </si>
  <si>
    <t>Coastal Peatland, Baltic Sea</t>
  </si>
  <si>
    <t>W14</t>
  </si>
  <si>
    <t>Reydarfjordur Fjord</t>
  </si>
  <si>
    <t>Berufjordur Fjord</t>
  </si>
  <si>
    <t>Politi, T., Yau, Y. Y., Santos, I. R., Cabral, A., Cheung, L. S., Hill, C. M., Ulfbo, A., Wåhlin, A., &amp; Bonaglia, S. (2024). Data from: Global Fjords Are Minor Sources Of Nitrous Oxide To The Atmosphere [Data set]. Zenodo. https://doi.org/10.5281/zenodo.12795408</t>
  </si>
  <si>
    <t>06 February</t>
  </si>
  <si>
    <t>07 March</t>
  </si>
  <si>
    <t>16 February</t>
  </si>
  <si>
    <t>08 April</t>
  </si>
  <si>
    <t>17 March</t>
  </si>
  <si>
    <t>15 March</t>
  </si>
  <si>
    <t>21 March</t>
  </si>
  <si>
    <t>23 February</t>
  </si>
  <si>
    <t>28 March</t>
  </si>
  <si>
    <t>30 March</t>
  </si>
  <si>
    <t>05 April</t>
  </si>
  <si>
    <t>07 April</t>
  </si>
  <si>
    <t>Cubillas</t>
  </si>
  <si>
    <t>Colomera</t>
  </si>
  <si>
    <t>Negratin</t>
  </si>
  <si>
    <t>La_Bolera</t>
  </si>
  <si>
    <t>Bermejales</t>
  </si>
  <si>
    <t>Iznajar</t>
  </si>
  <si>
    <t>Francisco_Abellan</t>
  </si>
  <si>
    <t>Beznar</t>
  </si>
  <si>
    <t>San_Clemente</t>
  </si>
  <si>
    <t>El_Portillo</t>
  </si>
  <si>
    <t>Jandula</t>
  </si>
  <si>
    <t>Rules</t>
  </si>
  <si>
    <t>León-Palmero, Elizabeth; Morales-Baquero, Rafael; Reche, Isabel (2020): Fluxes of CO2, CH4 and N2O and reservoir metabolism of twelve Mediterranean reservoirsin Southern Spain [dataset]. PANGAEA, https://doi.org/10.1594/PANGAEA.912538</t>
  </si>
  <si>
    <t>Area of Applicability (AOA) - Flux</t>
  </si>
  <si>
    <t>kg N–N₂O ha⁻¹ yr⁻¹</t>
  </si>
  <si>
    <t>Wang, S., Huang, J., Wu, Z., Li, S., Zhu, X., Liu, Y., &amp; Ji, G. (2025). Global mapping of flux and microbial sources for oceanic N2O. Nature Communications, 16(1). https://doi.org/10.1038/s41467-025-58715-4</t>
  </si>
  <si>
    <r>
      <t xml:space="preserve">Barnes, J., &amp; Upstill-Goddard, R. C. (2011). N2O seasonal distributions and air‐sea exchange in UK estuaries: Implications for the tropospheric N2O source from European coastal waters. </t>
    </r>
    <r>
      <rPr>
        <i/>
        <sz val="12"/>
        <color theme="1"/>
        <rFont val="Times New Roman"/>
        <family val="1"/>
      </rPr>
      <t>Journal of Geophysical Research</t>
    </r>
    <r>
      <rPr>
        <sz val="12"/>
        <color theme="1"/>
        <rFont val="Times New Roman"/>
        <family val="1"/>
      </rPr>
      <t>, 116, G01006. https://doi.org/10.1029/2009JG001156</t>
    </r>
  </si>
  <si>
    <r>
      <t>Silvennoinen, H., Liikanen, A., Rintala, J. </t>
    </r>
    <r>
      <rPr>
        <i/>
        <sz val="12"/>
        <color theme="1"/>
        <rFont val="Times New Roman"/>
        <family val="1"/>
      </rPr>
      <t>et al.</t>
    </r>
    <r>
      <rPr>
        <sz val="12"/>
        <color theme="1"/>
        <rFont val="Times New Roman"/>
        <family val="1"/>
      </rPr>
      <t> Greenhouse gas fluxes from the eutrophic Temmesjoki River and its Estuary in the Liminganlahti Bay (the Baltic Sea). </t>
    </r>
    <r>
      <rPr>
        <i/>
        <sz val="12"/>
        <color theme="1"/>
        <rFont val="Times New Roman"/>
        <family val="1"/>
      </rPr>
      <t>Biogeochemistry</t>
    </r>
    <r>
      <rPr>
        <sz val="12"/>
        <color theme="1"/>
        <rFont val="Times New Roman"/>
        <family val="1"/>
      </rPr>
      <t> </t>
    </r>
    <r>
      <rPr>
        <b/>
        <sz val="12"/>
        <color theme="1"/>
        <rFont val="Times New Roman"/>
        <family val="1"/>
      </rPr>
      <t>90</t>
    </r>
    <r>
      <rPr>
        <sz val="12"/>
        <color theme="1"/>
        <rFont val="Times New Roman"/>
        <family val="1"/>
      </rPr>
      <t>, 193–208 (2008). https://doi.org/10.1007/s10533-008-9244-1</t>
    </r>
  </si>
  <si>
    <r>
      <t xml:space="preserve">Vallejo, B., Ponce, R., Ortega, T., Gómez-Parra, A., &amp; Forja, J. (2021). Greenhouse gas dynamics in a coastal lagoon during the recovery of the macrophyte meadow (Mar Menor, SE Spain). </t>
    </r>
    <r>
      <rPr>
        <i/>
        <sz val="12"/>
        <color theme="1"/>
        <rFont val="Times New Roman"/>
        <family val="1"/>
      </rPr>
      <t>Science of The Total Environment, 779</t>
    </r>
    <r>
      <rPr>
        <sz val="12"/>
        <color theme="1"/>
        <rFont val="Times New Roman"/>
        <family val="1"/>
      </rPr>
      <t>, 146314. https://doi.org/10.1016/j.scitotenv.2021.146314</t>
    </r>
  </si>
  <si>
    <r>
      <t xml:space="preserve">Woszczyk, M., &amp; Schubert, C. J. (2021). Greenhouse gas emissions from Baltic coastal lakes. </t>
    </r>
    <r>
      <rPr>
        <i/>
        <sz val="12"/>
        <color theme="1"/>
        <rFont val="Times New Roman"/>
        <family val="1"/>
      </rPr>
      <t>Science of the Total Environment, 755</t>
    </r>
    <r>
      <rPr>
        <sz val="12"/>
        <color theme="1"/>
        <rFont val="Times New Roman"/>
        <family val="1"/>
      </rPr>
      <t>, 143500. https://doi.org/10.1016/j.scitotenv.2020.143500</t>
    </r>
  </si>
  <si>
    <r>
      <t xml:space="preserve">Bange, H., Dahlke, S., Ramesh, R., Meyer-Reil, L., Rapsomanikis, S., &amp; Andreae, M. (1998). Seasonal study of methane and nitrous oxide in the coastal waters of the southern Baltic Sea. </t>
    </r>
    <r>
      <rPr>
        <i/>
        <sz val="12"/>
        <color theme="1"/>
        <rFont val="Times New Roman"/>
        <family val="1"/>
      </rPr>
      <t>Estuarine Coastal and Shelf Science</t>
    </r>
    <r>
      <rPr>
        <sz val="12"/>
        <color theme="1"/>
        <rFont val="Times New Roman"/>
        <family val="1"/>
      </rPr>
      <t xml:space="preserve">, </t>
    </r>
    <r>
      <rPr>
        <i/>
        <sz val="12"/>
        <color theme="1"/>
        <rFont val="Times New Roman"/>
        <family val="1"/>
      </rPr>
      <t>47</t>
    </r>
    <r>
      <rPr>
        <sz val="12"/>
        <color theme="1"/>
        <rFont val="Times New Roman"/>
        <family val="1"/>
      </rPr>
      <t>(6), 807–817. https://doi.org/10.1006/ecss.1998.0397</t>
    </r>
  </si>
  <si>
    <r>
      <t>Politi, T., Yau, Y. Y., Santos, I. R., Cabral, A., Cheung, H. L. S., Majtényi‐Hill, C., Ulfsbo, A., Wåhlin, A., &amp; Bonaglia, S. (2025). Global fjords as minor sources of nitrous oxide to the atmosphere. </t>
    </r>
    <r>
      <rPr>
        <i/>
        <sz val="12"/>
        <color theme="1"/>
        <rFont val="Times New Roman"/>
        <family val="1"/>
      </rPr>
      <t>Geophysical Research Letters</t>
    </r>
    <r>
      <rPr>
        <sz val="12"/>
        <color theme="1"/>
        <rFont val="Times New Roman"/>
        <family val="1"/>
      </rPr>
      <t>, </t>
    </r>
    <r>
      <rPr>
        <i/>
        <sz val="12"/>
        <color theme="1"/>
        <rFont val="Times New Roman"/>
        <family val="1"/>
      </rPr>
      <t>52</t>
    </r>
    <r>
      <rPr>
        <sz val="12"/>
        <color theme="1"/>
        <rFont val="Times New Roman"/>
        <family val="1"/>
      </rPr>
      <t>(4). https://doi.org/10.1029/2024gl111624</t>
    </r>
  </si>
  <si>
    <r>
      <t xml:space="preserve">Ford, H., Garbutt, A., Jones, L. M. &amp; Jones, D. L. Methane, carbon dioxide and nitrous oxide fluxes from a temperate salt marsh: grazing management does not alter Global Warming Potential. </t>
    </r>
    <r>
      <rPr>
        <i/>
        <sz val="12"/>
        <color theme="1"/>
        <rFont val="Times New Roman"/>
        <family val="1"/>
      </rPr>
      <t>Estuarine, Coastal and Shelf Science</t>
    </r>
    <r>
      <rPr>
        <sz val="12"/>
        <color theme="1"/>
        <rFont val="Times New Roman"/>
        <family val="1"/>
      </rPr>
      <t xml:space="preserve"> </t>
    </r>
    <r>
      <rPr>
        <b/>
        <sz val="12"/>
        <color theme="1"/>
        <rFont val="Times New Roman"/>
        <family val="1"/>
      </rPr>
      <t>113</t>
    </r>
    <r>
      <rPr>
        <sz val="12"/>
        <color theme="1"/>
        <rFont val="Times New Roman"/>
        <family val="1"/>
      </rPr>
      <t xml:space="preserve">, 182–191 (2012). </t>
    </r>
  </si>
  <si>
    <r>
      <t>Kenny, C.</t>
    </r>
    <r>
      <rPr>
        <i/>
        <sz val="12"/>
        <color theme="1"/>
        <rFont val="Times New Roman"/>
        <family val="1"/>
      </rPr>
      <t xml:space="preserve"> et al.</t>
    </r>
    <r>
      <rPr>
        <sz val="12"/>
        <color theme="1"/>
        <rFont val="Times New Roman"/>
        <family val="1"/>
      </rPr>
      <t xml:space="preserve"> The Release of Nitrous Oxide from the Intertidal Zones of Two European Estuaries in Response to Increased Ammonium and Nitrate Loading. </t>
    </r>
    <r>
      <rPr>
        <i/>
        <sz val="12"/>
        <color theme="1"/>
        <rFont val="Times New Roman"/>
        <family val="1"/>
      </rPr>
      <t>Water, Air, &amp; Soil Pollution: Focus</t>
    </r>
    <r>
      <rPr>
        <b/>
        <sz val="12"/>
        <color theme="1"/>
        <rFont val="Times New Roman"/>
        <family val="1"/>
      </rPr>
      <t xml:space="preserve"> 4</t>
    </r>
    <r>
      <rPr>
        <sz val="12"/>
        <color theme="1"/>
        <rFont val="Times New Roman"/>
        <family val="1"/>
      </rPr>
      <t xml:space="preserve">, 61–66 (2004). </t>
    </r>
  </si>
  <si>
    <r>
      <t xml:space="preserve">Dong, L. F., Nedwell, D. B., Colbeck, I. &amp; Finch, J. Nitrous oxide emissions from some English and Welsh rivers and estuaries. </t>
    </r>
    <r>
      <rPr>
        <i/>
        <sz val="12"/>
        <color theme="1"/>
        <rFont val="Times New Roman"/>
        <family val="1"/>
      </rPr>
      <t>Water, Air and Soil Pollution: Focus</t>
    </r>
    <r>
      <rPr>
        <sz val="12"/>
        <color theme="1"/>
        <rFont val="Times New Roman"/>
        <family val="1"/>
      </rPr>
      <t xml:space="preserve"> </t>
    </r>
    <r>
      <rPr>
        <b/>
        <sz val="12"/>
        <color theme="1"/>
        <rFont val="Times New Roman"/>
        <family val="1"/>
      </rPr>
      <t>4</t>
    </r>
    <r>
      <rPr>
        <sz val="12"/>
        <color theme="1"/>
        <rFont val="Times New Roman"/>
        <family val="1"/>
      </rPr>
      <t xml:space="preserve">, 127-134 (2004). </t>
    </r>
  </si>
  <si>
    <r>
      <t xml:space="preserve">Barnes, J. &amp; Upstill-Goddard, R. C. N2O seasonal distributions and air-sea exchange in UK estuaries: Implications for the tropospheric N2O source from European coastal waters. Journal of Geophysical Research G: Biogeosciences 116 (2011);  Barnes, J. &amp; Owens, N. J. P. Denitrification and nitrous oxide concentrations in the Humber estuary, UK, and adjacent coastal zones. </t>
    </r>
    <r>
      <rPr>
        <i/>
        <sz val="12"/>
        <color theme="1"/>
        <rFont val="Times New Roman"/>
        <family val="1"/>
      </rPr>
      <t>Marine Pollution Bulletin</t>
    </r>
    <r>
      <rPr>
        <sz val="12"/>
        <color theme="1"/>
        <rFont val="Times New Roman"/>
        <family val="1"/>
      </rPr>
      <t xml:space="preserve"> </t>
    </r>
    <r>
      <rPr>
        <b/>
        <sz val="12"/>
        <color theme="1"/>
        <rFont val="Times New Roman"/>
        <family val="1"/>
      </rPr>
      <t>37</t>
    </r>
    <r>
      <rPr>
        <sz val="12"/>
        <color theme="1"/>
        <rFont val="Times New Roman"/>
        <family val="1"/>
      </rPr>
      <t xml:space="preserve">, 247-260 (1998); Dong, L. F., Nedwell, D. B., Colbeck, I. &amp; Finch, J. Nitrous oxide emissions from some English and Welsh rivers and estuaries. Water, Air and Soil Pollution: Focus 4, 127-134 (2004). </t>
    </r>
  </si>
  <si>
    <r>
      <t xml:space="preserve">Barnes, J. &amp; Upstill-Goddard, R. C. N2O seasonal distributions and air-sea exchange in UK estuaries: Implications for the tropospheric N2O source from European coastal waters. </t>
    </r>
    <r>
      <rPr>
        <i/>
        <sz val="12"/>
        <color theme="1"/>
        <rFont val="Times New Roman"/>
        <family val="1"/>
      </rPr>
      <t>Journal of Geophysical Research G: Biogeosciences</t>
    </r>
    <r>
      <rPr>
        <sz val="12"/>
        <color theme="1"/>
        <rFont val="Times New Roman"/>
        <family val="1"/>
      </rPr>
      <t xml:space="preserve"> </t>
    </r>
    <r>
      <rPr>
        <b/>
        <sz val="12"/>
        <color theme="1"/>
        <rFont val="Times New Roman"/>
        <family val="1"/>
      </rPr>
      <t>116</t>
    </r>
    <r>
      <rPr>
        <sz val="12"/>
        <color theme="1"/>
        <rFont val="Times New Roman"/>
        <family val="1"/>
      </rPr>
      <t xml:space="preserve"> (2011). </t>
    </r>
  </si>
  <si>
    <r>
      <t xml:space="preserve">Barnes, J. &amp; Upstill-Goddard, R. C. N2O seasonal distributions and air-sea exchange in UK estuaries: Implications for the tropospheric N2O source from European coastal waters. Journal of Geophysical Research G: Biogeosciences 116 (2011); Law, C. S., Rees, A. P. &amp; Owens, N. J. P. Nitrous oxide: estuarine sources and atmospheric flux. </t>
    </r>
    <r>
      <rPr>
        <i/>
        <sz val="12"/>
        <color theme="1"/>
        <rFont val="Times New Roman"/>
        <family val="1"/>
      </rPr>
      <t xml:space="preserve">Estuarine, Coastal and Shelf Science, </t>
    </r>
    <r>
      <rPr>
        <b/>
        <sz val="12"/>
        <color theme="1"/>
        <rFont val="Times New Roman"/>
        <family val="1"/>
      </rPr>
      <t>35</t>
    </r>
    <r>
      <rPr>
        <sz val="12"/>
        <color theme="1"/>
        <rFont val="Times New Roman"/>
        <family val="1"/>
      </rPr>
      <t xml:space="preserve">, 301–314 (1992). </t>
    </r>
  </si>
  <si>
    <r>
      <t>Barnes, J. &amp; Upstill-Goddard, R. C. N2O seasonal distributions and air-sea exchange in UK estuaries: Implications for the tropospheric N2O source from European coastal waters. Journal of Geophysical Research G: Biogeosciences 116 (2011); Harley, J. F.</t>
    </r>
    <r>
      <rPr>
        <i/>
        <sz val="12"/>
        <color theme="1"/>
        <rFont val="Times New Roman"/>
        <family val="1"/>
      </rPr>
      <t xml:space="preserve"> et al.</t>
    </r>
    <r>
      <rPr>
        <sz val="12"/>
        <color theme="1"/>
        <rFont val="Times New Roman"/>
        <family val="1"/>
      </rPr>
      <t xml:space="preserve"> Spatial and seasonal fluxes of the greenhouse gases N2O, CO2 and CH4 in a UK macrotidal estuary. </t>
    </r>
    <r>
      <rPr>
        <i/>
        <sz val="12"/>
        <color theme="1"/>
        <rFont val="Times New Roman"/>
        <family val="1"/>
      </rPr>
      <t>Estuarine, Coastal and Shelf Science</t>
    </r>
    <r>
      <rPr>
        <sz val="12"/>
        <color theme="1"/>
        <rFont val="Times New Roman"/>
        <family val="1"/>
      </rPr>
      <t xml:space="preserve"> </t>
    </r>
    <r>
      <rPr>
        <b/>
        <sz val="12"/>
        <color theme="1"/>
        <rFont val="Times New Roman"/>
        <family val="1"/>
      </rPr>
      <t xml:space="preserve">153 </t>
    </r>
    <r>
      <rPr>
        <sz val="12"/>
        <color theme="1"/>
        <rFont val="Times New Roman"/>
        <family val="1"/>
      </rPr>
      <t>62-73 (2015).</t>
    </r>
  </si>
  <si>
    <r>
      <t>Garnier, J.</t>
    </r>
    <r>
      <rPr>
        <i/>
        <sz val="12"/>
        <color theme="1"/>
        <rFont val="Times New Roman"/>
        <family val="1"/>
      </rPr>
      <t xml:space="preserve"> et al.</t>
    </r>
    <r>
      <rPr>
        <sz val="12"/>
        <color theme="1"/>
        <rFont val="Times New Roman"/>
        <family val="1"/>
      </rPr>
      <t xml:space="preserve"> Nitrogenbehaviour and nitrous oxide emission in the tidal Seine River estuary (France) as influenced by human activities in the upstream watershed. </t>
    </r>
    <r>
      <rPr>
        <i/>
        <sz val="12"/>
        <color theme="1"/>
        <rFont val="Times New Roman"/>
        <family val="1"/>
      </rPr>
      <t xml:space="preserve">Biogeochemistry </t>
    </r>
    <r>
      <rPr>
        <b/>
        <sz val="12"/>
        <color theme="1"/>
        <rFont val="Times New Roman"/>
        <family val="1"/>
      </rPr>
      <t>77</t>
    </r>
    <r>
      <rPr>
        <sz val="12"/>
        <color theme="1"/>
        <rFont val="Times New Roman"/>
        <family val="1"/>
      </rPr>
      <t xml:space="preserve">, 305–326 (2006). </t>
    </r>
  </si>
  <si>
    <r>
      <t>Barnes, J. &amp; Upstill-Goddard, R. C. N2O seasonal distributions and air-sea exchange in UK estuaries: Implications for the tropospheric N2O source from European coastal waters. Journal of Geophysical Research G: Biogeosciences 116 (2011). Harley, J. F.</t>
    </r>
    <r>
      <rPr>
        <i/>
        <sz val="12"/>
        <color theme="1"/>
        <rFont val="Times New Roman"/>
        <family val="1"/>
      </rPr>
      <t xml:space="preserve"> et al.</t>
    </r>
    <r>
      <rPr>
        <sz val="12"/>
        <color theme="1"/>
        <rFont val="Times New Roman"/>
        <family val="1"/>
      </rPr>
      <t xml:space="preserve"> Spatial and seasonal fluxes of the greenhouse gases N2O, CO2 and CH4 in a UK macrotidal estuary. </t>
    </r>
    <r>
      <rPr>
        <i/>
        <sz val="12"/>
        <color theme="1"/>
        <rFont val="Times New Roman"/>
        <family val="1"/>
      </rPr>
      <t>Estuarine, Coastal and Shelf Science</t>
    </r>
    <r>
      <rPr>
        <sz val="12"/>
        <color theme="1"/>
        <rFont val="Times New Roman"/>
        <family val="1"/>
      </rPr>
      <t xml:space="preserve"> </t>
    </r>
    <r>
      <rPr>
        <b/>
        <sz val="12"/>
        <color theme="1"/>
        <rFont val="Times New Roman"/>
        <family val="1"/>
      </rPr>
      <t xml:space="preserve">153 </t>
    </r>
    <r>
      <rPr>
        <sz val="12"/>
        <color theme="1"/>
        <rFont val="Times New Roman"/>
        <family val="1"/>
      </rPr>
      <t>62-73 (2015).</t>
    </r>
  </si>
  <si>
    <r>
      <t xml:space="preserve">Barnes, J. &amp; Upstill-Goddard, R. C. N2O seasonal distributions and air-sea exchange in UK estuaries: Implications for the tropospheric N2O source from European coastal waters. Journal of Geophysical Research G: Biogeosciences 116 (2011); Brase, L., Bange, H. W., Lendt, R., Sanders, T. &amp; Dähnke, K. High Resolution Measurements of Nitrous Oxide (N2O) in the Elbe Estuary. </t>
    </r>
    <r>
      <rPr>
        <i/>
        <sz val="12"/>
        <color theme="1"/>
        <rFont val="Times New Roman"/>
        <family val="1"/>
      </rPr>
      <t>Frontiers in Marine Science</t>
    </r>
    <r>
      <rPr>
        <sz val="12"/>
        <color theme="1"/>
        <rFont val="Times New Roman"/>
        <family val="1"/>
      </rPr>
      <t xml:space="preserve"> </t>
    </r>
    <r>
      <rPr>
        <b/>
        <sz val="12"/>
        <color theme="1"/>
        <rFont val="Times New Roman"/>
        <family val="1"/>
      </rPr>
      <t>4</t>
    </r>
    <r>
      <rPr>
        <sz val="12"/>
        <color theme="1"/>
        <rFont val="Times New Roman"/>
        <family val="1"/>
      </rPr>
      <t xml:space="preserve">, 162 (2017). </t>
    </r>
  </si>
  <si>
    <r>
      <t>Bange, H. W.</t>
    </r>
    <r>
      <rPr>
        <i/>
        <sz val="12"/>
        <color theme="1"/>
        <rFont val="Times New Roman"/>
        <family val="1"/>
      </rPr>
      <t xml:space="preserve"> et al.</t>
    </r>
    <r>
      <rPr>
        <sz val="12"/>
        <color theme="1"/>
        <rFont val="Times New Roman"/>
        <family val="1"/>
      </rPr>
      <t xml:space="preserve"> Seasonal study of methane and nitrous oxide in the coastal waters of the southern Baltic Sea. </t>
    </r>
    <r>
      <rPr>
        <i/>
        <sz val="12"/>
        <color theme="1"/>
        <rFont val="Times New Roman"/>
        <family val="1"/>
      </rPr>
      <t>Estuarine Coastal and Shelf Science,</t>
    </r>
    <r>
      <rPr>
        <sz val="12"/>
        <color theme="1"/>
        <rFont val="Times New Roman"/>
        <family val="1"/>
      </rPr>
      <t xml:space="preserve"> </t>
    </r>
    <r>
      <rPr>
        <b/>
        <sz val="12"/>
        <color theme="1"/>
        <rFont val="Times New Roman"/>
        <family val="1"/>
      </rPr>
      <t>47</t>
    </r>
    <r>
      <rPr>
        <sz val="12"/>
        <color theme="1"/>
        <rFont val="Times New Roman"/>
        <family val="1"/>
      </rPr>
      <t xml:space="preserve">, 807–817 (1998). </t>
    </r>
  </si>
  <si>
    <r>
      <t xml:space="preserve">Ma, X., Lennartz, S. T. &amp; Bange, H. W. A multi-year observation of nitrous oxide at the Boknis Eck Time Series Station in the Eckernförde Bay (southwestern Baltic Sea). </t>
    </r>
    <r>
      <rPr>
        <i/>
        <sz val="12"/>
        <color theme="1"/>
        <rFont val="Times New Roman"/>
        <family val="1"/>
      </rPr>
      <t>Biogeosciences</t>
    </r>
    <r>
      <rPr>
        <sz val="12"/>
        <color theme="1"/>
        <rFont val="Times New Roman"/>
        <family val="1"/>
      </rPr>
      <t xml:space="preserve"> </t>
    </r>
    <r>
      <rPr>
        <b/>
        <sz val="12"/>
        <color theme="1"/>
        <rFont val="Times New Roman"/>
        <family val="1"/>
      </rPr>
      <t xml:space="preserve">16, </t>
    </r>
    <r>
      <rPr>
        <sz val="12"/>
        <color theme="1"/>
        <rFont val="Times New Roman"/>
        <family val="1"/>
      </rPr>
      <t xml:space="preserve">, 4097–4111 (2019). </t>
    </r>
  </si>
  <si>
    <r>
      <t xml:space="preserve">Jensen, H. B., Jørgensen, K. S. &amp; Sørensen, J. Diurnal variation of nitrogen cycling in coastal, marine sediments. </t>
    </r>
    <r>
      <rPr>
        <i/>
        <sz val="12"/>
        <color theme="1"/>
        <rFont val="Times New Roman"/>
        <family val="1"/>
      </rPr>
      <t>Marine Biology</t>
    </r>
    <r>
      <rPr>
        <sz val="12"/>
        <color theme="1"/>
        <rFont val="Times New Roman"/>
        <family val="1"/>
      </rPr>
      <t xml:space="preserve"> </t>
    </r>
    <r>
      <rPr>
        <b/>
        <sz val="12"/>
        <color theme="1"/>
        <rFont val="Times New Roman"/>
        <family val="1"/>
      </rPr>
      <t>83</t>
    </r>
    <r>
      <rPr>
        <sz val="12"/>
        <color theme="1"/>
        <rFont val="Times New Roman"/>
        <family val="1"/>
      </rPr>
      <t xml:space="preserve">, 177–183 (1984). </t>
    </r>
  </si>
  <si>
    <r>
      <t xml:space="preserve">Jørgensen, B. B. &amp; Sorensen., J. Seasonal cycles of O2, NO3 and SO4 reduction in estuarine sediments: the significance of an NO3 reduction maximum in spring. </t>
    </r>
    <r>
      <rPr>
        <i/>
        <sz val="12"/>
        <color theme="1"/>
        <rFont val="Times New Roman"/>
        <family val="1"/>
      </rPr>
      <t>Mar. Ecol.</t>
    </r>
    <r>
      <rPr>
        <sz val="12"/>
        <color theme="1"/>
        <rFont val="Times New Roman"/>
        <family val="1"/>
      </rPr>
      <t xml:space="preserve"> </t>
    </r>
    <r>
      <rPr>
        <b/>
        <sz val="12"/>
        <color theme="1"/>
        <rFont val="Times New Roman"/>
        <family val="1"/>
      </rPr>
      <t>24</t>
    </r>
    <r>
      <rPr>
        <sz val="12"/>
        <color theme="1"/>
        <rFont val="Times New Roman"/>
        <family val="1"/>
      </rPr>
      <t xml:space="preserve">, 65-74 (1985). </t>
    </r>
  </si>
  <si>
    <r>
      <t xml:space="preserve">Barnes, J. &amp; Upstill-Goddard, R. C. N2O seasonal distributions and air-sea exchange in UK estuaries: Implications for the tropospheric N2O source from European coastal waters. Journal of Geophysical Research G: Biogeosciences 116 (2011); De Wilde, H. P. J. &amp; De Bie, M. J. M. Nitrous oxide in the Schelde estuary: production by nitrification and emission to the atmosphere. </t>
    </r>
    <r>
      <rPr>
        <i/>
        <sz val="12"/>
        <color theme="1"/>
        <rFont val="Times New Roman"/>
        <family val="1"/>
      </rPr>
      <t>Marine Chemistry</t>
    </r>
    <r>
      <rPr>
        <sz val="12"/>
        <color theme="1"/>
        <rFont val="Times New Roman"/>
        <family val="1"/>
      </rPr>
      <t xml:space="preserve"> </t>
    </r>
    <r>
      <rPr>
        <b/>
        <sz val="12"/>
        <color theme="1"/>
        <rFont val="Times New Roman"/>
        <family val="1"/>
      </rPr>
      <t>69</t>
    </r>
    <r>
      <rPr>
        <sz val="12"/>
        <color theme="1"/>
        <rFont val="Times New Roman"/>
        <family val="1"/>
      </rPr>
      <t xml:space="preserve">, 203–216 (2000). </t>
    </r>
  </si>
  <si>
    <r>
      <t xml:space="preserve">Amouroux, D., Roberts, G., Rapsomanikis, S. &amp; Andreae, M. O. Biogenic Gas (CH4, N2O, DMS) Emission to the Atmosphere from Near-shore and Shelf Waters of the North-western Black Sea. </t>
    </r>
    <r>
      <rPr>
        <i/>
        <sz val="12"/>
        <color theme="1"/>
        <rFont val="Times New Roman"/>
        <family val="1"/>
      </rPr>
      <t xml:space="preserve">Estuarine Coastal and Shelf Science </t>
    </r>
    <r>
      <rPr>
        <b/>
        <sz val="12"/>
        <color theme="1"/>
        <rFont val="Times New Roman"/>
        <family val="1"/>
      </rPr>
      <t>54</t>
    </r>
    <r>
      <rPr>
        <sz val="12"/>
        <color theme="1"/>
        <rFont val="Times New Roman"/>
        <family val="1"/>
      </rPr>
      <t xml:space="preserve">, 575-587 (2002). </t>
    </r>
  </si>
  <si>
    <r>
      <t xml:space="preserve">Bange, H. W., Rapsomanikis, S. &amp; Andreae, M. O. Nitrous oxide in coastal waters. </t>
    </r>
    <r>
      <rPr>
        <i/>
        <sz val="12"/>
        <color theme="1"/>
        <rFont val="Times New Roman"/>
        <family val="1"/>
      </rPr>
      <t>Global Biogeochemical Cycles</t>
    </r>
    <r>
      <rPr>
        <sz val="12"/>
        <color theme="1"/>
        <rFont val="Times New Roman"/>
        <family val="1"/>
      </rPr>
      <t xml:space="preserve"> </t>
    </r>
    <r>
      <rPr>
        <b/>
        <sz val="12"/>
        <color theme="1"/>
        <rFont val="Times New Roman"/>
        <family val="1"/>
      </rPr>
      <t>10</t>
    </r>
    <r>
      <rPr>
        <sz val="12"/>
        <color theme="1"/>
        <rFont val="Times New Roman"/>
        <family val="1"/>
      </rPr>
      <t xml:space="preserve">, 197–207 (1996). </t>
    </r>
  </si>
  <si>
    <r>
      <t xml:space="preserve">Silvennoinen, H., Liikanen, A., Rintala, J. &amp; Martikainen, P. J. Greenhouse gas fluxes from the eutrophic Temmesjoki River and its Estuary in the Liminganlahti Bay (the Baltic Sea). </t>
    </r>
    <r>
      <rPr>
        <i/>
        <sz val="12"/>
        <color theme="1"/>
        <rFont val="Times New Roman"/>
        <family val="1"/>
      </rPr>
      <t>Biogeochemistry,</t>
    </r>
    <r>
      <rPr>
        <sz val="12"/>
        <color theme="1"/>
        <rFont val="Times New Roman"/>
        <family val="1"/>
      </rPr>
      <t xml:space="preserve"> </t>
    </r>
    <r>
      <rPr>
        <b/>
        <sz val="12"/>
        <color theme="1"/>
        <rFont val="Times New Roman"/>
        <family val="1"/>
      </rPr>
      <t>90</t>
    </r>
    <r>
      <rPr>
        <sz val="12"/>
        <color theme="1"/>
        <rFont val="Times New Roman"/>
        <family val="1"/>
      </rPr>
      <t xml:space="preserve">, 193–208 (2008). </t>
    </r>
  </si>
  <si>
    <r>
      <t xml:space="preserve">Goncalves, C., Brogueira, M. J. &amp; Camoes, M. F. Seasonal and tidal influence on the variability of nitrous oxide in the Tagus estuary, Portugal. </t>
    </r>
    <r>
      <rPr>
        <i/>
        <sz val="12"/>
        <color theme="1"/>
        <rFont val="Times New Roman"/>
        <family val="1"/>
      </rPr>
      <t>Scientia Marina</t>
    </r>
    <r>
      <rPr>
        <sz val="12"/>
        <color theme="1"/>
        <rFont val="Times New Roman"/>
        <family val="1"/>
      </rPr>
      <t xml:space="preserve"> </t>
    </r>
    <r>
      <rPr>
        <b/>
        <sz val="12"/>
        <color theme="1"/>
        <rFont val="Times New Roman"/>
        <family val="1"/>
      </rPr>
      <t>74</t>
    </r>
    <r>
      <rPr>
        <sz val="12"/>
        <color theme="1"/>
        <rFont val="Times New Roman"/>
        <family val="1"/>
      </rPr>
      <t>, 57– 66 ((2010)).</t>
    </r>
  </si>
  <si>
    <r>
      <t xml:space="preserve">Gonçalves, C., Brogueira, M. J. &amp; Nogueira, M. Tidal and spatial variability of nitrous oxide (N2O) in Sado estuary (Portugal). </t>
    </r>
    <r>
      <rPr>
        <i/>
        <sz val="12"/>
        <color theme="1"/>
        <rFont val="Times New Roman"/>
        <family val="1"/>
      </rPr>
      <t>Estuarine, Coastal and Shelf Science</t>
    </r>
    <r>
      <rPr>
        <sz val="12"/>
        <color theme="1"/>
        <rFont val="Times New Roman"/>
        <family val="1"/>
      </rPr>
      <t xml:space="preserve"> </t>
    </r>
    <r>
      <rPr>
        <b/>
        <sz val="12"/>
        <color theme="1"/>
        <rFont val="Times New Roman"/>
        <family val="1"/>
      </rPr>
      <t>167</t>
    </r>
    <r>
      <rPr>
        <sz val="12"/>
        <color theme="1"/>
        <rFont val="Times New Roman"/>
        <family val="1"/>
      </rPr>
      <t xml:space="preserve">, 466-474. (2015). </t>
    </r>
  </si>
  <si>
    <r>
      <t xml:space="preserve">Sierra, A., Jiménez-López, D., Ortega, T., Gómez-Parra, A. &amp; Forja, J. Factors controlling the variability and emissions of greenhouse gases (CO2, CH4 and N2O) in three estuaries of the Southern Iberian Atlantic Basin during July 2017. </t>
    </r>
    <r>
      <rPr>
        <i/>
        <sz val="12"/>
        <color theme="1"/>
        <rFont val="Times New Roman"/>
        <family val="1"/>
      </rPr>
      <t>Marine Chemistry</t>
    </r>
    <r>
      <rPr>
        <sz val="12"/>
        <color theme="1"/>
        <rFont val="Times New Roman"/>
        <family val="1"/>
      </rPr>
      <t xml:space="preserve"> </t>
    </r>
    <r>
      <rPr>
        <b/>
        <sz val="12"/>
        <color theme="1"/>
        <rFont val="Times New Roman"/>
        <family val="1"/>
      </rPr>
      <t>226</t>
    </r>
    <r>
      <rPr>
        <sz val="12"/>
        <color theme="1"/>
        <rFont val="Times New Roman"/>
        <family val="1"/>
      </rPr>
      <t xml:space="preserve">, 103867 (2020). </t>
    </r>
  </si>
  <si>
    <r>
      <t xml:space="preserve">Burgos, M., Sierra, A., Ortega, T. &amp; Forja, J. M. Anthropogenic effects on greenhouse gas (CH4 and N2O) emissions in the Guadalete River Estuary (SW Spain). </t>
    </r>
    <r>
      <rPr>
        <i/>
        <sz val="12"/>
        <color theme="1"/>
        <rFont val="Times New Roman"/>
        <family val="1"/>
      </rPr>
      <t>Science of The Total Environment</t>
    </r>
    <r>
      <rPr>
        <sz val="12"/>
        <color theme="1"/>
        <rFont val="Times New Roman"/>
        <family val="1"/>
      </rPr>
      <t xml:space="preserve"> </t>
    </r>
    <r>
      <rPr>
        <b/>
        <sz val="12"/>
        <color theme="1"/>
        <rFont val="Times New Roman"/>
        <family val="1"/>
      </rPr>
      <t>503–504</t>
    </r>
    <r>
      <rPr>
        <sz val="12"/>
        <color theme="1"/>
        <rFont val="Times New Roman"/>
        <family val="1"/>
      </rPr>
      <t xml:space="preserve">, 179-189 (2015). </t>
    </r>
  </si>
  <si>
    <r>
      <t xml:space="preserve">Burgos, M., Ortega, T. &amp; Forja, J. M. Temporal and spatial variation of N2O production from estuarine and marine shallow systems of Cadiz Bay (SW, Spain). </t>
    </r>
    <r>
      <rPr>
        <i/>
        <sz val="12"/>
        <color theme="1"/>
        <rFont val="Times New Roman"/>
        <family val="1"/>
      </rPr>
      <t>Science of The Total Environment</t>
    </r>
    <r>
      <rPr>
        <sz val="12"/>
        <color theme="1"/>
        <rFont val="Times New Roman"/>
        <family val="1"/>
      </rPr>
      <t xml:space="preserve"> </t>
    </r>
    <r>
      <rPr>
        <b/>
        <sz val="12"/>
        <color theme="1"/>
        <rFont val="Times New Roman"/>
        <family val="1"/>
      </rPr>
      <t>607–608</t>
    </r>
    <r>
      <rPr>
        <sz val="12"/>
        <color theme="1"/>
        <rFont val="Times New Roman"/>
        <family val="1"/>
      </rPr>
      <t xml:space="preserve">, 141-151 (2017). </t>
    </r>
  </si>
  <si>
    <r>
      <t xml:space="preserve">Ferrón, S., Ortega, T. &amp; M., F. J. Nitrous oxide distribution in the north-eastern shelf of the Gulf of Cádiz (SW Iberian Peninsula). </t>
    </r>
    <r>
      <rPr>
        <i/>
        <sz val="12"/>
        <color theme="1"/>
        <rFont val="Times New Roman"/>
        <family val="1"/>
      </rPr>
      <t>Marine Chemistry</t>
    </r>
    <r>
      <rPr>
        <sz val="12"/>
        <color theme="1"/>
        <rFont val="Times New Roman"/>
        <family val="1"/>
      </rPr>
      <t xml:space="preserve"> </t>
    </r>
    <r>
      <rPr>
        <b/>
        <sz val="12"/>
        <color theme="1"/>
        <rFont val="Times New Roman"/>
        <family val="1"/>
      </rPr>
      <t>119</t>
    </r>
    <r>
      <rPr>
        <sz val="12"/>
        <color theme="1"/>
        <rFont val="Times New Roman"/>
        <family val="1"/>
      </rPr>
      <t xml:space="preserve">, 22-32 (2010). </t>
    </r>
  </si>
  <si>
    <r>
      <t>Robinson, A. D., Nedwell, D. B., Harrison, R. M., &amp; Ogilvie, B. G. (1998). Hypernutrified estuaries as sources of N</t>
    </r>
    <r>
      <rPr>
        <vertAlign val="subscript"/>
        <sz val="11"/>
        <color theme="1"/>
        <rFont val="Calibri"/>
        <family val="2"/>
        <scheme val="minor"/>
      </rPr>
      <t>2</t>
    </r>
    <r>
      <rPr>
        <sz val="11"/>
        <color theme="1"/>
        <rFont val="Calibri"/>
        <family val="2"/>
        <scheme val="minor"/>
      </rPr>
      <t xml:space="preserve">O emission to the atmosphere: the estuary of the River Colne, Essex, UK. </t>
    </r>
    <r>
      <rPr>
        <i/>
        <sz val="11"/>
        <color theme="1"/>
        <rFont val="Calibri"/>
        <family val="2"/>
        <scheme val="minor"/>
      </rPr>
      <t>Marine Ecology Progress Series</t>
    </r>
    <r>
      <rPr>
        <sz val="11"/>
        <color theme="1"/>
        <rFont val="Calibri"/>
        <family val="2"/>
        <scheme val="minor"/>
      </rPr>
      <t xml:space="preserve">, </t>
    </r>
    <r>
      <rPr>
        <i/>
        <sz val="11"/>
        <color theme="1"/>
        <rFont val="Calibri"/>
        <family val="2"/>
        <scheme val="minor"/>
      </rPr>
      <t>164</t>
    </r>
    <r>
      <rPr>
        <sz val="11"/>
        <color theme="1"/>
        <rFont val="Calibri"/>
        <family val="2"/>
        <scheme val="minor"/>
      </rPr>
      <t>, 59–71. http://www.jstor.org/stable/24825525</t>
    </r>
  </si>
  <si>
    <r>
      <t xml:space="preserve">Ferrón, S., Ortega, T., &amp; Forja, J. M. (2010). Nitrous oxide distribution in the north-eastern shelf of the Gulf of Cádiz (SW Iberian Peninsula). </t>
    </r>
    <r>
      <rPr>
        <i/>
        <sz val="12"/>
        <color rgb="FFFF0000"/>
        <rFont val="Times New Roman"/>
        <family val="1"/>
      </rPr>
      <t>Marine Chemistry, 119</t>
    </r>
    <r>
      <rPr>
        <sz val="12"/>
        <color rgb="FFFF0000"/>
        <rFont val="Times New Roman"/>
        <family val="1"/>
      </rPr>
      <t>(1–2), 22–32. https://doi.org/10.1016/j.marchem.2009.12.003</t>
    </r>
  </si>
  <si>
    <r>
      <t xml:space="preserve">Sánchez-Rodríguez, J., Sierra, A., Jiménez-López, D., Ortega, T., Gómez-Parra, A., &amp; Forja, J. (2021). Dynamic of CO2, CH4 and N2O in the Guadalquivir estuary. </t>
    </r>
    <r>
      <rPr>
        <i/>
        <sz val="12"/>
        <color rgb="FFFF0000"/>
        <rFont val="Times New Roman"/>
        <family val="1"/>
      </rPr>
      <t>The Science of the Total Environment</t>
    </r>
    <r>
      <rPr>
        <sz val="12"/>
        <color rgb="FFFF0000"/>
        <rFont val="Times New Roman"/>
        <family val="1"/>
      </rPr>
      <t xml:space="preserve">, </t>
    </r>
    <r>
      <rPr>
        <i/>
        <sz val="12"/>
        <color rgb="FFFF0000"/>
        <rFont val="Times New Roman"/>
        <family val="1"/>
      </rPr>
      <t>805</t>
    </r>
    <r>
      <rPr>
        <sz val="12"/>
        <color rgb="FFFF0000"/>
        <rFont val="Times New Roman"/>
        <family val="1"/>
      </rPr>
      <t>, 150193. https://doi.org/10.1016/j.scitotenv.2021.150193</t>
    </r>
  </si>
  <si>
    <r>
      <t xml:space="preserve">Gonçalves, C., Brogueira, M. J., &amp; Camões, M. F. (2012). Nitrous oxide content and fluxes in Setúbal Bay, Portugal, during upwelling events. </t>
    </r>
    <r>
      <rPr>
        <i/>
        <sz val="12"/>
        <color theme="1"/>
        <rFont val="Times New Roman"/>
        <family val="1"/>
      </rPr>
      <t>Ciencias Marinas, 38</t>
    </r>
    <r>
      <rPr>
        <sz val="12"/>
        <color theme="1"/>
        <rFont val="Times New Roman"/>
        <family val="1"/>
      </rPr>
      <t>(1B), 177–190.</t>
    </r>
  </si>
  <si>
    <t>μmol N₂O m⁻² day⁻¹</t>
  </si>
  <si>
    <t>mg m⁻² h⁻¹</t>
  </si>
  <si>
    <t>N2O Emission (μmol N₂O m⁻² d⁻¹)</t>
  </si>
  <si>
    <t>St. Dv (μmol N₂O m⁻² d⁻¹)</t>
  </si>
  <si>
    <t>ng m−2 d− 1</t>
  </si>
  <si>
    <t xml:space="preserve">36.39 </t>
  </si>
  <si>
    <t xml:space="preserve"> 6.83</t>
  </si>
  <si>
    <t xml:space="preserve"> 36.93</t>
  </si>
  <si>
    <t xml:space="preserve"> 6.25</t>
  </si>
  <si>
    <t>Point or Region</t>
  </si>
  <si>
    <t>Region</t>
  </si>
  <si>
    <t>Point</t>
  </si>
  <si>
    <t>Aggregrated</t>
  </si>
  <si>
    <t>May 2006 - April 2009</t>
  </si>
  <si>
    <t>−7,1</t>
  </si>
  <si>
    <r>
      <t xml:space="preserve">Pönisch, D. L., Breznikar, A., Gutekunst, C. N., Jurasinski, G., Voss, M., &amp; Rehder, G. (2023). Nutrient release and flux dynamics of CO2, CH4, and N2O in a coastal peatland driven by actively induced rewetting with brackish water from the Baltic Sea. </t>
    </r>
    <r>
      <rPr>
        <i/>
        <sz val="12"/>
        <color theme="1"/>
        <rFont val="Times New Roman"/>
        <family val="1"/>
      </rPr>
      <t>Biogeosciences</t>
    </r>
    <r>
      <rPr>
        <sz val="12"/>
        <color theme="1"/>
        <rFont val="Times New Roman"/>
        <family val="1"/>
      </rPr>
      <t xml:space="preserve">, </t>
    </r>
    <r>
      <rPr>
        <i/>
        <sz val="12"/>
        <color theme="1"/>
        <rFont val="Times New Roman"/>
        <family val="1"/>
      </rPr>
      <t>20</t>
    </r>
    <r>
      <rPr>
        <sz val="12"/>
        <color theme="1"/>
        <rFont val="Times New Roman"/>
        <family val="1"/>
      </rPr>
      <t>(2), 295–323.https://doi.org/10.5194/bg-20-295-2023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</si>
</sst>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00000"/>
    <numFmt numFmtId="167" formatCode="0.0000000"/>
    <numFmt numFmtId="168" formatCode="0.00000"/>
    <numFmt numFmtId="169" formatCode="0.00000000"/>
  </numFmts>
  <fonts count="13" x14ac:knownFonts="1">
    <font>
      <sz val="11"/>
      <color theme="1"/>
      <name val="Calibri"/>
      <family val="2"/>
      <scheme val="minor"/>
    </font>
    <font>
      <u/>
      <sz val="11"/>
      <color theme="10"/>
      <name val="Calibri"/>
      <family val="2"/>
      <scheme val="minor"/>
    </font>
    <font>
      <sz val="8"/>
      <name val="Calibri"/>
      <family val="2"/>
      <scheme val="minor"/>
    </font>
    <font>
      <sz val="12"/>
      <color theme="1"/>
      <name val="Times New Roman"/>
      <family val="1"/>
    </font>
    <font>
      <i/>
      <sz val="12"/>
      <color theme="1"/>
      <name val="Times New Roman"/>
      <family val="1"/>
    </font>
    <font>
      <b/>
      <sz val="12"/>
      <color theme="1"/>
      <name val="Times New Roman"/>
      <family val="1"/>
    </font>
    <font>
      <sz val="12"/>
      <color rgb="FFFF0000"/>
      <name val="Times New Roman"/>
      <family val="1"/>
    </font>
    <font>
      <i/>
      <sz val="12"/>
      <color rgb="FFFF0000"/>
      <name val="Times New Roman"/>
      <family val="1"/>
    </font>
    <font>
      <vertAlign val="subscript"/>
      <sz val="11"/>
      <color theme="1"/>
      <name val="Calibri"/>
      <family val="2"/>
      <scheme val="minor"/>
    </font>
    <font>
      <i/>
      <sz val="11"/>
      <color theme="1"/>
      <name val="Calibri"/>
      <family val="2"/>
      <scheme val="minor"/>
    </font>
    <font>
      <u/>
      <sz val="12"/>
      <color theme="1"/>
      <name val="Times New Roman"/>
      <family val="1"/>
    </font>
    <font>
      <u/>
      <sz val="11"/>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right/>
      <top/>
      <bottom style="thin">
        <color indexed="64"/>
      </bottom>
      <diagonal/>
    </border>
  </borders>
  <cellStyleXfs count="2">
    <xf numFmtId="0" fontId="0" fillId="0" borderId="0"/>
    <xf numFmtId="0" fontId="1" fillId="0" borderId="0" applyNumberFormat="0" applyFill="0" applyBorder="0" applyAlignment="0" applyProtection="0"/>
  </cellStyleXfs>
  <cellXfs count="42">
    <xf numFmtId="0" fontId="0" fillId="0" borderId="0" xfId="0"/>
    <xf numFmtId="0" fontId="5" fillId="0" borderId="0" xfId="0" applyFont="1" applyAlignment="1">
      <alignment horizontal="center" vertical="center"/>
    </xf>
    <xf numFmtId="0" fontId="3" fillId="0" borderId="0" xfId="0" applyFont="1" applyAlignment="1">
      <alignment horizontal="center" vertical="center"/>
    </xf>
    <xf numFmtId="0" fontId="6" fillId="0" borderId="0" xfId="0" applyFont="1" applyAlignment="1">
      <alignment horizontal="center" vertical="center"/>
    </xf>
    <xf numFmtId="3" fontId="3" fillId="0" borderId="0" xfId="0" applyNumberFormat="1" applyFont="1" applyAlignment="1">
      <alignment horizontal="center" vertical="center"/>
    </xf>
    <xf numFmtId="16" fontId="3" fillId="0" borderId="0" xfId="0" applyNumberFormat="1" applyFont="1" applyAlignment="1">
      <alignment horizontal="center" vertical="center"/>
    </xf>
    <xf numFmtId="0" fontId="3" fillId="0" borderId="0" xfId="0" applyFont="1" applyAlignment="1">
      <alignment horizontal="left" vertical="center"/>
    </xf>
    <xf numFmtId="0" fontId="3" fillId="0" borderId="0" xfId="1" applyFont="1" applyAlignment="1">
      <alignment horizontal="center" vertical="center"/>
    </xf>
    <xf numFmtId="49" fontId="3" fillId="0" borderId="0" xfId="0" applyNumberFormat="1" applyFont="1" applyAlignment="1">
      <alignment horizontal="center" vertical="center"/>
    </xf>
    <xf numFmtId="0" fontId="3" fillId="0" borderId="0" xfId="1" applyFont="1" applyAlignment="1">
      <alignment horizontal="left" vertical="center"/>
    </xf>
    <xf numFmtId="0" fontId="3" fillId="0" borderId="0" xfId="0" quotePrefix="1" applyFont="1" applyAlignment="1">
      <alignment horizontal="center" vertical="center"/>
    </xf>
    <xf numFmtId="0" fontId="10" fillId="0" borderId="0" xfId="1" applyFont="1" applyAlignment="1">
      <alignment horizontal="left" vertical="center"/>
    </xf>
    <xf numFmtId="2" fontId="3" fillId="0" borderId="0" xfId="0" quotePrefix="1" applyNumberFormat="1" applyFont="1" applyAlignment="1">
      <alignment horizontal="center" vertical="center"/>
    </xf>
    <xf numFmtId="164" fontId="3" fillId="0" borderId="0" xfId="0" applyNumberFormat="1" applyFont="1" applyAlignment="1">
      <alignment horizontal="center"/>
    </xf>
    <xf numFmtId="0" fontId="3" fillId="0" borderId="0" xfId="0" applyFont="1" applyAlignment="1">
      <alignment horizontal="center"/>
    </xf>
    <xf numFmtId="165" fontId="3" fillId="0" borderId="0" xfId="0" applyNumberFormat="1" applyFont="1" applyAlignment="1">
      <alignment horizontal="center"/>
    </xf>
    <xf numFmtId="166" fontId="3" fillId="0" borderId="0" xfId="0" applyNumberFormat="1" applyFont="1" applyAlignment="1">
      <alignment horizontal="center"/>
    </xf>
    <xf numFmtId="0" fontId="3" fillId="0" borderId="0" xfId="0" applyFont="1" applyAlignment="1">
      <alignment horizontal="left"/>
    </xf>
    <xf numFmtId="167" fontId="3" fillId="0" borderId="0" xfId="0" applyNumberFormat="1" applyFont="1" applyAlignment="1">
      <alignment horizontal="center"/>
    </xf>
    <xf numFmtId="168" fontId="3" fillId="0" borderId="0" xfId="0" applyNumberFormat="1" applyFont="1" applyAlignment="1">
      <alignment horizontal="center"/>
    </xf>
    <xf numFmtId="169" fontId="3" fillId="0" borderId="0" xfId="0" applyNumberFormat="1" applyFont="1" applyAlignment="1">
      <alignment horizontal="center"/>
    </xf>
    <xf numFmtId="166" fontId="3" fillId="0" borderId="0" xfId="0" applyNumberFormat="1" applyFont="1" applyAlignment="1">
      <alignment horizontal="center" vertical="center"/>
    </xf>
    <xf numFmtId="164" fontId="0" fillId="0" borderId="0" xfId="0" applyNumberFormat="1" applyAlignment="1">
      <alignment horizontal="center" vertical="center"/>
    </xf>
    <xf numFmtId="0" fontId="0" fillId="0" borderId="0" xfId="0" applyAlignment="1">
      <alignment horizontal="center" vertical="center"/>
    </xf>
    <xf numFmtId="164" fontId="0" fillId="0" borderId="1" xfId="0" applyNumberFormat="1" applyBorder="1" applyAlignment="1">
      <alignment horizontal="center" vertical="center"/>
    </xf>
    <xf numFmtId="0" fontId="0" fillId="0" borderId="1" xfId="0" applyBorder="1" applyAlignment="1">
      <alignment horizontal="center" vertical="center"/>
    </xf>
    <xf numFmtId="3" fontId="0" fillId="0" borderId="0" xfId="0" applyNumberFormat="1" applyAlignment="1">
      <alignment horizontal="center" vertical="center"/>
    </xf>
    <xf numFmtId="17" fontId="6" fillId="0" borderId="0" xfId="0" applyNumberFormat="1" applyFont="1" applyAlignment="1">
      <alignment horizontal="center" vertical="center"/>
    </xf>
    <xf numFmtId="0" fontId="6" fillId="0" borderId="0" xfId="0" applyFont="1" applyAlignment="1">
      <alignment horizontal="left" vertical="center"/>
    </xf>
    <xf numFmtId="16" fontId="6" fillId="0" borderId="0" xfId="0" applyNumberFormat="1" applyFont="1" applyAlignment="1">
      <alignment horizontal="center" vertical="center"/>
    </xf>
    <xf numFmtId="0" fontId="6" fillId="0" borderId="0" xfId="0" quotePrefix="1" applyFont="1" applyAlignment="1">
      <alignment horizontal="center" vertical="center"/>
    </xf>
    <xf numFmtId="0" fontId="0" fillId="0" borderId="0" xfId="0" applyAlignment="1">
      <alignment horizontal="center"/>
    </xf>
    <xf numFmtId="11" fontId="0" fillId="0" borderId="0" xfId="0" applyNumberFormat="1" applyAlignment="1">
      <alignment horizontal="center"/>
    </xf>
    <xf numFmtId="0" fontId="11" fillId="0" borderId="0" xfId="1" applyFont="1" applyAlignment="1">
      <alignment horizontal="center" vertical="center"/>
    </xf>
    <xf numFmtId="3" fontId="0" fillId="0" borderId="0" xfId="0" applyNumberFormat="1" applyAlignment="1">
      <alignment horizontal="center"/>
    </xf>
    <xf numFmtId="164" fontId="0" fillId="0" borderId="0" xfId="0" applyNumberFormat="1" applyAlignment="1">
      <alignment horizontal="center"/>
    </xf>
    <xf numFmtId="0" fontId="0" fillId="0" borderId="0" xfId="0" applyAlignment="1">
      <alignment horizontal="left"/>
    </xf>
    <xf numFmtId="0" fontId="5" fillId="2" borderId="0" xfId="0" applyFont="1" applyFill="1" applyAlignment="1">
      <alignment horizontal="center" vertical="center"/>
    </xf>
    <xf numFmtId="0" fontId="12" fillId="0" borderId="0" xfId="0" applyFont="1" applyAlignment="1">
      <alignment horizontal="center" vertical="center"/>
    </xf>
    <xf numFmtId="0" fontId="1" fillId="0" borderId="0" xfId="1" applyAlignment="1">
      <alignment horizontal="center" vertical="center"/>
    </xf>
    <xf numFmtId="0" fontId="0" fillId="0" borderId="1" xfId="0" applyBorder="1" applyAlignment="1">
      <alignment horizontal="center"/>
    </xf>
    <xf numFmtId="0" fontId="3" fillId="0" borderId="1"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1007/s00027-018-0580-5" TargetMode="External"/><Relationship Id="rId18" Type="http://schemas.openxmlformats.org/officeDocument/2006/relationships/hyperlink" Target="https://doi.org/10.1007/s00027-018-0580-5" TargetMode="External"/><Relationship Id="rId26" Type="http://schemas.openxmlformats.org/officeDocument/2006/relationships/hyperlink" Target="https://doi.org/10.5281/zenodo.13889545" TargetMode="External"/><Relationship Id="rId39" Type="http://schemas.openxmlformats.org/officeDocument/2006/relationships/hyperlink" Target="https://doi.org/10.6084/m9.figshare.22351267" TargetMode="External"/><Relationship Id="rId21" Type="http://schemas.openxmlformats.org/officeDocument/2006/relationships/hyperlink" Target="https://doi.org/10.1016/j.pocean.2024.103261" TargetMode="External"/><Relationship Id="rId34" Type="http://schemas.openxmlformats.org/officeDocument/2006/relationships/hyperlink" Target="https://doi.org/10.5281/zenodo.13889545" TargetMode="External"/><Relationship Id="rId42" Type="http://schemas.openxmlformats.org/officeDocument/2006/relationships/hyperlink" Target="https://doi.org/10.6084/m9.figshare.22351267" TargetMode="External"/><Relationship Id="rId47" Type="http://schemas.openxmlformats.org/officeDocument/2006/relationships/hyperlink" Target="https://doi.org/10.6084/m9.figshare.22351267" TargetMode="External"/><Relationship Id="rId50" Type="http://schemas.openxmlformats.org/officeDocument/2006/relationships/hyperlink" Target="https://doi.org/10.6084/m9.figshare.22351267" TargetMode="External"/><Relationship Id="rId55" Type="http://schemas.openxmlformats.org/officeDocument/2006/relationships/hyperlink" Target="https://doi.org/10.6084/m9.figshare.22351267" TargetMode="External"/><Relationship Id="rId7" Type="http://schemas.openxmlformats.org/officeDocument/2006/relationships/hyperlink" Target="https://doi.org/10.1016/j.scitotenv.2017.07.021" TargetMode="External"/><Relationship Id="rId2" Type="http://schemas.openxmlformats.org/officeDocument/2006/relationships/hyperlink" Target="https://doi.org/10.1016/j.scitotenv.2017.07.021" TargetMode="External"/><Relationship Id="rId16" Type="http://schemas.openxmlformats.org/officeDocument/2006/relationships/hyperlink" Target="https://doi.org/10.1016/j.marchem.2020.103867" TargetMode="External"/><Relationship Id="rId29" Type="http://schemas.openxmlformats.org/officeDocument/2006/relationships/hyperlink" Target="https://doi.org/10.5281/zenodo.13889545" TargetMode="External"/><Relationship Id="rId11" Type="http://schemas.openxmlformats.org/officeDocument/2006/relationships/hyperlink" Target="https://doi.org/10.1016/j.watres.2022.118874" TargetMode="External"/><Relationship Id="rId24" Type="http://schemas.openxmlformats.org/officeDocument/2006/relationships/hyperlink" Target="https://doi.org/10.1016/j.scitotenv.2017.03.189" TargetMode="External"/><Relationship Id="rId32" Type="http://schemas.openxmlformats.org/officeDocument/2006/relationships/hyperlink" Target="https://doi.org/10.5281/zenodo.13889545" TargetMode="External"/><Relationship Id="rId37" Type="http://schemas.openxmlformats.org/officeDocument/2006/relationships/hyperlink" Target="https://doi.org/10.1016/j.pocean.2024.103261" TargetMode="External"/><Relationship Id="rId40" Type="http://schemas.openxmlformats.org/officeDocument/2006/relationships/hyperlink" Target="https://doi.org/10.6084/m9.figshare.22351267" TargetMode="External"/><Relationship Id="rId45" Type="http://schemas.openxmlformats.org/officeDocument/2006/relationships/hyperlink" Target="https://doi.org/10.6084/m9.figshare.22351267" TargetMode="External"/><Relationship Id="rId53" Type="http://schemas.openxmlformats.org/officeDocument/2006/relationships/hyperlink" Target="https://doi.org/10.6084/m9.figshare.22351267" TargetMode="External"/><Relationship Id="rId58" Type="http://schemas.openxmlformats.org/officeDocument/2006/relationships/hyperlink" Target="https://doi.org/10.6084/m9.figshare.22351267" TargetMode="External"/><Relationship Id="rId5" Type="http://schemas.openxmlformats.org/officeDocument/2006/relationships/hyperlink" Target="https://doi.org/10.1016/j.scitotenv.2017.07.021" TargetMode="External"/><Relationship Id="rId61" Type="http://schemas.openxmlformats.org/officeDocument/2006/relationships/hyperlink" Target="https://doi.org/10.6084/m9.figshare.22351267" TargetMode="External"/><Relationship Id="rId19" Type="http://schemas.openxmlformats.org/officeDocument/2006/relationships/hyperlink" Target="https://doi.org/10.1016/j.pocean.2024.103261" TargetMode="External"/><Relationship Id="rId14" Type="http://schemas.openxmlformats.org/officeDocument/2006/relationships/hyperlink" Target="https://doi.org/10.1007/s00027-018-0580-5" TargetMode="External"/><Relationship Id="rId22" Type="http://schemas.openxmlformats.org/officeDocument/2006/relationships/hyperlink" Target="https://doi.org/10.5194/bg-20-3229-2023" TargetMode="External"/><Relationship Id="rId27" Type="http://schemas.openxmlformats.org/officeDocument/2006/relationships/hyperlink" Target="https://doi.org/10.5281/zenodo.13889545" TargetMode="External"/><Relationship Id="rId30" Type="http://schemas.openxmlformats.org/officeDocument/2006/relationships/hyperlink" Target="https://doi.org/10.5281/zenodo.13889545" TargetMode="External"/><Relationship Id="rId35" Type="http://schemas.openxmlformats.org/officeDocument/2006/relationships/hyperlink" Target="https://doi.org/10.5281/zenodo.13889545" TargetMode="External"/><Relationship Id="rId43" Type="http://schemas.openxmlformats.org/officeDocument/2006/relationships/hyperlink" Target="https://doi.org/10.6084/m9.figshare.22351267" TargetMode="External"/><Relationship Id="rId48" Type="http://schemas.openxmlformats.org/officeDocument/2006/relationships/hyperlink" Target="https://doi.org/10.6084/m9.figshare.22351267" TargetMode="External"/><Relationship Id="rId56" Type="http://schemas.openxmlformats.org/officeDocument/2006/relationships/hyperlink" Target="https://doi.org/10.6084/m9.figshare.22351267" TargetMode="External"/><Relationship Id="rId8" Type="http://schemas.openxmlformats.org/officeDocument/2006/relationships/hyperlink" Target="https://doi.org/10.1016/j.scitotenv.2017.07.021" TargetMode="External"/><Relationship Id="rId51" Type="http://schemas.openxmlformats.org/officeDocument/2006/relationships/hyperlink" Target="https://doi.org/10.6084/m9.figshare.22351267" TargetMode="External"/><Relationship Id="rId3" Type="http://schemas.openxmlformats.org/officeDocument/2006/relationships/hyperlink" Target="https://doi.org/10.1016/j.scitotenv.2017.07.021" TargetMode="External"/><Relationship Id="rId12" Type="http://schemas.openxmlformats.org/officeDocument/2006/relationships/hyperlink" Target="https://doi.org/10.1016/j.watres.2022.118874" TargetMode="External"/><Relationship Id="rId17" Type="http://schemas.openxmlformats.org/officeDocument/2006/relationships/hyperlink" Target="https://doi.org/10.1016/j.ecss.2015.10.028" TargetMode="External"/><Relationship Id="rId25" Type="http://schemas.openxmlformats.org/officeDocument/2006/relationships/hyperlink" Target="https://doi.org/10.5281/zenodo.13889545" TargetMode="External"/><Relationship Id="rId33" Type="http://schemas.openxmlformats.org/officeDocument/2006/relationships/hyperlink" Target="https://doi.org/10.5281/zenodo.13889545" TargetMode="External"/><Relationship Id="rId38" Type="http://schemas.openxmlformats.org/officeDocument/2006/relationships/hyperlink" Target="https://doi.org/10.1016/j.pocean.2024.103261" TargetMode="External"/><Relationship Id="rId46" Type="http://schemas.openxmlformats.org/officeDocument/2006/relationships/hyperlink" Target="https://doi.org/10.6084/m9.figshare.22351267" TargetMode="External"/><Relationship Id="rId59" Type="http://schemas.openxmlformats.org/officeDocument/2006/relationships/hyperlink" Target="https://doi.org/10.6084/m9.figshare.22351267" TargetMode="External"/><Relationship Id="rId20" Type="http://schemas.openxmlformats.org/officeDocument/2006/relationships/hyperlink" Target="https://doi.org/10.1016/j.pocean.2024.103261" TargetMode="External"/><Relationship Id="rId41" Type="http://schemas.openxmlformats.org/officeDocument/2006/relationships/hyperlink" Target="https://doi.org/10.6084/m9.figshare.22351267" TargetMode="External"/><Relationship Id="rId54" Type="http://schemas.openxmlformats.org/officeDocument/2006/relationships/hyperlink" Target="https://doi.org/10.6084/m9.figshare.22351267" TargetMode="External"/><Relationship Id="rId62" Type="http://schemas.openxmlformats.org/officeDocument/2006/relationships/printerSettings" Target="../printerSettings/printerSettings1.bin"/><Relationship Id="rId1" Type="http://schemas.openxmlformats.org/officeDocument/2006/relationships/hyperlink" Target="https://doi.org/10.1016/j.scitotenv.2017.07.021" TargetMode="External"/><Relationship Id="rId6" Type="http://schemas.openxmlformats.org/officeDocument/2006/relationships/hyperlink" Target="https://doi.org/10.1016/j.scitotenv.2017.07.021" TargetMode="External"/><Relationship Id="rId15" Type="http://schemas.openxmlformats.org/officeDocument/2006/relationships/hyperlink" Target="https://doi.org/10.1016/j.marchem.2020.103867" TargetMode="External"/><Relationship Id="rId23" Type="http://schemas.openxmlformats.org/officeDocument/2006/relationships/hyperlink" Target="http://www.elsevier.com/locate/scitotenv" TargetMode="External"/><Relationship Id="rId28" Type="http://schemas.openxmlformats.org/officeDocument/2006/relationships/hyperlink" Target="https://doi.org/10.5281/zenodo.13889545" TargetMode="External"/><Relationship Id="rId36" Type="http://schemas.openxmlformats.org/officeDocument/2006/relationships/hyperlink" Target="https://doi.org/10.5281/zenodo.13889545" TargetMode="External"/><Relationship Id="rId49" Type="http://schemas.openxmlformats.org/officeDocument/2006/relationships/hyperlink" Target="https://doi.org/10.6084/m9.figshare.22351267" TargetMode="External"/><Relationship Id="rId57" Type="http://schemas.openxmlformats.org/officeDocument/2006/relationships/hyperlink" Target="https://doi.org/10.6084/m9.figshare.22351267" TargetMode="External"/><Relationship Id="rId10" Type="http://schemas.openxmlformats.org/officeDocument/2006/relationships/hyperlink" Target="https://doi.org/10.5194/bg-16-4097-2019" TargetMode="External"/><Relationship Id="rId31" Type="http://schemas.openxmlformats.org/officeDocument/2006/relationships/hyperlink" Target="https://doi.org/10.5281/zenodo.13889545" TargetMode="External"/><Relationship Id="rId44" Type="http://schemas.openxmlformats.org/officeDocument/2006/relationships/hyperlink" Target="https://doi.org/10.6084/m9.figshare.22351267" TargetMode="External"/><Relationship Id="rId52" Type="http://schemas.openxmlformats.org/officeDocument/2006/relationships/hyperlink" Target="https://doi.org/10.6084/m9.figshare.22351267" TargetMode="External"/><Relationship Id="rId60" Type="http://schemas.openxmlformats.org/officeDocument/2006/relationships/hyperlink" Target="https://doi.org/10.6084/m9.figshare.22351267" TargetMode="External"/><Relationship Id="rId4" Type="http://schemas.openxmlformats.org/officeDocument/2006/relationships/hyperlink" Target="https://doi.org/10.1016/j.scitotenv.2017.07.021" TargetMode="External"/><Relationship Id="rId9" Type="http://schemas.openxmlformats.org/officeDocument/2006/relationships/hyperlink" Target="https://doi.org/10.1016/j.scitotenv.2017.07.0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901"/>
  <sheetViews>
    <sheetView tabSelected="1" zoomScaleNormal="85" workbookViewId="0">
      <pane ySplit="1" topLeftCell="A2" activePane="bottomLeft" state="frozen"/>
      <selection pane="bottomLeft" activeCell="G8" sqref="G8"/>
    </sheetView>
  </sheetViews>
  <sheetFormatPr baseColWidth="10" defaultColWidth="20.83203125" defaultRowHeight="16" x14ac:dyDescent="0.2"/>
  <cols>
    <col min="1" max="1" width="26.1640625" style="2" bestFit="1" customWidth="1"/>
    <col min="2" max="2" width="11.5" style="2" bestFit="1" customWidth="1"/>
    <col min="3" max="3" width="20.83203125" style="2" bestFit="1" customWidth="1"/>
    <col min="4" max="4" width="35.33203125" style="2" bestFit="1" customWidth="1"/>
    <col min="5" max="5" width="28.1640625" style="2" bestFit="1" customWidth="1"/>
    <col min="6" max="6" width="22.6640625" style="2" bestFit="1" customWidth="1"/>
    <col min="7" max="7" width="19.5" style="2" bestFit="1" customWidth="1"/>
    <col min="8" max="8" width="32.6640625" style="2" bestFit="1" customWidth="1"/>
    <col min="9" max="9" width="30.6640625" style="2" bestFit="1" customWidth="1"/>
    <col min="10" max="10" width="16.1640625" style="2" bestFit="1" customWidth="1"/>
    <col min="11" max="11" width="17.5" style="2" bestFit="1" customWidth="1"/>
    <col min="12" max="12" width="13.5" style="2" bestFit="1" customWidth="1"/>
    <col min="13" max="13" width="32.6640625" style="2" customWidth="1"/>
    <col min="14" max="14" width="120.83203125" style="6" customWidth="1"/>
    <col min="15" max="16384" width="20.83203125" style="2"/>
  </cols>
  <sheetData>
    <row r="1" spans="1:14" ht="15" customHeight="1" x14ac:dyDescent="0.2">
      <c r="A1" s="1" t="s">
        <v>0</v>
      </c>
      <c r="B1" s="1" t="s">
        <v>683</v>
      </c>
      <c r="C1" s="1" t="s">
        <v>1</v>
      </c>
      <c r="D1" s="37" t="s">
        <v>893</v>
      </c>
      <c r="E1" s="37" t="s">
        <v>894</v>
      </c>
      <c r="F1" s="1" t="s">
        <v>2</v>
      </c>
      <c r="G1" s="1" t="s">
        <v>900</v>
      </c>
      <c r="H1" s="1" t="s">
        <v>3</v>
      </c>
      <c r="I1" s="1" t="s">
        <v>4</v>
      </c>
      <c r="J1" s="37" t="s">
        <v>192</v>
      </c>
      <c r="K1" s="37" t="s">
        <v>193</v>
      </c>
      <c r="L1" s="1" t="s">
        <v>682</v>
      </c>
      <c r="M1" s="1" t="s">
        <v>5</v>
      </c>
      <c r="N1" s="6" t="s">
        <v>861</v>
      </c>
    </row>
    <row r="2" spans="1:14" ht="15" customHeight="1" x14ac:dyDescent="0.2">
      <c r="A2" s="2" t="s">
        <v>788</v>
      </c>
      <c r="C2" s="2" t="s">
        <v>891</v>
      </c>
      <c r="D2" s="2" t="s">
        <v>788</v>
      </c>
      <c r="F2" s="2">
        <v>1998</v>
      </c>
      <c r="G2" s="2" t="s">
        <v>903</v>
      </c>
      <c r="H2" s="2" t="s">
        <v>111</v>
      </c>
      <c r="I2" s="2" t="s">
        <v>112</v>
      </c>
      <c r="J2" s="2">
        <v>51.364080000000001</v>
      </c>
      <c r="K2" s="2">
        <v>3.8472379999999999</v>
      </c>
      <c r="L2" s="2" t="s">
        <v>801</v>
      </c>
      <c r="M2" s="2" t="s">
        <v>112</v>
      </c>
      <c r="N2" s="6" t="s">
        <v>113</v>
      </c>
    </row>
    <row r="3" spans="1:14" ht="15" customHeight="1" x14ac:dyDescent="0.2">
      <c r="A3" s="2" t="s">
        <v>791</v>
      </c>
      <c r="B3" s="2">
        <v>1</v>
      </c>
      <c r="C3" s="2" t="s">
        <v>891</v>
      </c>
      <c r="D3" s="2" t="s">
        <v>791</v>
      </c>
      <c r="E3" s="2">
        <v>1</v>
      </c>
      <c r="F3" s="2">
        <v>2014</v>
      </c>
      <c r="G3" s="2" t="s">
        <v>902</v>
      </c>
      <c r="H3" s="5" t="s">
        <v>131</v>
      </c>
      <c r="I3" s="2" t="s">
        <v>152</v>
      </c>
      <c r="J3" s="2">
        <v>37.012805999999998</v>
      </c>
      <c r="K3" s="2">
        <v>-7.0772560000000002</v>
      </c>
      <c r="L3" s="2" t="s">
        <v>82</v>
      </c>
      <c r="N3" s="9" t="s">
        <v>153</v>
      </c>
    </row>
    <row r="4" spans="1:14" ht="15" customHeight="1" x14ac:dyDescent="0.2">
      <c r="A4" s="2" t="s">
        <v>790</v>
      </c>
      <c r="B4" s="2">
        <v>1.7</v>
      </c>
      <c r="C4" s="2" t="s">
        <v>891</v>
      </c>
      <c r="D4" s="2" t="s">
        <v>790</v>
      </c>
      <c r="E4" s="2">
        <v>1.7</v>
      </c>
      <c r="F4" s="2">
        <v>2014</v>
      </c>
      <c r="G4" s="2" t="s">
        <v>902</v>
      </c>
      <c r="H4" s="5" t="s">
        <v>154</v>
      </c>
      <c r="I4" s="2" t="s">
        <v>152</v>
      </c>
      <c r="J4" s="2">
        <v>37.012805999999998</v>
      </c>
      <c r="K4" s="2">
        <v>-7.0772560000000002</v>
      </c>
      <c r="L4" s="2" t="s">
        <v>82</v>
      </c>
      <c r="N4" s="9" t="s">
        <v>153</v>
      </c>
    </row>
    <row r="5" spans="1:14" ht="15" customHeight="1" x14ac:dyDescent="0.2">
      <c r="A5" s="2" t="s">
        <v>794</v>
      </c>
      <c r="B5" s="2">
        <v>0.8</v>
      </c>
      <c r="C5" s="2" t="s">
        <v>891</v>
      </c>
      <c r="D5" s="2" t="s">
        <v>794</v>
      </c>
      <c r="E5" s="2">
        <v>0.8</v>
      </c>
      <c r="F5" s="2">
        <v>2015</v>
      </c>
      <c r="G5" s="2" t="s">
        <v>902</v>
      </c>
      <c r="H5" s="5" t="s">
        <v>131</v>
      </c>
      <c r="I5" s="2" t="s">
        <v>152</v>
      </c>
      <c r="J5" s="2">
        <v>37.012805999999998</v>
      </c>
      <c r="K5" s="2">
        <v>-7.0772560000000002</v>
      </c>
      <c r="L5" s="2" t="s">
        <v>82</v>
      </c>
      <c r="N5" s="9" t="s">
        <v>153</v>
      </c>
    </row>
    <row r="6" spans="1:14" ht="15" customHeight="1" x14ac:dyDescent="0.2">
      <c r="A6" s="2" t="s">
        <v>792</v>
      </c>
      <c r="B6" s="2">
        <v>0.9</v>
      </c>
      <c r="C6" s="2" t="s">
        <v>891</v>
      </c>
      <c r="D6" s="2" t="s">
        <v>792</v>
      </c>
      <c r="E6" s="2">
        <v>0.9</v>
      </c>
      <c r="F6" s="2">
        <v>2015</v>
      </c>
      <c r="G6" s="2" t="s">
        <v>902</v>
      </c>
      <c r="H6" s="5" t="s">
        <v>128</v>
      </c>
      <c r="I6" s="2" t="s">
        <v>152</v>
      </c>
      <c r="J6" s="2">
        <v>37.012805999999998</v>
      </c>
      <c r="K6" s="2">
        <v>-7.0772560000000002</v>
      </c>
      <c r="L6" s="2" t="s">
        <v>82</v>
      </c>
      <c r="N6" s="9" t="s">
        <v>153</v>
      </c>
    </row>
    <row r="7" spans="1:14" ht="15" customHeight="1" x14ac:dyDescent="0.2">
      <c r="A7" s="2" t="s">
        <v>795</v>
      </c>
      <c r="B7" s="2">
        <v>0.3</v>
      </c>
      <c r="C7" s="2" t="s">
        <v>891</v>
      </c>
      <c r="D7" s="2" t="s">
        <v>795</v>
      </c>
      <c r="E7" s="2">
        <v>0.3</v>
      </c>
      <c r="F7" s="2">
        <v>2016</v>
      </c>
      <c r="G7" s="2" t="s">
        <v>902</v>
      </c>
      <c r="H7" s="5" t="s">
        <v>157</v>
      </c>
      <c r="I7" s="2" t="s">
        <v>152</v>
      </c>
      <c r="J7" s="2">
        <v>37.012805999999998</v>
      </c>
      <c r="K7" s="2">
        <v>-7.0772560000000002</v>
      </c>
      <c r="L7" s="2" t="s">
        <v>82</v>
      </c>
      <c r="N7" s="9" t="s">
        <v>153</v>
      </c>
    </row>
    <row r="8" spans="1:14" ht="15" customHeight="1" x14ac:dyDescent="0.2">
      <c r="A8" s="2" t="s">
        <v>785</v>
      </c>
      <c r="B8" s="2">
        <v>0.55000000000000004</v>
      </c>
      <c r="C8" s="2" t="s">
        <v>891</v>
      </c>
      <c r="D8" s="2" t="s">
        <v>785</v>
      </c>
      <c r="E8" s="2">
        <v>0.55000000000000004</v>
      </c>
      <c r="F8" s="2">
        <v>2014</v>
      </c>
      <c r="G8" s="2" t="s">
        <v>902</v>
      </c>
      <c r="H8" s="2" t="s">
        <v>68</v>
      </c>
      <c r="I8" s="2" t="s">
        <v>69</v>
      </c>
      <c r="J8" s="2">
        <v>35.941650000000003</v>
      </c>
      <c r="K8" s="2">
        <v>-5.6569900000000004</v>
      </c>
      <c r="L8" s="2" t="s">
        <v>82</v>
      </c>
      <c r="M8" s="2" t="s">
        <v>70</v>
      </c>
      <c r="N8" s="6" t="s">
        <v>194</v>
      </c>
    </row>
    <row r="9" spans="1:14" ht="15" customHeight="1" x14ac:dyDescent="0.2">
      <c r="A9" s="2" t="s">
        <v>789</v>
      </c>
      <c r="B9" s="2">
        <v>0.5</v>
      </c>
      <c r="C9" s="2" t="s">
        <v>891</v>
      </c>
      <c r="D9" s="2" t="s">
        <v>789</v>
      </c>
      <c r="E9" s="2">
        <v>0.5</v>
      </c>
      <c r="F9" s="2">
        <v>2014</v>
      </c>
      <c r="G9" s="2" t="s">
        <v>902</v>
      </c>
      <c r="H9" s="5" t="s">
        <v>128</v>
      </c>
      <c r="I9" s="2" t="s">
        <v>152</v>
      </c>
      <c r="J9" s="2">
        <v>37.012805999999998</v>
      </c>
      <c r="K9" s="2">
        <v>-7.0772560000000002</v>
      </c>
      <c r="L9" s="2" t="s">
        <v>82</v>
      </c>
      <c r="N9" s="9" t="s">
        <v>153</v>
      </c>
    </row>
    <row r="10" spans="1:14" ht="15" customHeight="1" x14ac:dyDescent="0.2">
      <c r="A10" s="2" t="s">
        <v>789</v>
      </c>
      <c r="B10" s="2">
        <v>0.8</v>
      </c>
      <c r="C10" s="2" t="s">
        <v>891</v>
      </c>
      <c r="D10" s="2" t="s">
        <v>789</v>
      </c>
      <c r="E10" s="2">
        <v>0.8</v>
      </c>
      <c r="F10" s="2">
        <v>2016</v>
      </c>
      <c r="G10" s="2" t="s">
        <v>902</v>
      </c>
      <c r="H10" s="5" t="s">
        <v>154</v>
      </c>
      <c r="I10" s="2" t="s">
        <v>152</v>
      </c>
      <c r="J10" s="2">
        <v>37.012805999999998</v>
      </c>
      <c r="K10" s="2">
        <v>-7.0772560000000002</v>
      </c>
      <c r="L10" s="2" t="s">
        <v>82</v>
      </c>
      <c r="N10" s="9" t="s">
        <v>153</v>
      </c>
    </row>
    <row r="11" spans="1:14" ht="15" customHeight="1" x14ac:dyDescent="0.2">
      <c r="A11" s="2" t="s">
        <v>793</v>
      </c>
      <c r="B11" s="2">
        <v>0.6</v>
      </c>
      <c r="C11" s="2" t="s">
        <v>891</v>
      </c>
      <c r="D11" s="2" t="s">
        <v>793</v>
      </c>
      <c r="E11" s="2">
        <v>0.6</v>
      </c>
      <c r="F11" s="2">
        <v>2015</v>
      </c>
      <c r="G11" s="2" t="s">
        <v>902</v>
      </c>
      <c r="H11" s="5" t="s">
        <v>156</v>
      </c>
      <c r="I11" s="2" t="s">
        <v>152</v>
      </c>
      <c r="J11" s="2">
        <v>37.012805999999998</v>
      </c>
      <c r="K11" s="2">
        <v>-7.0772560000000002</v>
      </c>
      <c r="L11" s="2" t="s">
        <v>82</v>
      </c>
      <c r="N11" s="9" t="s">
        <v>153</v>
      </c>
    </row>
    <row r="12" spans="1:14" ht="15" customHeight="1" x14ac:dyDescent="0.2">
      <c r="A12" s="2" t="s">
        <v>796</v>
      </c>
      <c r="B12" s="2">
        <v>0.7</v>
      </c>
      <c r="C12" s="2" t="s">
        <v>891</v>
      </c>
      <c r="D12" s="2" t="s">
        <v>796</v>
      </c>
      <c r="E12" s="2">
        <v>0.7</v>
      </c>
      <c r="F12" s="2">
        <v>2016</v>
      </c>
      <c r="G12" s="2" t="s">
        <v>902</v>
      </c>
      <c r="H12" s="5" t="s">
        <v>128</v>
      </c>
      <c r="I12" s="2" t="s">
        <v>152</v>
      </c>
      <c r="J12" s="2">
        <v>37.012805999999998</v>
      </c>
      <c r="K12" s="2">
        <v>-7.0772560000000002</v>
      </c>
      <c r="L12" s="2" t="s">
        <v>82</v>
      </c>
      <c r="N12" s="9" t="s">
        <v>153</v>
      </c>
    </row>
    <row r="13" spans="1:14" ht="15" customHeight="1" x14ac:dyDescent="0.2">
      <c r="A13" s="2" t="s">
        <v>782</v>
      </c>
      <c r="B13" s="2">
        <v>0.27</v>
      </c>
      <c r="C13" s="2" t="s">
        <v>891</v>
      </c>
      <c r="D13" s="2" t="s">
        <v>782</v>
      </c>
      <c r="E13" s="2">
        <v>0.27</v>
      </c>
      <c r="F13" s="2">
        <v>2011</v>
      </c>
      <c r="G13" s="2" t="s">
        <v>902</v>
      </c>
      <c r="H13" s="2" t="s">
        <v>48</v>
      </c>
      <c r="I13" s="2" t="s">
        <v>69</v>
      </c>
      <c r="J13" s="2">
        <v>35.941650000000003</v>
      </c>
      <c r="K13" s="2">
        <v>-5.6569900000000004</v>
      </c>
      <c r="L13" s="2" t="s">
        <v>82</v>
      </c>
      <c r="M13" s="2" t="s">
        <v>70</v>
      </c>
      <c r="N13" s="6" t="s">
        <v>194</v>
      </c>
    </row>
    <row r="14" spans="1:14" ht="15" customHeight="1" x14ac:dyDescent="0.2">
      <c r="A14" s="2" t="s">
        <v>784</v>
      </c>
      <c r="B14" s="2">
        <v>0.09</v>
      </c>
      <c r="C14" s="2" t="s">
        <v>891</v>
      </c>
      <c r="D14" s="2" t="s">
        <v>784</v>
      </c>
      <c r="E14" s="2">
        <v>0.09</v>
      </c>
      <c r="F14" s="2">
        <v>2012</v>
      </c>
      <c r="G14" s="2" t="s">
        <v>902</v>
      </c>
      <c r="H14" s="2" t="s">
        <v>72</v>
      </c>
      <c r="I14" s="2" t="s">
        <v>69</v>
      </c>
      <c r="J14" s="2">
        <v>35.941650000000003</v>
      </c>
      <c r="K14" s="2">
        <v>-5.6569900000000004</v>
      </c>
      <c r="L14" s="2" t="s">
        <v>82</v>
      </c>
      <c r="M14" s="2" t="s">
        <v>70</v>
      </c>
      <c r="N14" s="6" t="s">
        <v>194</v>
      </c>
    </row>
    <row r="15" spans="1:14" ht="15" customHeight="1" x14ac:dyDescent="0.2">
      <c r="A15" s="2" t="s">
        <v>783</v>
      </c>
      <c r="B15" s="2">
        <v>0.06</v>
      </c>
      <c r="C15" s="2" t="s">
        <v>891</v>
      </c>
      <c r="D15" s="2" t="s">
        <v>783</v>
      </c>
      <c r="E15" s="2">
        <v>0.06</v>
      </c>
      <c r="F15" s="2">
        <v>2011</v>
      </c>
      <c r="G15" s="2" t="s">
        <v>902</v>
      </c>
      <c r="H15" s="2" t="s">
        <v>68</v>
      </c>
      <c r="I15" s="2" t="s">
        <v>69</v>
      </c>
      <c r="J15" s="2">
        <v>35.941650000000003</v>
      </c>
      <c r="K15" s="2">
        <v>-5.6569900000000004</v>
      </c>
      <c r="L15" s="2" t="s">
        <v>82</v>
      </c>
      <c r="M15" s="2" t="s">
        <v>70</v>
      </c>
      <c r="N15" s="6" t="s">
        <v>194</v>
      </c>
    </row>
    <row r="16" spans="1:14" ht="15" customHeight="1" x14ac:dyDescent="0.2">
      <c r="A16" s="2" t="s">
        <v>798</v>
      </c>
      <c r="B16" s="2">
        <v>0.3</v>
      </c>
      <c r="C16" s="2" t="s">
        <v>891</v>
      </c>
      <c r="D16" s="2" t="s">
        <v>798</v>
      </c>
      <c r="E16" s="2">
        <v>0.3</v>
      </c>
      <c r="F16" s="2">
        <v>2016</v>
      </c>
      <c r="G16" s="2" t="s">
        <v>902</v>
      </c>
      <c r="H16" s="5" t="s">
        <v>155</v>
      </c>
      <c r="I16" s="2" t="s">
        <v>152</v>
      </c>
      <c r="J16" s="2">
        <v>37.012805999999998</v>
      </c>
      <c r="K16" s="2">
        <v>-7.0772560000000002</v>
      </c>
      <c r="L16" s="2" t="s">
        <v>82</v>
      </c>
      <c r="N16" s="9" t="s">
        <v>153</v>
      </c>
    </row>
    <row r="17" spans="1:14" ht="15" customHeight="1" x14ac:dyDescent="0.2">
      <c r="A17" s="2" t="s">
        <v>799</v>
      </c>
      <c r="B17" s="2">
        <v>1.2</v>
      </c>
      <c r="C17" s="2" t="s">
        <v>891</v>
      </c>
      <c r="D17" s="2" t="s">
        <v>799</v>
      </c>
      <c r="E17" s="2">
        <v>1.2</v>
      </c>
      <c r="F17" s="2">
        <v>2014</v>
      </c>
      <c r="G17" s="2" t="s">
        <v>902</v>
      </c>
      <c r="H17" s="5" t="s">
        <v>155</v>
      </c>
      <c r="I17" s="2" t="s">
        <v>158</v>
      </c>
      <c r="J17" s="2">
        <v>37.012805999999998</v>
      </c>
      <c r="K17" s="2">
        <v>-7.0772560000000002</v>
      </c>
      <c r="L17" s="2" t="s">
        <v>82</v>
      </c>
      <c r="N17" s="9" t="s">
        <v>159</v>
      </c>
    </row>
    <row r="18" spans="1:14" ht="15" customHeight="1" x14ac:dyDescent="0.2">
      <c r="A18" s="2" t="s">
        <v>787</v>
      </c>
      <c r="B18" s="2">
        <v>0.5</v>
      </c>
      <c r="C18" s="2" t="s">
        <v>891</v>
      </c>
      <c r="D18" s="2" t="s">
        <v>787</v>
      </c>
      <c r="E18" s="2">
        <v>0.5</v>
      </c>
      <c r="F18" s="2">
        <v>2018</v>
      </c>
      <c r="G18" s="2" t="s">
        <v>902</v>
      </c>
      <c r="H18" s="2" t="s">
        <v>108</v>
      </c>
      <c r="I18" s="2" t="s">
        <v>106</v>
      </c>
      <c r="J18" s="2">
        <v>37.773425000000003</v>
      </c>
      <c r="K18" s="2">
        <v>-0.78914099999999998</v>
      </c>
      <c r="L18" s="2" t="s">
        <v>53</v>
      </c>
      <c r="M18" s="2" t="s">
        <v>107</v>
      </c>
      <c r="N18" s="6" t="s">
        <v>859</v>
      </c>
    </row>
    <row r="19" spans="1:14" ht="15" customHeight="1" x14ac:dyDescent="0.2">
      <c r="A19" s="2" t="s">
        <v>786</v>
      </c>
      <c r="B19" s="2">
        <v>0.4</v>
      </c>
      <c r="C19" s="2" t="s">
        <v>891</v>
      </c>
      <c r="D19" s="2" t="s">
        <v>786</v>
      </c>
      <c r="E19" s="2">
        <v>0.4</v>
      </c>
      <c r="F19" s="2">
        <v>2018</v>
      </c>
      <c r="G19" s="2" t="s">
        <v>902</v>
      </c>
      <c r="H19" s="2" t="s">
        <v>105</v>
      </c>
      <c r="I19" s="2" t="s">
        <v>106</v>
      </c>
      <c r="J19" s="2">
        <v>37.773425000000003</v>
      </c>
      <c r="K19" s="2">
        <v>-0.78914099999999998</v>
      </c>
      <c r="L19" s="2" t="s">
        <v>53</v>
      </c>
      <c r="M19" s="2" t="s">
        <v>107</v>
      </c>
      <c r="N19" s="6" t="s">
        <v>859</v>
      </c>
    </row>
    <row r="20" spans="1:14" ht="15" customHeight="1" x14ac:dyDescent="0.2">
      <c r="A20" s="2" t="s">
        <v>797</v>
      </c>
      <c r="B20" s="2">
        <v>0.5</v>
      </c>
      <c r="C20" s="2" t="s">
        <v>891</v>
      </c>
      <c r="D20" s="2" t="s">
        <v>797</v>
      </c>
      <c r="E20" s="2">
        <v>0.5</v>
      </c>
      <c r="F20" s="2">
        <v>2016</v>
      </c>
      <c r="G20" s="2" t="s">
        <v>902</v>
      </c>
      <c r="H20" s="5" t="s">
        <v>89</v>
      </c>
      <c r="I20" s="2" t="s">
        <v>152</v>
      </c>
      <c r="J20" s="2">
        <v>37.012805999999998</v>
      </c>
      <c r="K20" s="2">
        <v>-7.0772560000000002</v>
      </c>
      <c r="L20" s="2" t="s">
        <v>82</v>
      </c>
      <c r="N20" s="9" t="s">
        <v>153</v>
      </c>
    </row>
    <row r="21" spans="1:14" ht="15" customHeight="1" x14ac:dyDescent="0.2">
      <c r="A21" s="2" t="s">
        <v>781</v>
      </c>
      <c r="C21" s="2" t="s">
        <v>891</v>
      </c>
      <c r="D21" s="2" t="s">
        <v>905</v>
      </c>
      <c r="F21" s="2">
        <v>2016</v>
      </c>
      <c r="G21" s="2" t="s">
        <v>902</v>
      </c>
      <c r="H21" s="2" t="s">
        <v>39</v>
      </c>
      <c r="I21" s="2" t="s">
        <v>65</v>
      </c>
      <c r="J21" s="2">
        <v>36.794474999999998</v>
      </c>
      <c r="K21" s="2">
        <v>-6.3588370000000003</v>
      </c>
      <c r="L21" s="2" t="s">
        <v>53</v>
      </c>
      <c r="N21" s="9" t="s">
        <v>66</v>
      </c>
    </row>
    <row r="22" spans="1:14" ht="15" customHeight="1" x14ac:dyDescent="0.2">
      <c r="A22" s="2" t="s">
        <v>67</v>
      </c>
      <c r="C22" s="2" t="s">
        <v>891</v>
      </c>
      <c r="D22" s="2" t="s">
        <v>67</v>
      </c>
      <c r="F22" s="2">
        <v>2016</v>
      </c>
      <c r="G22" s="2" t="s">
        <v>902</v>
      </c>
      <c r="H22" s="2" t="s">
        <v>68</v>
      </c>
      <c r="I22" s="2" t="s">
        <v>65</v>
      </c>
      <c r="J22" s="2">
        <v>36.794474999999998</v>
      </c>
      <c r="K22" s="2">
        <v>-6.3588370000000003</v>
      </c>
      <c r="L22" s="2" t="s">
        <v>53</v>
      </c>
      <c r="N22" s="9" t="s">
        <v>66</v>
      </c>
    </row>
    <row r="23" spans="1:14" ht="15" customHeight="1" x14ac:dyDescent="0.2">
      <c r="A23" s="2">
        <v>9.1999999999999993</v>
      </c>
      <c r="B23" s="2">
        <v>0.3</v>
      </c>
      <c r="C23" s="2" t="s">
        <v>102</v>
      </c>
      <c r="D23" s="2">
        <f>A23 * 62.29</f>
        <v>573.06799999999998</v>
      </c>
      <c r="F23" s="2" t="s">
        <v>904</v>
      </c>
      <c r="G23" s="2" t="s">
        <v>903</v>
      </c>
      <c r="H23" s="2" t="s">
        <v>822</v>
      </c>
      <c r="I23" s="2" t="s">
        <v>103</v>
      </c>
      <c r="J23" s="2">
        <v>53.405000000000001</v>
      </c>
      <c r="K23" s="2">
        <v>6.3536000000000001</v>
      </c>
      <c r="L23" s="2" t="s">
        <v>801</v>
      </c>
      <c r="M23" s="2" t="s">
        <v>104</v>
      </c>
      <c r="N23" s="6" t="s">
        <v>196</v>
      </c>
    </row>
    <row r="24" spans="1:14" ht="15" customHeight="1" x14ac:dyDescent="0.2">
      <c r="A24" s="31">
        <v>0.63730483879182498</v>
      </c>
      <c r="B24" s="31"/>
      <c r="C24" s="2" t="s">
        <v>892</v>
      </c>
      <c r="D24" s="2">
        <f>A24 * 545.45</f>
        <v>347.61792431900096</v>
      </c>
      <c r="F24" s="2">
        <v>2019</v>
      </c>
      <c r="G24" s="38" t="s">
        <v>901</v>
      </c>
      <c r="H24" s="2" t="s">
        <v>724</v>
      </c>
      <c r="I24" s="31" t="s">
        <v>259</v>
      </c>
      <c r="J24" s="31">
        <v>54.373600000000003</v>
      </c>
      <c r="K24" s="31">
        <v>13.239800000000001</v>
      </c>
      <c r="L24" s="2" t="s">
        <v>28</v>
      </c>
      <c r="M24" s="2" t="s">
        <v>824</v>
      </c>
      <c r="N24" s="17" t="s">
        <v>906</v>
      </c>
    </row>
    <row r="25" spans="1:14" ht="15" customHeight="1" x14ac:dyDescent="0.2">
      <c r="A25" s="2">
        <v>5.42</v>
      </c>
      <c r="C25" s="2" t="s">
        <v>6</v>
      </c>
      <c r="D25" s="2">
        <f>(A25 * 1000000)/ 44.013 / 365</f>
        <v>337.38475151644178</v>
      </c>
      <c r="F25" s="2" t="s">
        <v>689</v>
      </c>
      <c r="G25" s="2" t="s">
        <v>903</v>
      </c>
      <c r="H25" s="2" t="s">
        <v>707</v>
      </c>
      <c r="I25" s="2" t="s">
        <v>16</v>
      </c>
      <c r="J25" s="2">
        <v>51.795850000000002</v>
      </c>
      <c r="K25" s="2">
        <v>1.01142</v>
      </c>
      <c r="L25" s="2" t="s">
        <v>8</v>
      </c>
      <c r="N25" s="6" t="s">
        <v>17</v>
      </c>
    </row>
    <row r="26" spans="1:14" ht="15" customHeight="1" x14ac:dyDescent="0.2">
      <c r="A26" s="31">
        <v>0.53104964852978298</v>
      </c>
      <c r="B26" s="31"/>
      <c r="C26" s="2" t="s">
        <v>892</v>
      </c>
      <c r="D26" s="2">
        <f>A26 * 545.45</f>
        <v>289.66103079057012</v>
      </c>
      <c r="F26" s="2">
        <v>2019</v>
      </c>
      <c r="G26" s="38" t="s">
        <v>901</v>
      </c>
      <c r="H26" s="2" t="s">
        <v>724</v>
      </c>
      <c r="I26" s="31" t="s">
        <v>258</v>
      </c>
      <c r="J26" s="31">
        <v>54.371299999999998</v>
      </c>
      <c r="K26" s="31">
        <v>13.2438</v>
      </c>
      <c r="L26" s="2" t="s">
        <v>28</v>
      </c>
      <c r="M26" s="2" t="s">
        <v>824</v>
      </c>
      <c r="N26" s="17" t="s">
        <v>906</v>
      </c>
    </row>
    <row r="27" spans="1:14" ht="15" customHeight="1" x14ac:dyDescent="0.2">
      <c r="A27" s="2">
        <v>275.39</v>
      </c>
      <c r="C27" s="2" t="s">
        <v>891</v>
      </c>
      <c r="D27" s="2">
        <f>A27</f>
        <v>275.39</v>
      </c>
      <c r="F27" s="2">
        <v>1978</v>
      </c>
      <c r="G27" s="2" t="s">
        <v>901</v>
      </c>
      <c r="H27" s="2" t="s">
        <v>822</v>
      </c>
      <c r="I27" s="2" t="s">
        <v>26</v>
      </c>
      <c r="J27" s="2">
        <v>51.396348000000003</v>
      </c>
      <c r="K27" s="2">
        <v>4.0838720000000004</v>
      </c>
      <c r="N27" s="6" t="s">
        <v>200</v>
      </c>
    </row>
    <row r="28" spans="1:14" ht="15" customHeight="1" x14ac:dyDescent="0.2">
      <c r="A28" s="2">
        <v>270.24</v>
      </c>
      <c r="C28" s="2" t="s">
        <v>891</v>
      </c>
      <c r="D28" s="2">
        <f>A28</f>
        <v>270.24</v>
      </c>
      <c r="F28" s="2">
        <v>1993</v>
      </c>
      <c r="G28" s="2" t="s">
        <v>901</v>
      </c>
      <c r="H28" s="2" t="s">
        <v>822</v>
      </c>
      <c r="I28" s="2" t="s">
        <v>26</v>
      </c>
      <c r="J28" s="2">
        <v>51.420760999999999</v>
      </c>
      <c r="K28" s="2">
        <v>3.9554689999999999</v>
      </c>
      <c r="N28" s="6" t="s">
        <v>200</v>
      </c>
    </row>
    <row r="29" spans="1:14" ht="15" customHeight="1" x14ac:dyDescent="0.2">
      <c r="A29" s="20">
        <v>11.687837553043032</v>
      </c>
      <c r="B29" s="20"/>
      <c r="C29" s="2" t="s">
        <v>98</v>
      </c>
      <c r="D29" s="2">
        <f>A29 * 22.727</f>
        <v>265.62948406800899</v>
      </c>
      <c r="F29" s="2" t="s">
        <v>822</v>
      </c>
      <c r="G29" s="2" t="s">
        <v>901</v>
      </c>
      <c r="H29" s="2" t="s">
        <v>822</v>
      </c>
      <c r="I29" s="14" t="s">
        <v>211</v>
      </c>
      <c r="J29" s="16">
        <v>51.807000000000002</v>
      </c>
      <c r="K29" s="16">
        <v>1</v>
      </c>
      <c r="L29" s="16"/>
      <c r="M29" s="33" t="s">
        <v>821</v>
      </c>
      <c r="N29" s="17" t="s">
        <v>865</v>
      </c>
    </row>
    <row r="30" spans="1:14" ht="15" customHeight="1" x14ac:dyDescent="0.2">
      <c r="A30" s="31">
        <v>0.45518416633707498</v>
      </c>
      <c r="B30" s="31"/>
      <c r="C30" s="2" t="s">
        <v>892</v>
      </c>
      <c r="D30" s="2">
        <f>A30 * 545.45</f>
        <v>248.28020352855756</v>
      </c>
      <c r="F30" s="2">
        <v>2019</v>
      </c>
      <c r="G30" s="38" t="s">
        <v>901</v>
      </c>
      <c r="H30" s="2" t="s">
        <v>724</v>
      </c>
      <c r="I30" s="31" t="s">
        <v>256</v>
      </c>
      <c r="J30" s="31">
        <v>54.371099999999998</v>
      </c>
      <c r="K30" s="31">
        <v>13.2446</v>
      </c>
      <c r="L30" s="2" t="s">
        <v>28</v>
      </c>
      <c r="M30" s="2" t="s">
        <v>824</v>
      </c>
      <c r="N30" s="17" t="s">
        <v>906</v>
      </c>
    </row>
    <row r="31" spans="1:14" ht="15" customHeight="1" x14ac:dyDescent="0.2">
      <c r="A31" s="2">
        <v>239.3</v>
      </c>
      <c r="C31" s="2" t="s">
        <v>891</v>
      </c>
      <c r="D31" s="2">
        <f>A31</f>
        <v>239.3</v>
      </c>
      <c r="F31" s="2">
        <v>1993</v>
      </c>
      <c r="G31" s="2" t="s">
        <v>901</v>
      </c>
      <c r="H31" s="2" t="s">
        <v>822</v>
      </c>
      <c r="I31" s="2" t="s">
        <v>26</v>
      </c>
      <c r="J31" s="2">
        <v>51.396348000000003</v>
      </c>
      <c r="K31" s="2">
        <v>4.0838720000000004</v>
      </c>
      <c r="N31" s="6" t="s">
        <v>200</v>
      </c>
    </row>
    <row r="32" spans="1:14" ht="15" customHeight="1" x14ac:dyDescent="0.2">
      <c r="A32" s="31">
        <v>0.377083415150963</v>
      </c>
      <c r="B32" s="31"/>
      <c r="C32" s="2" t="s">
        <v>892</v>
      </c>
      <c r="D32" s="2">
        <f>A32 * 545.45</f>
        <v>205.68014879409279</v>
      </c>
      <c r="F32" s="2">
        <v>2019</v>
      </c>
      <c r="G32" s="38" t="s">
        <v>901</v>
      </c>
      <c r="H32" s="2" t="s">
        <v>724</v>
      </c>
      <c r="I32" s="31" t="s">
        <v>257</v>
      </c>
      <c r="J32" s="31">
        <v>54.371699999999997</v>
      </c>
      <c r="K32" s="31">
        <v>13.239599999999999</v>
      </c>
      <c r="L32" s="2" t="s">
        <v>28</v>
      </c>
      <c r="M32" s="2" t="s">
        <v>824</v>
      </c>
      <c r="N32" s="17" t="s">
        <v>906</v>
      </c>
    </row>
    <row r="33" spans="1:14" ht="15" customHeight="1" x14ac:dyDescent="0.2">
      <c r="A33" s="2">
        <v>190.06100000000001</v>
      </c>
      <c r="C33" s="2" t="s">
        <v>891</v>
      </c>
      <c r="D33" s="2">
        <f>A33</f>
        <v>190.06100000000001</v>
      </c>
      <c r="F33" s="2">
        <v>1978</v>
      </c>
      <c r="G33" s="2" t="s">
        <v>901</v>
      </c>
      <c r="H33" s="2" t="s">
        <v>822</v>
      </c>
      <c r="I33" s="2" t="s">
        <v>26</v>
      </c>
      <c r="J33" s="2">
        <v>51.420760999999999</v>
      </c>
      <c r="K33" s="2">
        <v>3.9554689999999999</v>
      </c>
      <c r="N33" s="6" t="s">
        <v>200</v>
      </c>
    </row>
    <row r="34" spans="1:14" ht="15" customHeight="1" x14ac:dyDescent="0.2">
      <c r="A34" s="31">
        <v>0.32532007860414103</v>
      </c>
      <c r="B34" s="31"/>
      <c r="C34" s="2" t="s">
        <v>892</v>
      </c>
      <c r="D34" s="2">
        <f>A34 * 545.45</f>
        <v>177.44583687462872</v>
      </c>
      <c r="F34" s="2">
        <v>2019</v>
      </c>
      <c r="G34" s="38" t="s">
        <v>901</v>
      </c>
      <c r="H34" s="2" t="s">
        <v>724</v>
      </c>
      <c r="I34" s="31" t="s">
        <v>260</v>
      </c>
      <c r="J34" s="31">
        <v>54.372</v>
      </c>
      <c r="K34" s="31">
        <v>13.241300000000001</v>
      </c>
      <c r="L34" s="2" t="s">
        <v>28</v>
      </c>
      <c r="M34" s="2" t="s">
        <v>824</v>
      </c>
      <c r="N34" s="17" t="s">
        <v>906</v>
      </c>
    </row>
    <row r="35" spans="1:14" ht="15" customHeight="1" x14ac:dyDescent="0.2">
      <c r="A35" s="2">
        <v>138.15</v>
      </c>
      <c r="C35" s="2" t="s">
        <v>891</v>
      </c>
      <c r="D35" s="2">
        <f>A35</f>
        <v>138.15</v>
      </c>
      <c r="F35" s="2">
        <v>1978</v>
      </c>
      <c r="G35" s="2" t="s">
        <v>901</v>
      </c>
      <c r="H35" s="2" t="s">
        <v>822</v>
      </c>
      <c r="I35" s="2" t="s">
        <v>26</v>
      </c>
      <c r="J35" s="2">
        <v>51.375351000000002</v>
      </c>
      <c r="K35" s="2">
        <v>3.833933</v>
      </c>
      <c r="N35" s="6" t="s">
        <v>200</v>
      </c>
    </row>
    <row r="36" spans="1:14" ht="15" customHeight="1" x14ac:dyDescent="0.2">
      <c r="A36" s="31">
        <v>0.24333346963341601</v>
      </c>
      <c r="B36" s="31"/>
      <c r="C36" s="2" t="s">
        <v>892</v>
      </c>
      <c r="D36" s="2">
        <f>A36 * 545.45</f>
        <v>132.72624101154676</v>
      </c>
      <c r="F36" s="2">
        <v>2019</v>
      </c>
      <c r="G36" s="38" t="s">
        <v>901</v>
      </c>
      <c r="H36" s="2" t="s">
        <v>724</v>
      </c>
      <c r="I36" s="31" t="s">
        <v>261</v>
      </c>
      <c r="J36" s="31">
        <v>54.372100000000003</v>
      </c>
      <c r="K36" s="31">
        <v>13.242699999999999</v>
      </c>
      <c r="L36" s="2" t="s">
        <v>28</v>
      </c>
      <c r="M36" s="2" t="s">
        <v>824</v>
      </c>
      <c r="N36" s="17" t="s">
        <v>906</v>
      </c>
    </row>
    <row r="37" spans="1:14" ht="15" customHeight="1" x14ac:dyDescent="0.2">
      <c r="A37" s="31">
        <v>0.22849929893125201</v>
      </c>
      <c r="B37" s="31"/>
      <c r="C37" s="2" t="s">
        <v>892</v>
      </c>
      <c r="D37" s="2">
        <f>A37 * 545.45</f>
        <v>124.63494260205142</v>
      </c>
      <c r="F37" s="2">
        <v>2019</v>
      </c>
      <c r="G37" s="38" t="s">
        <v>901</v>
      </c>
      <c r="H37" s="2" t="s">
        <v>726</v>
      </c>
      <c r="I37" s="31" t="s">
        <v>258</v>
      </c>
      <c r="J37" s="31">
        <v>54.371299999999998</v>
      </c>
      <c r="K37" s="31">
        <v>13.2438</v>
      </c>
      <c r="L37" s="2" t="s">
        <v>28</v>
      </c>
      <c r="M37" s="2" t="s">
        <v>824</v>
      </c>
      <c r="N37" s="17" t="s">
        <v>906</v>
      </c>
    </row>
    <row r="38" spans="1:14" ht="15" customHeight="1" x14ac:dyDescent="0.2">
      <c r="A38" s="2">
        <v>124.4</v>
      </c>
      <c r="B38" s="2">
        <v>69.8</v>
      </c>
      <c r="C38" s="2" t="s">
        <v>891</v>
      </c>
      <c r="D38" s="2">
        <f>A38</f>
        <v>124.4</v>
      </c>
      <c r="E38" s="2">
        <f>B38</f>
        <v>69.8</v>
      </c>
      <c r="F38" s="2">
        <v>2013</v>
      </c>
      <c r="G38" s="2" t="s">
        <v>903</v>
      </c>
      <c r="H38" s="2" t="s">
        <v>712</v>
      </c>
      <c r="I38" s="2" t="s">
        <v>52</v>
      </c>
      <c r="J38" s="2">
        <v>36.585479999999997</v>
      </c>
      <c r="K38" s="2">
        <v>-6.2335630000000002</v>
      </c>
      <c r="L38" s="2" t="s">
        <v>53</v>
      </c>
      <c r="N38" s="9" t="s">
        <v>54</v>
      </c>
    </row>
    <row r="39" spans="1:14" ht="15" customHeight="1" x14ac:dyDescent="0.2">
      <c r="A39" s="31">
        <v>0.20784946734651399</v>
      </c>
      <c r="B39" s="31"/>
      <c r="C39" s="2" t="s">
        <v>892</v>
      </c>
      <c r="D39" s="2">
        <f>A39 * 545.45</f>
        <v>113.37149196415606</v>
      </c>
      <c r="F39" s="2">
        <v>2019</v>
      </c>
      <c r="G39" s="38" t="s">
        <v>901</v>
      </c>
      <c r="H39" s="2" t="s">
        <v>726</v>
      </c>
      <c r="I39" s="31" t="s">
        <v>256</v>
      </c>
      <c r="J39" s="31">
        <v>54.371099999999998</v>
      </c>
      <c r="K39" s="31">
        <v>13.2446</v>
      </c>
      <c r="L39" s="2" t="s">
        <v>28</v>
      </c>
      <c r="M39" s="2" t="s">
        <v>824</v>
      </c>
      <c r="N39" s="17" t="s">
        <v>906</v>
      </c>
    </row>
    <row r="40" spans="1:14" ht="15" customHeight="1" x14ac:dyDescent="0.2">
      <c r="A40" s="31">
        <v>0.203377319445953</v>
      </c>
      <c r="B40" s="31"/>
      <c r="C40" s="2" t="s">
        <v>892</v>
      </c>
      <c r="D40" s="2">
        <f>A40 * 545.45</f>
        <v>110.93215889179507</v>
      </c>
      <c r="F40" s="2">
        <v>2019</v>
      </c>
      <c r="G40" s="38" t="s">
        <v>901</v>
      </c>
      <c r="H40" s="2" t="s">
        <v>726</v>
      </c>
      <c r="I40" s="31" t="s">
        <v>261</v>
      </c>
      <c r="J40" s="31">
        <v>54.372100000000003</v>
      </c>
      <c r="K40" s="31">
        <v>13.242699999999999</v>
      </c>
      <c r="L40" s="2" t="s">
        <v>28</v>
      </c>
      <c r="M40" s="2" t="s">
        <v>824</v>
      </c>
      <c r="N40" s="17" t="s">
        <v>906</v>
      </c>
    </row>
    <row r="41" spans="1:14" ht="15" customHeight="1" x14ac:dyDescent="0.25">
      <c r="A41" s="2">
        <v>9113</v>
      </c>
      <c r="C41" s="2" t="s">
        <v>248</v>
      </c>
      <c r="D41" s="2">
        <f>A41 * 0.012</f>
        <v>109.35600000000001</v>
      </c>
      <c r="F41" s="2">
        <v>1994</v>
      </c>
      <c r="G41" s="38" t="s">
        <v>901</v>
      </c>
      <c r="H41" s="2" t="s">
        <v>131</v>
      </c>
      <c r="I41" s="2" t="s">
        <v>254</v>
      </c>
      <c r="J41" s="2">
        <v>51.0717</v>
      </c>
      <c r="K41" s="2">
        <v>1.0819000000000001</v>
      </c>
      <c r="L41" s="2" t="s">
        <v>255</v>
      </c>
      <c r="M41" s="2" t="s">
        <v>823</v>
      </c>
      <c r="N41" s="36" t="s">
        <v>887</v>
      </c>
    </row>
    <row r="42" spans="1:14" ht="15" customHeight="1" x14ac:dyDescent="0.2">
      <c r="A42" s="2">
        <v>100.7</v>
      </c>
      <c r="B42" s="2">
        <v>101.2</v>
      </c>
      <c r="C42" s="2" t="s">
        <v>891</v>
      </c>
      <c r="D42" s="2">
        <f>A42</f>
        <v>100.7</v>
      </c>
      <c r="E42" s="2">
        <f>B42</f>
        <v>101.2</v>
      </c>
      <c r="F42" s="2">
        <v>2021</v>
      </c>
      <c r="G42" s="2" t="s">
        <v>901</v>
      </c>
      <c r="H42" s="2" t="s">
        <v>720</v>
      </c>
      <c r="I42" s="2" t="s">
        <v>27</v>
      </c>
      <c r="J42" s="2">
        <v>53.881092000000002</v>
      </c>
      <c r="K42" s="2">
        <v>9.059844</v>
      </c>
      <c r="L42" s="2" t="s">
        <v>28</v>
      </c>
      <c r="N42" s="9" t="s">
        <v>127</v>
      </c>
    </row>
    <row r="43" spans="1:14" ht="15" customHeight="1" x14ac:dyDescent="0.2">
      <c r="A43" s="2">
        <v>96.5</v>
      </c>
      <c r="C43" s="2" t="s">
        <v>891</v>
      </c>
      <c r="D43" s="2">
        <f>A43</f>
        <v>96.5</v>
      </c>
      <c r="F43" s="2">
        <v>2002</v>
      </c>
      <c r="G43" s="2" t="s">
        <v>903</v>
      </c>
      <c r="H43" s="2" t="s">
        <v>117</v>
      </c>
      <c r="I43" s="2" t="s">
        <v>118</v>
      </c>
      <c r="J43" s="2">
        <v>49.438647000000003</v>
      </c>
      <c r="K43" s="2">
        <v>0.33790700000000001</v>
      </c>
      <c r="L43" s="2" t="s">
        <v>32</v>
      </c>
      <c r="M43" s="2" t="s">
        <v>807</v>
      </c>
      <c r="N43" s="6" t="s">
        <v>119</v>
      </c>
    </row>
    <row r="44" spans="1:14" ht="15" customHeight="1" x14ac:dyDescent="0.2">
      <c r="A44" s="20">
        <v>4.2428571428571429</v>
      </c>
      <c r="B44" s="20"/>
      <c r="C44" s="2" t="s">
        <v>98</v>
      </c>
      <c r="D44" s="2">
        <f>A44 * 22.727</f>
        <v>96.427414285714292</v>
      </c>
      <c r="F44" s="2" t="s">
        <v>822</v>
      </c>
      <c r="G44" s="2" t="s">
        <v>901</v>
      </c>
      <c r="H44" s="2" t="s">
        <v>822</v>
      </c>
      <c r="I44" s="14" t="s">
        <v>226</v>
      </c>
      <c r="J44" s="16">
        <v>49.436999999999998</v>
      </c>
      <c r="K44" s="16">
        <v>0.29899999999999999</v>
      </c>
      <c r="L44" s="16"/>
      <c r="M44" s="33" t="s">
        <v>821</v>
      </c>
      <c r="N44" s="17" t="s">
        <v>870</v>
      </c>
    </row>
    <row r="45" spans="1:14" ht="15" customHeight="1" x14ac:dyDescent="0.2">
      <c r="A45" s="20">
        <v>4.0831999999999997</v>
      </c>
      <c r="B45" s="20"/>
      <c r="C45" s="2" t="s">
        <v>98</v>
      </c>
      <c r="D45" s="2">
        <f>A45 * 22.727</f>
        <v>92.798886400000001</v>
      </c>
      <c r="F45" s="2" t="s">
        <v>822</v>
      </c>
      <c r="G45" s="2" t="s">
        <v>901</v>
      </c>
      <c r="H45" s="2" t="s">
        <v>822</v>
      </c>
      <c r="I45" s="14" t="s">
        <v>243</v>
      </c>
      <c r="J45" s="16">
        <v>36.584000000000003</v>
      </c>
      <c r="K45" s="16">
        <v>-6.234</v>
      </c>
      <c r="L45" s="16"/>
      <c r="M45" s="39" t="s">
        <v>821</v>
      </c>
      <c r="N45" s="6" t="s">
        <v>884</v>
      </c>
    </row>
    <row r="46" spans="1:14" ht="15" customHeight="1" x14ac:dyDescent="0.2">
      <c r="A46" s="2">
        <v>1.43</v>
      </c>
      <c r="C46" s="2" t="s">
        <v>6</v>
      </c>
      <c r="D46" s="2">
        <f>(A46 * 1000000)/ 44.013 / 365</f>
        <v>89.014796064301052</v>
      </c>
      <c r="F46" s="2" t="s">
        <v>689</v>
      </c>
      <c r="G46" s="2" t="s">
        <v>903</v>
      </c>
      <c r="H46" s="2" t="s">
        <v>707</v>
      </c>
      <c r="I46" s="2" t="s">
        <v>19</v>
      </c>
      <c r="J46" s="2">
        <v>51.962955000000001</v>
      </c>
      <c r="K46" s="2">
        <v>1.28148</v>
      </c>
      <c r="L46" s="2" t="s">
        <v>8</v>
      </c>
      <c r="N46" s="6" t="s">
        <v>17</v>
      </c>
    </row>
    <row r="47" spans="1:14" ht="15" customHeight="1" x14ac:dyDescent="0.25">
      <c r="A47" s="2">
        <v>7284</v>
      </c>
      <c r="C47" s="2" t="s">
        <v>248</v>
      </c>
      <c r="D47" s="2">
        <f>A47 * 0.012</f>
        <v>87.408000000000001</v>
      </c>
      <c r="F47" s="2">
        <v>1994</v>
      </c>
      <c r="G47" s="38" t="s">
        <v>901</v>
      </c>
      <c r="H47" s="2" t="s">
        <v>68</v>
      </c>
      <c r="I47" s="2" t="s">
        <v>252</v>
      </c>
      <c r="J47" s="2">
        <v>51.085599999999999</v>
      </c>
      <c r="K47" s="2">
        <v>1.1656</v>
      </c>
      <c r="L47" s="2" t="s">
        <v>255</v>
      </c>
      <c r="M47" s="2" t="s">
        <v>823</v>
      </c>
      <c r="N47" s="36" t="s">
        <v>887</v>
      </c>
    </row>
    <row r="48" spans="1:14" ht="15" customHeight="1" x14ac:dyDescent="0.2">
      <c r="A48" s="2">
        <v>85.9</v>
      </c>
      <c r="C48" s="2" t="s">
        <v>891</v>
      </c>
      <c r="D48" s="2">
        <f>A48</f>
        <v>85.9</v>
      </c>
      <c r="F48" s="2">
        <v>2020</v>
      </c>
      <c r="G48" s="2" t="s">
        <v>901</v>
      </c>
      <c r="H48" s="2" t="s">
        <v>128</v>
      </c>
      <c r="I48" s="2" t="s">
        <v>129</v>
      </c>
      <c r="J48" s="2">
        <v>37.002890000000001</v>
      </c>
      <c r="K48" s="2">
        <v>-7.9844799999999996</v>
      </c>
      <c r="L48" s="2" t="s">
        <v>82</v>
      </c>
      <c r="M48" s="2" t="s">
        <v>130</v>
      </c>
      <c r="N48" s="6" t="s">
        <v>199</v>
      </c>
    </row>
    <row r="49" spans="1:14" ht="15" customHeight="1" x14ac:dyDescent="0.2">
      <c r="A49" s="2">
        <v>1.35</v>
      </c>
      <c r="C49" s="2" t="s">
        <v>6</v>
      </c>
      <c r="D49" s="2">
        <f>(A49 * 1000000)/ 44.013 / 365</f>
        <v>84.034947333431063</v>
      </c>
      <c r="F49" s="2">
        <v>1996</v>
      </c>
      <c r="G49" s="2" t="s">
        <v>903</v>
      </c>
      <c r="H49" s="5" t="s">
        <v>160</v>
      </c>
      <c r="I49" s="2" t="s">
        <v>161</v>
      </c>
      <c r="J49" s="2">
        <v>53.553989999999999</v>
      </c>
      <c r="K49" s="2">
        <v>8.7340000000000001E-2</v>
      </c>
      <c r="L49" s="2" t="s">
        <v>255</v>
      </c>
      <c r="N49" s="17" t="s">
        <v>810</v>
      </c>
    </row>
    <row r="50" spans="1:14" ht="15" customHeight="1" x14ac:dyDescent="0.2">
      <c r="A50" s="20">
        <v>3.6080000000000001</v>
      </c>
      <c r="B50" s="20"/>
      <c r="C50" s="2" t="s">
        <v>98</v>
      </c>
      <c r="D50" s="2">
        <f>A50 * 22.727</f>
        <v>81.999015999999997</v>
      </c>
      <c r="F50" s="2" t="s">
        <v>822</v>
      </c>
      <c r="G50" s="2" t="s">
        <v>901</v>
      </c>
      <c r="H50" s="2" t="s">
        <v>822</v>
      </c>
      <c r="I50" s="14" t="s">
        <v>232</v>
      </c>
      <c r="J50" s="16">
        <v>56.017499999999998</v>
      </c>
      <c r="K50" s="16">
        <v>10.24</v>
      </c>
      <c r="L50" s="16"/>
      <c r="M50" s="33" t="s">
        <v>821</v>
      </c>
      <c r="N50" s="17" t="s">
        <v>876</v>
      </c>
    </row>
    <row r="51" spans="1:14" ht="15" customHeight="1" x14ac:dyDescent="0.2">
      <c r="A51" s="2">
        <v>3.5</v>
      </c>
      <c r="B51" s="2">
        <v>1.2</v>
      </c>
      <c r="C51" s="2" t="s">
        <v>98</v>
      </c>
      <c r="D51" s="2">
        <f>A51 * 22.727</f>
        <v>79.544499999999999</v>
      </c>
      <c r="E51" s="2">
        <f>B51 * 22.727</f>
        <v>27.272400000000001</v>
      </c>
      <c r="F51" s="4" t="s">
        <v>697</v>
      </c>
      <c r="G51" s="2" t="s">
        <v>903</v>
      </c>
      <c r="H51" s="2" t="s">
        <v>99</v>
      </c>
      <c r="I51" s="2" t="s">
        <v>100</v>
      </c>
      <c r="J51" s="2">
        <v>64.860005000000001</v>
      </c>
      <c r="K51" s="2">
        <v>25.351938000000001</v>
      </c>
      <c r="L51" s="2" t="s">
        <v>101</v>
      </c>
      <c r="N51" s="6" t="s">
        <v>858</v>
      </c>
    </row>
    <row r="52" spans="1:14" ht="15" customHeight="1" x14ac:dyDescent="0.2">
      <c r="A52" s="2">
        <v>78.959999999999994</v>
      </c>
      <c r="C52" s="2" t="s">
        <v>891</v>
      </c>
      <c r="D52" s="2">
        <f>A52</f>
        <v>78.959999999999994</v>
      </c>
      <c r="F52" s="2">
        <v>1996</v>
      </c>
      <c r="G52" s="2" t="s">
        <v>901</v>
      </c>
      <c r="H52" s="2" t="s">
        <v>822</v>
      </c>
      <c r="I52" s="2" t="s">
        <v>26</v>
      </c>
      <c r="J52" s="2">
        <v>51.396348000000003</v>
      </c>
      <c r="K52" s="2">
        <v>4.0838720000000004</v>
      </c>
      <c r="N52" s="6" t="s">
        <v>200</v>
      </c>
    </row>
    <row r="53" spans="1:14" ht="15" customHeight="1" x14ac:dyDescent="0.2">
      <c r="A53" s="2">
        <v>78.3</v>
      </c>
      <c r="C53" s="2" t="s">
        <v>891</v>
      </c>
      <c r="D53" s="2">
        <f>A53</f>
        <v>78.3</v>
      </c>
      <c r="F53" s="2">
        <v>2020</v>
      </c>
      <c r="G53" s="2" t="s">
        <v>901</v>
      </c>
      <c r="H53" s="2" t="s">
        <v>131</v>
      </c>
      <c r="I53" s="2" t="s">
        <v>129</v>
      </c>
      <c r="J53" s="2">
        <v>37.117899999999999</v>
      </c>
      <c r="K53" s="2">
        <v>-7.62418</v>
      </c>
      <c r="L53" s="2" t="s">
        <v>82</v>
      </c>
      <c r="M53" s="2" t="s">
        <v>132</v>
      </c>
      <c r="N53" s="6" t="s">
        <v>199</v>
      </c>
    </row>
    <row r="54" spans="1:14" ht="15" customHeight="1" x14ac:dyDescent="0.2">
      <c r="A54" s="20">
        <v>3.3968688845401176</v>
      </c>
      <c r="B54" s="20"/>
      <c r="C54" s="2" t="s">
        <v>98</v>
      </c>
      <c r="D54" s="2">
        <f>A54 * 22.727</f>
        <v>77.200639138943259</v>
      </c>
      <c r="F54" s="2" t="s">
        <v>822</v>
      </c>
      <c r="G54" s="2" t="s">
        <v>901</v>
      </c>
      <c r="H54" s="2" t="s">
        <v>822</v>
      </c>
      <c r="I54" s="14" t="s">
        <v>227</v>
      </c>
      <c r="J54" s="16">
        <v>53.310585000000003</v>
      </c>
      <c r="K54" s="16">
        <v>7.1444359999999998</v>
      </c>
      <c r="L54" s="16"/>
      <c r="M54" s="33" t="s">
        <v>821</v>
      </c>
      <c r="N54" s="17" t="s">
        <v>871</v>
      </c>
    </row>
    <row r="55" spans="1:14" ht="15" customHeight="1" x14ac:dyDescent="0.2">
      <c r="A55" s="2">
        <v>1.23</v>
      </c>
      <c r="C55" s="2" t="s">
        <v>6</v>
      </c>
      <c r="D55" s="2">
        <f>(A55 * 1000000)/ 44.013 / 365</f>
        <v>76.565174237126087</v>
      </c>
      <c r="F55" s="2" t="s">
        <v>684</v>
      </c>
      <c r="G55" s="2" t="s">
        <v>903</v>
      </c>
      <c r="H55" s="2" t="s">
        <v>702</v>
      </c>
      <c r="I55" s="7" t="s">
        <v>7</v>
      </c>
      <c r="J55" s="2">
        <v>53.553989999999999</v>
      </c>
      <c r="K55" s="2">
        <v>8.7340000000000001E-2</v>
      </c>
      <c r="L55" s="2" t="s">
        <v>8</v>
      </c>
      <c r="N55" s="6" t="s">
        <v>857</v>
      </c>
    </row>
    <row r="56" spans="1:14" ht="15" customHeight="1" x14ac:dyDescent="0.2">
      <c r="A56" s="2">
        <v>1.23</v>
      </c>
      <c r="C56" s="2" t="s">
        <v>6</v>
      </c>
      <c r="D56" s="2">
        <f>(A56 * 1000000)/ 44.013 / 365</f>
        <v>76.565174237126087</v>
      </c>
      <c r="F56" s="2">
        <v>1997</v>
      </c>
      <c r="G56" s="2" t="s">
        <v>901</v>
      </c>
      <c r="H56" s="2" t="s">
        <v>12</v>
      </c>
      <c r="I56" s="7" t="s">
        <v>30</v>
      </c>
      <c r="J56" s="2">
        <v>53.325429</v>
      </c>
      <c r="K56" s="2">
        <v>7.0212130000000004</v>
      </c>
      <c r="L56" s="2" t="s">
        <v>28</v>
      </c>
      <c r="N56" s="6" t="s">
        <v>29</v>
      </c>
    </row>
    <row r="57" spans="1:14" ht="15" customHeight="1" x14ac:dyDescent="0.2">
      <c r="A57" s="20">
        <v>3.2876712328767121</v>
      </c>
      <c r="B57" s="20"/>
      <c r="C57" s="2" t="s">
        <v>98</v>
      </c>
      <c r="D57" s="2">
        <f>A57 * 22.727</f>
        <v>74.718904109589033</v>
      </c>
      <c r="F57" s="2" t="s">
        <v>822</v>
      </c>
      <c r="G57" s="2" t="s">
        <v>901</v>
      </c>
      <c r="H57" s="2" t="s">
        <v>822</v>
      </c>
      <c r="I57" s="14" t="s">
        <v>237</v>
      </c>
      <c r="J57" s="16">
        <v>41.144098</v>
      </c>
      <c r="K57" s="16">
        <v>-8.6558569999999992</v>
      </c>
      <c r="L57" s="16"/>
      <c r="M57" s="33" t="s">
        <v>821</v>
      </c>
      <c r="N57" s="17" t="s">
        <v>867</v>
      </c>
    </row>
    <row r="58" spans="1:14" ht="15" customHeight="1" x14ac:dyDescent="0.2">
      <c r="A58" s="2">
        <v>1.2</v>
      </c>
      <c r="C58" s="2" t="s">
        <v>6</v>
      </c>
      <c r="D58" s="2">
        <f>(A58 * 1000000)/ 44.013 / 365</f>
        <v>74.697730963049835</v>
      </c>
      <c r="F58" s="2">
        <v>1998</v>
      </c>
      <c r="G58" s="2" t="s">
        <v>901</v>
      </c>
      <c r="H58" s="2" t="s">
        <v>36</v>
      </c>
      <c r="I58" s="7" t="s">
        <v>37</v>
      </c>
      <c r="J58" s="2">
        <v>41.137500000000003</v>
      </c>
      <c r="K58" s="2">
        <v>-8.6622400000000006</v>
      </c>
      <c r="L58" s="2" t="s">
        <v>38</v>
      </c>
      <c r="N58" s="6" t="s">
        <v>29</v>
      </c>
    </row>
    <row r="59" spans="1:14" ht="15" customHeight="1" x14ac:dyDescent="0.2">
      <c r="A59" s="2">
        <v>73.81</v>
      </c>
      <c r="C59" s="2" t="s">
        <v>891</v>
      </c>
      <c r="D59" s="2">
        <f>A59</f>
        <v>73.81</v>
      </c>
      <c r="F59" s="2">
        <v>1996</v>
      </c>
      <c r="G59" s="2" t="s">
        <v>901</v>
      </c>
      <c r="H59" s="2" t="s">
        <v>822</v>
      </c>
      <c r="I59" s="2" t="s">
        <v>26</v>
      </c>
      <c r="J59" s="2">
        <v>51.420760999999999</v>
      </c>
      <c r="K59" s="2">
        <v>3.9554689999999999</v>
      </c>
      <c r="N59" s="6" t="s">
        <v>200</v>
      </c>
    </row>
    <row r="60" spans="1:14" ht="15" customHeight="1" x14ac:dyDescent="0.2">
      <c r="A60" s="31">
        <v>0.12762957357378199</v>
      </c>
      <c r="B60" s="31"/>
      <c r="C60" s="2" t="s">
        <v>892</v>
      </c>
      <c r="D60" s="2">
        <f>A60 * 545.45</f>
        <v>69.61555090581939</v>
      </c>
      <c r="F60" s="2">
        <v>2019</v>
      </c>
      <c r="G60" s="38" t="s">
        <v>901</v>
      </c>
      <c r="H60" s="2" t="s">
        <v>726</v>
      </c>
      <c r="I60" s="31" t="s">
        <v>259</v>
      </c>
      <c r="J60" s="31">
        <v>54.373600000000003</v>
      </c>
      <c r="K60" s="31">
        <v>13.239800000000001</v>
      </c>
      <c r="L60" s="2" t="s">
        <v>28</v>
      </c>
      <c r="M60" s="2" t="s">
        <v>824</v>
      </c>
      <c r="N60" s="17" t="s">
        <v>906</v>
      </c>
    </row>
    <row r="61" spans="1:14" ht="15" customHeight="1" x14ac:dyDescent="0.2">
      <c r="A61" s="20">
        <v>3.0410958904109591</v>
      </c>
      <c r="B61" s="20"/>
      <c r="C61" s="2" t="s">
        <v>98</v>
      </c>
      <c r="D61" s="2">
        <f>A61 * 22.727</f>
        <v>69.114986301369868</v>
      </c>
      <c r="F61" s="2" t="s">
        <v>822</v>
      </c>
      <c r="G61" s="2" t="s">
        <v>901</v>
      </c>
      <c r="H61" s="2" t="s">
        <v>822</v>
      </c>
      <c r="I61" s="14" t="s">
        <v>221</v>
      </c>
      <c r="J61" s="16">
        <v>54.621000000000002</v>
      </c>
      <c r="K61" s="16">
        <v>-1.155</v>
      </c>
      <c r="L61" s="16"/>
      <c r="M61" s="33" t="s">
        <v>821</v>
      </c>
      <c r="N61" s="17" t="s">
        <v>867</v>
      </c>
    </row>
    <row r="62" spans="1:14" ht="15" customHeight="1" x14ac:dyDescent="0.2">
      <c r="A62" s="2">
        <v>1.1100000000000001</v>
      </c>
      <c r="C62" s="2" t="s">
        <v>6</v>
      </c>
      <c r="D62" s="2">
        <f>(A62 * 1000000)/ 44.013 / 365</f>
        <v>69.095401140821096</v>
      </c>
      <c r="F62" s="2" t="s">
        <v>686</v>
      </c>
      <c r="G62" s="2" t="s">
        <v>903</v>
      </c>
      <c r="H62" s="2" t="s">
        <v>704</v>
      </c>
      <c r="I62" s="2" t="s">
        <v>10</v>
      </c>
      <c r="J62" s="2">
        <v>54.621650000000002</v>
      </c>
      <c r="K62" s="2">
        <v>-1.1564700000000001</v>
      </c>
      <c r="L62" s="2" t="s">
        <v>8</v>
      </c>
      <c r="N62" s="6" t="s">
        <v>857</v>
      </c>
    </row>
    <row r="63" spans="1:14" ht="15" customHeight="1" x14ac:dyDescent="0.2">
      <c r="A63" s="2">
        <v>1.1100000000000001</v>
      </c>
      <c r="C63" s="2" t="s">
        <v>6</v>
      </c>
      <c r="D63" s="2">
        <f>(A63 * 1000000)/ 44.013 / 365</f>
        <v>69.095401140821096</v>
      </c>
      <c r="F63" s="2">
        <v>1998</v>
      </c>
      <c r="G63" s="2" t="s">
        <v>901</v>
      </c>
      <c r="H63" s="2" t="s">
        <v>21</v>
      </c>
      <c r="I63" s="2" t="s">
        <v>22</v>
      </c>
      <c r="J63" s="2">
        <v>51.500590000000003</v>
      </c>
      <c r="K63" s="2">
        <v>0.50341999999999998</v>
      </c>
      <c r="L63" s="2" t="s">
        <v>8</v>
      </c>
      <c r="N63" s="6" t="s">
        <v>23</v>
      </c>
    </row>
    <row r="64" spans="1:14" ht="15" customHeight="1" x14ac:dyDescent="0.2">
      <c r="A64" s="20">
        <v>3.0360000000000005</v>
      </c>
      <c r="B64" s="20"/>
      <c r="C64" s="2" t="s">
        <v>98</v>
      </c>
      <c r="D64" s="2">
        <f>A64 * 22.727</f>
        <v>68.999172000000016</v>
      </c>
      <c r="F64" s="2" t="s">
        <v>822</v>
      </c>
      <c r="G64" s="2" t="s">
        <v>901</v>
      </c>
      <c r="H64" s="2" t="s">
        <v>822</v>
      </c>
      <c r="I64" s="14" t="s">
        <v>244</v>
      </c>
      <c r="J64" s="16">
        <v>36.526238999999997</v>
      </c>
      <c r="K64" s="16">
        <v>-6.2665459999999999</v>
      </c>
      <c r="L64" s="16"/>
      <c r="M64" s="33" t="s">
        <v>821</v>
      </c>
      <c r="N64" s="17" t="s">
        <v>885</v>
      </c>
    </row>
    <row r="65" spans="1:14" ht="15" customHeight="1" x14ac:dyDescent="0.2">
      <c r="A65" s="20">
        <v>2.9317025440313111</v>
      </c>
      <c r="B65" s="20"/>
      <c r="C65" s="2" t="s">
        <v>98</v>
      </c>
      <c r="D65" s="2">
        <f>A65 * 22.727</f>
        <v>66.628803718199606</v>
      </c>
      <c r="F65" s="2" t="s">
        <v>822</v>
      </c>
      <c r="G65" s="2" t="s">
        <v>901</v>
      </c>
      <c r="H65" s="2" t="s">
        <v>822</v>
      </c>
      <c r="I65" s="14" t="s">
        <v>233</v>
      </c>
      <c r="J65" s="16">
        <v>51.409277000000003</v>
      </c>
      <c r="K65" s="16">
        <v>3.6790479999999999</v>
      </c>
      <c r="L65" s="16"/>
      <c r="M65" s="33" t="s">
        <v>821</v>
      </c>
      <c r="N65" s="17" t="s">
        <v>877</v>
      </c>
    </row>
    <row r="66" spans="1:14" ht="15" customHeight="1" x14ac:dyDescent="0.2">
      <c r="A66" s="2">
        <v>1.07</v>
      </c>
      <c r="C66" s="2" t="s">
        <v>6</v>
      </c>
      <c r="D66" s="2">
        <f>(A66 * 1000000)/ 44.013 / 365</f>
        <v>66.605476775386109</v>
      </c>
      <c r="F66" s="2" t="s">
        <v>692</v>
      </c>
      <c r="G66" s="2" t="s">
        <v>903</v>
      </c>
      <c r="H66" s="2" t="s">
        <v>709</v>
      </c>
      <c r="I66" s="2" t="s">
        <v>26</v>
      </c>
      <c r="J66" s="2">
        <v>51.364080000000001</v>
      </c>
      <c r="K66" s="2">
        <v>3.8472379999999999</v>
      </c>
      <c r="L66" s="2" t="s">
        <v>35</v>
      </c>
      <c r="N66" s="6" t="s">
        <v>23</v>
      </c>
    </row>
    <row r="67" spans="1:14" ht="15" customHeight="1" x14ac:dyDescent="0.2">
      <c r="A67" s="2">
        <v>65.989999999999995</v>
      </c>
      <c r="C67" s="2" t="s">
        <v>891</v>
      </c>
      <c r="D67" s="2">
        <f>A67</f>
        <v>65.989999999999995</v>
      </c>
      <c r="F67" s="2">
        <v>1996</v>
      </c>
      <c r="G67" s="2" t="s">
        <v>901</v>
      </c>
      <c r="H67" s="2" t="s">
        <v>822</v>
      </c>
      <c r="I67" s="2" t="s">
        <v>26</v>
      </c>
      <c r="J67" s="2">
        <v>51.375351000000002</v>
      </c>
      <c r="K67" s="2">
        <v>3.833933</v>
      </c>
      <c r="N67" s="6" t="s">
        <v>200</v>
      </c>
    </row>
    <row r="68" spans="1:14" ht="15" customHeight="1" x14ac:dyDescent="0.2">
      <c r="A68" s="31">
        <v>0.117317445872482</v>
      </c>
      <c r="B68" s="31"/>
      <c r="C68" s="2" t="s">
        <v>892</v>
      </c>
      <c r="D68" s="2">
        <f>A68 * 545.45</f>
        <v>63.990800851145309</v>
      </c>
      <c r="F68" s="2">
        <v>2020</v>
      </c>
      <c r="G68" s="38" t="s">
        <v>901</v>
      </c>
      <c r="H68" s="2" t="s">
        <v>731</v>
      </c>
      <c r="I68" s="31" t="s">
        <v>262</v>
      </c>
      <c r="J68" s="31" t="s">
        <v>822</v>
      </c>
      <c r="K68" s="31" t="s">
        <v>822</v>
      </c>
      <c r="L68" s="2" t="s">
        <v>28</v>
      </c>
      <c r="M68" s="2" t="s">
        <v>824</v>
      </c>
      <c r="N68" s="17" t="s">
        <v>906</v>
      </c>
    </row>
    <row r="69" spans="1:14" ht="15" customHeight="1" x14ac:dyDescent="0.2">
      <c r="A69" s="31">
        <v>0.11470192661219</v>
      </c>
      <c r="B69" s="31"/>
      <c r="C69" s="2" t="s">
        <v>892</v>
      </c>
      <c r="D69" s="2">
        <f>A69 * 545.45</f>
        <v>62.564165870619043</v>
      </c>
      <c r="F69" s="2">
        <v>2020</v>
      </c>
      <c r="G69" s="38" t="s">
        <v>901</v>
      </c>
      <c r="H69" s="2" t="s">
        <v>734</v>
      </c>
      <c r="I69" s="31" t="s">
        <v>264</v>
      </c>
      <c r="J69" s="31" t="s">
        <v>822</v>
      </c>
      <c r="K69" s="31" t="s">
        <v>822</v>
      </c>
      <c r="L69" s="2" t="s">
        <v>28</v>
      </c>
      <c r="M69" s="2" t="s">
        <v>824</v>
      </c>
      <c r="N69" s="17" t="s">
        <v>906</v>
      </c>
    </row>
    <row r="70" spans="1:14" ht="15" customHeight="1" x14ac:dyDescent="0.2">
      <c r="A70" s="31">
        <v>0.112448923454618</v>
      </c>
      <c r="B70" s="31"/>
      <c r="C70" s="2" t="s">
        <v>892</v>
      </c>
      <c r="D70" s="2">
        <f>A70 * 545.45</f>
        <v>61.335265298321396</v>
      </c>
      <c r="F70" s="2">
        <v>2020</v>
      </c>
      <c r="G70" s="38" t="s">
        <v>901</v>
      </c>
      <c r="H70" s="2" t="s">
        <v>734</v>
      </c>
      <c r="I70" s="31" t="s">
        <v>268</v>
      </c>
      <c r="J70" s="31" t="s">
        <v>822</v>
      </c>
      <c r="K70" s="31" t="s">
        <v>822</v>
      </c>
      <c r="L70" s="2" t="s">
        <v>28</v>
      </c>
      <c r="M70" s="2" t="s">
        <v>824</v>
      </c>
      <c r="N70" s="17" t="s">
        <v>906</v>
      </c>
    </row>
    <row r="71" spans="1:14" ht="15" customHeight="1" x14ac:dyDescent="0.2">
      <c r="A71" s="31">
        <v>0.10773500907819999</v>
      </c>
      <c r="B71" s="31"/>
      <c r="C71" s="2" t="s">
        <v>892</v>
      </c>
      <c r="D71" s="2">
        <f>A71 * 545.45</f>
        <v>58.764060701704189</v>
      </c>
      <c r="F71" s="2">
        <v>2020</v>
      </c>
      <c r="G71" s="38" t="s">
        <v>901</v>
      </c>
      <c r="H71" s="2" t="s">
        <v>729</v>
      </c>
      <c r="I71" s="31" t="s">
        <v>261</v>
      </c>
      <c r="J71" s="31">
        <v>54.372100000000003</v>
      </c>
      <c r="K71" s="31">
        <v>13.242699999999999</v>
      </c>
      <c r="L71" s="2" t="s">
        <v>28</v>
      </c>
      <c r="M71" s="2" t="s">
        <v>824</v>
      </c>
      <c r="N71" s="17" t="s">
        <v>906</v>
      </c>
    </row>
    <row r="72" spans="1:14" ht="15" customHeight="1" x14ac:dyDescent="0.2">
      <c r="A72" s="20">
        <v>2.4843688357040929</v>
      </c>
      <c r="B72" s="20"/>
      <c r="C72" s="2" t="s">
        <v>98</v>
      </c>
      <c r="D72" s="2">
        <f>A72 * 22.727</f>
        <v>56.462250529046919</v>
      </c>
      <c r="F72" s="2" t="s">
        <v>822</v>
      </c>
      <c r="G72" s="2" t="s">
        <v>901</v>
      </c>
      <c r="H72" s="2" t="s">
        <v>822</v>
      </c>
      <c r="I72" s="14" t="s">
        <v>216</v>
      </c>
      <c r="J72" s="16">
        <v>53.648000000000003</v>
      </c>
      <c r="K72" s="16">
        <v>-0.185</v>
      </c>
      <c r="L72" s="16"/>
      <c r="M72" s="33" t="s">
        <v>821</v>
      </c>
      <c r="N72" s="17" t="s">
        <v>866</v>
      </c>
    </row>
    <row r="73" spans="1:14" ht="15" customHeight="1" x14ac:dyDescent="0.25">
      <c r="A73" s="2">
        <v>4661</v>
      </c>
      <c r="C73" s="2" t="s">
        <v>248</v>
      </c>
      <c r="D73" s="2">
        <f>A73 * 0.012</f>
        <v>55.932000000000002</v>
      </c>
      <c r="F73" s="2">
        <v>1994</v>
      </c>
      <c r="G73" s="38" t="s">
        <v>901</v>
      </c>
      <c r="H73" s="2" t="s">
        <v>68</v>
      </c>
      <c r="I73" s="2" t="s">
        <v>254</v>
      </c>
      <c r="J73" s="2">
        <v>51.0717</v>
      </c>
      <c r="K73" s="2">
        <v>1.0819000000000001</v>
      </c>
      <c r="L73" s="2" t="s">
        <v>255</v>
      </c>
      <c r="M73" s="2" t="s">
        <v>823</v>
      </c>
      <c r="N73" s="36" t="s">
        <v>887</v>
      </c>
    </row>
    <row r="74" spans="1:14" ht="15" customHeight="1" x14ac:dyDescent="0.2">
      <c r="A74" s="31">
        <v>0.100850219696971</v>
      </c>
      <c r="B74" s="31"/>
      <c r="C74" s="2" t="s">
        <v>892</v>
      </c>
      <c r="D74" s="2">
        <f>A74 * 545.45</f>
        <v>55.008752333712835</v>
      </c>
      <c r="F74" s="2">
        <v>2020</v>
      </c>
      <c r="G74" s="38" t="s">
        <v>901</v>
      </c>
      <c r="H74" s="2" t="s">
        <v>727</v>
      </c>
      <c r="I74" s="31" t="s">
        <v>256</v>
      </c>
      <c r="J74" s="31">
        <v>54.371099999999998</v>
      </c>
      <c r="K74" s="31">
        <v>13.2446</v>
      </c>
      <c r="L74" s="2" t="s">
        <v>28</v>
      </c>
      <c r="M74" s="2" t="s">
        <v>824</v>
      </c>
      <c r="N74" s="17" t="s">
        <v>906</v>
      </c>
    </row>
    <row r="75" spans="1:14" ht="15" customHeight="1" x14ac:dyDescent="0.2">
      <c r="A75" s="31">
        <v>9.5507064087370905E-2</v>
      </c>
      <c r="B75" s="31"/>
      <c r="C75" s="2" t="s">
        <v>892</v>
      </c>
      <c r="D75" s="2">
        <f>A75 * 545.45</f>
        <v>52.094328106456466</v>
      </c>
      <c r="F75" s="2">
        <v>2020</v>
      </c>
      <c r="G75" s="38" t="s">
        <v>901</v>
      </c>
      <c r="H75" s="2" t="s">
        <v>734</v>
      </c>
      <c r="I75" s="31" t="s">
        <v>262</v>
      </c>
      <c r="J75" s="31" t="s">
        <v>822</v>
      </c>
      <c r="K75" s="31" t="s">
        <v>822</v>
      </c>
      <c r="L75" s="2" t="s">
        <v>28</v>
      </c>
      <c r="M75" s="2" t="s">
        <v>824</v>
      </c>
      <c r="N75" s="17" t="s">
        <v>906</v>
      </c>
    </row>
    <row r="76" spans="1:14" ht="15" customHeight="1" x14ac:dyDescent="0.25">
      <c r="A76" s="2">
        <v>4306</v>
      </c>
      <c r="C76" s="2" t="s">
        <v>248</v>
      </c>
      <c r="D76" s="2">
        <f>A76 * 0.012</f>
        <v>51.672000000000004</v>
      </c>
      <c r="F76" s="2">
        <v>1994</v>
      </c>
      <c r="G76" s="38" t="s">
        <v>901</v>
      </c>
      <c r="H76" s="2" t="s">
        <v>89</v>
      </c>
      <c r="I76" s="2" t="s">
        <v>254</v>
      </c>
      <c r="J76" s="2">
        <v>51.0717</v>
      </c>
      <c r="K76" s="2">
        <v>1.0819000000000001</v>
      </c>
      <c r="L76" s="2" t="s">
        <v>255</v>
      </c>
      <c r="M76" s="2" t="s">
        <v>823</v>
      </c>
      <c r="N76" s="36" t="s">
        <v>887</v>
      </c>
    </row>
    <row r="77" spans="1:14" ht="15" customHeight="1" x14ac:dyDescent="0.2">
      <c r="A77" s="31">
        <v>9.1025422458088798E-2</v>
      </c>
      <c r="B77" s="31"/>
      <c r="C77" s="2" t="s">
        <v>892</v>
      </c>
      <c r="D77" s="2">
        <f>A77 * 545.45</f>
        <v>49.649816679764541</v>
      </c>
      <c r="F77" s="2">
        <v>2020</v>
      </c>
      <c r="G77" s="38" t="s">
        <v>901</v>
      </c>
      <c r="H77" s="2" t="s">
        <v>729</v>
      </c>
      <c r="I77" s="31" t="s">
        <v>258</v>
      </c>
      <c r="J77" s="31">
        <v>54.371299999999998</v>
      </c>
      <c r="K77" s="31">
        <v>13.2438</v>
      </c>
      <c r="L77" s="2" t="s">
        <v>28</v>
      </c>
      <c r="M77" s="2" t="s">
        <v>824</v>
      </c>
      <c r="N77" s="17" t="s">
        <v>906</v>
      </c>
    </row>
    <row r="78" spans="1:14" ht="15" customHeight="1" x14ac:dyDescent="0.2">
      <c r="A78" s="2">
        <v>49.2</v>
      </c>
      <c r="B78" s="2">
        <v>19.100000000000001</v>
      </c>
      <c r="C78" s="2" t="s">
        <v>891</v>
      </c>
      <c r="D78" s="2">
        <f>A78</f>
        <v>49.2</v>
      </c>
      <c r="E78" s="2">
        <f>B78</f>
        <v>19.100000000000001</v>
      </c>
      <c r="F78" s="2">
        <v>2013</v>
      </c>
      <c r="G78" s="2" t="s">
        <v>903</v>
      </c>
      <c r="H78" s="2" t="s">
        <v>712</v>
      </c>
      <c r="I78" s="2" t="s">
        <v>56</v>
      </c>
      <c r="J78" s="2">
        <v>36.392183000000003</v>
      </c>
      <c r="K78" s="2">
        <v>-6.2106789999999998</v>
      </c>
      <c r="L78" s="2" t="s">
        <v>53</v>
      </c>
      <c r="N78" s="9" t="s">
        <v>54</v>
      </c>
    </row>
    <row r="79" spans="1:14" ht="15" customHeight="1" x14ac:dyDescent="0.2">
      <c r="A79" s="31">
        <v>8.7080759811610606E-2</v>
      </c>
      <c r="B79" s="31"/>
      <c r="C79" s="2" t="s">
        <v>892</v>
      </c>
      <c r="D79" s="2">
        <f>A79 * 545.45</f>
        <v>47.498200439243007</v>
      </c>
      <c r="F79" s="2">
        <v>2020</v>
      </c>
      <c r="G79" s="38" t="s">
        <v>901</v>
      </c>
      <c r="H79" s="2" t="s">
        <v>731</v>
      </c>
      <c r="I79" s="31" t="s">
        <v>263</v>
      </c>
      <c r="J79" s="31" t="s">
        <v>822</v>
      </c>
      <c r="K79" s="31" t="s">
        <v>822</v>
      </c>
      <c r="L79" s="2" t="s">
        <v>28</v>
      </c>
      <c r="M79" s="2" t="s">
        <v>824</v>
      </c>
      <c r="N79" s="17" t="s">
        <v>906</v>
      </c>
    </row>
    <row r="80" spans="1:14" ht="15" customHeight="1" x14ac:dyDescent="0.2">
      <c r="A80" s="2">
        <v>47.49</v>
      </c>
      <c r="C80" s="2" t="s">
        <v>891</v>
      </c>
      <c r="D80" s="2">
        <f>A80</f>
        <v>47.49</v>
      </c>
      <c r="F80" s="2">
        <v>1978</v>
      </c>
      <c r="G80" s="2" t="s">
        <v>901</v>
      </c>
      <c r="H80" s="2" t="s">
        <v>822</v>
      </c>
      <c r="I80" s="2" t="s">
        <v>26</v>
      </c>
      <c r="J80" s="2">
        <v>51.402346000000001</v>
      </c>
      <c r="K80" s="2">
        <v>3.7007240000000001</v>
      </c>
      <c r="N80" s="6" t="s">
        <v>200</v>
      </c>
    </row>
    <row r="81" spans="1:14" ht="15" customHeight="1" x14ac:dyDescent="0.2">
      <c r="A81" s="31">
        <v>8.6913373113887901E-2</v>
      </c>
      <c r="B81" s="31"/>
      <c r="C81" s="2" t="s">
        <v>892</v>
      </c>
      <c r="D81" s="2">
        <f>A81 * 545.45</f>
        <v>47.406899364970158</v>
      </c>
      <c r="F81" s="2">
        <v>2019</v>
      </c>
      <c r="G81" s="38" t="s">
        <v>901</v>
      </c>
      <c r="H81" s="2" t="s">
        <v>726</v>
      </c>
      <c r="I81" s="31" t="s">
        <v>257</v>
      </c>
      <c r="J81" s="31">
        <v>54.371699999999997</v>
      </c>
      <c r="K81" s="31">
        <v>13.239599999999999</v>
      </c>
      <c r="L81" s="2" t="s">
        <v>28</v>
      </c>
      <c r="M81" s="2" t="s">
        <v>824</v>
      </c>
      <c r="N81" s="17" t="s">
        <v>906</v>
      </c>
    </row>
    <row r="82" spans="1:14" ht="15" customHeight="1" x14ac:dyDescent="0.2">
      <c r="A82" s="31">
        <v>8.5628505664448101E-2</v>
      </c>
      <c r="B82" s="31"/>
      <c r="C82" s="2" t="s">
        <v>892</v>
      </c>
      <c r="D82" s="2">
        <f>A82 * 545.45</f>
        <v>46.706068414673219</v>
      </c>
      <c r="F82" s="2">
        <v>2020</v>
      </c>
      <c r="G82" s="38" t="s">
        <v>901</v>
      </c>
      <c r="H82" s="2" t="s">
        <v>731</v>
      </c>
      <c r="I82" s="31" t="s">
        <v>264</v>
      </c>
      <c r="J82" s="31" t="s">
        <v>822</v>
      </c>
      <c r="K82" s="31" t="s">
        <v>822</v>
      </c>
      <c r="L82" s="2" t="s">
        <v>28</v>
      </c>
      <c r="M82" s="2" t="s">
        <v>824</v>
      </c>
      <c r="N82" s="17" t="s">
        <v>906</v>
      </c>
    </row>
    <row r="83" spans="1:14" ht="15" customHeight="1" x14ac:dyDescent="0.2">
      <c r="A83" s="2">
        <v>46.4</v>
      </c>
      <c r="B83" s="2">
        <v>5.2</v>
      </c>
      <c r="C83" s="2" t="s">
        <v>891</v>
      </c>
      <c r="D83" s="2">
        <f>A83</f>
        <v>46.4</v>
      </c>
      <c r="E83" s="2">
        <f>B83</f>
        <v>5.2</v>
      </c>
      <c r="F83" s="2">
        <v>2013</v>
      </c>
      <c r="G83" s="2" t="s">
        <v>903</v>
      </c>
      <c r="H83" s="2" t="s">
        <v>712</v>
      </c>
      <c r="I83" s="2" t="s">
        <v>55</v>
      </c>
      <c r="J83" s="2">
        <v>36.528120000000001</v>
      </c>
      <c r="K83" s="2">
        <v>-6.2186700000000004</v>
      </c>
      <c r="L83" s="2" t="s">
        <v>53</v>
      </c>
      <c r="M83" s="2" t="s">
        <v>800</v>
      </c>
      <c r="N83" s="9" t="s">
        <v>54</v>
      </c>
    </row>
    <row r="84" spans="1:14" ht="15" customHeight="1" x14ac:dyDescent="0.2">
      <c r="A84" s="20">
        <v>2.0247983627510173</v>
      </c>
      <c r="B84" s="20"/>
      <c r="C84" s="2" t="s">
        <v>98</v>
      </c>
      <c r="D84" s="2">
        <f>A84 * 22.727</f>
        <v>46.01759239024237</v>
      </c>
      <c r="F84" s="2" t="s">
        <v>822</v>
      </c>
      <c r="G84" s="2" t="s">
        <v>901</v>
      </c>
      <c r="H84" s="2" t="s">
        <v>822</v>
      </c>
      <c r="I84" s="14" t="s">
        <v>213</v>
      </c>
      <c r="J84" s="16">
        <v>51.981000000000002</v>
      </c>
      <c r="K84" s="16">
        <v>1.276</v>
      </c>
      <c r="L84" s="16"/>
      <c r="M84" s="33" t="s">
        <v>821</v>
      </c>
      <c r="N84" s="17" t="s">
        <v>246</v>
      </c>
    </row>
    <row r="85" spans="1:14" ht="15" customHeight="1" x14ac:dyDescent="0.2">
      <c r="A85" s="2">
        <v>44.65</v>
      </c>
      <c r="C85" s="2" t="s">
        <v>891</v>
      </c>
      <c r="D85" s="2">
        <f>A85</f>
        <v>44.65</v>
      </c>
      <c r="F85" s="2">
        <v>2020</v>
      </c>
      <c r="G85" s="2" t="s">
        <v>901</v>
      </c>
      <c r="H85" s="2" t="s">
        <v>128</v>
      </c>
      <c r="I85" s="2" t="s">
        <v>129</v>
      </c>
      <c r="J85" s="2">
        <v>37.006982999999998</v>
      </c>
      <c r="K85" s="2">
        <v>-7.8600969999999997</v>
      </c>
      <c r="L85" s="2" t="s">
        <v>82</v>
      </c>
      <c r="M85" s="2" t="s">
        <v>133</v>
      </c>
      <c r="N85" s="6" t="s">
        <v>199</v>
      </c>
    </row>
    <row r="86" spans="1:14" ht="15" customHeight="1" x14ac:dyDescent="0.2">
      <c r="A86" s="31">
        <v>8.1093969586313305E-2</v>
      </c>
      <c r="B86" s="31"/>
      <c r="C86" s="2" t="s">
        <v>892</v>
      </c>
      <c r="D86" s="2">
        <f>A86 * 545.45</f>
        <v>44.232705710854596</v>
      </c>
      <c r="F86" s="2">
        <v>2019</v>
      </c>
      <c r="G86" s="38" t="s">
        <v>901</v>
      </c>
      <c r="H86" s="2" t="s">
        <v>725</v>
      </c>
      <c r="I86" s="31" t="s">
        <v>259</v>
      </c>
      <c r="J86" s="31">
        <v>54.373600000000003</v>
      </c>
      <c r="K86" s="31">
        <v>13.239800000000001</v>
      </c>
      <c r="L86" s="2" t="s">
        <v>28</v>
      </c>
      <c r="M86" s="2" t="s">
        <v>824</v>
      </c>
      <c r="N86" s="17" t="s">
        <v>906</v>
      </c>
    </row>
    <row r="87" spans="1:14" ht="15" customHeight="1" x14ac:dyDescent="0.2">
      <c r="A87" s="31">
        <v>8.0892613165313501E-2</v>
      </c>
      <c r="B87" s="31"/>
      <c r="C87" s="2" t="s">
        <v>892</v>
      </c>
      <c r="D87" s="2">
        <f>A87 * 545.45</f>
        <v>44.122875851020254</v>
      </c>
      <c r="F87" s="2">
        <v>2020</v>
      </c>
      <c r="G87" s="38" t="s">
        <v>901</v>
      </c>
      <c r="H87" s="2" t="s">
        <v>731</v>
      </c>
      <c r="I87" s="31" t="s">
        <v>268</v>
      </c>
      <c r="J87" s="31" t="s">
        <v>822</v>
      </c>
      <c r="K87" s="31" t="s">
        <v>822</v>
      </c>
      <c r="L87" s="2" t="s">
        <v>28</v>
      </c>
      <c r="M87" s="2" t="s">
        <v>824</v>
      </c>
      <c r="N87" s="17" t="s">
        <v>906</v>
      </c>
    </row>
    <row r="88" spans="1:14" ht="15" customHeight="1" x14ac:dyDescent="0.2">
      <c r="A88" s="2">
        <v>43</v>
      </c>
      <c r="B88" s="2">
        <v>26.87</v>
      </c>
      <c r="C88" s="2" t="s">
        <v>891</v>
      </c>
      <c r="D88" s="2">
        <f>A88</f>
        <v>43</v>
      </c>
      <c r="E88" s="2">
        <f>B88</f>
        <v>26.87</v>
      </c>
      <c r="F88" s="2">
        <v>2004</v>
      </c>
      <c r="G88" s="2" t="s">
        <v>903</v>
      </c>
      <c r="H88" s="2" t="s">
        <v>701</v>
      </c>
      <c r="I88" s="2" t="s">
        <v>55</v>
      </c>
      <c r="J88" s="2">
        <v>36.528120000000001</v>
      </c>
      <c r="K88" s="2">
        <v>-6.2186700000000004</v>
      </c>
      <c r="L88" s="2" t="s">
        <v>82</v>
      </c>
      <c r="M88" s="2" t="s">
        <v>803</v>
      </c>
      <c r="N88" s="6" t="s">
        <v>198</v>
      </c>
    </row>
    <row r="89" spans="1:14" ht="15" customHeight="1" x14ac:dyDescent="0.2">
      <c r="A89" s="31">
        <v>7.7235701775857896E-2</v>
      </c>
      <c r="B89" s="31"/>
      <c r="C89" s="2" t="s">
        <v>892</v>
      </c>
      <c r="D89" s="2">
        <f>A89 * 545.45</f>
        <v>42.128213533641691</v>
      </c>
      <c r="F89" s="2">
        <v>2020</v>
      </c>
      <c r="G89" s="38" t="s">
        <v>901</v>
      </c>
      <c r="H89" s="2" t="s">
        <v>729</v>
      </c>
      <c r="I89" s="31" t="s">
        <v>256</v>
      </c>
      <c r="J89" s="31">
        <v>54.371099999999998</v>
      </c>
      <c r="K89" s="31">
        <v>13.2446</v>
      </c>
      <c r="L89" s="2" t="s">
        <v>28</v>
      </c>
      <c r="M89" s="2" t="s">
        <v>824</v>
      </c>
      <c r="N89" s="17" t="s">
        <v>906</v>
      </c>
    </row>
    <row r="90" spans="1:14" ht="15" customHeight="1" x14ac:dyDescent="0.2">
      <c r="A90" s="2">
        <v>42</v>
      </c>
      <c r="B90" s="2">
        <v>50.1</v>
      </c>
      <c r="C90" s="2" t="s">
        <v>891</v>
      </c>
      <c r="D90" s="2">
        <f>A90</f>
        <v>42</v>
      </c>
      <c r="E90" s="2">
        <f>B90</f>
        <v>50.1</v>
      </c>
      <c r="F90" s="2">
        <v>2019</v>
      </c>
      <c r="G90" s="2" t="s">
        <v>901</v>
      </c>
      <c r="H90" s="2" t="s">
        <v>717</v>
      </c>
      <c r="I90" s="2" t="s">
        <v>27</v>
      </c>
      <c r="J90" s="2">
        <v>53.881092000000002</v>
      </c>
      <c r="K90" s="2">
        <v>9.059844</v>
      </c>
      <c r="L90" s="2" t="s">
        <v>28</v>
      </c>
      <c r="N90" s="9" t="s">
        <v>127</v>
      </c>
    </row>
    <row r="91" spans="1:14" ht="15" customHeight="1" x14ac:dyDescent="0.2">
      <c r="A91" s="2">
        <v>1.8</v>
      </c>
      <c r="B91" s="2">
        <v>0.3</v>
      </c>
      <c r="C91" s="2" t="s">
        <v>98</v>
      </c>
      <c r="D91" s="2">
        <f>A91 * 22.727</f>
        <v>40.9086</v>
      </c>
      <c r="E91" s="2">
        <f>B91 * 22.727</f>
        <v>6.8181000000000003</v>
      </c>
      <c r="F91" s="4" t="s">
        <v>697</v>
      </c>
      <c r="G91" s="2" t="s">
        <v>903</v>
      </c>
      <c r="H91" s="2" t="s">
        <v>99</v>
      </c>
      <c r="I91" s="2" t="s">
        <v>100</v>
      </c>
      <c r="J91" s="2">
        <v>64.860005000000001</v>
      </c>
      <c r="K91" s="2">
        <v>25.351938000000001</v>
      </c>
      <c r="L91" s="2" t="s">
        <v>101</v>
      </c>
      <c r="N91" s="6" t="s">
        <v>858</v>
      </c>
    </row>
    <row r="92" spans="1:14" ht="15" customHeight="1" x14ac:dyDescent="0.2">
      <c r="A92" s="20">
        <v>1.7965561643835617</v>
      </c>
      <c r="B92" s="20"/>
      <c r="C92" s="2" t="s">
        <v>98</v>
      </c>
      <c r="D92" s="2">
        <f>A92 * 22.727</f>
        <v>40.830331947945204</v>
      </c>
      <c r="F92" s="2" t="s">
        <v>822</v>
      </c>
      <c r="G92" s="2" t="s">
        <v>901</v>
      </c>
      <c r="H92" s="2" t="s">
        <v>822</v>
      </c>
      <c r="I92" s="14" t="s">
        <v>228</v>
      </c>
      <c r="J92" s="16">
        <v>53.922199999999997</v>
      </c>
      <c r="K92" s="16">
        <v>8.7222000000000008</v>
      </c>
      <c r="L92" s="16"/>
      <c r="M92" s="33" t="s">
        <v>821</v>
      </c>
      <c r="N92" s="17" t="s">
        <v>872</v>
      </c>
    </row>
    <row r="93" spans="1:14" ht="15" customHeight="1" x14ac:dyDescent="0.2">
      <c r="A93" s="2">
        <v>39.200000000000003</v>
      </c>
      <c r="B93" s="2">
        <v>31.6</v>
      </c>
      <c r="C93" s="2" t="s">
        <v>891</v>
      </c>
      <c r="D93" s="2">
        <f>A93</f>
        <v>39.200000000000003</v>
      </c>
      <c r="E93" s="2">
        <f>B93</f>
        <v>31.6</v>
      </c>
      <c r="F93" s="2">
        <v>2020</v>
      </c>
      <c r="G93" s="2" t="s">
        <v>901</v>
      </c>
      <c r="H93" s="2" t="s">
        <v>718</v>
      </c>
      <c r="I93" s="2" t="s">
        <v>27</v>
      </c>
      <c r="J93" s="2">
        <v>53.881092000000002</v>
      </c>
      <c r="K93" s="2">
        <v>9.059844</v>
      </c>
      <c r="L93" s="2" t="s">
        <v>28</v>
      </c>
      <c r="N93" s="9" t="s">
        <v>127</v>
      </c>
    </row>
    <row r="94" spans="1:14" ht="15" customHeight="1" x14ac:dyDescent="0.2">
      <c r="A94" s="31">
        <v>7.1736672098101306E-2</v>
      </c>
      <c r="B94" s="31"/>
      <c r="C94" s="2" t="s">
        <v>892</v>
      </c>
      <c r="D94" s="2">
        <f>A94 * 545.45</f>
        <v>39.128767795909361</v>
      </c>
      <c r="F94" s="2">
        <v>2019</v>
      </c>
      <c r="G94" s="38" t="s">
        <v>901</v>
      </c>
      <c r="H94" s="2" t="s">
        <v>726</v>
      </c>
      <c r="I94" s="31" t="s">
        <v>260</v>
      </c>
      <c r="J94" s="31">
        <v>54.372</v>
      </c>
      <c r="K94" s="31">
        <v>13.241300000000001</v>
      </c>
      <c r="L94" s="2" t="s">
        <v>28</v>
      </c>
      <c r="M94" s="2" t="s">
        <v>824</v>
      </c>
      <c r="N94" s="17" t="s">
        <v>906</v>
      </c>
    </row>
    <row r="95" spans="1:14" ht="15" customHeight="1" x14ac:dyDescent="0.2">
      <c r="A95" s="2">
        <v>39</v>
      </c>
      <c r="B95" s="2">
        <v>42.7</v>
      </c>
      <c r="C95" s="2" t="s">
        <v>891</v>
      </c>
      <c r="D95" s="2">
        <f>A95</f>
        <v>39</v>
      </c>
      <c r="E95" s="2">
        <f>B95</f>
        <v>42.7</v>
      </c>
      <c r="F95" s="2">
        <v>2015</v>
      </c>
      <c r="G95" s="2" t="s">
        <v>901</v>
      </c>
      <c r="H95" s="2" t="s">
        <v>714</v>
      </c>
      <c r="I95" s="2" t="s">
        <v>27</v>
      </c>
      <c r="J95" s="2">
        <v>53.881092000000002</v>
      </c>
      <c r="K95" s="2">
        <v>9.059844</v>
      </c>
      <c r="L95" s="2" t="s">
        <v>28</v>
      </c>
      <c r="N95" s="9" t="s">
        <v>127</v>
      </c>
    </row>
    <row r="96" spans="1:14" ht="15" customHeight="1" x14ac:dyDescent="0.2">
      <c r="A96" s="2">
        <v>1.7</v>
      </c>
      <c r="B96" s="2">
        <v>0.3</v>
      </c>
      <c r="C96" s="2" t="s">
        <v>98</v>
      </c>
      <c r="D96" s="2">
        <f>A96 * 22.727</f>
        <v>38.635899999999999</v>
      </c>
      <c r="E96" s="2">
        <f>B96 * 22.727</f>
        <v>6.8181000000000003</v>
      </c>
      <c r="F96" s="4" t="s">
        <v>697</v>
      </c>
      <c r="G96" s="2" t="s">
        <v>903</v>
      </c>
      <c r="H96" s="2" t="s">
        <v>99</v>
      </c>
      <c r="I96" s="2" t="s">
        <v>100</v>
      </c>
      <c r="J96" s="2">
        <v>64.860005000000001</v>
      </c>
      <c r="K96" s="2">
        <v>25.351938000000001</v>
      </c>
      <c r="L96" s="2" t="s">
        <v>101</v>
      </c>
      <c r="N96" s="6" t="s">
        <v>858</v>
      </c>
    </row>
    <row r="97" spans="1:14" ht="15" customHeight="1" x14ac:dyDescent="0.2">
      <c r="A97" s="2">
        <v>38.6</v>
      </c>
      <c r="C97" s="2" t="s">
        <v>891</v>
      </c>
      <c r="D97" s="2">
        <f>A97</f>
        <v>38.6</v>
      </c>
      <c r="F97" s="2">
        <v>2020</v>
      </c>
      <c r="G97" s="2" t="s">
        <v>901</v>
      </c>
      <c r="H97" s="2" t="s">
        <v>131</v>
      </c>
      <c r="I97" s="2" t="s">
        <v>129</v>
      </c>
      <c r="J97" s="2">
        <v>37.006982999999998</v>
      </c>
      <c r="K97" s="2">
        <v>-7.8600969999999997</v>
      </c>
      <c r="L97" s="2" t="s">
        <v>82</v>
      </c>
      <c r="M97" s="2" t="s">
        <v>133</v>
      </c>
      <c r="N97" s="6" t="s">
        <v>199</v>
      </c>
    </row>
    <row r="98" spans="1:14" ht="15" customHeight="1" x14ac:dyDescent="0.2">
      <c r="A98" s="2">
        <v>0.6</v>
      </c>
      <c r="C98" s="2" t="s">
        <v>6</v>
      </c>
      <c r="D98" s="2">
        <f>(A98 * 1000000)/ 44.013 / 365</f>
        <v>37.348865481524918</v>
      </c>
      <c r="F98" s="2" t="s">
        <v>689</v>
      </c>
      <c r="G98" s="2" t="s">
        <v>903</v>
      </c>
      <c r="H98" s="2" t="s">
        <v>707</v>
      </c>
      <c r="I98" s="2" t="s">
        <v>20</v>
      </c>
      <c r="J98" s="2">
        <v>51.987220000000001</v>
      </c>
      <c r="K98" s="2">
        <v>1.392358</v>
      </c>
      <c r="L98" s="2" t="s">
        <v>8</v>
      </c>
      <c r="N98" s="6" t="s">
        <v>17</v>
      </c>
    </row>
    <row r="99" spans="1:14" ht="15" customHeight="1" x14ac:dyDescent="0.2">
      <c r="A99" s="31">
        <v>6.7407712728517505E-2</v>
      </c>
      <c r="B99" s="31"/>
      <c r="C99" s="2" t="s">
        <v>892</v>
      </c>
      <c r="D99" s="2">
        <f>A99 * 545.45</f>
        <v>36.767536907769873</v>
      </c>
      <c r="F99" s="2">
        <v>2020</v>
      </c>
      <c r="G99" s="38" t="s">
        <v>901</v>
      </c>
      <c r="H99" s="2" t="s">
        <v>727</v>
      </c>
      <c r="I99" s="31" t="s">
        <v>258</v>
      </c>
      <c r="J99" s="31">
        <v>54.371299999999998</v>
      </c>
      <c r="K99" s="31">
        <v>13.2438</v>
      </c>
      <c r="L99" s="2" t="s">
        <v>28</v>
      </c>
      <c r="M99" s="2" t="s">
        <v>824</v>
      </c>
      <c r="N99" s="17" t="s">
        <v>906</v>
      </c>
    </row>
    <row r="100" spans="1:14" ht="15" customHeight="1" x14ac:dyDescent="0.2">
      <c r="A100" s="2">
        <v>1.6</v>
      </c>
      <c r="B100" s="2">
        <v>0.2</v>
      </c>
      <c r="C100" s="2" t="s">
        <v>98</v>
      </c>
      <c r="D100" s="2">
        <f>A100 * 22.727</f>
        <v>36.363199999999999</v>
      </c>
      <c r="E100" s="2">
        <f>B100 * 22.727</f>
        <v>4.5453999999999999</v>
      </c>
      <c r="F100" s="2">
        <v>2015</v>
      </c>
      <c r="G100" s="2" t="s">
        <v>901</v>
      </c>
      <c r="H100" s="5" t="s">
        <v>72</v>
      </c>
      <c r="I100" s="2" t="s">
        <v>140</v>
      </c>
      <c r="J100" s="2">
        <v>54.273189000000002</v>
      </c>
      <c r="K100" s="2">
        <v>16.145195999999999</v>
      </c>
      <c r="L100" s="2" t="s">
        <v>809</v>
      </c>
      <c r="M100" s="2" t="s">
        <v>138</v>
      </c>
      <c r="N100" s="6" t="s">
        <v>860</v>
      </c>
    </row>
    <row r="101" spans="1:14" ht="15" customHeight="1" x14ac:dyDescent="0.2">
      <c r="A101" s="2">
        <v>1.6</v>
      </c>
      <c r="C101" s="2" t="s">
        <v>98</v>
      </c>
      <c r="D101" s="2">
        <f>A101 * 22.727</f>
        <v>36.363199999999999</v>
      </c>
      <c r="F101" s="2">
        <v>2015</v>
      </c>
      <c r="G101" s="2" t="s">
        <v>901</v>
      </c>
      <c r="H101" s="5" t="s">
        <v>72</v>
      </c>
      <c r="I101" s="2" t="s">
        <v>143</v>
      </c>
      <c r="J101" s="2">
        <v>54.144829999999999</v>
      </c>
      <c r="K101" s="2">
        <v>15.369590000000001</v>
      </c>
      <c r="L101" s="2" t="s">
        <v>809</v>
      </c>
      <c r="M101" s="2" t="s">
        <v>138</v>
      </c>
      <c r="N101" s="6" t="s">
        <v>860</v>
      </c>
    </row>
    <row r="102" spans="1:14" ht="15" customHeight="1" x14ac:dyDescent="0.2">
      <c r="A102" s="31">
        <v>6.5789596570466999E-2</v>
      </c>
      <c r="B102" s="31"/>
      <c r="C102" s="2" t="s">
        <v>892</v>
      </c>
      <c r="D102" s="2">
        <f>A102 * 545.45</f>
        <v>35.88493544936123</v>
      </c>
      <c r="F102" s="2">
        <v>2020</v>
      </c>
      <c r="G102" s="38" t="s">
        <v>901</v>
      </c>
      <c r="H102" s="2" t="s">
        <v>731</v>
      </c>
      <c r="I102" s="31" t="s">
        <v>265</v>
      </c>
      <c r="J102" s="31" t="s">
        <v>822</v>
      </c>
      <c r="K102" s="31" t="s">
        <v>822</v>
      </c>
      <c r="L102" s="2" t="s">
        <v>28</v>
      </c>
      <c r="M102" s="2" t="s">
        <v>824</v>
      </c>
      <c r="N102" s="17" t="s">
        <v>906</v>
      </c>
    </row>
    <row r="103" spans="1:14" ht="15" customHeight="1" x14ac:dyDescent="0.2">
      <c r="A103" s="31">
        <v>6.5677664979140807E-2</v>
      </c>
      <c r="B103" s="31"/>
      <c r="C103" s="2" t="s">
        <v>892</v>
      </c>
      <c r="D103" s="2">
        <f>A103 * 545.45</f>
        <v>35.823882362872354</v>
      </c>
      <c r="F103" s="2">
        <v>2020</v>
      </c>
      <c r="G103" s="38" t="s">
        <v>901</v>
      </c>
      <c r="H103" s="2" t="s">
        <v>729</v>
      </c>
      <c r="I103" s="31" t="s">
        <v>260</v>
      </c>
      <c r="J103" s="31">
        <v>54.372100000000003</v>
      </c>
      <c r="K103" s="31">
        <v>13.242699999999999</v>
      </c>
      <c r="L103" s="2" t="s">
        <v>28</v>
      </c>
      <c r="M103" s="2" t="s">
        <v>824</v>
      </c>
      <c r="N103" s="17" t="s">
        <v>906</v>
      </c>
    </row>
    <row r="104" spans="1:14" ht="15" customHeight="1" x14ac:dyDescent="0.2">
      <c r="A104" s="2">
        <v>35.6</v>
      </c>
      <c r="B104" s="2">
        <v>31.8</v>
      </c>
      <c r="C104" s="2" t="s">
        <v>891</v>
      </c>
      <c r="D104" s="2">
        <f>A104</f>
        <v>35.6</v>
      </c>
      <c r="E104" s="2">
        <f>B104</f>
        <v>31.8</v>
      </c>
      <c r="F104" s="2">
        <v>2017</v>
      </c>
      <c r="G104" s="2" t="s">
        <v>901</v>
      </c>
      <c r="H104" s="2" t="s">
        <v>715</v>
      </c>
      <c r="I104" s="2" t="s">
        <v>27</v>
      </c>
      <c r="J104" s="2">
        <v>53.881092000000002</v>
      </c>
      <c r="K104" s="2">
        <v>9.059844</v>
      </c>
      <c r="L104" s="2" t="s">
        <v>28</v>
      </c>
      <c r="N104" s="9" t="s">
        <v>127</v>
      </c>
    </row>
    <row r="105" spans="1:14" ht="15" customHeight="1" x14ac:dyDescent="0.2">
      <c r="A105" s="2">
        <v>35.6</v>
      </c>
      <c r="B105" s="2">
        <v>22.5</v>
      </c>
      <c r="C105" s="2" t="s">
        <v>891</v>
      </c>
      <c r="D105" s="2">
        <f>A105</f>
        <v>35.6</v>
      </c>
      <c r="E105" s="2">
        <f>B105</f>
        <v>22.5</v>
      </c>
      <c r="F105" s="2">
        <v>2021</v>
      </c>
      <c r="G105" s="2" t="s">
        <v>901</v>
      </c>
      <c r="H105" s="2" t="s">
        <v>721</v>
      </c>
      <c r="I105" s="2" t="s">
        <v>27</v>
      </c>
      <c r="J105" s="2">
        <v>53.881092000000002</v>
      </c>
      <c r="K105" s="2">
        <v>9.059844</v>
      </c>
      <c r="L105" s="2" t="s">
        <v>28</v>
      </c>
      <c r="N105" s="9" t="s">
        <v>127</v>
      </c>
    </row>
    <row r="106" spans="1:14" ht="15" customHeight="1" x14ac:dyDescent="0.2">
      <c r="A106" s="31">
        <v>6.2950005589060803E-2</v>
      </c>
      <c r="B106" s="31"/>
      <c r="C106" s="2" t="s">
        <v>892</v>
      </c>
      <c r="D106" s="2">
        <f>A106 * 545.45</f>
        <v>34.33608054855322</v>
      </c>
      <c r="F106" s="2">
        <v>2020</v>
      </c>
      <c r="G106" s="38" t="s">
        <v>901</v>
      </c>
      <c r="H106" s="2" t="s">
        <v>761</v>
      </c>
      <c r="I106" s="31" t="s">
        <v>263</v>
      </c>
      <c r="J106" s="31" t="s">
        <v>822</v>
      </c>
      <c r="K106" s="31" t="s">
        <v>822</v>
      </c>
      <c r="L106" s="2" t="s">
        <v>28</v>
      </c>
      <c r="M106" s="2" t="s">
        <v>824</v>
      </c>
      <c r="N106" s="17" t="s">
        <v>906</v>
      </c>
    </row>
    <row r="107" spans="1:14" ht="15" customHeight="1" x14ac:dyDescent="0.2">
      <c r="A107" s="2">
        <v>1.5</v>
      </c>
      <c r="C107" s="2" t="s">
        <v>98</v>
      </c>
      <c r="D107" s="2">
        <f>A107 * 22.727</f>
        <v>34.090499999999999</v>
      </c>
      <c r="F107" s="2">
        <v>2015</v>
      </c>
      <c r="G107" s="2" t="s">
        <v>901</v>
      </c>
      <c r="H107" s="5" t="s">
        <v>72</v>
      </c>
      <c r="I107" s="2" t="s">
        <v>141</v>
      </c>
      <c r="J107" s="2">
        <v>54.480849999999997</v>
      </c>
      <c r="K107" s="2">
        <v>16.450130000000001</v>
      </c>
      <c r="L107" s="2" t="s">
        <v>809</v>
      </c>
      <c r="M107" s="2" t="s">
        <v>138</v>
      </c>
      <c r="N107" s="6" t="s">
        <v>860</v>
      </c>
    </row>
    <row r="108" spans="1:14" ht="15" customHeight="1" x14ac:dyDescent="0.2">
      <c r="A108" s="2">
        <v>0.54</v>
      </c>
      <c r="C108" s="2" t="s">
        <v>6</v>
      </c>
      <c r="D108" s="2">
        <f>(A108 * 1000000)/ 44.013 / 365</f>
        <v>33.613978933372422</v>
      </c>
      <c r="F108" s="2">
        <v>1997</v>
      </c>
      <c r="G108" s="2" t="s">
        <v>901</v>
      </c>
      <c r="H108" s="2" t="s">
        <v>822</v>
      </c>
      <c r="I108" s="2" t="s">
        <v>27</v>
      </c>
      <c r="J108" s="2">
        <v>53.881092000000002</v>
      </c>
      <c r="K108" s="2">
        <v>9.059844</v>
      </c>
      <c r="L108" s="2" t="s">
        <v>28</v>
      </c>
      <c r="N108" s="6" t="s">
        <v>29</v>
      </c>
    </row>
    <row r="109" spans="1:14" ht="15" customHeight="1" x14ac:dyDescent="0.2">
      <c r="A109" s="31">
        <v>6.0717615516759103E-2</v>
      </c>
      <c r="B109" s="31"/>
      <c r="C109" s="2" t="s">
        <v>892</v>
      </c>
      <c r="D109" s="2">
        <f>A109 * 545.45</f>
        <v>33.118423383616253</v>
      </c>
      <c r="F109" s="2">
        <v>2020</v>
      </c>
      <c r="G109" s="38" t="s">
        <v>901</v>
      </c>
      <c r="H109" s="2" t="s">
        <v>731</v>
      </c>
      <c r="I109" s="31" t="s">
        <v>266</v>
      </c>
      <c r="J109" s="31" t="s">
        <v>822</v>
      </c>
      <c r="K109" s="31" t="s">
        <v>822</v>
      </c>
      <c r="L109" s="2" t="s">
        <v>28</v>
      </c>
      <c r="M109" s="2" t="s">
        <v>824</v>
      </c>
      <c r="N109" s="17" t="s">
        <v>906</v>
      </c>
    </row>
    <row r="110" spans="1:14" ht="15" customHeight="1" x14ac:dyDescent="0.2">
      <c r="A110" s="2">
        <v>33.1</v>
      </c>
      <c r="B110" s="2">
        <v>21</v>
      </c>
      <c r="C110" s="2" t="s">
        <v>891</v>
      </c>
      <c r="D110" s="2">
        <f>A110</f>
        <v>33.1</v>
      </c>
      <c r="E110" s="2">
        <f>B110</f>
        <v>21</v>
      </c>
      <c r="F110" s="2">
        <v>2015</v>
      </c>
      <c r="G110" s="2" t="s">
        <v>901</v>
      </c>
      <c r="H110" s="2" t="s">
        <v>713</v>
      </c>
      <c r="I110" s="2" t="s">
        <v>27</v>
      </c>
      <c r="J110" s="2">
        <v>53.881092000000002</v>
      </c>
      <c r="K110" s="2">
        <v>9.059844</v>
      </c>
      <c r="L110" s="2" t="s">
        <v>28</v>
      </c>
      <c r="N110" s="9" t="s">
        <v>127</v>
      </c>
    </row>
    <row r="111" spans="1:14" ht="15" customHeight="1" x14ac:dyDescent="0.2">
      <c r="A111" s="2">
        <v>1.4</v>
      </c>
      <c r="B111" s="2">
        <v>0.7</v>
      </c>
      <c r="C111" s="2" t="s">
        <v>98</v>
      </c>
      <c r="D111" s="2">
        <f>A111 * 22.727</f>
        <v>31.817799999999998</v>
      </c>
      <c r="E111" s="2">
        <f>B111 * 22.727</f>
        <v>15.908899999999999</v>
      </c>
      <c r="F111" s="2">
        <v>2015</v>
      </c>
      <c r="G111" s="2" t="s">
        <v>901</v>
      </c>
      <c r="H111" s="5" t="s">
        <v>72</v>
      </c>
      <c r="I111" s="2" t="s">
        <v>137</v>
      </c>
      <c r="J111" s="2">
        <v>54.347296999999998</v>
      </c>
      <c r="K111" s="2">
        <v>16.279091999999999</v>
      </c>
      <c r="L111" s="2" t="s">
        <v>809</v>
      </c>
      <c r="M111" s="2" t="s">
        <v>138</v>
      </c>
      <c r="N111" s="6" t="s">
        <v>860</v>
      </c>
    </row>
    <row r="112" spans="1:14" ht="15" customHeight="1" x14ac:dyDescent="0.25">
      <c r="A112" s="2">
        <v>2602</v>
      </c>
      <c r="C112" s="2" t="s">
        <v>248</v>
      </c>
      <c r="D112" s="2">
        <f>A112 * 0.012</f>
        <v>31.224</v>
      </c>
      <c r="F112" s="2">
        <v>1994</v>
      </c>
      <c r="G112" s="38" t="s">
        <v>901</v>
      </c>
      <c r="H112" s="2" t="s">
        <v>68</v>
      </c>
      <c r="I112" s="2" t="s">
        <v>253</v>
      </c>
      <c r="J112" s="2">
        <v>51.859200000000001</v>
      </c>
      <c r="K112" s="2">
        <v>0.95989999999999998</v>
      </c>
      <c r="L112" s="2" t="s">
        <v>255</v>
      </c>
      <c r="M112" s="2" t="s">
        <v>823</v>
      </c>
      <c r="N112" s="36" t="s">
        <v>887</v>
      </c>
    </row>
    <row r="113" spans="1:14" ht="15" customHeight="1" x14ac:dyDescent="0.2">
      <c r="A113" s="31">
        <v>5.6136680289400803E-2</v>
      </c>
      <c r="B113" s="31"/>
      <c r="C113" s="2" t="s">
        <v>892</v>
      </c>
      <c r="D113" s="2">
        <f>A113 * 545.45</f>
        <v>30.61975226385367</v>
      </c>
      <c r="F113" s="2">
        <v>2020</v>
      </c>
      <c r="G113" s="38" t="s">
        <v>901</v>
      </c>
      <c r="H113" s="2" t="s">
        <v>729</v>
      </c>
      <c r="I113" s="31" t="s">
        <v>257</v>
      </c>
      <c r="J113" s="31">
        <v>54.372</v>
      </c>
      <c r="K113" s="31">
        <v>13.241300000000001</v>
      </c>
      <c r="L113" s="2" t="s">
        <v>28</v>
      </c>
      <c r="M113" s="2" t="s">
        <v>824</v>
      </c>
      <c r="N113" s="17" t="s">
        <v>906</v>
      </c>
    </row>
    <row r="114" spans="1:14" ht="15" customHeight="1" x14ac:dyDescent="0.2">
      <c r="A114" s="2">
        <v>29.7</v>
      </c>
      <c r="B114" s="2">
        <v>21.5</v>
      </c>
      <c r="C114" s="2" t="s">
        <v>891</v>
      </c>
      <c r="D114" s="2">
        <f>A114</f>
        <v>29.7</v>
      </c>
      <c r="E114" s="2">
        <f>B114</f>
        <v>21.5</v>
      </c>
      <c r="F114" s="2">
        <v>2019</v>
      </c>
      <c r="G114" s="2" t="s">
        <v>901</v>
      </c>
      <c r="H114" s="2" t="s">
        <v>716</v>
      </c>
      <c r="I114" s="2" t="s">
        <v>27</v>
      </c>
      <c r="J114" s="2">
        <v>53.881092000000002</v>
      </c>
      <c r="K114" s="2">
        <v>9.059844</v>
      </c>
      <c r="L114" s="2" t="s">
        <v>28</v>
      </c>
      <c r="N114" s="9" t="s">
        <v>127</v>
      </c>
    </row>
    <row r="115" spans="1:14" ht="15" customHeight="1" x14ac:dyDescent="0.2">
      <c r="A115" s="2">
        <v>1.3</v>
      </c>
      <c r="B115" s="2">
        <v>0.4</v>
      </c>
      <c r="C115" s="2" t="s">
        <v>98</v>
      </c>
      <c r="D115" s="2">
        <f>A115 * 22.727</f>
        <v>29.545100000000001</v>
      </c>
      <c r="E115" s="2">
        <f>B115 * 22.727</f>
        <v>9.0907999999999998</v>
      </c>
      <c r="F115" s="2">
        <v>2015</v>
      </c>
      <c r="G115" s="2" t="s">
        <v>901</v>
      </c>
      <c r="H115" s="5" t="s">
        <v>72</v>
      </c>
      <c r="I115" s="2" t="s">
        <v>144</v>
      </c>
      <c r="J115" s="2">
        <v>54.540149999999997</v>
      </c>
      <c r="K115" s="2">
        <v>16.627939999999999</v>
      </c>
      <c r="L115" s="2" t="s">
        <v>809</v>
      </c>
      <c r="M115" s="2" t="s">
        <v>138</v>
      </c>
      <c r="N115" s="6" t="s">
        <v>860</v>
      </c>
    </row>
    <row r="116" spans="1:14" ht="15" customHeight="1" x14ac:dyDescent="0.2">
      <c r="A116" s="2">
        <v>1.3</v>
      </c>
      <c r="C116" s="2" t="s">
        <v>98</v>
      </c>
      <c r="D116" s="2">
        <f>A116 * 22.727</f>
        <v>29.545100000000001</v>
      </c>
      <c r="F116" s="2">
        <v>2015</v>
      </c>
      <c r="G116" s="2" t="s">
        <v>901</v>
      </c>
      <c r="H116" s="5" t="s">
        <v>39</v>
      </c>
      <c r="I116" s="2" t="s">
        <v>141</v>
      </c>
      <c r="J116" s="2">
        <v>54.480849999999997</v>
      </c>
      <c r="K116" s="2">
        <v>16.450130000000001</v>
      </c>
      <c r="L116" s="2" t="s">
        <v>809</v>
      </c>
      <c r="M116" s="2" t="s">
        <v>138</v>
      </c>
      <c r="N116" s="6" t="s">
        <v>860</v>
      </c>
    </row>
    <row r="117" spans="1:14" ht="15" customHeight="1" x14ac:dyDescent="0.2">
      <c r="A117" s="31">
        <v>5.3709849730115E-2</v>
      </c>
      <c r="B117" s="31"/>
      <c r="C117" s="2" t="s">
        <v>892</v>
      </c>
      <c r="D117" s="2">
        <f>A117 * 545.45</f>
        <v>29.29603753529123</v>
      </c>
      <c r="F117" s="2">
        <v>2020</v>
      </c>
      <c r="G117" s="38" t="s">
        <v>901</v>
      </c>
      <c r="H117" s="2" t="s">
        <v>739</v>
      </c>
      <c r="I117" s="31" t="s">
        <v>268</v>
      </c>
      <c r="J117" s="31" t="s">
        <v>822</v>
      </c>
      <c r="K117" s="31" t="s">
        <v>822</v>
      </c>
      <c r="L117" s="2" t="s">
        <v>28</v>
      </c>
      <c r="M117" s="2" t="s">
        <v>824</v>
      </c>
      <c r="N117" s="17" t="s">
        <v>906</v>
      </c>
    </row>
    <row r="118" spans="1:14" ht="15" customHeight="1" x14ac:dyDescent="0.2">
      <c r="A118" s="31">
        <v>5.2845882735954197E-2</v>
      </c>
      <c r="B118" s="31"/>
      <c r="C118" s="2" t="s">
        <v>892</v>
      </c>
      <c r="D118" s="2">
        <f>A118 * 545.45</f>
        <v>28.824786738326218</v>
      </c>
      <c r="F118" s="2">
        <v>2020</v>
      </c>
      <c r="G118" s="38" t="s">
        <v>901</v>
      </c>
      <c r="H118" s="2" t="s">
        <v>761</v>
      </c>
      <c r="I118" s="31" t="s">
        <v>264</v>
      </c>
      <c r="J118" s="31" t="s">
        <v>822</v>
      </c>
      <c r="K118" s="31" t="s">
        <v>822</v>
      </c>
      <c r="L118" s="2" t="s">
        <v>28</v>
      </c>
      <c r="M118" s="2" t="s">
        <v>824</v>
      </c>
      <c r="N118" s="17" t="s">
        <v>906</v>
      </c>
    </row>
    <row r="119" spans="1:14" ht="15" customHeight="1" x14ac:dyDescent="0.2">
      <c r="A119" s="2">
        <v>28.17</v>
      </c>
      <c r="C119" s="2" t="s">
        <v>891</v>
      </c>
      <c r="D119" s="2">
        <f>A119</f>
        <v>28.17</v>
      </c>
      <c r="F119" s="2">
        <v>1993</v>
      </c>
      <c r="G119" s="2" t="s">
        <v>901</v>
      </c>
      <c r="H119" s="2" t="s">
        <v>822</v>
      </c>
      <c r="I119" s="2" t="s">
        <v>26</v>
      </c>
      <c r="J119" s="2">
        <v>51.420760999999999</v>
      </c>
      <c r="K119" s="2">
        <v>3.9554689999999999</v>
      </c>
      <c r="N119" s="6" t="s">
        <v>200</v>
      </c>
    </row>
    <row r="120" spans="1:14" ht="15" customHeight="1" x14ac:dyDescent="0.2">
      <c r="A120" s="2">
        <v>28</v>
      </c>
      <c r="B120" s="2">
        <v>14.6</v>
      </c>
      <c r="C120" s="2" t="s">
        <v>891</v>
      </c>
      <c r="D120" s="2">
        <f>A120</f>
        <v>28</v>
      </c>
      <c r="E120" s="2">
        <f>B120</f>
        <v>14.6</v>
      </c>
      <c r="F120" s="2">
        <v>2021</v>
      </c>
      <c r="G120" s="2" t="s">
        <v>901</v>
      </c>
      <c r="H120" s="2" t="s">
        <v>722</v>
      </c>
      <c r="I120" s="2" t="s">
        <v>27</v>
      </c>
      <c r="J120" s="2">
        <v>53.881092000000002</v>
      </c>
      <c r="K120" s="2">
        <v>9.059844</v>
      </c>
      <c r="L120" s="2" t="s">
        <v>28</v>
      </c>
      <c r="N120" s="9" t="s">
        <v>127</v>
      </c>
    </row>
    <row r="121" spans="1:14" ht="15" customHeight="1" x14ac:dyDescent="0.2">
      <c r="A121" s="31">
        <v>5.1038739550392703E-2</v>
      </c>
      <c r="B121" s="31"/>
      <c r="C121" s="2" t="s">
        <v>892</v>
      </c>
      <c r="D121" s="2">
        <f>A121 * 545.45</f>
        <v>27.839080487761702</v>
      </c>
      <c r="F121" s="2">
        <v>2020</v>
      </c>
      <c r="G121" s="38" t="s">
        <v>901</v>
      </c>
      <c r="H121" s="2" t="s">
        <v>761</v>
      </c>
      <c r="I121" s="31" t="s">
        <v>268</v>
      </c>
      <c r="J121" s="31" t="s">
        <v>822</v>
      </c>
      <c r="K121" s="31" t="s">
        <v>822</v>
      </c>
      <c r="L121" s="2" t="s">
        <v>28</v>
      </c>
      <c r="M121" s="2" t="s">
        <v>824</v>
      </c>
      <c r="N121" s="17" t="s">
        <v>906</v>
      </c>
    </row>
    <row r="122" spans="1:14" ht="15" customHeight="1" x14ac:dyDescent="0.2">
      <c r="A122" s="2">
        <v>27.8</v>
      </c>
      <c r="B122" s="2">
        <v>13.9</v>
      </c>
      <c r="C122" s="2" t="s">
        <v>891</v>
      </c>
      <c r="D122" s="2">
        <f>A122</f>
        <v>27.8</v>
      </c>
      <c r="E122" s="2">
        <f>B122</f>
        <v>13.9</v>
      </c>
      <c r="F122" s="2">
        <v>2022</v>
      </c>
      <c r="G122" s="2" t="s">
        <v>901</v>
      </c>
      <c r="H122" s="2" t="s">
        <v>723</v>
      </c>
      <c r="I122" s="2" t="s">
        <v>27</v>
      </c>
      <c r="J122" s="2">
        <v>53.881092000000002</v>
      </c>
      <c r="K122" s="2">
        <v>9.059844</v>
      </c>
      <c r="L122" s="2" t="s">
        <v>28</v>
      </c>
      <c r="N122" s="9" t="s">
        <v>127</v>
      </c>
    </row>
    <row r="123" spans="1:14" ht="15" customHeight="1" x14ac:dyDescent="0.2">
      <c r="A123" s="2">
        <v>1.2</v>
      </c>
      <c r="B123" s="2">
        <v>0.1</v>
      </c>
      <c r="C123" s="2" t="s">
        <v>98</v>
      </c>
      <c r="D123" s="2">
        <f>A123 * 22.727</f>
        <v>27.272400000000001</v>
      </c>
      <c r="E123" s="2">
        <f>B123 * 22.727</f>
        <v>2.2726999999999999</v>
      </c>
      <c r="F123" s="2">
        <v>2015</v>
      </c>
      <c r="G123" s="2" t="s">
        <v>901</v>
      </c>
      <c r="H123" s="5" t="s">
        <v>39</v>
      </c>
      <c r="I123" s="2" t="s">
        <v>139</v>
      </c>
      <c r="J123" s="2">
        <v>54.655430000000003</v>
      </c>
      <c r="K123" s="2">
        <v>17.111519999999999</v>
      </c>
      <c r="L123" s="2" t="s">
        <v>809</v>
      </c>
      <c r="M123" s="2" t="s">
        <v>138</v>
      </c>
      <c r="N123" s="6" t="s">
        <v>860</v>
      </c>
    </row>
    <row r="124" spans="1:14" ht="15" customHeight="1" x14ac:dyDescent="0.2">
      <c r="A124" s="2">
        <v>1.2</v>
      </c>
      <c r="C124" s="2" t="s">
        <v>98</v>
      </c>
      <c r="D124" s="2">
        <f>A124 * 22.727</f>
        <v>27.272400000000001</v>
      </c>
      <c r="F124" s="2">
        <v>2015</v>
      </c>
      <c r="G124" s="2" t="s">
        <v>901</v>
      </c>
      <c r="H124" s="5" t="s">
        <v>39</v>
      </c>
      <c r="I124" s="2" t="s">
        <v>142</v>
      </c>
      <c r="J124" s="2">
        <v>54.720219999999998</v>
      </c>
      <c r="K124" s="2">
        <v>17.411290000000001</v>
      </c>
      <c r="L124" s="2" t="s">
        <v>809</v>
      </c>
      <c r="M124" s="2" t="s">
        <v>138</v>
      </c>
      <c r="N124" s="6" t="s">
        <v>860</v>
      </c>
    </row>
    <row r="125" spans="1:14" ht="15" customHeight="1" x14ac:dyDescent="0.25">
      <c r="A125" s="2">
        <v>2240</v>
      </c>
      <c r="C125" s="2" t="s">
        <v>248</v>
      </c>
      <c r="D125" s="2">
        <f>A125 * 0.012</f>
        <v>26.88</v>
      </c>
      <c r="F125" s="2">
        <v>1994</v>
      </c>
      <c r="G125" s="38" t="s">
        <v>901</v>
      </c>
      <c r="H125" s="2" t="s">
        <v>68</v>
      </c>
      <c r="I125" s="2" t="s">
        <v>254</v>
      </c>
      <c r="J125" s="2">
        <v>51.0717</v>
      </c>
      <c r="K125" s="2">
        <v>1.0819000000000001</v>
      </c>
      <c r="L125" s="2" t="s">
        <v>255</v>
      </c>
      <c r="M125" s="2" t="s">
        <v>823</v>
      </c>
      <c r="N125" s="36" t="s">
        <v>887</v>
      </c>
    </row>
    <row r="126" spans="1:14" ht="15" customHeight="1" x14ac:dyDescent="0.2">
      <c r="A126" s="2">
        <v>26.31</v>
      </c>
      <c r="C126" s="2" t="s">
        <v>891</v>
      </c>
      <c r="D126" s="2">
        <f>A126</f>
        <v>26.31</v>
      </c>
      <c r="F126" s="2">
        <v>1978</v>
      </c>
      <c r="G126" s="2" t="s">
        <v>901</v>
      </c>
      <c r="H126" s="2" t="s">
        <v>822</v>
      </c>
      <c r="I126" s="2" t="s">
        <v>26</v>
      </c>
      <c r="J126" s="2">
        <v>51.449010000000001</v>
      </c>
      <c r="K126" s="2">
        <v>3.4857999999999998</v>
      </c>
      <c r="N126" s="6" t="s">
        <v>200</v>
      </c>
    </row>
    <row r="127" spans="1:14" ht="15" customHeight="1" x14ac:dyDescent="0.2">
      <c r="A127" s="19">
        <v>1.1511499999999999</v>
      </c>
      <c r="B127" s="19"/>
      <c r="C127" s="2" t="s">
        <v>98</v>
      </c>
      <c r="D127" s="2">
        <f>A127 * 22.727</f>
        <v>26.162186049999999</v>
      </c>
      <c r="F127" s="2" t="s">
        <v>822</v>
      </c>
      <c r="G127" s="2" t="s">
        <v>901</v>
      </c>
      <c r="H127" s="2" t="s">
        <v>822</v>
      </c>
      <c r="I127" s="14" t="s">
        <v>207</v>
      </c>
      <c r="J127" s="15">
        <v>36.527000000000001</v>
      </c>
      <c r="K127" s="16">
        <v>-6.2320000000000002</v>
      </c>
      <c r="L127" s="16"/>
      <c r="M127" s="33" t="s">
        <v>821</v>
      </c>
      <c r="N127" s="17" t="s">
        <v>209</v>
      </c>
    </row>
    <row r="128" spans="1:14" ht="15" customHeight="1" x14ac:dyDescent="0.2">
      <c r="A128" s="2">
        <v>26</v>
      </c>
      <c r="B128" s="2">
        <v>23.5</v>
      </c>
      <c r="C128" s="2" t="s">
        <v>891</v>
      </c>
      <c r="D128" s="2">
        <f>A128</f>
        <v>26</v>
      </c>
      <c r="E128" s="2">
        <f>B128</f>
        <v>23.5</v>
      </c>
      <c r="F128" s="2">
        <v>2020</v>
      </c>
      <c r="G128" s="2" t="s">
        <v>901</v>
      </c>
      <c r="H128" s="2" t="s">
        <v>719</v>
      </c>
      <c r="I128" s="2" t="s">
        <v>27</v>
      </c>
      <c r="J128" s="2">
        <v>53.881092000000002</v>
      </c>
      <c r="K128" s="2">
        <v>9.059844</v>
      </c>
      <c r="L128" s="2" t="s">
        <v>28</v>
      </c>
      <c r="N128" s="9" t="s">
        <v>127</v>
      </c>
    </row>
    <row r="129" spans="1:14" ht="15" customHeight="1" x14ac:dyDescent="0.2">
      <c r="A129" s="31">
        <v>4.7072441680575602E-2</v>
      </c>
      <c r="B129" s="31"/>
      <c r="C129" s="2" t="s">
        <v>892</v>
      </c>
      <c r="D129" s="2">
        <f>A129 * 545.45</f>
        <v>25.675663314669965</v>
      </c>
      <c r="F129" s="2">
        <v>2020</v>
      </c>
      <c r="G129" s="38" t="s">
        <v>901</v>
      </c>
      <c r="H129" s="2" t="s">
        <v>761</v>
      </c>
      <c r="I129" s="31" t="s">
        <v>265</v>
      </c>
      <c r="J129" s="31" t="s">
        <v>822</v>
      </c>
      <c r="K129" s="31" t="s">
        <v>822</v>
      </c>
      <c r="L129" s="2" t="s">
        <v>28</v>
      </c>
      <c r="M129" s="2" t="s">
        <v>824</v>
      </c>
      <c r="N129" s="17" t="s">
        <v>906</v>
      </c>
    </row>
    <row r="130" spans="1:14" ht="15" customHeight="1" x14ac:dyDescent="0.2">
      <c r="A130" s="20">
        <v>1.1236790606653622</v>
      </c>
      <c r="B130" s="20"/>
      <c r="C130" s="2" t="s">
        <v>98</v>
      </c>
      <c r="D130" s="2">
        <f>A130 * 22.727</f>
        <v>25.537854011741686</v>
      </c>
      <c r="F130" s="2" t="s">
        <v>822</v>
      </c>
      <c r="G130" s="2" t="s">
        <v>901</v>
      </c>
      <c r="H130" s="2" t="s">
        <v>822</v>
      </c>
      <c r="I130" s="14" t="s">
        <v>225</v>
      </c>
      <c r="J130" s="16">
        <v>45.453338000000002</v>
      </c>
      <c r="K130" s="16">
        <v>-0.88380800000000004</v>
      </c>
      <c r="L130" s="16"/>
      <c r="M130" s="33" t="s">
        <v>821</v>
      </c>
      <c r="N130" s="17" t="s">
        <v>867</v>
      </c>
    </row>
    <row r="131" spans="1:14" ht="15" customHeight="1" x14ac:dyDescent="0.2">
      <c r="A131" s="2">
        <v>0.41</v>
      </c>
      <c r="C131" s="2" t="s">
        <v>6</v>
      </c>
      <c r="D131" s="2">
        <f>(A131 * 1000000)/ 44.013 / 365</f>
        <v>25.521724745708692</v>
      </c>
      <c r="F131" s="2" t="s">
        <v>693</v>
      </c>
      <c r="G131" s="2" t="s">
        <v>903</v>
      </c>
      <c r="H131" s="2" t="s">
        <v>710</v>
      </c>
      <c r="I131" s="7" t="s">
        <v>31</v>
      </c>
      <c r="J131" s="2">
        <v>45.422319999999999</v>
      </c>
      <c r="K131" s="2">
        <v>-0.82979000000000003</v>
      </c>
      <c r="L131" s="2" t="s">
        <v>32</v>
      </c>
      <c r="N131" s="6" t="s">
        <v>29</v>
      </c>
    </row>
    <row r="132" spans="1:14" ht="15" customHeight="1" x14ac:dyDescent="0.2">
      <c r="A132" s="3">
        <v>25.4</v>
      </c>
      <c r="B132" s="3">
        <v>11.3</v>
      </c>
      <c r="C132" s="3" t="s">
        <v>891</v>
      </c>
      <c r="D132" s="3">
        <f>A132</f>
        <v>25.4</v>
      </c>
      <c r="E132" s="3">
        <f>B132</f>
        <v>11.3</v>
      </c>
      <c r="F132" s="3">
        <v>2006</v>
      </c>
      <c r="G132" s="2" t="s">
        <v>901</v>
      </c>
      <c r="H132" s="27" t="s">
        <v>145</v>
      </c>
      <c r="I132" s="3" t="s">
        <v>146</v>
      </c>
      <c r="J132" s="3" t="s">
        <v>898</v>
      </c>
      <c r="K132" s="3" t="s">
        <v>899</v>
      </c>
      <c r="L132" s="3"/>
      <c r="M132" s="3" t="s">
        <v>151</v>
      </c>
      <c r="N132" s="28" t="s">
        <v>888</v>
      </c>
    </row>
    <row r="133" spans="1:14" ht="15" customHeight="1" x14ac:dyDescent="0.2">
      <c r="A133" s="2">
        <v>1.1000000000000001</v>
      </c>
      <c r="B133" s="2">
        <v>0.1</v>
      </c>
      <c r="C133" s="2" t="s">
        <v>98</v>
      </c>
      <c r="D133" s="2">
        <f>A133 * 22.727</f>
        <v>24.999700000000001</v>
      </c>
      <c r="E133" s="2">
        <f>B133 * 22.727</f>
        <v>2.2726999999999999</v>
      </c>
      <c r="F133" s="2">
        <v>2015</v>
      </c>
      <c r="G133" s="2" t="s">
        <v>901</v>
      </c>
      <c r="H133" s="5" t="s">
        <v>39</v>
      </c>
      <c r="I133" s="2" t="s">
        <v>140</v>
      </c>
      <c r="J133" s="2">
        <v>54.273189000000002</v>
      </c>
      <c r="K133" s="2">
        <v>16.145195999999999</v>
      </c>
      <c r="L133" s="2" t="s">
        <v>809</v>
      </c>
      <c r="M133" s="2" t="s">
        <v>138</v>
      </c>
      <c r="N133" s="6" t="s">
        <v>860</v>
      </c>
    </row>
    <row r="134" spans="1:14" ht="15" customHeight="1" x14ac:dyDescent="0.2">
      <c r="A134" s="3">
        <v>24.6</v>
      </c>
      <c r="B134" s="3">
        <v>23.47</v>
      </c>
      <c r="C134" s="3" t="s">
        <v>891</v>
      </c>
      <c r="D134" s="3">
        <f>A134</f>
        <v>24.6</v>
      </c>
      <c r="E134" s="3">
        <f>B134</f>
        <v>23.47</v>
      </c>
      <c r="F134" s="3">
        <v>2019</v>
      </c>
      <c r="G134" s="3"/>
      <c r="H134" s="3" t="s">
        <v>128</v>
      </c>
      <c r="I134" s="3" t="s">
        <v>183</v>
      </c>
      <c r="J134" s="3"/>
      <c r="K134" s="3"/>
      <c r="L134" s="3" t="s">
        <v>82</v>
      </c>
      <c r="M134" s="3" t="s">
        <v>815</v>
      </c>
      <c r="N134" s="28" t="s">
        <v>889</v>
      </c>
    </row>
    <row r="135" spans="1:14" ht="15" customHeight="1" x14ac:dyDescent="0.2">
      <c r="A135" s="31">
        <v>4.5006010584674599E-2</v>
      </c>
      <c r="B135" s="31"/>
      <c r="C135" s="2" t="s">
        <v>892</v>
      </c>
      <c r="D135" s="2">
        <f>A135 * 545.45</f>
        <v>24.548528473410762</v>
      </c>
      <c r="F135" s="2">
        <v>2020</v>
      </c>
      <c r="G135" s="38" t="s">
        <v>901</v>
      </c>
      <c r="H135" s="2" t="s">
        <v>735</v>
      </c>
      <c r="I135" s="31" t="s">
        <v>256</v>
      </c>
      <c r="J135" s="31">
        <v>54.371099999999998</v>
      </c>
      <c r="K135" s="31">
        <v>13.2446</v>
      </c>
      <c r="L135" s="2" t="s">
        <v>28</v>
      </c>
      <c r="M135" s="2" t="s">
        <v>824</v>
      </c>
      <c r="N135" s="17" t="s">
        <v>906</v>
      </c>
    </row>
    <row r="136" spans="1:14" ht="15" customHeight="1" x14ac:dyDescent="0.2">
      <c r="A136" s="31">
        <v>4.34053132058752E-2</v>
      </c>
      <c r="B136" s="31"/>
      <c r="C136" s="2" t="s">
        <v>892</v>
      </c>
      <c r="D136" s="2">
        <f>A136 * 545.45</f>
        <v>23.675428088144631</v>
      </c>
      <c r="F136" s="2">
        <v>2020</v>
      </c>
      <c r="G136" s="38" t="s">
        <v>901</v>
      </c>
      <c r="H136" s="2" t="s">
        <v>731</v>
      </c>
      <c r="I136" s="31" t="s">
        <v>267</v>
      </c>
      <c r="J136" s="31" t="s">
        <v>822</v>
      </c>
      <c r="K136" s="31" t="s">
        <v>822</v>
      </c>
      <c r="L136" s="2" t="s">
        <v>28</v>
      </c>
      <c r="M136" s="2" t="s">
        <v>824</v>
      </c>
      <c r="N136" s="17" t="s">
        <v>906</v>
      </c>
    </row>
    <row r="137" spans="1:14" ht="15" customHeight="1" x14ac:dyDescent="0.2">
      <c r="A137" s="31">
        <v>4.2766073351915103E-2</v>
      </c>
      <c r="B137" s="31"/>
      <c r="C137" s="2" t="s">
        <v>892</v>
      </c>
      <c r="D137" s="2">
        <f>A137 * 545.45</f>
        <v>23.326754709802096</v>
      </c>
      <c r="F137" s="2">
        <v>2020</v>
      </c>
      <c r="G137" s="38" t="s">
        <v>901</v>
      </c>
      <c r="H137" s="2" t="s">
        <v>760</v>
      </c>
      <c r="I137" s="31" t="s">
        <v>270</v>
      </c>
      <c r="J137" s="31" t="s">
        <v>822</v>
      </c>
      <c r="K137" s="31" t="s">
        <v>822</v>
      </c>
      <c r="L137" s="2" t="s">
        <v>28</v>
      </c>
      <c r="M137" s="2" t="s">
        <v>824</v>
      </c>
      <c r="N137" s="17" t="s">
        <v>906</v>
      </c>
    </row>
    <row r="138" spans="1:14" ht="15" customHeight="1" x14ac:dyDescent="0.2">
      <c r="A138" s="31">
        <v>4.2456968774741803E-2</v>
      </c>
      <c r="B138" s="31"/>
      <c r="C138" s="2" t="s">
        <v>892</v>
      </c>
      <c r="D138" s="2">
        <f>A138 * 545.45</f>
        <v>23.158153618182919</v>
      </c>
      <c r="F138" s="2">
        <v>2020</v>
      </c>
      <c r="G138" s="38" t="s">
        <v>901</v>
      </c>
      <c r="H138" s="2" t="s">
        <v>760</v>
      </c>
      <c r="I138" s="31" t="s">
        <v>267</v>
      </c>
      <c r="J138" s="31" t="s">
        <v>822</v>
      </c>
      <c r="K138" s="31" t="s">
        <v>822</v>
      </c>
      <c r="L138" s="2" t="s">
        <v>28</v>
      </c>
      <c r="M138" s="2" t="s">
        <v>824</v>
      </c>
      <c r="N138" s="17" t="s">
        <v>906</v>
      </c>
    </row>
    <row r="139" spans="1:14" ht="15" customHeight="1" x14ac:dyDescent="0.25">
      <c r="A139" s="2">
        <v>1927</v>
      </c>
      <c r="C139" s="2" t="s">
        <v>248</v>
      </c>
      <c r="D139" s="2">
        <f>A139 * 0.012</f>
        <v>23.123999999999999</v>
      </c>
      <c r="F139" s="2">
        <v>1995</v>
      </c>
      <c r="G139" s="38" t="s">
        <v>901</v>
      </c>
      <c r="H139" s="2" t="s">
        <v>250</v>
      </c>
      <c r="I139" s="2" t="s">
        <v>253</v>
      </c>
      <c r="J139" s="2">
        <v>51.859200000000001</v>
      </c>
      <c r="K139" s="2">
        <v>0.95989999999999998</v>
      </c>
      <c r="L139" s="2" t="s">
        <v>255</v>
      </c>
      <c r="M139" s="2" t="s">
        <v>823</v>
      </c>
      <c r="N139" s="36" t="s">
        <v>887</v>
      </c>
    </row>
    <row r="140" spans="1:14" ht="15" customHeight="1" x14ac:dyDescent="0.2">
      <c r="A140" s="20">
        <v>1.0009999999999999</v>
      </c>
      <c r="B140" s="20"/>
      <c r="C140" s="2" t="s">
        <v>98</v>
      </c>
      <c r="D140" s="2">
        <f>A140 * 22.727</f>
        <v>22.749726999999996</v>
      </c>
      <c r="F140" s="2" t="s">
        <v>822</v>
      </c>
      <c r="G140" s="2" t="s">
        <v>901</v>
      </c>
      <c r="H140" s="2" t="s">
        <v>822</v>
      </c>
      <c r="I140" s="14" t="s">
        <v>231</v>
      </c>
      <c r="J140" s="16">
        <v>56.942777999999997</v>
      </c>
      <c r="K140" s="16">
        <v>9.0749999999999993</v>
      </c>
      <c r="L140" s="16"/>
      <c r="M140" s="33" t="s">
        <v>821</v>
      </c>
      <c r="N140" s="6" t="s">
        <v>875</v>
      </c>
    </row>
    <row r="141" spans="1:14" ht="15" customHeight="1" x14ac:dyDescent="0.2">
      <c r="A141" s="2">
        <v>1</v>
      </c>
      <c r="B141" s="2">
        <v>0.2</v>
      </c>
      <c r="C141" s="2" t="s">
        <v>98</v>
      </c>
      <c r="D141" s="2">
        <f>A141 * 22.727</f>
        <v>22.727</v>
      </c>
      <c r="E141" s="2">
        <f>B141 * 22.727</f>
        <v>4.5453999999999999</v>
      </c>
      <c r="F141" s="4" t="s">
        <v>697</v>
      </c>
      <c r="G141" s="2" t="s">
        <v>903</v>
      </c>
      <c r="H141" s="2" t="s">
        <v>99</v>
      </c>
      <c r="I141" s="2" t="s">
        <v>100</v>
      </c>
      <c r="J141" s="2">
        <v>64.860005000000001</v>
      </c>
      <c r="K141" s="2">
        <v>25.351938000000001</v>
      </c>
      <c r="L141" s="2" t="s">
        <v>101</v>
      </c>
      <c r="N141" s="6" t="s">
        <v>858</v>
      </c>
    </row>
    <row r="142" spans="1:14" ht="15" customHeight="1" x14ac:dyDescent="0.2">
      <c r="A142" s="2">
        <v>1</v>
      </c>
      <c r="C142" s="2" t="s">
        <v>98</v>
      </c>
      <c r="D142" s="2">
        <f>A142 * 22.727</f>
        <v>22.727</v>
      </c>
      <c r="F142" s="2">
        <v>2015</v>
      </c>
      <c r="G142" s="2" t="s">
        <v>901</v>
      </c>
      <c r="H142" s="5" t="s">
        <v>72</v>
      </c>
      <c r="I142" s="2" t="s">
        <v>139</v>
      </c>
      <c r="J142" s="2">
        <v>54.655430000000003</v>
      </c>
      <c r="K142" s="2">
        <v>17.111519999999999</v>
      </c>
      <c r="L142" s="2" t="s">
        <v>809</v>
      </c>
      <c r="M142" s="2" t="s">
        <v>138</v>
      </c>
      <c r="N142" s="6" t="s">
        <v>860</v>
      </c>
    </row>
    <row r="143" spans="1:14" ht="15" customHeight="1" x14ac:dyDescent="0.2">
      <c r="A143" s="2">
        <v>1</v>
      </c>
      <c r="B143" s="2">
        <v>0.1</v>
      </c>
      <c r="C143" s="2" t="s">
        <v>98</v>
      </c>
      <c r="D143" s="2">
        <f>A143 * 22.727</f>
        <v>22.727</v>
      </c>
      <c r="E143" s="2">
        <f>B143 * 22.727</f>
        <v>2.2726999999999999</v>
      </c>
      <c r="F143" s="2">
        <v>2015</v>
      </c>
      <c r="G143" s="2" t="s">
        <v>901</v>
      </c>
      <c r="H143" s="5" t="s">
        <v>39</v>
      </c>
      <c r="I143" s="2" t="s">
        <v>137</v>
      </c>
      <c r="J143" s="2">
        <v>54.347296999999998</v>
      </c>
      <c r="K143" s="2">
        <v>16.279091999999999</v>
      </c>
      <c r="L143" s="2" t="s">
        <v>809</v>
      </c>
      <c r="M143" s="2" t="s">
        <v>138</v>
      </c>
      <c r="N143" s="6" t="s">
        <v>860</v>
      </c>
    </row>
    <row r="144" spans="1:14" ht="15" customHeight="1" x14ac:dyDescent="0.2">
      <c r="A144" s="2">
        <v>1</v>
      </c>
      <c r="B144" s="2">
        <v>0.1</v>
      </c>
      <c r="C144" s="2" t="s">
        <v>98</v>
      </c>
      <c r="D144" s="2">
        <f>A144 * 22.727</f>
        <v>22.727</v>
      </c>
      <c r="E144" s="2">
        <f>B144 * 22.727</f>
        <v>2.2726999999999999</v>
      </c>
      <c r="F144" s="2">
        <v>2015</v>
      </c>
      <c r="G144" s="2" t="s">
        <v>901</v>
      </c>
      <c r="H144" s="5" t="s">
        <v>39</v>
      </c>
      <c r="I144" s="2" t="s">
        <v>144</v>
      </c>
      <c r="J144" s="2">
        <v>54.540149999999997</v>
      </c>
      <c r="K144" s="2">
        <v>16.627939999999999</v>
      </c>
      <c r="L144" s="2" t="s">
        <v>809</v>
      </c>
      <c r="M144" s="2" t="s">
        <v>138</v>
      </c>
      <c r="N144" s="6" t="s">
        <v>860</v>
      </c>
    </row>
    <row r="145" spans="1:14" ht="15" customHeight="1" x14ac:dyDescent="0.2">
      <c r="A145" s="31">
        <v>4.1095647687793002E-2</v>
      </c>
      <c r="B145" s="31"/>
      <c r="C145" s="2" t="s">
        <v>892</v>
      </c>
      <c r="D145" s="2">
        <f>A145 * 545.45</f>
        <v>22.415621031306696</v>
      </c>
      <c r="F145" s="2">
        <v>2020</v>
      </c>
      <c r="G145" s="38" t="s">
        <v>901</v>
      </c>
      <c r="H145" s="2" t="s">
        <v>735</v>
      </c>
      <c r="I145" s="31" t="s">
        <v>259</v>
      </c>
      <c r="J145" s="31">
        <v>54.373600000000003</v>
      </c>
      <c r="K145" s="31">
        <v>13.239800000000001</v>
      </c>
      <c r="L145" s="2" t="s">
        <v>28</v>
      </c>
      <c r="M145" s="2" t="s">
        <v>824</v>
      </c>
      <c r="N145" s="17" t="s">
        <v>906</v>
      </c>
    </row>
    <row r="146" spans="1:14" ht="15" customHeight="1" x14ac:dyDescent="0.2">
      <c r="A146" s="31">
        <v>4.0641941176556298E-2</v>
      </c>
      <c r="B146" s="31"/>
      <c r="C146" s="2" t="s">
        <v>892</v>
      </c>
      <c r="D146" s="2">
        <f>A146 * 545.45</f>
        <v>22.168146814752635</v>
      </c>
      <c r="F146" s="2">
        <v>2020</v>
      </c>
      <c r="G146" s="38" t="s">
        <v>901</v>
      </c>
      <c r="H146" s="2" t="s">
        <v>760</v>
      </c>
      <c r="I146" s="31" t="s">
        <v>268</v>
      </c>
      <c r="J146" s="31" t="s">
        <v>822</v>
      </c>
      <c r="K146" s="31" t="s">
        <v>822</v>
      </c>
      <c r="L146" s="2" t="s">
        <v>28</v>
      </c>
      <c r="M146" s="2" t="s">
        <v>824</v>
      </c>
      <c r="N146" s="17" t="s">
        <v>906</v>
      </c>
    </row>
    <row r="147" spans="1:14" ht="15" customHeight="1" x14ac:dyDescent="0.2">
      <c r="A147" s="31">
        <v>3.9961180228361697E-2</v>
      </c>
      <c r="B147" s="31"/>
      <c r="C147" s="2" t="s">
        <v>892</v>
      </c>
      <c r="D147" s="2">
        <f>A147 * 545.45</f>
        <v>21.79682575555989</v>
      </c>
      <c r="F147" s="2">
        <v>2020</v>
      </c>
      <c r="G147" s="38" t="s">
        <v>901</v>
      </c>
      <c r="H147" s="2" t="s">
        <v>760</v>
      </c>
      <c r="I147" s="31" t="s">
        <v>263</v>
      </c>
      <c r="J147" s="31" t="s">
        <v>822</v>
      </c>
      <c r="K147" s="31" t="s">
        <v>822</v>
      </c>
      <c r="L147" s="2" t="s">
        <v>28</v>
      </c>
      <c r="M147" s="2" t="s">
        <v>824</v>
      </c>
      <c r="N147" s="17" t="s">
        <v>906</v>
      </c>
    </row>
    <row r="148" spans="1:14" ht="15" customHeight="1" x14ac:dyDescent="0.2">
      <c r="A148" s="31">
        <v>3.9297571974781502E-2</v>
      </c>
      <c r="B148" s="31"/>
      <c r="C148" s="2" t="s">
        <v>892</v>
      </c>
      <c r="D148" s="2">
        <f>A148 * 545.45</f>
        <v>21.434860633644572</v>
      </c>
      <c r="F148" s="2">
        <v>2020</v>
      </c>
      <c r="G148" s="38" t="s">
        <v>901</v>
      </c>
      <c r="H148" s="2" t="s">
        <v>760</v>
      </c>
      <c r="I148" s="31" t="s">
        <v>266</v>
      </c>
      <c r="J148" s="31" t="s">
        <v>822</v>
      </c>
      <c r="K148" s="31" t="s">
        <v>822</v>
      </c>
      <c r="L148" s="2" t="s">
        <v>28</v>
      </c>
      <c r="M148" s="2" t="s">
        <v>824</v>
      </c>
      <c r="N148" s="17" t="s">
        <v>906</v>
      </c>
    </row>
    <row r="149" spans="1:14" ht="15" customHeight="1" x14ac:dyDescent="0.2">
      <c r="A149" s="31">
        <v>3.9086835702090303E-2</v>
      </c>
      <c r="B149" s="31"/>
      <c r="C149" s="2" t="s">
        <v>892</v>
      </c>
      <c r="D149" s="2">
        <f>A149 * 545.45</f>
        <v>21.319914533705159</v>
      </c>
      <c r="F149" s="2">
        <v>2020</v>
      </c>
      <c r="G149" s="38" t="s">
        <v>901</v>
      </c>
      <c r="H149" s="2" t="s">
        <v>760</v>
      </c>
      <c r="I149" s="31" t="s">
        <v>265</v>
      </c>
      <c r="J149" s="31" t="s">
        <v>822</v>
      </c>
      <c r="K149" s="31" t="s">
        <v>822</v>
      </c>
      <c r="L149" s="2" t="s">
        <v>28</v>
      </c>
      <c r="M149" s="2" t="s">
        <v>824</v>
      </c>
      <c r="N149" s="17" t="s">
        <v>906</v>
      </c>
    </row>
    <row r="150" spans="1:14" ht="15" customHeight="1" x14ac:dyDescent="0.2">
      <c r="A150" s="2">
        <v>0.33</v>
      </c>
      <c r="C150" s="2" t="s">
        <v>6</v>
      </c>
      <c r="D150" s="2">
        <f>(A150 * 1000000)/ 44.013 / 365</f>
        <v>20.541876014838707</v>
      </c>
      <c r="F150" s="2" t="s">
        <v>689</v>
      </c>
      <c r="G150" s="2" t="s">
        <v>903</v>
      </c>
      <c r="H150" s="2" t="s">
        <v>707</v>
      </c>
      <c r="I150" s="2" t="s">
        <v>18</v>
      </c>
      <c r="J150" s="2">
        <v>51.946067999999997</v>
      </c>
      <c r="K150" s="2">
        <v>1.2998339999999999</v>
      </c>
      <c r="L150" s="2" t="s">
        <v>8</v>
      </c>
      <c r="N150" s="6" t="s">
        <v>17</v>
      </c>
    </row>
    <row r="151" spans="1:14" ht="15" customHeight="1" x14ac:dyDescent="0.2">
      <c r="A151" s="2">
        <v>0.9</v>
      </c>
      <c r="B151" s="2">
        <v>0.1</v>
      </c>
      <c r="C151" s="2" t="s">
        <v>98</v>
      </c>
      <c r="D151" s="2">
        <f>A151 * 22.727</f>
        <v>20.4543</v>
      </c>
      <c r="E151" s="2">
        <f>B151 * 22.727</f>
        <v>2.2726999999999999</v>
      </c>
      <c r="F151" s="2">
        <v>2015</v>
      </c>
      <c r="G151" s="2" t="s">
        <v>901</v>
      </c>
      <c r="H151" s="5" t="s">
        <v>72</v>
      </c>
      <c r="I151" s="2" t="s">
        <v>142</v>
      </c>
      <c r="J151" s="2">
        <v>54.720219999999998</v>
      </c>
      <c r="K151" s="2">
        <v>17.411290000000001</v>
      </c>
      <c r="L151" s="2" t="s">
        <v>809</v>
      </c>
      <c r="M151" s="2" t="s">
        <v>138</v>
      </c>
      <c r="N151" s="6" t="s">
        <v>860</v>
      </c>
    </row>
    <row r="152" spans="1:14" ht="15" customHeight="1" x14ac:dyDescent="0.2">
      <c r="A152" s="2">
        <v>0.9</v>
      </c>
      <c r="C152" s="2" t="s">
        <v>98</v>
      </c>
      <c r="D152" s="2">
        <f>A152 * 22.727</f>
        <v>20.4543</v>
      </c>
      <c r="F152" s="2">
        <v>2015</v>
      </c>
      <c r="G152" s="2" t="s">
        <v>901</v>
      </c>
      <c r="H152" s="5" t="s">
        <v>39</v>
      </c>
      <c r="I152" s="2" t="s">
        <v>143</v>
      </c>
      <c r="J152" s="2">
        <v>54.144829999999999</v>
      </c>
      <c r="K152" s="2">
        <v>15.369590000000001</v>
      </c>
      <c r="L152" s="2" t="s">
        <v>809</v>
      </c>
      <c r="M152" s="2" t="s">
        <v>138</v>
      </c>
      <c r="N152" s="6" t="s">
        <v>860</v>
      </c>
    </row>
    <row r="153" spans="1:14" ht="15" customHeight="1" x14ac:dyDescent="0.2">
      <c r="A153" s="31">
        <v>3.6129963648774598E-2</v>
      </c>
      <c r="B153" s="31"/>
      <c r="C153" s="2" t="s">
        <v>892</v>
      </c>
      <c r="D153" s="2">
        <f>A153 * 545.45</f>
        <v>19.707088672224106</v>
      </c>
      <c r="F153" s="2">
        <v>2020</v>
      </c>
      <c r="G153" s="38" t="s">
        <v>901</v>
      </c>
      <c r="H153" s="2" t="s">
        <v>760</v>
      </c>
      <c r="I153" s="31" t="s">
        <v>264</v>
      </c>
      <c r="J153" s="31" t="s">
        <v>822</v>
      </c>
      <c r="K153" s="31" t="s">
        <v>822</v>
      </c>
      <c r="L153" s="2" t="s">
        <v>28</v>
      </c>
      <c r="M153" s="2" t="s">
        <v>824</v>
      </c>
      <c r="N153" s="17" t="s">
        <v>906</v>
      </c>
    </row>
    <row r="154" spans="1:14" ht="15" customHeight="1" x14ac:dyDescent="0.2">
      <c r="A154" s="31">
        <v>3.5923453658485198E-2</v>
      </c>
      <c r="B154" s="31"/>
      <c r="C154" s="2" t="s">
        <v>892</v>
      </c>
      <c r="D154" s="2">
        <f>A154 * 545.45</f>
        <v>19.594447798020752</v>
      </c>
      <c r="F154" s="2">
        <v>2020</v>
      </c>
      <c r="G154" s="38" t="s">
        <v>901</v>
      </c>
      <c r="H154" s="2" t="s">
        <v>761</v>
      </c>
      <c r="I154" s="31" t="s">
        <v>267</v>
      </c>
      <c r="J154" s="31" t="s">
        <v>822</v>
      </c>
      <c r="K154" s="31" t="s">
        <v>822</v>
      </c>
      <c r="L154" s="2" t="s">
        <v>28</v>
      </c>
      <c r="M154" s="2" t="s">
        <v>824</v>
      </c>
      <c r="N154" s="17" t="s">
        <v>906</v>
      </c>
    </row>
    <row r="155" spans="1:14" ht="15" customHeight="1" x14ac:dyDescent="0.2">
      <c r="A155" s="20">
        <v>0.83148172777112794</v>
      </c>
      <c r="B155" s="20"/>
      <c r="C155" s="2" t="s">
        <v>98</v>
      </c>
      <c r="D155" s="2">
        <f>A155 * 22.727</f>
        <v>18.897085227054426</v>
      </c>
      <c r="F155" s="2" t="s">
        <v>822</v>
      </c>
      <c r="G155" s="2" t="s">
        <v>901</v>
      </c>
      <c r="H155" s="2" t="s">
        <v>822</v>
      </c>
      <c r="I155" s="14" t="s">
        <v>214</v>
      </c>
      <c r="J155" s="16">
        <v>52.002000000000002</v>
      </c>
      <c r="K155" s="16">
        <v>1.377</v>
      </c>
      <c r="L155" s="16"/>
      <c r="M155" s="33" t="s">
        <v>821</v>
      </c>
      <c r="N155" s="17" t="s">
        <v>246</v>
      </c>
    </row>
    <row r="156" spans="1:14" ht="15" customHeight="1" x14ac:dyDescent="0.2">
      <c r="A156" s="31">
        <v>3.4191539691741997E-2</v>
      </c>
      <c r="B156" s="31"/>
      <c r="C156" s="2" t="s">
        <v>892</v>
      </c>
      <c r="D156" s="2">
        <f>A156 * 545.45</f>
        <v>18.649775324860673</v>
      </c>
      <c r="F156" s="2">
        <v>2020</v>
      </c>
      <c r="G156" s="38" t="s">
        <v>901</v>
      </c>
      <c r="H156" s="2" t="s">
        <v>735</v>
      </c>
      <c r="I156" s="31" t="s">
        <v>258</v>
      </c>
      <c r="J156" s="31">
        <v>54.371299999999998</v>
      </c>
      <c r="K156" s="31">
        <v>13.2438</v>
      </c>
      <c r="L156" s="2" t="s">
        <v>28</v>
      </c>
      <c r="M156" s="2" t="s">
        <v>824</v>
      </c>
      <c r="N156" s="17" t="s">
        <v>906</v>
      </c>
    </row>
    <row r="157" spans="1:14" ht="15" customHeight="1" x14ac:dyDescent="0.2">
      <c r="A157" s="31">
        <v>3.4103564605361097E-2</v>
      </c>
      <c r="B157" s="31"/>
      <c r="C157" s="2" t="s">
        <v>892</v>
      </c>
      <c r="D157" s="2">
        <f>A157 * 545.45</f>
        <v>18.601789313994214</v>
      </c>
      <c r="F157" s="2">
        <v>2019</v>
      </c>
      <c r="G157" s="38" t="s">
        <v>901</v>
      </c>
      <c r="H157" s="2" t="s">
        <v>725</v>
      </c>
      <c r="I157" s="31" t="s">
        <v>257</v>
      </c>
      <c r="J157" s="31">
        <v>54.371699999999997</v>
      </c>
      <c r="K157" s="31">
        <v>13.239599999999999</v>
      </c>
      <c r="L157" s="2" t="s">
        <v>28</v>
      </c>
      <c r="M157" s="2" t="s">
        <v>824</v>
      </c>
      <c r="N157" s="17" t="s">
        <v>906</v>
      </c>
    </row>
    <row r="158" spans="1:14" ht="15" customHeight="1" x14ac:dyDescent="0.2">
      <c r="A158" s="2">
        <v>18.600000000000001</v>
      </c>
      <c r="C158" s="2" t="s">
        <v>891</v>
      </c>
      <c r="D158" s="2">
        <f>A158</f>
        <v>18.600000000000001</v>
      </c>
      <c r="F158" s="2">
        <v>2020</v>
      </c>
      <c r="G158" s="2" t="s">
        <v>902</v>
      </c>
      <c r="H158" s="2" t="s">
        <v>131</v>
      </c>
      <c r="I158" s="2" t="s">
        <v>129</v>
      </c>
      <c r="J158" s="2">
        <v>37.002890000000001</v>
      </c>
      <c r="K158" s="2">
        <v>-7.9844799999999996</v>
      </c>
      <c r="L158" s="2" t="s">
        <v>82</v>
      </c>
      <c r="M158" s="2" t="s">
        <v>136</v>
      </c>
      <c r="N158" s="6" t="s">
        <v>199</v>
      </c>
    </row>
    <row r="159" spans="1:14" ht="15" customHeight="1" x14ac:dyDescent="0.2">
      <c r="A159" s="2">
        <v>18.489999999999998</v>
      </c>
      <c r="C159" s="2" t="s">
        <v>891</v>
      </c>
      <c r="D159" s="2">
        <f>A159</f>
        <v>18.489999999999998</v>
      </c>
      <c r="F159" s="2">
        <v>1978</v>
      </c>
      <c r="G159" s="2" t="s">
        <v>901</v>
      </c>
      <c r="H159" s="2" t="s">
        <v>822</v>
      </c>
      <c r="I159" s="2" t="s">
        <v>26</v>
      </c>
      <c r="J159" s="2">
        <v>51.454517000000003</v>
      </c>
      <c r="K159" s="2">
        <v>3.4420120000000001</v>
      </c>
      <c r="N159" s="6" t="s">
        <v>808</v>
      </c>
    </row>
    <row r="160" spans="1:14" ht="15" customHeight="1" x14ac:dyDescent="0.2">
      <c r="A160" s="31">
        <v>3.2226156679851098E-2</v>
      </c>
      <c r="B160" s="31"/>
      <c r="C160" s="2" t="s">
        <v>892</v>
      </c>
      <c r="D160" s="2">
        <f>A160 * 545.45</f>
        <v>17.577757161024781</v>
      </c>
      <c r="F160" s="2">
        <v>2020</v>
      </c>
      <c r="G160" s="38" t="s">
        <v>901</v>
      </c>
      <c r="H160" s="2" t="s">
        <v>735</v>
      </c>
      <c r="I160" s="31" t="s">
        <v>261</v>
      </c>
      <c r="J160" s="31">
        <v>54.372100000000003</v>
      </c>
      <c r="K160" s="31">
        <v>13.242699999999999</v>
      </c>
      <c r="L160" s="2" t="s">
        <v>28</v>
      </c>
      <c r="M160" s="2" t="s">
        <v>824</v>
      </c>
      <c r="N160" s="17" t="s">
        <v>906</v>
      </c>
    </row>
    <row r="161" spans="1:14" ht="15" customHeight="1" x14ac:dyDescent="0.2">
      <c r="A161" s="31">
        <v>3.1957307328646503E-2</v>
      </c>
      <c r="B161" s="31"/>
      <c r="C161" s="2" t="s">
        <v>892</v>
      </c>
      <c r="D161" s="2">
        <f>A161 * 545.45</f>
        <v>17.431113282410237</v>
      </c>
      <c r="F161" s="2">
        <v>2020</v>
      </c>
      <c r="G161" s="38" t="s">
        <v>901</v>
      </c>
      <c r="H161" s="2" t="s">
        <v>761</v>
      </c>
      <c r="I161" s="31" t="s">
        <v>266</v>
      </c>
      <c r="J161" s="31" t="s">
        <v>822</v>
      </c>
      <c r="K161" s="31" t="s">
        <v>822</v>
      </c>
      <c r="L161" s="2" t="s">
        <v>28</v>
      </c>
      <c r="M161" s="2" t="s">
        <v>824</v>
      </c>
      <c r="N161" s="17" t="s">
        <v>906</v>
      </c>
    </row>
    <row r="162" spans="1:14" ht="15" customHeight="1" x14ac:dyDescent="0.2">
      <c r="A162" s="31">
        <v>3.0628980725671901E-2</v>
      </c>
      <c r="B162" s="31"/>
      <c r="C162" s="2" t="s">
        <v>892</v>
      </c>
      <c r="D162" s="2">
        <f>A162 * 545.45</f>
        <v>16.70657753681774</v>
      </c>
      <c r="F162" s="2">
        <v>2020</v>
      </c>
      <c r="G162" s="38" t="s">
        <v>901</v>
      </c>
      <c r="H162" s="2" t="s">
        <v>729</v>
      </c>
      <c r="I162" s="31" t="s">
        <v>259</v>
      </c>
      <c r="J162" s="31">
        <v>54.373600000000003</v>
      </c>
      <c r="K162" s="31">
        <v>13.239800000000001</v>
      </c>
      <c r="L162" s="2" t="s">
        <v>28</v>
      </c>
      <c r="M162" s="2" t="s">
        <v>824</v>
      </c>
      <c r="N162" s="17" t="s">
        <v>906</v>
      </c>
    </row>
    <row r="163" spans="1:14" ht="15" customHeight="1" x14ac:dyDescent="0.2">
      <c r="A163" s="31">
        <v>3.0531566742803599E-2</v>
      </c>
      <c r="B163" s="31"/>
      <c r="C163" s="2" t="s">
        <v>892</v>
      </c>
      <c r="D163" s="2">
        <f>A163 * 545.45</f>
        <v>16.653443079862225</v>
      </c>
      <c r="F163" s="2">
        <v>2020</v>
      </c>
      <c r="G163" s="38" t="s">
        <v>901</v>
      </c>
      <c r="H163" s="2" t="s">
        <v>761</v>
      </c>
      <c r="I163" s="31" t="s">
        <v>270</v>
      </c>
      <c r="J163" s="31" t="s">
        <v>822</v>
      </c>
      <c r="K163" s="31" t="s">
        <v>822</v>
      </c>
      <c r="L163" s="2" t="s">
        <v>28</v>
      </c>
      <c r="M163" s="2" t="s">
        <v>824</v>
      </c>
      <c r="N163" s="17" t="s">
        <v>906</v>
      </c>
    </row>
    <row r="164" spans="1:14" ht="15" customHeight="1" x14ac:dyDescent="0.2">
      <c r="A164" s="31">
        <v>3.0083698734270199E-2</v>
      </c>
      <c r="B164" s="31"/>
      <c r="C164" s="2" t="s">
        <v>892</v>
      </c>
      <c r="D164" s="2">
        <f>A164 * 545.45</f>
        <v>16.409153474607681</v>
      </c>
      <c r="F164" s="2">
        <v>2020</v>
      </c>
      <c r="G164" s="38" t="s">
        <v>901</v>
      </c>
      <c r="H164" s="2" t="s">
        <v>737</v>
      </c>
      <c r="I164" s="31" t="s">
        <v>256</v>
      </c>
      <c r="J164" s="31">
        <v>54.371099999999998</v>
      </c>
      <c r="K164" s="31">
        <v>13.2446</v>
      </c>
      <c r="L164" s="2" t="s">
        <v>28</v>
      </c>
      <c r="M164" s="2" t="s">
        <v>824</v>
      </c>
      <c r="N164" s="17" t="s">
        <v>906</v>
      </c>
    </row>
    <row r="165" spans="1:14" ht="15" customHeight="1" x14ac:dyDescent="0.2">
      <c r="A165" s="2">
        <v>16.34</v>
      </c>
      <c r="C165" s="2" t="s">
        <v>891</v>
      </c>
      <c r="D165" s="2">
        <f>A165</f>
        <v>16.34</v>
      </c>
      <c r="F165" s="2">
        <v>1993</v>
      </c>
      <c r="G165" s="2" t="s">
        <v>901</v>
      </c>
      <c r="H165" s="2" t="s">
        <v>822</v>
      </c>
      <c r="I165" s="2" t="s">
        <v>26</v>
      </c>
      <c r="J165" s="2">
        <v>51.375351000000002</v>
      </c>
      <c r="K165" s="2">
        <v>3.833933</v>
      </c>
      <c r="N165" s="6" t="s">
        <v>200</v>
      </c>
    </row>
    <row r="166" spans="1:14" ht="15" customHeight="1" x14ac:dyDescent="0.2">
      <c r="A166" s="31">
        <v>2.97829511104327E-2</v>
      </c>
      <c r="B166" s="31"/>
      <c r="C166" s="2" t="s">
        <v>892</v>
      </c>
      <c r="D166" s="2">
        <f>A166 * 545.45</f>
        <v>16.245110683185516</v>
      </c>
      <c r="F166" s="2">
        <v>2020</v>
      </c>
      <c r="G166" s="38" t="s">
        <v>901</v>
      </c>
      <c r="H166" s="2" t="s">
        <v>737</v>
      </c>
      <c r="I166" s="31" t="s">
        <v>258</v>
      </c>
      <c r="J166" s="31">
        <v>54.371299999999998</v>
      </c>
      <c r="K166" s="31">
        <v>13.2438</v>
      </c>
      <c r="L166" s="2" t="s">
        <v>28</v>
      </c>
      <c r="M166" s="2" t="s">
        <v>824</v>
      </c>
      <c r="N166" s="17" t="s">
        <v>906</v>
      </c>
    </row>
    <row r="167" spans="1:14" ht="15" customHeight="1" x14ac:dyDescent="0.2">
      <c r="A167" s="31">
        <v>2.9214469440839299E-2</v>
      </c>
      <c r="B167" s="31"/>
      <c r="C167" s="2" t="s">
        <v>892</v>
      </c>
      <c r="D167" s="2">
        <f>A167 * 545.45</f>
        <v>15.935032356505797</v>
      </c>
      <c r="F167" s="2">
        <v>2020</v>
      </c>
      <c r="G167" s="38" t="s">
        <v>901</v>
      </c>
      <c r="H167" s="2" t="s">
        <v>739</v>
      </c>
      <c r="I167" s="31" t="s">
        <v>256</v>
      </c>
      <c r="J167" s="31">
        <v>54.371099999999998</v>
      </c>
      <c r="K167" s="31">
        <v>13.2446</v>
      </c>
      <c r="L167" s="2" t="s">
        <v>28</v>
      </c>
      <c r="M167" s="2" t="s">
        <v>824</v>
      </c>
      <c r="N167" s="17" t="s">
        <v>906</v>
      </c>
    </row>
    <row r="168" spans="1:14" ht="15" customHeight="1" x14ac:dyDescent="0.2">
      <c r="A168" s="20">
        <v>0.68493150684931503</v>
      </c>
      <c r="B168" s="20"/>
      <c r="C168" s="2" t="s">
        <v>98</v>
      </c>
      <c r="D168" s="2">
        <f>A168 * 22.727</f>
        <v>15.566438356164383</v>
      </c>
      <c r="F168" s="2" t="s">
        <v>822</v>
      </c>
      <c r="G168" s="2" t="s">
        <v>901</v>
      </c>
      <c r="H168" s="2" t="s">
        <v>822</v>
      </c>
      <c r="I168" s="14" t="s">
        <v>218</v>
      </c>
      <c r="J168" s="16">
        <v>56.03</v>
      </c>
      <c r="K168" s="16">
        <v>-3.2719999999999998</v>
      </c>
      <c r="L168" s="16"/>
      <c r="M168" s="33" t="s">
        <v>821</v>
      </c>
      <c r="N168" s="17" t="s">
        <v>867</v>
      </c>
    </row>
    <row r="169" spans="1:14" ht="15" customHeight="1" x14ac:dyDescent="0.2">
      <c r="A169" s="2">
        <v>0.25</v>
      </c>
      <c r="C169" s="2" t="s">
        <v>6</v>
      </c>
      <c r="D169" s="2">
        <f>(A169 * 1000000)/ 44.013 / 365</f>
        <v>15.562027283968716</v>
      </c>
      <c r="F169" s="2" t="s">
        <v>685</v>
      </c>
      <c r="G169" s="2" t="s">
        <v>903</v>
      </c>
      <c r="H169" s="2" t="s">
        <v>703</v>
      </c>
      <c r="I169" s="2" t="s">
        <v>9</v>
      </c>
      <c r="J169" s="2">
        <v>56.000100000000003</v>
      </c>
      <c r="K169" s="2">
        <v>-3.3965700000000001</v>
      </c>
      <c r="L169" s="2" t="s">
        <v>8</v>
      </c>
      <c r="N169" s="6" t="s">
        <v>857</v>
      </c>
    </row>
    <row r="170" spans="1:14" ht="15" customHeight="1" x14ac:dyDescent="0.2">
      <c r="A170" s="3">
        <v>15.3</v>
      </c>
      <c r="B170" s="3">
        <v>9.3000000000000007</v>
      </c>
      <c r="C170" s="3" t="s">
        <v>891</v>
      </c>
      <c r="D170" s="3">
        <f>A170</f>
        <v>15.3</v>
      </c>
      <c r="E170" s="3">
        <f>B170</f>
        <v>9.3000000000000007</v>
      </c>
      <c r="F170" s="3">
        <v>2006</v>
      </c>
      <c r="G170" s="2" t="s">
        <v>902</v>
      </c>
      <c r="H170" s="27" t="s">
        <v>145</v>
      </c>
      <c r="I170" s="3" t="s">
        <v>146</v>
      </c>
      <c r="J170" s="3" t="s">
        <v>896</v>
      </c>
      <c r="K170" s="3" t="s">
        <v>897</v>
      </c>
      <c r="L170" s="3"/>
      <c r="M170" s="3" t="s">
        <v>147</v>
      </c>
      <c r="N170" s="28" t="s">
        <v>888</v>
      </c>
    </row>
    <row r="171" spans="1:14" ht="15" customHeight="1" x14ac:dyDescent="0.2">
      <c r="A171" s="2">
        <v>15.2</v>
      </c>
      <c r="C171" s="2" t="s">
        <v>891</v>
      </c>
      <c r="D171" s="2">
        <f>A171</f>
        <v>15.2</v>
      </c>
      <c r="F171" s="2">
        <v>2007</v>
      </c>
      <c r="G171" s="2" t="s">
        <v>902</v>
      </c>
      <c r="H171" s="2" t="s">
        <v>39</v>
      </c>
      <c r="I171" s="2" t="s">
        <v>83</v>
      </c>
      <c r="J171" s="2">
        <v>38.519309999999997</v>
      </c>
      <c r="K171" s="2">
        <v>-8.8929100000000005</v>
      </c>
      <c r="L171" s="2" t="s">
        <v>38</v>
      </c>
      <c r="N171" s="6" t="s">
        <v>890</v>
      </c>
    </row>
    <row r="172" spans="1:14" ht="15" customHeight="1" x14ac:dyDescent="0.2">
      <c r="A172" s="3">
        <v>15.2</v>
      </c>
      <c r="B172" s="3">
        <v>11.6</v>
      </c>
      <c r="C172" s="3" t="s">
        <v>891</v>
      </c>
      <c r="D172" s="3">
        <f>A172</f>
        <v>15.2</v>
      </c>
      <c r="E172" s="3">
        <f>B172</f>
        <v>11.6</v>
      </c>
      <c r="F172" s="3">
        <v>2006</v>
      </c>
      <c r="G172" s="2" t="s">
        <v>902</v>
      </c>
      <c r="H172" s="29" t="s">
        <v>148</v>
      </c>
      <c r="I172" s="3" t="s">
        <v>146</v>
      </c>
      <c r="J172" s="3" t="s">
        <v>898</v>
      </c>
      <c r="K172" s="3" t="s">
        <v>899</v>
      </c>
      <c r="L172" s="3"/>
      <c r="M172" s="3" t="s">
        <v>151</v>
      </c>
      <c r="N172" s="28" t="s">
        <v>888</v>
      </c>
    </row>
    <row r="173" spans="1:14" ht="15" customHeight="1" x14ac:dyDescent="0.2">
      <c r="A173" s="2">
        <v>0.23</v>
      </c>
      <c r="C173" s="2" t="s">
        <v>6</v>
      </c>
      <c r="D173" s="2">
        <f>(A173 * 1000000)/ 44.013 / 365</f>
        <v>14.317065101251218</v>
      </c>
      <c r="F173" s="2">
        <v>1998</v>
      </c>
      <c r="G173" s="2" t="s">
        <v>902</v>
      </c>
      <c r="H173" s="2" t="s">
        <v>33</v>
      </c>
      <c r="I173" s="7" t="s">
        <v>34</v>
      </c>
      <c r="J173" s="2">
        <v>47.291330000000002</v>
      </c>
      <c r="K173" s="2">
        <v>-2.1244000000000001</v>
      </c>
      <c r="L173" s="2" t="s">
        <v>35</v>
      </c>
      <c r="N173" s="6" t="s">
        <v>23</v>
      </c>
    </row>
    <row r="174" spans="1:14" ht="15" customHeight="1" x14ac:dyDescent="0.2">
      <c r="A174" s="20">
        <v>0.62857142857142856</v>
      </c>
      <c r="B174" s="20"/>
      <c r="C174" s="2" t="s">
        <v>98</v>
      </c>
      <c r="D174" s="2">
        <f>A174 * 22.727</f>
        <v>14.285542857142858</v>
      </c>
      <c r="F174" s="2" t="s">
        <v>822</v>
      </c>
      <c r="G174" s="2" t="s">
        <v>901</v>
      </c>
      <c r="H174" s="2" t="s">
        <v>822</v>
      </c>
      <c r="I174" s="14" t="s">
        <v>224</v>
      </c>
      <c r="J174" s="16">
        <v>47.285068000000003</v>
      </c>
      <c r="K174" s="16">
        <v>-2.1430850000000001</v>
      </c>
      <c r="L174" s="16"/>
      <c r="M174" s="33" t="s">
        <v>821</v>
      </c>
      <c r="N174" s="17" t="s">
        <v>867</v>
      </c>
    </row>
    <row r="175" spans="1:14" ht="15" customHeight="1" x14ac:dyDescent="0.2">
      <c r="A175" s="12">
        <v>14.12</v>
      </c>
      <c r="B175" s="12">
        <v>8.3848000000000006E-2</v>
      </c>
      <c r="C175" s="2" t="s">
        <v>891</v>
      </c>
      <c r="D175" s="2">
        <f>A175</f>
        <v>14.12</v>
      </c>
      <c r="E175" s="2">
        <f>B175</f>
        <v>8.3848000000000006E-2</v>
      </c>
      <c r="F175" s="2">
        <v>2023</v>
      </c>
      <c r="G175" s="2" t="s">
        <v>902</v>
      </c>
      <c r="H175" s="5" t="s">
        <v>128</v>
      </c>
      <c r="I175" s="2" t="s">
        <v>163</v>
      </c>
      <c r="J175" s="2">
        <v>55.023600000000002</v>
      </c>
      <c r="K175" s="2">
        <v>20.8904</v>
      </c>
      <c r="L175" s="2" t="s">
        <v>811</v>
      </c>
      <c r="M175" s="2" t="s">
        <v>167</v>
      </c>
      <c r="N175" s="11" t="s">
        <v>166</v>
      </c>
    </row>
    <row r="176" spans="1:14" ht="15" customHeight="1" x14ac:dyDescent="0.2">
      <c r="A176" s="31">
        <v>2.5734502997109599E-2</v>
      </c>
      <c r="B176" s="31"/>
      <c r="C176" s="2" t="s">
        <v>892</v>
      </c>
      <c r="D176" s="2">
        <f>A176 * 545.45</f>
        <v>14.036884659773431</v>
      </c>
      <c r="F176" s="2">
        <v>2020</v>
      </c>
      <c r="G176" s="38" t="s">
        <v>901</v>
      </c>
      <c r="H176" s="2" t="s">
        <v>753</v>
      </c>
      <c r="I176" s="31" t="s">
        <v>257</v>
      </c>
      <c r="J176" s="31">
        <v>54.372</v>
      </c>
      <c r="K176" s="31">
        <v>13.241300000000001</v>
      </c>
      <c r="L176" s="2" t="s">
        <v>28</v>
      </c>
      <c r="M176" s="2" t="s">
        <v>824</v>
      </c>
      <c r="N176" s="17" t="s">
        <v>906</v>
      </c>
    </row>
    <row r="177" spans="1:14" ht="15" customHeight="1" x14ac:dyDescent="0.2">
      <c r="A177" s="31">
        <v>2.5561614930346799E-2</v>
      </c>
      <c r="B177" s="31"/>
      <c r="C177" s="2" t="s">
        <v>892</v>
      </c>
      <c r="D177" s="2">
        <f>A177 * 545.45</f>
        <v>13.942582863757663</v>
      </c>
      <c r="F177" s="2">
        <v>2020</v>
      </c>
      <c r="G177" s="38" t="s">
        <v>901</v>
      </c>
      <c r="H177" s="2" t="s">
        <v>727</v>
      </c>
      <c r="I177" s="31" t="s">
        <v>261</v>
      </c>
      <c r="J177" s="31">
        <v>54.372100000000003</v>
      </c>
      <c r="K177" s="31">
        <v>13.242699999999999</v>
      </c>
      <c r="L177" s="2" t="s">
        <v>28</v>
      </c>
      <c r="M177" s="2" t="s">
        <v>824</v>
      </c>
      <c r="N177" s="17" t="s">
        <v>906</v>
      </c>
    </row>
    <row r="178" spans="1:14" ht="15" customHeight="1" x14ac:dyDescent="0.2">
      <c r="A178" s="20">
        <v>0.59839999999999993</v>
      </c>
      <c r="B178" s="20"/>
      <c r="C178" s="2" t="s">
        <v>98</v>
      </c>
      <c r="D178" s="2">
        <f>A178 * 22.727</f>
        <v>13.599836799999999</v>
      </c>
      <c r="F178" s="2" t="s">
        <v>822</v>
      </c>
      <c r="G178" s="2" t="s">
        <v>901</v>
      </c>
      <c r="H178" s="2" t="s">
        <v>822</v>
      </c>
      <c r="I178" s="14" t="s">
        <v>241</v>
      </c>
      <c r="J178" s="16">
        <v>36.821637000000003</v>
      </c>
      <c r="K178" s="16">
        <v>-6.3505149999999997</v>
      </c>
      <c r="L178" s="16"/>
      <c r="M178" s="33" t="s">
        <v>821</v>
      </c>
      <c r="N178" s="17" t="s">
        <v>883</v>
      </c>
    </row>
    <row r="179" spans="1:14" ht="15" customHeight="1" x14ac:dyDescent="0.2">
      <c r="A179" s="31">
        <v>2.3615272051677499E-2</v>
      </c>
      <c r="B179" s="31"/>
      <c r="C179" s="2" t="s">
        <v>892</v>
      </c>
      <c r="D179" s="2">
        <f>A179 * 545.45</f>
        <v>12.880950140587492</v>
      </c>
      <c r="F179" s="2">
        <v>2020</v>
      </c>
      <c r="G179" s="38" t="s">
        <v>901</v>
      </c>
      <c r="H179" s="2" t="s">
        <v>753</v>
      </c>
      <c r="I179" s="31" t="s">
        <v>260</v>
      </c>
      <c r="J179" s="31">
        <v>54.372</v>
      </c>
      <c r="K179" s="31">
        <v>13.241300000000001</v>
      </c>
      <c r="L179" s="2" t="s">
        <v>28</v>
      </c>
      <c r="M179" s="2" t="s">
        <v>824</v>
      </c>
      <c r="N179" s="17" t="s">
        <v>906</v>
      </c>
    </row>
    <row r="180" spans="1:14" ht="15" customHeight="1" x14ac:dyDescent="0.2">
      <c r="A180" s="31">
        <v>2.34788912636354E-2</v>
      </c>
      <c r="B180" s="31"/>
      <c r="C180" s="2" t="s">
        <v>892</v>
      </c>
      <c r="D180" s="2">
        <f>A180 * 545.45</f>
        <v>12.80656123974993</v>
      </c>
      <c r="F180" s="2">
        <v>2020</v>
      </c>
      <c r="G180" s="38" t="s">
        <v>901</v>
      </c>
      <c r="H180" s="2" t="s">
        <v>739</v>
      </c>
      <c r="I180" s="31" t="s">
        <v>258</v>
      </c>
      <c r="J180" s="31">
        <v>54.371299999999998</v>
      </c>
      <c r="K180" s="31">
        <v>13.2438</v>
      </c>
      <c r="L180" s="2" t="s">
        <v>28</v>
      </c>
      <c r="M180" s="2" t="s">
        <v>824</v>
      </c>
      <c r="N180" s="17" t="s">
        <v>906</v>
      </c>
    </row>
    <row r="181" spans="1:14" ht="15" customHeight="1" x14ac:dyDescent="0.2">
      <c r="A181" s="31">
        <v>2.3239527137358999E-2</v>
      </c>
      <c r="B181" s="31"/>
      <c r="C181" s="2" t="s">
        <v>892</v>
      </c>
      <c r="D181" s="2">
        <f>A181 * 545.45</f>
        <v>12.676000077072468</v>
      </c>
      <c r="F181" s="2">
        <v>2020</v>
      </c>
      <c r="G181" s="38" t="s">
        <v>901</v>
      </c>
      <c r="H181" s="2" t="s">
        <v>730</v>
      </c>
      <c r="I181" s="31" t="s">
        <v>258</v>
      </c>
      <c r="J181" s="31">
        <v>54.371299999999998</v>
      </c>
      <c r="K181" s="31">
        <v>13.2438</v>
      </c>
      <c r="L181" s="2" t="s">
        <v>28</v>
      </c>
      <c r="M181" s="2" t="s">
        <v>824</v>
      </c>
      <c r="N181" s="17" t="s">
        <v>906</v>
      </c>
    </row>
    <row r="182" spans="1:14" ht="15" customHeight="1" x14ac:dyDescent="0.2">
      <c r="A182" s="13">
        <v>0.54794520547945202</v>
      </c>
      <c r="B182" s="13"/>
      <c r="C182" s="2" t="s">
        <v>98</v>
      </c>
      <c r="D182" s="2">
        <f>A182 * 22.727</f>
        <v>12.453150684931506</v>
      </c>
      <c r="F182" s="2" t="s">
        <v>822</v>
      </c>
      <c r="G182" s="2" t="s">
        <v>901</v>
      </c>
      <c r="H182" s="2" t="s">
        <v>822</v>
      </c>
      <c r="I182" s="14" t="s">
        <v>201</v>
      </c>
      <c r="J182" s="2">
        <v>51.715335000000003</v>
      </c>
      <c r="K182" s="2">
        <v>0.85338000000000003</v>
      </c>
      <c r="M182" s="33" t="s">
        <v>821</v>
      </c>
      <c r="N182" s="6" t="s">
        <v>202</v>
      </c>
    </row>
    <row r="183" spans="1:14" ht="15" customHeight="1" x14ac:dyDescent="0.2">
      <c r="A183" s="31">
        <v>2.2299202534971502E-2</v>
      </c>
      <c r="B183" s="31"/>
      <c r="C183" s="2" t="s">
        <v>892</v>
      </c>
      <c r="D183" s="2">
        <f>A183 * 545.45</f>
        <v>12.163100022700206</v>
      </c>
      <c r="F183" s="2">
        <v>2019</v>
      </c>
      <c r="G183" s="38" t="s">
        <v>901</v>
      </c>
      <c r="H183" s="2" t="s">
        <v>725</v>
      </c>
      <c r="I183" s="31" t="s">
        <v>256</v>
      </c>
      <c r="J183" s="31">
        <v>54.371099999999998</v>
      </c>
      <c r="K183" s="31">
        <v>13.2446</v>
      </c>
      <c r="L183" s="2" t="s">
        <v>28</v>
      </c>
      <c r="M183" s="2" t="s">
        <v>824</v>
      </c>
      <c r="N183" s="17" t="s">
        <v>906</v>
      </c>
    </row>
    <row r="184" spans="1:14" ht="15" customHeight="1" x14ac:dyDescent="0.2">
      <c r="A184" s="13">
        <v>0.52800000000000002</v>
      </c>
      <c r="B184" s="13"/>
      <c r="C184" s="2" t="s">
        <v>98</v>
      </c>
      <c r="D184" s="2">
        <f>A184 * 22.727</f>
        <v>11.999856000000001</v>
      </c>
      <c r="F184" s="2" t="s">
        <v>822</v>
      </c>
      <c r="G184" s="2" t="s">
        <v>901</v>
      </c>
      <c r="H184" s="2" t="s">
        <v>822</v>
      </c>
      <c r="I184" s="14" t="s">
        <v>208</v>
      </c>
      <c r="J184" s="15">
        <v>48.62247</v>
      </c>
      <c r="K184" s="16">
        <v>-1.5143500000000001</v>
      </c>
      <c r="L184" s="16"/>
      <c r="M184" s="33" t="s">
        <v>821</v>
      </c>
      <c r="N184" s="17" t="s">
        <v>210</v>
      </c>
    </row>
    <row r="185" spans="1:14" ht="15" customHeight="1" x14ac:dyDescent="0.25">
      <c r="A185" s="2">
        <v>984</v>
      </c>
      <c r="C185" s="2" t="s">
        <v>248</v>
      </c>
      <c r="D185" s="2">
        <f>A185 * 0.012</f>
        <v>11.808</v>
      </c>
      <c r="F185" s="2">
        <v>1995</v>
      </c>
      <c r="G185" s="38" t="s">
        <v>902</v>
      </c>
      <c r="H185" s="2" t="s">
        <v>128</v>
      </c>
      <c r="I185" s="2" t="s">
        <v>252</v>
      </c>
      <c r="J185" s="2">
        <v>51.085599999999999</v>
      </c>
      <c r="K185" s="2">
        <v>1.1656</v>
      </c>
      <c r="L185" s="2" t="s">
        <v>255</v>
      </c>
      <c r="M185" s="2" t="s">
        <v>823</v>
      </c>
      <c r="N185" s="36" t="s">
        <v>887</v>
      </c>
    </row>
    <row r="186" spans="1:14" ht="15" customHeight="1" x14ac:dyDescent="0.2">
      <c r="A186" s="31">
        <v>2.0966691254194501E-2</v>
      </c>
      <c r="B186" s="31"/>
      <c r="C186" s="2" t="s">
        <v>892</v>
      </c>
      <c r="D186" s="2">
        <f>A186 * 545.45</f>
        <v>11.436281744600391</v>
      </c>
      <c r="F186" s="2">
        <v>2020</v>
      </c>
      <c r="G186" s="38" t="s">
        <v>901</v>
      </c>
      <c r="H186" s="2" t="s">
        <v>730</v>
      </c>
      <c r="I186" s="31" t="s">
        <v>256</v>
      </c>
      <c r="J186" s="31">
        <v>54.371099999999998</v>
      </c>
      <c r="K186" s="31">
        <v>13.2446</v>
      </c>
      <c r="L186" s="2" t="s">
        <v>28</v>
      </c>
      <c r="M186" s="2" t="s">
        <v>824</v>
      </c>
      <c r="N186" s="17" t="s">
        <v>906</v>
      </c>
    </row>
    <row r="187" spans="1:14" ht="15" customHeight="1" x14ac:dyDescent="0.2">
      <c r="A187" s="31">
        <v>2.0774330000928199E-2</v>
      </c>
      <c r="B187" s="31"/>
      <c r="C187" s="2" t="s">
        <v>892</v>
      </c>
      <c r="D187" s="2">
        <f>A187 * 545.45</f>
        <v>11.331358299006288</v>
      </c>
      <c r="F187" s="2">
        <v>2020</v>
      </c>
      <c r="G187" s="38" t="s">
        <v>901</v>
      </c>
      <c r="H187" s="2" t="s">
        <v>753</v>
      </c>
      <c r="I187" s="31" t="s">
        <v>261</v>
      </c>
      <c r="J187" s="31">
        <v>54.372100000000003</v>
      </c>
      <c r="K187" s="31">
        <v>13.242699999999999</v>
      </c>
      <c r="L187" s="2" t="s">
        <v>28</v>
      </c>
      <c r="M187" s="2" t="s">
        <v>824</v>
      </c>
      <c r="N187" s="17" t="s">
        <v>906</v>
      </c>
    </row>
    <row r="188" spans="1:14" ht="15" customHeight="1" x14ac:dyDescent="0.2">
      <c r="A188" s="2">
        <v>11.3</v>
      </c>
      <c r="B188" s="2">
        <v>7.1</v>
      </c>
      <c r="C188" s="2" t="s">
        <v>891</v>
      </c>
      <c r="D188" s="2">
        <f>A188</f>
        <v>11.3</v>
      </c>
      <c r="E188" s="2">
        <f>B188</f>
        <v>7.1</v>
      </c>
      <c r="F188" s="2" t="s">
        <v>695</v>
      </c>
      <c r="G188" s="2" t="s">
        <v>903</v>
      </c>
      <c r="H188" s="2" t="s">
        <v>12</v>
      </c>
      <c r="I188" s="2" t="s">
        <v>52</v>
      </c>
      <c r="J188" s="2">
        <v>36.585479999999997</v>
      </c>
      <c r="K188" s="2">
        <v>-6.2335630000000002</v>
      </c>
      <c r="L188" s="2" t="s">
        <v>53</v>
      </c>
      <c r="N188" s="9" t="s">
        <v>54</v>
      </c>
    </row>
    <row r="189" spans="1:14" ht="15" customHeight="1" x14ac:dyDescent="0.2">
      <c r="A189" s="31">
        <v>2.06748731321784E-2</v>
      </c>
      <c r="B189" s="31"/>
      <c r="C189" s="2" t="s">
        <v>892</v>
      </c>
      <c r="D189" s="2">
        <f>A189 * 545.45</f>
        <v>11.27710954994671</v>
      </c>
      <c r="F189" s="2">
        <v>2020</v>
      </c>
      <c r="G189" s="38" t="s">
        <v>901</v>
      </c>
      <c r="H189" s="2" t="s">
        <v>728</v>
      </c>
      <c r="I189" s="31" t="s">
        <v>256</v>
      </c>
      <c r="J189" s="31">
        <v>54.371099999999998</v>
      </c>
      <c r="K189" s="31">
        <v>13.2446</v>
      </c>
      <c r="L189" s="2" t="s">
        <v>28</v>
      </c>
      <c r="M189" s="2" t="s">
        <v>824</v>
      </c>
      <c r="N189" s="17" t="s">
        <v>906</v>
      </c>
    </row>
    <row r="190" spans="1:14" ht="15" customHeight="1" x14ac:dyDescent="0.2">
      <c r="A190" s="2">
        <v>11.2</v>
      </c>
      <c r="C190" s="2" t="s">
        <v>891</v>
      </c>
      <c r="D190" s="2">
        <f>A190</f>
        <v>11.2</v>
      </c>
      <c r="F190" s="2">
        <v>1993</v>
      </c>
      <c r="G190" s="2" t="s">
        <v>902</v>
      </c>
      <c r="H190" s="2" t="s">
        <v>822</v>
      </c>
      <c r="I190" s="2" t="s">
        <v>26</v>
      </c>
      <c r="J190" s="2">
        <v>51.396348000000003</v>
      </c>
      <c r="K190" s="2">
        <v>4.0838720000000004</v>
      </c>
      <c r="N190" s="6" t="s">
        <v>200</v>
      </c>
    </row>
    <row r="191" spans="1:14" ht="15" customHeight="1" x14ac:dyDescent="0.2">
      <c r="A191" s="31">
        <v>2.04607311399745E-2</v>
      </c>
      <c r="B191" s="31"/>
      <c r="C191" s="2" t="s">
        <v>892</v>
      </c>
      <c r="D191" s="2">
        <f>A191 * 545.45</f>
        <v>11.160305800299092</v>
      </c>
      <c r="F191" s="2">
        <v>2020</v>
      </c>
      <c r="G191" s="38" t="s">
        <v>901</v>
      </c>
      <c r="H191" s="2" t="s">
        <v>739</v>
      </c>
      <c r="I191" s="31" t="s">
        <v>263</v>
      </c>
      <c r="J191" s="31" t="s">
        <v>822</v>
      </c>
      <c r="K191" s="31" t="s">
        <v>822</v>
      </c>
      <c r="L191" s="2" t="s">
        <v>28</v>
      </c>
      <c r="M191" s="2" t="s">
        <v>824</v>
      </c>
      <c r="N191" s="17" t="s">
        <v>906</v>
      </c>
    </row>
    <row r="192" spans="1:14" ht="15" customHeight="1" x14ac:dyDescent="0.2">
      <c r="A192" s="2">
        <v>11.16</v>
      </c>
      <c r="C192" s="2" t="s">
        <v>891</v>
      </c>
      <c r="D192" s="2">
        <f>A192</f>
        <v>11.16</v>
      </c>
      <c r="F192" s="2">
        <v>2020</v>
      </c>
      <c r="G192" s="2" t="s">
        <v>902</v>
      </c>
      <c r="H192" s="2" t="s">
        <v>128</v>
      </c>
      <c r="I192" s="2" t="s">
        <v>129</v>
      </c>
      <c r="J192" s="2">
        <v>37.117899999999999</v>
      </c>
      <c r="K192" s="2">
        <v>-7.62418</v>
      </c>
      <c r="L192" s="2" t="s">
        <v>82</v>
      </c>
      <c r="M192" s="2" t="s">
        <v>135</v>
      </c>
      <c r="N192" s="6" t="s">
        <v>199</v>
      </c>
    </row>
    <row r="193" spans="1:14" ht="15" customHeight="1" x14ac:dyDescent="0.2">
      <c r="A193" s="31">
        <v>2.0413013116781599E-2</v>
      </c>
      <c r="B193" s="31"/>
      <c r="C193" s="2" t="s">
        <v>892</v>
      </c>
      <c r="D193" s="2">
        <f>A193 * 545.45</f>
        <v>11.134278004548523</v>
      </c>
      <c r="F193" s="2">
        <v>2020</v>
      </c>
      <c r="G193" s="38" t="s">
        <v>901</v>
      </c>
      <c r="H193" s="2" t="s">
        <v>739</v>
      </c>
      <c r="I193" s="31" t="s">
        <v>265</v>
      </c>
      <c r="J193" s="31" t="s">
        <v>822</v>
      </c>
      <c r="K193" s="31" t="s">
        <v>822</v>
      </c>
      <c r="L193" s="2" t="s">
        <v>28</v>
      </c>
      <c r="M193" s="2" t="s">
        <v>824</v>
      </c>
      <c r="N193" s="17" t="s">
        <v>906</v>
      </c>
    </row>
    <row r="194" spans="1:14" ht="15" customHeight="1" x14ac:dyDescent="0.2">
      <c r="A194" s="31">
        <v>2.0128716197025501E-2</v>
      </c>
      <c r="B194" s="31"/>
      <c r="C194" s="2" t="s">
        <v>892</v>
      </c>
      <c r="D194" s="2">
        <f>A194 * 545.45</f>
        <v>10.979208249667561</v>
      </c>
      <c r="F194" s="2">
        <v>2020</v>
      </c>
      <c r="G194" s="38" t="s">
        <v>901</v>
      </c>
      <c r="H194" s="2" t="s">
        <v>739</v>
      </c>
      <c r="I194" s="31" t="s">
        <v>259</v>
      </c>
      <c r="J194" s="31">
        <v>54.373600000000003</v>
      </c>
      <c r="K194" s="31">
        <v>13.239800000000001</v>
      </c>
      <c r="L194" s="2" t="s">
        <v>28</v>
      </c>
      <c r="M194" s="2" t="s">
        <v>824</v>
      </c>
      <c r="N194" s="17" t="s">
        <v>906</v>
      </c>
    </row>
    <row r="195" spans="1:14" ht="15" customHeight="1" x14ac:dyDescent="0.2">
      <c r="A195" s="31">
        <v>1.9749258009164199E-2</v>
      </c>
      <c r="B195" s="31"/>
      <c r="C195" s="2" t="s">
        <v>892</v>
      </c>
      <c r="D195" s="2">
        <f>A195 * 545.45</f>
        <v>10.772232781098614</v>
      </c>
      <c r="F195" s="2">
        <v>2020</v>
      </c>
      <c r="G195" s="38" t="s">
        <v>901</v>
      </c>
      <c r="H195" s="2" t="s">
        <v>739</v>
      </c>
      <c r="I195" s="31" t="s">
        <v>267</v>
      </c>
      <c r="J195" s="31" t="s">
        <v>822</v>
      </c>
      <c r="K195" s="31" t="s">
        <v>822</v>
      </c>
      <c r="L195" s="2" t="s">
        <v>28</v>
      </c>
      <c r="M195" s="2" t="s">
        <v>824</v>
      </c>
      <c r="N195" s="17" t="s">
        <v>906</v>
      </c>
    </row>
    <row r="196" spans="1:14" ht="15" customHeight="1" x14ac:dyDescent="0.2">
      <c r="A196" s="20">
        <v>0.47048994199679134</v>
      </c>
      <c r="B196" s="20"/>
      <c r="C196" s="2" t="s">
        <v>98</v>
      </c>
      <c r="D196" s="2">
        <f>A196 * 22.727</f>
        <v>10.692824911761077</v>
      </c>
      <c r="F196" s="2" t="s">
        <v>822</v>
      </c>
      <c r="G196" s="2" t="s">
        <v>901</v>
      </c>
      <c r="H196" s="2" t="s">
        <v>822</v>
      </c>
      <c r="I196" s="14" t="s">
        <v>212</v>
      </c>
      <c r="J196" s="16">
        <v>51.951000000000001</v>
      </c>
      <c r="K196" s="16">
        <v>1.2410000000000001</v>
      </c>
      <c r="L196" s="16"/>
      <c r="M196" s="33" t="s">
        <v>821</v>
      </c>
      <c r="N196" s="17" t="s">
        <v>246</v>
      </c>
    </row>
    <row r="197" spans="1:14" ht="15" customHeight="1" x14ac:dyDescent="0.25">
      <c r="A197" s="2">
        <v>884</v>
      </c>
      <c r="C197" s="2" t="s">
        <v>248</v>
      </c>
      <c r="D197" s="2">
        <f>A197 * 0.012</f>
        <v>10.608000000000001</v>
      </c>
      <c r="F197" s="2">
        <v>1995</v>
      </c>
      <c r="G197" s="38" t="s">
        <v>902</v>
      </c>
      <c r="H197" s="2" t="s">
        <v>249</v>
      </c>
      <c r="I197" s="2" t="s">
        <v>254</v>
      </c>
      <c r="J197" s="2">
        <v>51.0717</v>
      </c>
      <c r="K197" s="2">
        <v>1.0819000000000001</v>
      </c>
      <c r="L197" s="2" t="s">
        <v>255</v>
      </c>
      <c r="M197" s="2" t="s">
        <v>823</v>
      </c>
      <c r="N197" s="36" t="s">
        <v>887</v>
      </c>
    </row>
    <row r="198" spans="1:14" ht="15" customHeight="1" x14ac:dyDescent="0.2">
      <c r="A198" s="31">
        <v>1.93858583078339E-2</v>
      </c>
      <c r="B198" s="31"/>
      <c r="C198" s="2" t="s">
        <v>892</v>
      </c>
      <c r="D198" s="2">
        <f>A198 * 545.45</f>
        <v>10.574016414008002</v>
      </c>
      <c r="F198" s="2">
        <v>2020</v>
      </c>
      <c r="G198" s="38" t="s">
        <v>901</v>
      </c>
      <c r="H198" s="2" t="s">
        <v>737</v>
      </c>
      <c r="I198" s="31" t="s">
        <v>261</v>
      </c>
      <c r="J198" s="31">
        <v>54.372100000000003</v>
      </c>
      <c r="K198" s="31">
        <v>13.242699999999999</v>
      </c>
      <c r="L198" s="2" t="s">
        <v>28</v>
      </c>
      <c r="M198" s="2" t="s">
        <v>824</v>
      </c>
      <c r="N198" s="17" t="s">
        <v>906</v>
      </c>
    </row>
    <row r="199" spans="1:14" ht="15" customHeight="1" x14ac:dyDescent="0.2">
      <c r="A199" s="31">
        <v>1.9125176920511602E-2</v>
      </c>
      <c r="B199" s="31"/>
      <c r="C199" s="2" t="s">
        <v>892</v>
      </c>
      <c r="D199" s="2">
        <f>A199 * 545.45</f>
        <v>10.431827751293055</v>
      </c>
      <c r="F199" s="2">
        <v>2020</v>
      </c>
      <c r="G199" s="38" t="s">
        <v>901</v>
      </c>
      <c r="H199" s="2" t="s">
        <v>739</v>
      </c>
      <c r="I199" s="31" t="s">
        <v>262</v>
      </c>
      <c r="J199" s="31" t="s">
        <v>822</v>
      </c>
      <c r="K199" s="31" t="s">
        <v>822</v>
      </c>
      <c r="L199" s="2" t="s">
        <v>28</v>
      </c>
      <c r="M199" s="2" t="s">
        <v>824</v>
      </c>
      <c r="N199" s="17" t="s">
        <v>906</v>
      </c>
    </row>
    <row r="200" spans="1:14" ht="15" customHeight="1" x14ac:dyDescent="0.2">
      <c r="A200" s="31">
        <v>1.9116195749941001E-2</v>
      </c>
      <c r="B200" s="31"/>
      <c r="C200" s="2" t="s">
        <v>892</v>
      </c>
      <c r="D200" s="2">
        <f>A200 * 545.45</f>
        <v>10.426928971805319</v>
      </c>
      <c r="F200" s="2">
        <v>2020</v>
      </c>
      <c r="G200" s="38" t="s">
        <v>901</v>
      </c>
      <c r="H200" s="2" t="s">
        <v>727</v>
      </c>
      <c r="I200" s="31" t="s">
        <v>257</v>
      </c>
      <c r="J200" s="31">
        <v>54.371699999999997</v>
      </c>
      <c r="K200" s="31">
        <v>13.239599999999999</v>
      </c>
      <c r="L200" s="2" t="s">
        <v>28</v>
      </c>
      <c r="M200" s="2" t="s">
        <v>824</v>
      </c>
      <c r="N200" s="17" t="s">
        <v>906</v>
      </c>
    </row>
    <row r="201" spans="1:14" ht="15" customHeight="1" x14ac:dyDescent="0.2">
      <c r="A201" s="31">
        <v>1.90747485529731E-2</v>
      </c>
      <c r="B201" s="31"/>
      <c r="C201" s="2" t="s">
        <v>892</v>
      </c>
      <c r="D201" s="2">
        <f>A201 * 545.45</f>
        <v>10.404321598219179</v>
      </c>
      <c r="F201" s="2">
        <v>2020</v>
      </c>
      <c r="G201" s="38" t="s">
        <v>901</v>
      </c>
      <c r="H201" s="2" t="s">
        <v>739</v>
      </c>
      <c r="I201" s="31" t="s">
        <v>266</v>
      </c>
      <c r="J201" s="31" t="s">
        <v>822</v>
      </c>
      <c r="K201" s="31" t="s">
        <v>822</v>
      </c>
      <c r="L201" s="2" t="s">
        <v>28</v>
      </c>
      <c r="M201" s="2" t="s">
        <v>824</v>
      </c>
      <c r="N201" s="17" t="s">
        <v>906</v>
      </c>
    </row>
    <row r="202" spans="1:14" ht="15" customHeight="1" x14ac:dyDescent="0.2">
      <c r="A202" s="2">
        <v>10.4</v>
      </c>
      <c r="C202" s="2" t="s">
        <v>891</v>
      </c>
      <c r="D202" s="2">
        <f>A202</f>
        <v>10.4</v>
      </c>
      <c r="F202" s="2">
        <v>2006</v>
      </c>
      <c r="G202" s="2" t="s">
        <v>902</v>
      </c>
      <c r="H202" s="2" t="s">
        <v>114</v>
      </c>
      <c r="I202" s="2" t="s">
        <v>115</v>
      </c>
      <c r="J202" s="2">
        <v>38.742978999999998</v>
      </c>
      <c r="K202" s="2">
        <v>-9.0594889999999992</v>
      </c>
      <c r="L202" s="2" t="s">
        <v>38</v>
      </c>
      <c r="M202" s="2" t="s">
        <v>115</v>
      </c>
      <c r="N202" s="6" t="s">
        <v>116</v>
      </c>
    </row>
    <row r="203" spans="1:14" ht="15" customHeight="1" x14ac:dyDescent="0.2">
      <c r="A203" s="20">
        <v>0.45320000000000005</v>
      </c>
      <c r="B203" s="20"/>
      <c r="C203" s="2" t="s">
        <v>98</v>
      </c>
      <c r="D203" s="2">
        <f>A203 * 22.727</f>
        <v>10.2998764</v>
      </c>
      <c r="F203" s="2" t="s">
        <v>822</v>
      </c>
      <c r="G203" s="2" t="s">
        <v>901</v>
      </c>
      <c r="H203" s="2" t="s">
        <v>822</v>
      </c>
      <c r="I203" s="14" t="s">
        <v>238</v>
      </c>
      <c r="J203" s="16">
        <v>38.737000000000002</v>
      </c>
      <c r="K203" s="16">
        <v>-9.0609999999999999</v>
      </c>
      <c r="L203" s="16"/>
      <c r="M203" s="33" t="s">
        <v>821</v>
      </c>
      <c r="N203" s="17" t="s">
        <v>881</v>
      </c>
    </row>
    <row r="204" spans="1:14" ht="15" customHeight="1" x14ac:dyDescent="0.25">
      <c r="A204" s="2">
        <v>853</v>
      </c>
      <c r="C204" s="2" t="s">
        <v>248</v>
      </c>
      <c r="D204" s="2">
        <f>A204 * 0.012</f>
        <v>10.236000000000001</v>
      </c>
      <c r="F204" s="2">
        <v>1995</v>
      </c>
      <c r="G204" s="38" t="s">
        <v>902</v>
      </c>
      <c r="H204" s="2" t="s">
        <v>249</v>
      </c>
      <c r="I204" s="2" t="s">
        <v>253</v>
      </c>
      <c r="J204" s="2">
        <v>51.859200000000001</v>
      </c>
      <c r="K204" s="2">
        <v>0.95989999999999998</v>
      </c>
      <c r="L204" s="2" t="s">
        <v>255</v>
      </c>
      <c r="M204" s="2" t="s">
        <v>823</v>
      </c>
      <c r="N204" s="36" t="s">
        <v>887</v>
      </c>
    </row>
    <row r="205" spans="1:14" ht="15" customHeight="1" x14ac:dyDescent="0.2">
      <c r="A205" s="31">
        <v>1.8731005451824101E-2</v>
      </c>
      <c r="B205" s="31"/>
      <c r="C205" s="2" t="s">
        <v>892</v>
      </c>
      <c r="D205" s="2">
        <f>A205 * 545.45</f>
        <v>10.216826923697457</v>
      </c>
      <c r="F205" s="2">
        <v>2020</v>
      </c>
      <c r="G205" s="38" t="s">
        <v>901</v>
      </c>
      <c r="H205" s="2" t="s">
        <v>739</v>
      </c>
      <c r="I205" s="31" t="s">
        <v>270</v>
      </c>
      <c r="J205" s="31" t="s">
        <v>822</v>
      </c>
      <c r="K205" s="31" t="s">
        <v>822</v>
      </c>
      <c r="L205" s="2" t="s">
        <v>28</v>
      </c>
      <c r="M205" s="2" t="s">
        <v>824</v>
      </c>
      <c r="N205" s="17" t="s">
        <v>906</v>
      </c>
    </row>
    <row r="206" spans="1:14" ht="15" customHeight="1" x14ac:dyDescent="0.2">
      <c r="A206" s="31">
        <v>1.83372751992191E-2</v>
      </c>
      <c r="B206" s="31"/>
      <c r="C206" s="2" t="s">
        <v>892</v>
      </c>
      <c r="D206" s="2">
        <f>A206 * 545.45</f>
        <v>10.00206675741406</v>
      </c>
      <c r="F206" s="2">
        <v>2020</v>
      </c>
      <c r="G206" s="38" t="s">
        <v>901</v>
      </c>
      <c r="H206" s="2" t="s">
        <v>739</v>
      </c>
      <c r="I206" s="31" t="s">
        <v>264</v>
      </c>
      <c r="J206" s="31" t="s">
        <v>822</v>
      </c>
      <c r="K206" s="31" t="s">
        <v>822</v>
      </c>
      <c r="L206" s="2" t="s">
        <v>28</v>
      </c>
      <c r="M206" s="2" t="s">
        <v>824</v>
      </c>
      <c r="N206" s="17" t="s">
        <v>906</v>
      </c>
    </row>
    <row r="207" spans="1:14" ht="15" customHeight="1" x14ac:dyDescent="0.2">
      <c r="A207" s="31">
        <v>1.8131551079553599E-2</v>
      </c>
      <c r="B207" s="31"/>
      <c r="C207" s="2" t="s">
        <v>892</v>
      </c>
      <c r="D207" s="2">
        <f>A207 * 545.45</f>
        <v>9.8898545363425114</v>
      </c>
      <c r="F207" s="2">
        <v>2020</v>
      </c>
      <c r="G207" s="38" t="s">
        <v>901</v>
      </c>
      <c r="H207" s="2" t="s">
        <v>754</v>
      </c>
      <c r="I207" s="31" t="s">
        <v>262</v>
      </c>
      <c r="J207" s="31" t="s">
        <v>822</v>
      </c>
      <c r="K207" s="31" t="s">
        <v>822</v>
      </c>
      <c r="L207" s="2" t="s">
        <v>28</v>
      </c>
      <c r="M207" s="2" t="s">
        <v>824</v>
      </c>
      <c r="N207" s="17" t="s">
        <v>906</v>
      </c>
    </row>
    <row r="208" spans="1:14" ht="15" customHeight="1" x14ac:dyDescent="0.2">
      <c r="A208" s="31">
        <v>1.7994640338393399E-2</v>
      </c>
      <c r="B208" s="31"/>
      <c r="C208" s="2" t="s">
        <v>892</v>
      </c>
      <c r="D208" s="2">
        <f>A208 * 545.45</f>
        <v>9.8151765725766804</v>
      </c>
      <c r="F208" s="2">
        <v>2020</v>
      </c>
      <c r="G208" s="38" t="s">
        <v>901</v>
      </c>
      <c r="H208" s="2" t="s">
        <v>754</v>
      </c>
      <c r="I208" s="31" t="s">
        <v>264</v>
      </c>
      <c r="J208" s="31" t="s">
        <v>822</v>
      </c>
      <c r="K208" s="31" t="s">
        <v>822</v>
      </c>
      <c r="L208" s="2" t="s">
        <v>28</v>
      </c>
      <c r="M208" s="2" t="s">
        <v>824</v>
      </c>
      <c r="N208" s="17" t="s">
        <v>906</v>
      </c>
    </row>
    <row r="209" spans="1:14" ht="15" customHeight="1" x14ac:dyDescent="0.2">
      <c r="A209" s="31">
        <v>1.7943255917986099E-2</v>
      </c>
      <c r="B209" s="31"/>
      <c r="C209" s="2" t="s">
        <v>892</v>
      </c>
      <c r="D209" s="2">
        <f>A209 * 545.45</f>
        <v>9.787148940465519</v>
      </c>
      <c r="F209" s="2">
        <v>2020</v>
      </c>
      <c r="G209" s="38" t="s">
        <v>901</v>
      </c>
      <c r="H209" s="2" t="s">
        <v>754</v>
      </c>
      <c r="I209" s="31" t="s">
        <v>263</v>
      </c>
      <c r="J209" s="31" t="s">
        <v>822</v>
      </c>
      <c r="K209" s="31" t="s">
        <v>822</v>
      </c>
      <c r="L209" s="2" t="s">
        <v>28</v>
      </c>
      <c r="M209" s="2" t="s">
        <v>824</v>
      </c>
      <c r="N209" s="17" t="s">
        <v>906</v>
      </c>
    </row>
    <row r="210" spans="1:14" ht="15" customHeight="1" x14ac:dyDescent="0.25">
      <c r="A210" s="2">
        <v>815</v>
      </c>
      <c r="C210" s="2" t="s">
        <v>248</v>
      </c>
      <c r="D210" s="2">
        <f>A210 * 0.012</f>
        <v>9.7799999999999994</v>
      </c>
      <c r="F210" s="2">
        <v>1994</v>
      </c>
      <c r="G210" s="38" t="s">
        <v>902</v>
      </c>
      <c r="H210" s="2" t="s">
        <v>131</v>
      </c>
      <c r="I210" s="2" t="s">
        <v>253</v>
      </c>
      <c r="J210" s="2">
        <v>51.859200000000001</v>
      </c>
      <c r="K210" s="2">
        <v>0.95989999999999998</v>
      </c>
      <c r="L210" s="2" t="s">
        <v>255</v>
      </c>
      <c r="M210" s="2" t="s">
        <v>823</v>
      </c>
      <c r="N210" s="36" t="s">
        <v>887</v>
      </c>
    </row>
    <row r="211" spans="1:14" ht="15" customHeight="1" x14ac:dyDescent="0.2">
      <c r="A211" s="2">
        <v>9.6</v>
      </c>
      <c r="B211" s="2">
        <v>6.2</v>
      </c>
      <c r="C211" s="2" t="s">
        <v>891</v>
      </c>
      <c r="D211" s="2">
        <f>A211</f>
        <v>9.6</v>
      </c>
      <c r="E211" s="2">
        <f>B211</f>
        <v>6.2</v>
      </c>
      <c r="F211" s="2">
        <v>2015</v>
      </c>
      <c r="G211" s="2" t="s">
        <v>902</v>
      </c>
      <c r="H211" s="2" t="s">
        <v>48</v>
      </c>
      <c r="I211" s="2" t="s">
        <v>52</v>
      </c>
      <c r="J211" s="2">
        <v>36.585479999999997</v>
      </c>
      <c r="K211" s="2">
        <v>-6.2335630000000002</v>
      </c>
      <c r="L211" s="2" t="s">
        <v>53</v>
      </c>
      <c r="N211" s="9" t="s">
        <v>54</v>
      </c>
    </row>
    <row r="212" spans="1:14" ht="15" customHeight="1" x14ac:dyDescent="0.2">
      <c r="A212" s="10">
        <v>9.3800000000000008</v>
      </c>
      <c r="B212" s="10">
        <v>0.90564</v>
      </c>
      <c r="C212" s="2" t="s">
        <v>891</v>
      </c>
      <c r="D212" s="2">
        <f>A212</f>
        <v>9.3800000000000008</v>
      </c>
      <c r="E212" s="2">
        <f>B212</f>
        <v>0.90564</v>
      </c>
      <c r="F212" s="2">
        <v>2023</v>
      </c>
      <c r="G212" s="2" t="s">
        <v>902</v>
      </c>
      <c r="H212" s="5" t="s">
        <v>128</v>
      </c>
      <c r="I212" s="2" t="s">
        <v>163</v>
      </c>
      <c r="J212" s="2">
        <v>55.023600000000002</v>
      </c>
      <c r="K212" s="2">
        <v>20.8904</v>
      </c>
      <c r="L212" s="2" t="s">
        <v>811</v>
      </c>
      <c r="M212" s="2" t="s">
        <v>169</v>
      </c>
      <c r="N212" s="11" t="s">
        <v>166</v>
      </c>
    </row>
    <row r="213" spans="1:14" ht="15" customHeight="1" x14ac:dyDescent="0.2">
      <c r="A213" s="31">
        <v>47.738078370902407</v>
      </c>
      <c r="B213" s="31"/>
      <c r="C213" s="2" t="s">
        <v>855</v>
      </c>
      <c r="D213" s="31">
        <f xml:space="preserve"> A213 * 0.196</f>
        <v>9.3566633606968725</v>
      </c>
      <c r="F213" s="2" t="s">
        <v>822</v>
      </c>
      <c r="G213" s="23" t="s">
        <v>902</v>
      </c>
      <c r="H213" s="2" t="s">
        <v>822</v>
      </c>
      <c r="J213" s="31">
        <v>56.968601200000002</v>
      </c>
      <c r="K213" s="31">
        <v>19.665399600000001</v>
      </c>
      <c r="L213" s="31"/>
      <c r="M213" s="31" t="s">
        <v>854</v>
      </c>
      <c r="N213" s="6" t="s">
        <v>856</v>
      </c>
    </row>
    <row r="214" spans="1:14" ht="15" customHeight="1" x14ac:dyDescent="0.2">
      <c r="A214" s="20">
        <v>0.41139999999999999</v>
      </c>
      <c r="B214" s="20"/>
      <c r="C214" s="2" t="s">
        <v>98</v>
      </c>
      <c r="D214" s="2">
        <f>A214 * 22.727</f>
        <v>9.3498877999999994</v>
      </c>
      <c r="F214" s="2" t="s">
        <v>822</v>
      </c>
      <c r="G214" s="2" t="s">
        <v>901</v>
      </c>
      <c r="H214" s="2" t="s">
        <v>822</v>
      </c>
      <c r="I214" s="14" t="s">
        <v>245</v>
      </c>
      <c r="J214" s="16">
        <v>36.56</v>
      </c>
      <c r="K214" s="16">
        <v>-6.242</v>
      </c>
      <c r="L214" s="16"/>
      <c r="M214" s="33" t="s">
        <v>821</v>
      </c>
      <c r="N214" s="17" t="s">
        <v>886</v>
      </c>
    </row>
    <row r="215" spans="1:14" ht="15" customHeight="1" x14ac:dyDescent="0.2">
      <c r="A215" s="2">
        <v>9.3000000000000007</v>
      </c>
      <c r="C215" s="2" t="s">
        <v>891</v>
      </c>
      <c r="D215" s="2">
        <f>A215</f>
        <v>9.3000000000000007</v>
      </c>
      <c r="F215" s="2">
        <v>2020</v>
      </c>
      <c r="G215" s="2" t="s">
        <v>902</v>
      </c>
      <c r="H215" s="2" t="s">
        <v>131</v>
      </c>
      <c r="I215" s="2" t="s">
        <v>129</v>
      </c>
      <c r="J215" s="2">
        <v>37.025213000000001</v>
      </c>
      <c r="K215" s="2">
        <v>-7.8101440000000002</v>
      </c>
      <c r="L215" s="2" t="s">
        <v>82</v>
      </c>
      <c r="M215" s="2" t="s">
        <v>134</v>
      </c>
      <c r="N215" s="6" t="s">
        <v>199</v>
      </c>
    </row>
    <row r="216" spans="1:14" ht="15" customHeight="1" x14ac:dyDescent="0.2">
      <c r="A216" s="31">
        <v>1.6800411759071002E-2</v>
      </c>
      <c r="B216" s="31"/>
      <c r="C216" s="2" t="s">
        <v>892</v>
      </c>
      <c r="D216" s="2">
        <f>A216 * 545.45</f>
        <v>9.1637845939852784</v>
      </c>
      <c r="F216" s="2">
        <v>2020</v>
      </c>
      <c r="G216" s="38" t="s">
        <v>901</v>
      </c>
      <c r="H216" s="2" t="s">
        <v>730</v>
      </c>
      <c r="I216" s="31" t="s">
        <v>261</v>
      </c>
      <c r="J216" s="31">
        <v>54.372100000000003</v>
      </c>
      <c r="K216" s="31">
        <v>13.242699999999999</v>
      </c>
      <c r="L216" s="2" t="s">
        <v>28</v>
      </c>
      <c r="M216" s="2" t="s">
        <v>824</v>
      </c>
      <c r="N216" s="17" t="s">
        <v>906</v>
      </c>
    </row>
    <row r="217" spans="1:14" ht="15" customHeight="1" x14ac:dyDescent="0.2">
      <c r="A217" s="2">
        <v>0.4</v>
      </c>
      <c r="B217" s="2">
        <v>0.2</v>
      </c>
      <c r="C217" s="2" t="s">
        <v>98</v>
      </c>
      <c r="D217" s="2">
        <f>A217 * 22.727</f>
        <v>9.0907999999999998</v>
      </c>
      <c r="E217" s="2">
        <f>B217 * 22.727</f>
        <v>4.5453999999999999</v>
      </c>
      <c r="F217" s="2">
        <v>2015</v>
      </c>
      <c r="G217" s="2" t="s">
        <v>902</v>
      </c>
      <c r="H217" s="5" t="s">
        <v>131</v>
      </c>
      <c r="I217" s="2" t="s">
        <v>139</v>
      </c>
      <c r="J217" s="2">
        <v>54.655430000000003</v>
      </c>
      <c r="K217" s="2">
        <v>17.111519999999999</v>
      </c>
      <c r="L217" s="2" t="s">
        <v>809</v>
      </c>
      <c r="M217" s="2" t="s">
        <v>138</v>
      </c>
      <c r="N217" s="6" t="s">
        <v>860</v>
      </c>
    </row>
    <row r="218" spans="1:14" ht="15" customHeight="1" x14ac:dyDescent="0.2">
      <c r="A218" s="20">
        <v>0.39456219178082191</v>
      </c>
      <c r="B218" s="20"/>
      <c r="C218" s="2" t="s">
        <v>98</v>
      </c>
      <c r="D218" s="2">
        <f>A218 * 22.727</f>
        <v>8.9672149326027402</v>
      </c>
      <c r="F218" s="2" t="s">
        <v>822</v>
      </c>
      <c r="G218" s="2" t="s">
        <v>901</v>
      </c>
      <c r="H218" s="2" t="s">
        <v>822</v>
      </c>
      <c r="I218" s="14" t="s">
        <v>219</v>
      </c>
      <c r="J218" s="16">
        <v>50.366999999999997</v>
      </c>
      <c r="K218" s="16">
        <v>-4.1890000000000001</v>
      </c>
      <c r="L218" s="16"/>
      <c r="M218" s="33" t="s">
        <v>821</v>
      </c>
      <c r="N218" s="17" t="s">
        <v>868</v>
      </c>
    </row>
    <row r="219" spans="1:14" ht="15" customHeight="1" x14ac:dyDescent="0.2">
      <c r="A219" s="2">
        <v>8.8000000000000007</v>
      </c>
      <c r="C219" s="2" t="s">
        <v>891</v>
      </c>
      <c r="D219" s="2">
        <f>A219</f>
        <v>8.8000000000000007</v>
      </c>
      <c r="F219" s="2">
        <v>2006</v>
      </c>
      <c r="G219" s="2" t="s">
        <v>902</v>
      </c>
      <c r="H219" s="2" t="s">
        <v>39</v>
      </c>
      <c r="I219" s="2" t="s">
        <v>83</v>
      </c>
      <c r="J219" s="2">
        <v>38.519309999999997</v>
      </c>
      <c r="K219" s="2">
        <v>-8.8929100000000005</v>
      </c>
      <c r="L219" s="2" t="s">
        <v>38</v>
      </c>
      <c r="N219" s="6" t="s">
        <v>890</v>
      </c>
    </row>
    <row r="220" spans="1:14" ht="15" customHeight="1" x14ac:dyDescent="0.2">
      <c r="A220" s="2">
        <v>8.73</v>
      </c>
      <c r="C220" s="2" t="s">
        <v>891</v>
      </c>
      <c r="D220" s="2">
        <f>A220</f>
        <v>8.73</v>
      </c>
      <c r="F220" s="2">
        <v>1993</v>
      </c>
      <c r="G220" s="2" t="s">
        <v>902</v>
      </c>
      <c r="H220" s="2" t="s">
        <v>822</v>
      </c>
      <c r="I220" s="2" t="s">
        <v>26</v>
      </c>
      <c r="J220" s="2">
        <v>51.402346000000001</v>
      </c>
      <c r="K220" s="2">
        <v>3.7007240000000001</v>
      </c>
      <c r="N220" s="6" t="s">
        <v>200</v>
      </c>
    </row>
    <row r="221" spans="1:14" ht="15" customHeight="1" x14ac:dyDescent="0.2">
      <c r="A221" s="2">
        <v>0.14000000000000001</v>
      </c>
      <c r="C221" s="2" t="s">
        <v>6</v>
      </c>
      <c r="D221" s="2">
        <f>(A221 * 1000000)/ 44.013 / 365</f>
        <v>8.7147352790224808</v>
      </c>
      <c r="F221" s="2" t="s">
        <v>691</v>
      </c>
      <c r="G221" s="2" t="s">
        <v>903</v>
      </c>
      <c r="H221" s="2" t="s">
        <v>707</v>
      </c>
      <c r="I221" s="2" t="s">
        <v>25</v>
      </c>
      <c r="J221" s="2">
        <v>53.283861999999999</v>
      </c>
      <c r="K221" s="2">
        <v>-3.822371</v>
      </c>
      <c r="L221" s="2" t="s">
        <v>8</v>
      </c>
      <c r="N221" s="6" t="s">
        <v>17</v>
      </c>
    </row>
    <row r="222" spans="1:14" ht="15" customHeight="1" x14ac:dyDescent="0.2">
      <c r="A222" s="2">
        <v>8.5</v>
      </c>
      <c r="B222" s="2">
        <v>8</v>
      </c>
      <c r="C222" s="2" t="s">
        <v>891</v>
      </c>
      <c r="D222" s="2">
        <f>A222</f>
        <v>8.5</v>
      </c>
      <c r="E222" s="2">
        <f>B222</f>
        <v>8</v>
      </c>
      <c r="F222" s="2" t="s">
        <v>699</v>
      </c>
      <c r="G222" s="2" t="s">
        <v>903</v>
      </c>
      <c r="H222" s="2" t="s">
        <v>128</v>
      </c>
      <c r="I222" s="2" t="s">
        <v>65</v>
      </c>
      <c r="J222" s="2">
        <v>36.793773000000002</v>
      </c>
      <c r="K222" s="2">
        <v>-6.3536950000000001</v>
      </c>
      <c r="L222" s="2" t="s">
        <v>82</v>
      </c>
      <c r="M222" s="2" t="s">
        <v>65</v>
      </c>
      <c r="N222" s="9" t="s">
        <v>66</v>
      </c>
    </row>
    <row r="223" spans="1:14" ht="15" customHeight="1" x14ac:dyDescent="0.2">
      <c r="A223" s="31">
        <v>1.5454541291579299E-2</v>
      </c>
      <c r="B223" s="31"/>
      <c r="C223" s="2" t="s">
        <v>892</v>
      </c>
      <c r="D223" s="2">
        <f>A223 * 545.45</f>
        <v>8.4296795474919293</v>
      </c>
      <c r="F223" s="2">
        <v>2020</v>
      </c>
      <c r="G223" s="38" t="s">
        <v>901</v>
      </c>
      <c r="H223" s="2" t="s">
        <v>754</v>
      </c>
      <c r="I223" s="31" t="s">
        <v>268</v>
      </c>
      <c r="J223" s="31" t="s">
        <v>822</v>
      </c>
      <c r="K223" s="31" t="s">
        <v>822</v>
      </c>
      <c r="L223" s="2" t="s">
        <v>28</v>
      </c>
      <c r="M223" s="2" t="s">
        <v>824</v>
      </c>
      <c r="N223" s="17" t="s">
        <v>906</v>
      </c>
    </row>
    <row r="224" spans="1:14" ht="15" customHeight="1" x14ac:dyDescent="0.2">
      <c r="A224" s="31">
        <v>1.5294068921946199E-2</v>
      </c>
      <c r="B224" s="31"/>
      <c r="C224" s="2" t="s">
        <v>892</v>
      </c>
      <c r="D224" s="2">
        <f>A224 * 545.45</f>
        <v>8.3421498934755558</v>
      </c>
      <c r="F224" s="2">
        <v>2020</v>
      </c>
      <c r="G224" s="38" t="s">
        <v>901</v>
      </c>
      <c r="H224" s="2" t="s">
        <v>735</v>
      </c>
      <c r="I224" s="31" t="s">
        <v>257</v>
      </c>
      <c r="J224" s="31">
        <v>54.372</v>
      </c>
      <c r="K224" s="31">
        <v>13.241300000000001</v>
      </c>
      <c r="L224" s="2" t="s">
        <v>28</v>
      </c>
      <c r="M224" s="2" t="s">
        <v>824</v>
      </c>
      <c r="N224" s="17" t="s">
        <v>906</v>
      </c>
    </row>
    <row r="225" spans="1:14" ht="15" customHeight="1" x14ac:dyDescent="0.2">
      <c r="A225" s="31">
        <v>1.5138923230326701E-2</v>
      </c>
      <c r="B225" s="31"/>
      <c r="C225" s="2" t="s">
        <v>892</v>
      </c>
      <c r="D225" s="2">
        <f>A225 * 545.45</f>
        <v>8.2575256759817002</v>
      </c>
      <c r="F225" s="2">
        <v>2020</v>
      </c>
      <c r="G225" s="38" t="s">
        <v>901</v>
      </c>
      <c r="H225" s="2" t="s">
        <v>754</v>
      </c>
      <c r="I225" s="31" t="s">
        <v>265</v>
      </c>
      <c r="J225" s="31" t="s">
        <v>822</v>
      </c>
      <c r="K225" s="31" t="s">
        <v>822</v>
      </c>
      <c r="L225" s="2" t="s">
        <v>28</v>
      </c>
      <c r="M225" s="2" t="s">
        <v>824</v>
      </c>
      <c r="N225" s="17" t="s">
        <v>906</v>
      </c>
    </row>
    <row r="226" spans="1:14" ht="15" customHeight="1" x14ac:dyDescent="0.2">
      <c r="A226" s="31">
        <v>1.4939654210831601E-2</v>
      </c>
      <c r="B226" s="31"/>
      <c r="C226" s="2" t="s">
        <v>892</v>
      </c>
      <c r="D226" s="2">
        <f>A226 * 545.45</f>
        <v>8.1488343892980968</v>
      </c>
      <c r="F226" s="2">
        <v>2020</v>
      </c>
      <c r="G226" s="38" t="s">
        <v>901</v>
      </c>
      <c r="H226" s="2" t="s">
        <v>762</v>
      </c>
      <c r="I226" s="31" t="s">
        <v>256</v>
      </c>
      <c r="J226" s="31">
        <v>54.371099999999998</v>
      </c>
      <c r="K226" s="31">
        <v>13.2446</v>
      </c>
      <c r="L226" s="2" t="s">
        <v>28</v>
      </c>
      <c r="M226" s="2" t="s">
        <v>824</v>
      </c>
      <c r="N226" s="17" t="s">
        <v>906</v>
      </c>
    </row>
    <row r="227" spans="1:14" ht="15" customHeight="1" x14ac:dyDescent="0.2">
      <c r="A227" s="3">
        <v>8.1</v>
      </c>
      <c r="B227" s="3">
        <v>8.6999999999999993</v>
      </c>
      <c r="C227" s="3" t="s">
        <v>891</v>
      </c>
      <c r="D227" s="3">
        <f>A227</f>
        <v>8.1</v>
      </c>
      <c r="E227" s="3">
        <f>B227</f>
        <v>8.6999999999999993</v>
      </c>
      <c r="F227" s="3">
        <v>2006</v>
      </c>
      <c r="G227" s="2" t="s">
        <v>902</v>
      </c>
      <c r="H227" s="29" t="s">
        <v>148</v>
      </c>
      <c r="I227" s="3" t="s">
        <v>146</v>
      </c>
      <c r="J227" s="3" t="s">
        <v>896</v>
      </c>
      <c r="K227" s="3" t="s">
        <v>897</v>
      </c>
      <c r="L227" s="3"/>
      <c r="M227" s="3" t="s">
        <v>147</v>
      </c>
      <c r="N227" s="28" t="s">
        <v>888</v>
      </c>
    </row>
    <row r="228" spans="1:14" ht="15" customHeight="1" x14ac:dyDescent="0.2">
      <c r="A228" s="2">
        <v>0.13</v>
      </c>
      <c r="C228" s="2" t="s">
        <v>6</v>
      </c>
      <c r="D228" s="2">
        <f>(A228 * 1000000)/ 44.013 / 365</f>
        <v>8.0922541876637322</v>
      </c>
      <c r="F228" s="2" t="s">
        <v>690</v>
      </c>
      <c r="G228" s="2" t="s">
        <v>903</v>
      </c>
      <c r="H228" s="2" t="s">
        <v>708</v>
      </c>
      <c r="I228" s="2" t="s">
        <v>24</v>
      </c>
      <c r="J228" s="2">
        <v>50.406193000000002</v>
      </c>
      <c r="K228" s="2">
        <v>-4.204339</v>
      </c>
      <c r="L228" s="2" t="s">
        <v>8</v>
      </c>
      <c r="N228" s="6" t="s">
        <v>857</v>
      </c>
    </row>
    <row r="229" spans="1:14" ht="15" customHeight="1" x14ac:dyDescent="0.2">
      <c r="A229" s="31">
        <v>40.796334756657068</v>
      </c>
      <c r="B229" s="31"/>
      <c r="C229" s="2" t="s">
        <v>855</v>
      </c>
      <c r="D229" s="31">
        <f xml:space="preserve"> A229 * 0.196</f>
        <v>7.9960816123047858</v>
      </c>
      <c r="F229" s="2" t="s">
        <v>822</v>
      </c>
      <c r="G229" s="23" t="s">
        <v>902</v>
      </c>
      <c r="H229" s="2" t="s">
        <v>822</v>
      </c>
      <c r="J229" s="31">
        <v>57.334999099999997</v>
      </c>
      <c r="K229" s="31">
        <v>20.737199799999999</v>
      </c>
      <c r="L229" s="31"/>
      <c r="M229" s="31" t="s">
        <v>854</v>
      </c>
      <c r="N229" s="6" t="s">
        <v>856</v>
      </c>
    </row>
    <row r="230" spans="1:14" ht="15" customHeight="1" x14ac:dyDescent="0.2">
      <c r="A230" s="31">
        <v>40.522826949743283</v>
      </c>
      <c r="B230" s="31"/>
      <c r="C230" s="2" t="s">
        <v>855</v>
      </c>
      <c r="D230" s="31">
        <f xml:space="preserve"> A230 * 0.196</f>
        <v>7.9424740821496842</v>
      </c>
      <c r="F230" s="2" t="s">
        <v>822</v>
      </c>
      <c r="G230" s="23" t="s">
        <v>902</v>
      </c>
      <c r="H230" s="2" t="s">
        <v>822</v>
      </c>
      <c r="J230" s="31">
        <v>56.600399000000003</v>
      </c>
      <c r="K230" s="31">
        <v>20.004600499999999</v>
      </c>
      <c r="L230" s="31"/>
      <c r="M230" s="31" t="s">
        <v>854</v>
      </c>
      <c r="N230" s="6" t="s">
        <v>856</v>
      </c>
    </row>
    <row r="231" spans="1:14" ht="15" customHeight="1" x14ac:dyDescent="0.2">
      <c r="A231" s="31">
        <v>1.4384488916252901E-2</v>
      </c>
      <c r="B231" s="31"/>
      <c r="C231" s="2" t="s">
        <v>892</v>
      </c>
      <c r="D231" s="2">
        <f t="shared" ref="D231:D236" si="0">A231 * 545.45</f>
        <v>7.8460194793701454</v>
      </c>
      <c r="F231" s="2">
        <v>2020</v>
      </c>
      <c r="G231" s="38" t="s">
        <v>901</v>
      </c>
      <c r="H231" s="2" t="s">
        <v>754</v>
      </c>
      <c r="I231" s="31" t="s">
        <v>266</v>
      </c>
      <c r="J231" s="31" t="s">
        <v>822</v>
      </c>
      <c r="K231" s="31" t="s">
        <v>822</v>
      </c>
      <c r="L231" s="2" t="s">
        <v>28</v>
      </c>
      <c r="M231" s="2" t="s">
        <v>824</v>
      </c>
      <c r="N231" s="17" t="s">
        <v>906</v>
      </c>
    </row>
    <row r="232" spans="1:14" ht="15" customHeight="1" x14ac:dyDescent="0.2">
      <c r="A232" s="31">
        <v>1.4271217187746099E-2</v>
      </c>
      <c r="B232" s="31"/>
      <c r="C232" s="2" t="s">
        <v>892</v>
      </c>
      <c r="D232" s="2">
        <f t="shared" si="0"/>
        <v>7.7842354150561102</v>
      </c>
      <c r="F232" s="2">
        <v>2020</v>
      </c>
      <c r="G232" s="38" t="s">
        <v>901</v>
      </c>
      <c r="H232" s="2" t="s">
        <v>737</v>
      </c>
      <c r="I232" s="31" t="s">
        <v>269</v>
      </c>
      <c r="J232" s="31">
        <v>54.370600000000003</v>
      </c>
      <c r="K232" s="31">
        <v>13.2418</v>
      </c>
      <c r="L232" s="2" t="s">
        <v>28</v>
      </c>
      <c r="M232" s="2" t="s">
        <v>824</v>
      </c>
      <c r="N232" s="17" t="s">
        <v>906</v>
      </c>
    </row>
    <row r="233" spans="1:14" ht="15" customHeight="1" x14ac:dyDescent="0.2">
      <c r="A233" s="31">
        <v>1.42496256283765E-2</v>
      </c>
      <c r="B233" s="31"/>
      <c r="C233" s="2" t="s">
        <v>892</v>
      </c>
      <c r="D233" s="2">
        <f t="shared" si="0"/>
        <v>7.7724582989979627</v>
      </c>
      <c r="F233" s="2">
        <v>2019</v>
      </c>
      <c r="G233" s="38" t="s">
        <v>901</v>
      </c>
      <c r="H233" s="2" t="s">
        <v>725</v>
      </c>
      <c r="I233" s="31" t="s">
        <v>258</v>
      </c>
      <c r="J233" s="31">
        <v>54.371299999999998</v>
      </c>
      <c r="K233" s="31">
        <v>13.2438</v>
      </c>
      <c r="L233" s="2" t="s">
        <v>28</v>
      </c>
      <c r="M233" s="2" t="s">
        <v>824</v>
      </c>
      <c r="N233" s="17" t="s">
        <v>906</v>
      </c>
    </row>
    <row r="234" spans="1:14" ht="15" customHeight="1" x14ac:dyDescent="0.2">
      <c r="A234" s="31">
        <v>1.41046361511174E-2</v>
      </c>
      <c r="B234" s="31"/>
      <c r="C234" s="2" t="s">
        <v>892</v>
      </c>
      <c r="D234" s="2">
        <f t="shared" si="0"/>
        <v>7.6933737886269862</v>
      </c>
      <c r="F234" s="2">
        <v>2020</v>
      </c>
      <c r="G234" s="38" t="s">
        <v>901</v>
      </c>
      <c r="H234" s="2" t="s">
        <v>732</v>
      </c>
      <c r="I234" s="31" t="s">
        <v>260</v>
      </c>
      <c r="J234" s="31">
        <v>54.372</v>
      </c>
      <c r="K234" s="31">
        <v>13.241300000000001</v>
      </c>
      <c r="L234" s="2" t="s">
        <v>28</v>
      </c>
      <c r="M234" s="2" t="s">
        <v>824</v>
      </c>
      <c r="N234" s="17" t="s">
        <v>906</v>
      </c>
    </row>
    <row r="235" spans="1:14" ht="15" customHeight="1" x14ac:dyDescent="0.2">
      <c r="A235" s="31">
        <v>1.40443751862945E-2</v>
      </c>
      <c r="B235" s="31"/>
      <c r="C235" s="2" t="s">
        <v>892</v>
      </c>
      <c r="D235" s="2">
        <f t="shared" si="0"/>
        <v>7.6605044453643361</v>
      </c>
      <c r="F235" s="2">
        <v>2020</v>
      </c>
      <c r="G235" s="38" t="s">
        <v>901</v>
      </c>
      <c r="H235" s="2" t="s">
        <v>755</v>
      </c>
      <c r="I235" s="31" t="s">
        <v>266</v>
      </c>
      <c r="J235" s="31" t="s">
        <v>822</v>
      </c>
      <c r="K235" s="31" t="s">
        <v>822</v>
      </c>
      <c r="L235" s="2" t="s">
        <v>28</v>
      </c>
      <c r="M235" s="2" t="s">
        <v>824</v>
      </c>
      <c r="N235" s="17" t="s">
        <v>906</v>
      </c>
    </row>
    <row r="236" spans="1:14" ht="15" customHeight="1" x14ac:dyDescent="0.2">
      <c r="A236" s="31">
        <v>1.39676531490138E-2</v>
      </c>
      <c r="B236" s="31"/>
      <c r="C236" s="2" t="s">
        <v>892</v>
      </c>
      <c r="D236" s="2">
        <f t="shared" si="0"/>
        <v>7.6186564101295779</v>
      </c>
      <c r="F236" s="2">
        <v>2020</v>
      </c>
      <c r="G236" s="38" t="s">
        <v>901</v>
      </c>
      <c r="H236" s="2" t="s">
        <v>757</v>
      </c>
      <c r="I236" s="31" t="s">
        <v>268</v>
      </c>
      <c r="J236" s="31" t="s">
        <v>822</v>
      </c>
      <c r="K236" s="31" t="s">
        <v>822</v>
      </c>
      <c r="L236" s="2" t="s">
        <v>28</v>
      </c>
      <c r="M236" s="2" t="s">
        <v>824</v>
      </c>
      <c r="N236" s="17" t="s">
        <v>906</v>
      </c>
    </row>
    <row r="237" spans="1:14" ht="15" customHeight="1" x14ac:dyDescent="0.25">
      <c r="A237" s="2">
        <v>627</v>
      </c>
      <c r="C237" s="2" t="s">
        <v>248</v>
      </c>
      <c r="D237" s="2">
        <f>A237 * 0.012</f>
        <v>7.524</v>
      </c>
      <c r="F237" s="2">
        <v>1994</v>
      </c>
      <c r="G237" s="38" t="s">
        <v>902</v>
      </c>
      <c r="H237" s="2" t="s">
        <v>89</v>
      </c>
      <c r="I237" s="2" t="s">
        <v>253</v>
      </c>
      <c r="J237" s="2">
        <v>51.859200000000001</v>
      </c>
      <c r="K237" s="2">
        <v>0.95989999999999998</v>
      </c>
      <c r="L237" s="2" t="s">
        <v>255</v>
      </c>
      <c r="M237" s="2" t="s">
        <v>823</v>
      </c>
      <c r="N237" s="36" t="s">
        <v>887</v>
      </c>
    </row>
    <row r="238" spans="1:14" ht="15" customHeight="1" x14ac:dyDescent="0.2">
      <c r="A238" s="31">
        <v>1.3754113247913801E-2</v>
      </c>
      <c r="B238" s="31"/>
      <c r="C238" s="2" t="s">
        <v>892</v>
      </c>
      <c r="D238" s="2">
        <f>A238 * 545.45</f>
        <v>7.5021810710745829</v>
      </c>
      <c r="F238" s="2">
        <v>2020</v>
      </c>
      <c r="G238" s="38" t="s">
        <v>901</v>
      </c>
      <c r="H238" s="2" t="s">
        <v>755</v>
      </c>
      <c r="I238" s="31" t="s">
        <v>270</v>
      </c>
      <c r="J238" s="31" t="s">
        <v>822</v>
      </c>
      <c r="K238" s="31" t="s">
        <v>822</v>
      </c>
      <c r="L238" s="2" t="s">
        <v>28</v>
      </c>
      <c r="M238" s="2" t="s">
        <v>824</v>
      </c>
      <c r="N238" s="17" t="s">
        <v>906</v>
      </c>
    </row>
    <row r="239" spans="1:14" ht="15" customHeight="1" x14ac:dyDescent="0.2">
      <c r="A239" s="31">
        <v>1.3720132950458101E-2</v>
      </c>
      <c r="B239" s="31"/>
      <c r="C239" s="2" t="s">
        <v>892</v>
      </c>
      <c r="D239" s="2">
        <f>A239 * 545.45</f>
        <v>7.4836465178273714</v>
      </c>
      <c r="F239" s="2">
        <v>2020</v>
      </c>
      <c r="G239" s="38" t="s">
        <v>901</v>
      </c>
      <c r="H239" s="2" t="s">
        <v>755</v>
      </c>
      <c r="I239" s="31" t="s">
        <v>268</v>
      </c>
      <c r="J239" s="31" t="s">
        <v>822</v>
      </c>
      <c r="K239" s="31" t="s">
        <v>822</v>
      </c>
      <c r="L239" s="2" t="s">
        <v>28</v>
      </c>
      <c r="M239" s="2" t="s">
        <v>824</v>
      </c>
      <c r="N239" s="17" t="s">
        <v>906</v>
      </c>
    </row>
    <row r="240" spans="1:14" ht="15" customHeight="1" x14ac:dyDescent="0.2">
      <c r="A240" s="20">
        <v>0.32876712328767121</v>
      </c>
      <c r="B240" s="20"/>
      <c r="C240" s="2" t="s">
        <v>98</v>
      </c>
      <c r="D240" s="2">
        <f>A240 * 22.727</f>
        <v>7.4718904109589035</v>
      </c>
      <c r="F240" s="2" t="s">
        <v>822</v>
      </c>
      <c r="G240" s="2" t="s">
        <v>901</v>
      </c>
      <c r="H240" s="2" t="s">
        <v>822</v>
      </c>
      <c r="I240" s="14" t="s">
        <v>220</v>
      </c>
      <c r="J240" s="16">
        <v>54.996000000000002</v>
      </c>
      <c r="K240" s="16">
        <v>-1.4430000000000001</v>
      </c>
      <c r="L240" s="16"/>
      <c r="M240" s="33" t="s">
        <v>821</v>
      </c>
      <c r="N240" s="17" t="s">
        <v>867</v>
      </c>
    </row>
    <row r="241" spans="1:14" ht="15" customHeight="1" x14ac:dyDescent="0.2">
      <c r="A241" s="2">
        <v>0.12</v>
      </c>
      <c r="C241" s="2" t="s">
        <v>6</v>
      </c>
      <c r="D241" s="2">
        <f>(A241 * 1000000)/ 44.013 / 365</f>
        <v>7.4697730963049835</v>
      </c>
      <c r="F241" s="2" t="s">
        <v>687</v>
      </c>
      <c r="G241" s="2" t="s">
        <v>903</v>
      </c>
      <c r="H241" s="2" t="s">
        <v>705</v>
      </c>
      <c r="I241" s="2" t="s">
        <v>11</v>
      </c>
      <c r="J241" s="2">
        <v>55.011828999999999</v>
      </c>
      <c r="K241" s="2">
        <v>-1.4163049999999999</v>
      </c>
      <c r="L241" s="2" t="s">
        <v>8</v>
      </c>
      <c r="N241" s="6" t="s">
        <v>857</v>
      </c>
    </row>
    <row r="242" spans="1:14" ht="15" customHeight="1" x14ac:dyDescent="0.25">
      <c r="A242" s="2">
        <v>620</v>
      </c>
      <c r="C242" s="2" t="s">
        <v>248</v>
      </c>
      <c r="D242" s="2">
        <f>A242 * 0.012</f>
        <v>7.44</v>
      </c>
      <c r="F242" s="2">
        <v>1995</v>
      </c>
      <c r="G242" s="38" t="s">
        <v>902</v>
      </c>
      <c r="H242" s="2" t="s">
        <v>249</v>
      </c>
      <c r="I242" s="2" t="s">
        <v>252</v>
      </c>
      <c r="J242" s="2">
        <v>51.085599999999999</v>
      </c>
      <c r="K242" s="2">
        <v>1.1656</v>
      </c>
      <c r="L242" s="2" t="s">
        <v>255</v>
      </c>
      <c r="M242" s="2" t="s">
        <v>823</v>
      </c>
      <c r="N242" s="36" t="s">
        <v>887</v>
      </c>
    </row>
    <row r="243" spans="1:14" ht="15" customHeight="1" x14ac:dyDescent="0.2">
      <c r="A243" s="31">
        <v>1.3592579729539899E-2</v>
      </c>
      <c r="B243" s="31"/>
      <c r="C243" s="2" t="s">
        <v>892</v>
      </c>
      <c r="D243" s="2">
        <f>A243 * 545.45</f>
        <v>7.414072613477539</v>
      </c>
      <c r="F243" s="2">
        <v>2020</v>
      </c>
      <c r="G243" s="38" t="s">
        <v>901</v>
      </c>
      <c r="H243" s="2" t="s">
        <v>736</v>
      </c>
      <c r="I243" s="31" t="s">
        <v>256</v>
      </c>
      <c r="J243" s="31">
        <v>54.371099999999998</v>
      </c>
      <c r="K243" s="31">
        <v>13.2446</v>
      </c>
      <c r="L243" s="2" t="s">
        <v>28</v>
      </c>
      <c r="M243" s="2" t="s">
        <v>824</v>
      </c>
      <c r="N243" s="17" t="s">
        <v>906</v>
      </c>
    </row>
    <row r="244" spans="1:14" ht="15" customHeight="1" x14ac:dyDescent="0.2">
      <c r="A244" s="31">
        <v>37.164313143719539</v>
      </c>
      <c r="B244" s="31"/>
      <c r="C244" s="2" t="s">
        <v>855</v>
      </c>
      <c r="D244" s="31">
        <f xml:space="preserve"> A244 * 0.196</f>
        <v>7.2842053761690302</v>
      </c>
      <c r="F244" s="2" t="s">
        <v>822</v>
      </c>
      <c r="G244" s="23" t="s">
        <v>902</v>
      </c>
      <c r="H244" s="2" t="s">
        <v>822</v>
      </c>
      <c r="J244" s="31">
        <v>57.738300299999999</v>
      </c>
      <c r="K244" s="31">
        <v>21.139400500000001</v>
      </c>
      <c r="L244" s="31"/>
      <c r="M244" s="31" t="s">
        <v>854</v>
      </c>
      <c r="N244" s="6" t="s">
        <v>856</v>
      </c>
    </row>
    <row r="245" spans="1:14" ht="15" customHeight="1" x14ac:dyDescent="0.2">
      <c r="A245" s="31">
        <v>1.3293475967951499E-2</v>
      </c>
      <c r="B245" s="31"/>
      <c r="C245" s="2" t="s">
        <v>892</v>
      </c>
      <c r="D245" s="2">
        <f>A245 * 545.45</f>
        <v>7.2509264667191458</v>
      </c>
      <c r="F245" s="2">
        <v>2020</v>
      </c>
      <c r="G245" s="38" t="s">
        <v>901</v>
      </c>
      <c r="H245" s="2" t="s">
        <v>753</v>
      </c>
      <c r="I245" s="31" t="s">
        <v>256</v>
      </c>
      <c r="J245" s="31">
        <v>54.371099999999998</v>
      </c>
      <c r="K245" s="31">
        <v>13.2446</v>
      </c>
      <c r="L245" s="2" t="s">
        <v>28</v>
      </c>
      <c r="M245" s="2" t="s">
        <v>824</v>
      </c>
      <c r="N245" s="17" t="s">
        <v>906</v>
      </c>
    </row>
    <row r="246" spans="1:14" ht="15" customHeight="1" x14ac:dyDescent="0.2">
      <c r="A246" s="31">
        <v>1.29842212887369E-2</v>
      </c>
      <c r="B246" s="31"/>
      <c r="C246" s="2" t="s">
        <v>892</v>
      </c>
      <c r="D246" s="2">
        <f>A246 * 545.45</f>
        <v>7.0822435019415426</v>
      </c>
      <c r="F246" s="2">
        <v>2020</v>
      </c>
      <c r="G246" s="38" t="s">
        <v>901</v>
      </c>
      <c r="H246" s="2" t="s">
        <v>727</v>
      </c>
      <c r="I246" s="31" t="s">
        <v>259</v>
      </c>
      <c r="J246" s="31">
        <v>54.373600000000003</v>
      </c>
      <c r="K246" s="31">
        <v>13.239800000000001</v>
      </c>
      <c r="L246" s="2" t="s">
        <v>28</v>
      </c>
      <c r="M246" s="2" t="s">
        <v>824</v>
      </c>
      <c r="N246" s="17" t="s">
        <v>906</v>
      </c>
    </row>
    <row r="247" spans="1:14" ht="15" customHeight="1" x14ac:dyDescent="0.2">
      <c r="A247" s="31">
        <v>1.28614575759735E-2</v>
      </c>
      <c r="B247" s="31"/>
      <c r="C247" s="2" t="s">
        <v>892</v>
      </c>
      <c r="D247" s="2">
        <f>A247 * 545.45</f>
        <v>7.0152820348147458</v>
      </c>
      <c r="F247" s="2">
        <v>2020</v>
      </c>
      <c r="G247" s="38" t="s">
        <v>901</v>
      </c>
      <c r="H247" s="2" t="s">
        <v>757</v>
      </c>
      <c r="I247" s="31" t="s">
        <v>265</v>
      </c>
      <c r="J247" s="31" t="s">
        <v>822</v>
      </c>
      <c r="K247" s="31" t="s">
        <v>822</v>
      </c>
      <c r="L247" s="2" t="s">
        <v>28</v>
      </c>
      <c r="M247" s="2" t="s">
        <v>824</v>
      </c>
      <c r="N247" s="17" t="s">
        <v>906</v>
      </c>
    </row>
    <row r="248" spans="1:14" ht="15" customHeight="1" x14ac:dyDescent="0.25">
      <c r="A248" s="2">
        <v>583</v>
      </c>
      <c r="C248" s="2" t="s">
        <v>248</v>
      </c>
      <c r="D248" s="2">
        <f>A248 * 0.012</f>
        <v>6.9960000000000004</v>
      </c>
      <c r="F248" s="2">
        <v>1995</v>
      </c>
      <c r="G248" s="38" t="s">
        <v>902</v>
      </c>
      <c r="H248" s="2" t="s">
        <v>250</v>
      </c>
      <c r="I248" s="2" t="s">
        <v>251</v>
      </c>
      <c r="J248" s="2">
        <v>51.816099999999999</v>
      </c>
      <c r="K248" s="2">
        <v>1.0214000000000001</v>
      </c>
      <c r="L248" s="2" t="s">
        <v>255</v>
      </c>
      <c r="M248" s="2" t="s">
        <v>823</v>
      </c>
      <c r="N248" s="36" t="s">
        <v>887</v>
      </c>
    </row>
    <row r="249" spans="1:14" ht="15" customHeight="1" x14ac:dyDescent="0.2">
      <c r="A249" s="31">
        <v>1.28072526042256E-2</v>
      </c>
      <c r="B249" s="31"/>
      <c r="C249" s="2" t="s">
        <v>892</v>
      </c>
      <c r="D249" s="2">
        <f>A249 * 545.45</f>
        <v>6.9857159329748537</v>
      </c>
      <c r="F249" s="2">
        <v>2020</v>
      </c>
      <c r="G249" s="38" t="s">
        <v>901</v>
      </c>
      <c r="H249" s="2" t="s">
        <v>757</v>
      </c>
      <c r="I249" s="31" t="s">
        <v>266</v>
      </c>
      <c r="J249" s="31" t="s">
        <v>822</v>
      </c>
      <c r="K249" s="31" t="s">
        <v>822</v>
      </c>
      <c r="L249" s="2" t="s">
        <v>28</v>
      </c>
      <c r="M249" s="2" t="s">
        <v>824</v>
      </c>
      <c r="N249" s="17" t="s">
        <v>906</v>
      </c>
    </row>
    <row r="250" spans="1:14" ht="15" customHeight="1" x14ac:dyDescent="0.2">
      <c r="A250" s="31">
        <v>1.2802846788226199E-2</v>
      </c>
      <c r="B250" s="31"/>
      <c r="C250" s="2" t="s">
        <v>892</v>
      </c>
      <c r="D250" s="2">
        <f>A250 * 545.45</f>
        <v>6.9833127806379807</v>
      </c>
      <c r="F250" s="2">
        <v>2020</v>
      </c>
      <c r="G250" s="38" t="s">
        <v>901</v>
      </c>
      <c r="H250" s="2" t="s">
        <v>736</v>
      </c>
      <c r="I250" s="31" t="s">
        <v>258</v>
      </c>
      <c r="J250" s="31">
        <v>54.371299999999998</v>
      </c>
      <c r="K250" s="31">
        <v>13.2438</v>
      </c>
      <c r="L250" s="2" t="s">
        <v>28</v>
      </c>
      <c r="M250" s="2" t="s">
        <v>824</v>
      </c>
      <c r="N250" s="17" t="s">
        <v>906</v>
      </c>
    </row>
    <row r="251" spans="1:14" ht="15" customHeight="1" x14ac:dyDescent="0.2">
      <c r="A251" s="31">
        <v>1.27041500743753E-2</v>
      </c>
      <c r="B251" s="31"/>
      <c r="C251" s="2" t="s">
        <v>892</v>
      </c>
      <c r="D251" s="2">
        <f>A251 * 545.45</f>
        <v>6.9294786580680077</v>
      </c>
      <c r="F251" s="2">
        <v>2020</v>
      </c>
      <c r="G251" s="38" t="s">
        <v>901</v>
      </c>
      <c r="H251" s="2" t="s">
        <v>755</v>
      </c>
      <c r="I251" s="31" t="s">
        <v>264</v>
      </c>
      <c r="J251" s="31" t="s">
        <v>822</v>
      </c>
      <c r="K251" s="31" t="s">
        <v>822</v>
      </c>
      <c r="L251" s="2" t="s">
        <v>28</v>
      </c>
      <c r="M251" s="2" t="s">
        <v>824</v>
      </c>
      <c r="N251" s="17" t="s">
        <v>906</v>
      </c>
    </row>
    <row r="252" spans="1:14" ht="15" customHeight="1" x14ac:dyDescent="0.2">
      <c r="A252" s="31">
        <v>1.2676472028113899E-2</v>
      </c>
      <c r="B252" s="31"/>
      <c r="C252" s="2" t="s">
        <v>892</v>
      </c>
      <c r="D252" s="2">
        <f>A252 * 545.45</f>
        <v>6.9143816677347267</v>
      </c>
      <c r="F252" s="2">
        <v>2020</v>
      </c>
      <c r="G252" s="38" t="s">
        <v>901</v>
      </c>
      <c r="H252" s="2" t="s">
        <v>737</v>
      </c>
      <c r="I252" s="31" t="s">
        <v>259</v>
      </c>
      <c r="J252" s="31">
        <v>54.373600000000003</v>
      </c>
      <c r="K252" s="31">
        <v>13.239800000000001</v>
      </c>
      <c r="L252" s="2" t="s">
        <v>28</v>
      </c>
      <c r="M252" s="2" t="s">
        <v>824</v>
      </c>
      <c r="N252" s="17" t="s">
        <v>906</v>
      </c>
    </row>
    <row r="253" spans="1:14" ht="15" customHeight="1" x14ac:dyDescent="0.2">
      <c r="A253" s="31">
        <v>1.26269877109633E-2</v>
      </c>
      <c r="B253" s="31"/>
      <c r="C253" s="2" t="s">
        <v>892</v>
      </c>
      <c r="D253" s="2">
        <f>A253 * 545.45</f>
        <v>6.8873904469449325</v>
      </c>
      <c r="F253" s="2">
        <v>2020</v>
      </c>
      <c r="G253" s="38" t="s">
        <v>901</v>
      </c>
      <c r="H253" s="2" t="s">
        <v>755</v>
      </c>
      <c r="I253" s="31" t="s">
        <v>265</v>
      </c>
      <c r="J253" s="31" t="s">
        <v>822</v>
      </c>
      <c r="K253" s="31" t="s">
        <v>822</v>
      </c>
      <c r="L253" s="2" t="s">
        <v>28</v>
      </c>
      <c r="M253" s="2" t="s">
        <v>824</v>
      </c>
      <c r="N253" s="17" t="s">
        <v>906</v>
      </c>
    </row>
    <row r="254" spans="1:14" ht="15" customHeight="1" x14ac:dyDescent="0.2">
      <c r="A254" s="3">
        <v>6.85</v>
      </c>
      <c r="B254" s="3">
        <v>7.0030000000000001</v>
      </c>
      <c r="C254" s="3" t="s">
        <v>891</v>
      </c>
      <c r="D254" s="3">
        <f>A254</f>
        <v>6.85</v>
      </c>
      <c r="E254" s="3">
        <f>B254</f>
        <v>7.0030000000000001</v>
      </c>
      <c r="F254" s="3">
        <v>2018</v>
      </c>
      <c r="G254" s="3"/>
      <c r="H254" s="3" t="s">
        <v>128</v>
      </c>
      <c r="I254" s="3" t="s">
        <v>181</v>
      </c>
      <c r="J254" s="3"/>
      <c r="K254" s="3"/>
      <c r="L254" s="3" t="s">
        <v>82</v>
      </c>
      <c r="M254" s="3" t="s">
        <v>815</v>
      </c>
      <c r="N254" s="28" t="s">
        <v>889</v>
      </c>
    </row>
    <row r="255" spans="1:14" ht="15" customHeight="1" x14ac:dyDescent="0.2">
      <c r="A255" s="2">
        <v>0.3</v>
      </c>
      <c r="C255" s="2" t="s">
        <v>98</v>
      </c>
      <c r="D255" s="2">
        <f>A255 * 22.727</f>
        <v>6.8181000000000003</v>
      </c>
      <c r="F255" s="2">
        <v>2015</v>
      </c>
      <c r="G255" s="2" t="s">
        <v>902</v>
      </c>
      <c r="H255" s="5" t="s">
        <v>48</v>
      </c>
      <c r="I255" s="2" t="s">
        <v>142</v>
      </c>
      <c r="J255" s="2">
        <v>54.720219999999998</v>
      </c>
      <c r="K255" s="2">
        <v>17.411290000000001</v>
      </c>
      <c r="L255" s="2" t="s">
        <v>809</v>
      </c>
      <c r="M255" s="2" t="s">
        <v>138</v>
      </c>
      <c r="N255" s="6" t="s">
        <v>860</v>
      </c>
    </row>
    <row r="256" spans="1:14" ht="15" customHeight="1" x14ac:dyDescent="0.2">
      <c r="A256" s="31">
        <v>1.2315975013011101E-2</v>
      </c>
      <c r="B256" s="31"/>
      <c r="C256" s="2" t="s">
        <v>892</v>
      </c>
      <c r="D256" s="2">
        <f>A256 * 545.45</f>
        <v>6.7177485708469051</v>
      </c>
      <c r="F256" s="2">
        <v>2020</v>
      </c>
      <c r="G256" s="38" t="s">
        <v>901</v>
      </c>
      <c r="H256" s="2" t="s">
        <v>755</v>
      </c>
      <c r="I256" s="31" t="s">
        <v>267</v>
      </c>
      <c r="J256" s="31" t="s">
        <v>822</v>
      </c>
      <c r="K256" s="31" t="s">
        <v>822</v>
      </c>
      <c r="L256" s="2" t="s">
        <v>28</v>
      </c>
      <c r="M256" s="2" t="s">
        <v>824</v>
      </c>
      <c r="N256" s="17" t="s">
        <v>906</v>
      </c>
    </row>
    <row r="257" spans="1:14" ht="15" customHeight="1" x14ac:dyDescent="0.25">
      <c r="A257" s="2">
        <v>559</v>
      </c>
      <c r="C257" s="2" t="s">
        <v>248</v>
      </c>
      <c r="D257" s="2">
        <f>A257 * 0.012</f>
        <v>6.7080000000000002</v>
      </c>
      <c r="F257" s="2">
        <v>1994</v>
      </c>
      <c r="G257" s="38" t="s">
        <v>902</v>
      </c>
      <c r="H257" s="2" t="s">
        <v>155</v>
      </c>
      <c r="I257" s="2" t="s">
        <v>252</v>
      </c>
      <c r="J257" s="2">
        <v>51.085599999999999</v>
      </c>
      <c r="K257" s="2">
        <v>1.1656</v>
      </c>
      <c r="L257" s="2" t="s">
        <v>255</v>
      </c>
      <c r="M257" s="2" t="s">
        <v>823</v>
      </c>
      <c r="N257" s="36" t="s">
        <v>887</v>
      </c>
    </row>
    <row r="258" spans="1:14" ht="15" customHeight="1" x14ac:dyDescent="0.2">
      <c r="A258" s="31">
        <v>1.22196798073963E-2</v>
      </c>
      <c r="B258" s="31"/>
      <c r="C258" s="2" t="s">
        <v>892</v>
      </c>
      <c r="D258" s="2">
        <f>A258 * 545.45</f>
        <v>6.6652243509443121</v>
      </c>
      <c r="F258" s="2">
        <v>2020</v>
      </c>
      <c r="G258" s="38" t="s">
        <v>901</v>
      </c>
      <c r="H258" s="2" t="s">
        <v>757</v>
      </c>
      <c r="I258" s="31" t="s">
        <v>264</v>
      </c>
      <c r="J258" s="31" t="s">
        <v>822</v>
      </c>
      <c r="K258" s="31" t="s">
        <v>822</v>
      </c>
      <c r="L258" s="2" t="s">
        <v>28</v>
      </c>
      <c r="M258" s="2" t="s">
        <v>824</v>
      </c>
      <c r="N258" s="17" t="s">
        <v>906</v>
      </c>
    </row>
    <row r="259" spans="1:14" ht="15" customHeight="1" x14ac:dyDescent="0.2">
      <c r="A259" s="31">
        <v>1.22047368050913E-2</v>
      </c>
      <c r="B259" s="31"/>
      <c r="C259" s="2" t="s">
        <v>892</v>
      </c>
      <c r="D259" s="2">
        <f>A259 * 545.45</f>
        <v>6.6570736903370502</v>
      </c>
      <c r="F259" s="2">
        <v>2020</v>
      </c>
      <c r="G259" s="38" t="s">
        <v>901</v>
      </c>
      <c r="H259" s="2" t="s">
        <v>757</v>
      </c>
      <c r="I259" s="31" t="s">
        <v>270</v>
      </c>
      <c r="J259" s="31" t="s">
        <v>822</v>
      </c>
      <c r="K259" s="31" t="s">
        <v>822</v>
      </c>
      <c r="L259" s="2" t="s">
        <v>28</v>
      </c>
      <c r="M259" s="2" t="s">
        <v>824</v>
      </c>
      <c r="N259" s="17" t="s">
        <v>906</v>
      </c>
    </row>
    <row r="260" spans="1:14" ht="15" customHeight="1" x14ac:dyDescent="0.2">
      <c r="A260" s="31">
        <v>1.21616016518589E-2</v>
      </c>
      <c r="B260" s="31"/>
      <c r="C260" s="2" t="s">
        <v>892</v>
      </c>
      <c r="D260" s="2">
        <f>A260 * 545.45</f>
        <v>6.6335456210064372</v>
      </c>
      <c r="F260" s="2">
        <v>2020</v>
      </c>
      <c r="G260" s="38" t="s">
        <v>901</v>
      </c>
      <c r="H260" s="2" t="s">
        <v>748</v>
      </c>
      <c r="I260" s="31" t="s">
        <v>263</v>
      </c>
      <c r="J260" s="31" t="s">
        <v>822</v>
      </c>
      <c r="K260" s="31" t="s">
        <v>822</v>
      </c>
      <c r="L260" s="2" t="s">
        <v>28</v>
      </c>
      <c r="M260" s="2" t="s">
        <v>824</v>
      </c>
      <c r="N260" s="17" t="s">
        <v>906</v>
      </c>
    </row>
    <row r="261" spans="1:14" ht="15" customHeight="1" x14ac:dyDescent="0.2">
      <c r="A261" s="2">
        <v>6.51</v>
      </c>
      <c r="C261" s="2" t="s">
        <v>891</v>
      </c>
      <c r="D261" s="2">
        <f>A261</f>
        <v>6.51</v>
      </c>
      <c r="F261" s="2">
        <v>2020</v>
      </c>
      <c r="G261" s="2" t="s">
        <v>902</v>
      </c>
      <c r="H261" s="2" t="s">
        <v>128</v>
      </c>
      <c r="I261" s="2" t="s">
        <v>129</v>
      </c>
      <c r="J261" s="2">
        <v>37.025213000000001</v>
      </c>
      <c r="K261" s="2">
        <v>-7.8101440000000002</v>
      </c>
      <c r="L261" s="2" t="s">
        <v>82</v>
      </c>
      <c r="M261" s="2" t="s">
        <v>134</v>
      </c>
      <c r="N261" s="6" t="s">
        <v>199</v>
      </c>
    </row>
    <row r="262" spans="1:14" ht="15" customHeight="1" x14ac:dyDescent="0.2">
      <c r="A262" s="31">
        <v>1.17662744449787E-2</v>
      </c>
      <c r="B262" s="31"/>
      <c r="C262" s="2" t="s">
        <v>892</v>
      </c>
      <c r="D262" s="2">
        <f>A262 * 545.45</f>
        <v>6.4179143960136322</v>
      </c>
      <c r="F262" s="2">
        <v>2020</v>
      </c>
      <c r="G262" s="38" t="s">
        <v>901</v>
      </c>
      <c r="H262" s="2" t="s">
        <v>736</v>
      </c>
      <c r="I262" s="31" t="s">
        <v>269</v>
      </c>
      <c r="J262" s="31">
        <v>54.370600000000003</v>
      </c>
      <c r="K262" s="31">
        <v>13.2418</v>
      </c>
      <c r="L262" s="2" t="s">
        <v>28</v>
      </c>
      <c r="M262" s="2" t="s">
        <v>824</v>
      </c>
      <c r="N262" s="17" t="s">
        <v>906</v>
      </c>
    </row>
    <row r="263" spans="1:14" ht="15" customHeight="1" x14ac:dyDescent="0.2">
      <c r="A263" s="31">
        <v>1.17559306924645E-2</v>
      </c>
      <c r="B263" s="31"/>
      <c r="C263" s="2" t="s">
        <v>892</v>
      </c>
      <c r="D263" s="2">
        <f>A263 * 545.45</f>
        <v>6.4122723962047621</v>
      </c>
      <c r="F263" s="2">
        <v>2020</v>
      </c>
      <c r="G263" s="38" t="s">
        <v>901</v>
      </c>
      <c r="H263" s="2" t="s">
        <v>755</v>
      </c>
      <c r="I263" s="31" t="s">
        <v>263</v>
      </c>
      <c r="J263" s="31" t="s">
        <v>822</v>
      </c>
      <c r="K263" s="31" t="s">
        <v>822</v>
      </c>
      <c r="L263" s="2" t="s">
        <v>28</v>
      </c>
      <c r="M263" s="2" t="s">
        <v>824</v>
      </c>
      <c r="N263" s="17" t="s">
        <v>906</v>
      </c>
    </row>
    <row r="264" spans="1:14" ht="15" customHeight="1" x14ac:dyDescent="0.2">
      <c r="A264" s="31">
        <v>1.15730018151586E-2</v>
      </c>
      <c r="B264" s="31"/>
      <c r="C264" s="2" t="s">
        <v>892</v>
      </c>
      <c r="D264" s="2">
        <f>A264 * 545.45</f>
        <v>6.3124938400782584</v>
      </c>
      <c r="F264" s="2">
        <v>2020</v>
      </c>
      <c r="G264" s="38" t="s">
        <v>901</v>
      </c>
      <c r="H264" s="2" t="s">
        <v>732</v>
      </c>
      <c r="I264" s="31" t="s">
        <v>258</v>
      </c>
      <c r="J264" s="31">
        <v>54.371299999999998</v>
      </c>
      <c r="K264" s="31">
        <v>13.2438</v>
      </c>
      <c r="L264" s="2" t="s">
        <v>28</v>
      </c>
      <c r="M264" s="2" t="s">
        <v>824</v>
      </c>
      <c r="N264" s="17" t="s">
        <v>906</v>
      </c>
    </row>
    <row r="265" spans="1:14" ht="15" customHeight="1" x14ac:dyDescent="0.2">
      <c r="A265" s="2">
        <v>6.27</v>
      </c>
      <c r="C265" s="2" t="s">
        <v>891</v>
      </c>
      <c r="D265" s="2">
        <f>A265</f>
        <v>6.27</v>
      </c>
      <c r="F265" s="2">
        <v>1993</v>
      </c>
      <c r="G265" s="2" t="s">
        <v>902</v>
      </c>
      <c r="H265" s="2" t="s">
        <v>822</v>
      </c>
      <c r="I265" s="2" t="s">
        <v>26</v>
      </c>
      <c r="J265" s="2">
        <v>51.449010000000001</v>
      </c>
      <c r="K265" s="2">
        <v>3.4857999999999998</v>
      </c>
      <c r="N265" s="6" t="s">
        <v>200</v>
      </c>
    </row>
    <row r="266" spans="1:14" ht="15" customHeight="1" x14ac:dyDescent="0.25">
      <c r="A266" s="2">
        <v>514</v>
      </c>
      <c r="C266" s="2" t="s">
        <v>248</v>
      </c>
      <c r="D266" s="2">
        <f>A266 * 0.012</f>
        <v>6.1680000000000001</v>
      </c>
      <c r="F266" s="2">
        <v>1995</v>
      </c>
      <c r="G266" s="38" t="s">
        <v>902</v>
      </c>
      <c r="H266" s="2" t="s">
        <v>250</v>
      </c>
      <c r="I266" s="2" t="s">
        <v>254</v>
      </c>
      <c r="J266" s="2">
        <v>51.0717</v>
      </c>
      <c r="K266" s="2">
        <v>1.0819000000000001</v>
      </c>
      <c r="L266" s="2" t="s">
        <v>255</v>
      </c>
      <c r="M266" s="2" t="s">
        <v>823</v>
      </c>
      <c r="N266" s="36" t="s">
        <v>887</v>
      </c>
    </row>
    <row r="267" spans="1:14" ht="15" customHeight="1" x14ac:dyDescent="0.2">
      <c r="A267" s="2">
        <v>6.1</v>
      </c>
      <c r="B267" s="2">
        <v>3.1</v>
      </c>
      <c r="C267" s="2" t="s">
        <v>891</v>
      </c>
      <c r="D267" s="2">
        <f>A267</f>
        <v>6.1</v>
      </c>
      <c r="E267" s="2">
        <f>B267</f>
        <v>3.1</v>
      </c>
      <c r="F267" s="2">
        <v>2014</v>
      </c>
      <c r="G267" s="2" t="s">
        <v>902</v>
      </c>
      <c r="H267" s="5" t="s">
        <v>89</v>
      </c>
      <c r="I267" s="2" t="s">
        <v>158</v>
      </c>
      <c r="J267" s="2">
        <v>37.012805999999998</v>
      </c>
      <c r="K267" s="2">
        <v>-7.0772560000000002</v>
      </c>
      <c r="L267" s="2" t="s">
        <v>82</v>
      </c>
      <c r="N267" s="9" t="s">
        <v>159</v>
      </c>
    </row>
    <row r="268" spans="1:14" ht="15" customHeight="1" x14ac:dyDescent="0.2">
      <c r="A268" s="31">
        <v>1.0977219501414E-2</v>
      </c>
      <c r="B268" s="31"/>
      <c r="C268" s="2" t="s">
        <v>892</v>
      </c>
      <c r="D268" s="2">
        <f>A268 * 545.45</f>
        <v>5.9875243770462667</v>
      </c>
      <c r="F268" s="2">
        <v>2020</v>
      </c>
      <c r="G268" s="38" t="s">
        <v>901</v>
      </c>
      <c r="H268" s="2" t="s">
        <v>757</v>
      </c>
      <c r="I268" s="31" t="s">
        <v>267</v>
      </c>
      <c r="J268" s="31" t="s">
        <v>822</v>
      </c>
      <c r="K268" s="31" t="s">
        <v>822</v>
      </c>
      <c r="L268" s="2" t="s">
        <v>28</v>
      </c>
      <c r="M268" s="2" t="s">
        <v>824</v>
      </c>
      <c r="N268" s="17" t="s">
        <v>906</v>
      </c>
    </row>
    <row r="269" spans="1:14" ht="15" customHeight="1" x14ac:dyDescent="0.2">
      <c r="A269" s="10">
        <v>5.98</v>
      </c>
      <c r="B269" s="10">
        <v>5.0591999999999998E-2</v>
      </c>
      <c r="C269" s="2" t="s">
        <v>891</v>
      </c>
      <c r="D269" s="2">
        <f>A269</f>
        <v>5.98</v>
      </c>
      <c r="E269" s="2">
        <f>B269</f>
        <v>5.0591999999999998E-2</v>
      </c>
      <c r="F269" s="2">
        <v>2023</v>
      </c>
      <c r="G269" s="2" t="s">
        <v>902</v>
      </c>
      <c r="H269" s="5" t="s">
        <v>128</v>
      </c>
      <c r="I269" s="2" t="s">
        <v>165</v>
      </c>
      <c r="J269" s="2">
        <v>53.818300000000001</v>
      </c>
      <c r="K269" s="2">
        <v>14.1328</v>
      </c>
      <c r="L269" s="2" t="s">
        <v>809</v>
      </c>
      <c r="M269" s="2" t="s">
        <v>172</v>
      </c>
      <c r="N269" s="11" t="s">
        <v>166</v>
      </c>
    </row>
    <row r="270" spans="1:14" ht="15" customHeight="1" x14ac:dyDescent="0.2">
      <c r="A270" s="31">
        <v>1.0745764379801299E-2</v>
      </c>
      <c r="B270" s="31"/>
      <c r="C270" s="2" t="s">
        <v>892</v>
      </c>
      <c r="D270" s="2">
        <f>A270 * 545.45</f>
        <v>5.8612771809626194</v>
      </c>
      <c r="F270" s="2">
        <v>2020</v>
      </c>
      <c r="G270" s="38" t="s">
        <v>901</v>
      </c>
      <c r="H270" s="2" t="s">
        <v>758</v>
      </c>
      <c r="I270" s="31" t="s">
        <v>259</v>
      </c>
      <c r="J270" s="31">
        <v>54.373600000000003</v>
      </c>
      <c r="K270" s="31">
        <v>13.239800000000001</v>
      </c>
      <c r="L270" s="2" t="s">
        <v>28</v>
      </c>
      <c r="M270" s="2" t="s">
        <v>824</v>
      </c>
      <c r="N270" s="17" t="s">
        <v>906</v>
      </c>
    </row>
    <row r="271" spans="1:14" ht="15" customHeight="1" x14ac:dyDescent="0.2">
      <c r="A271" s="31">
        <v>1.04767344703933E-2</v>
      </c>
      <c r="B271" s="31"/>
      <c r="C271" s="2" t="s">
        <v>892</v>
      </c>
      <c r="D271" s="2">
        <f>A271 * 545.45</f>
        <v>5.7145348168760259</v>
      </c>
      <c r="F271" s="2">
        <v>2020</v>
      </c>
      <c r="G271" s="38" t="s">
        <v>901</v>
      </c>
      <c r="H271" s="2" t="s">
        <v>733</v>
      </c>
      <c r="I271" s="31" t="s">
        <v>262</v>
      </c>
      <c r="J271" s="31" t="s">
        <v>822</v>
      </c>
      <c r="K271" s="31" t="s">
        <v>822</v>
      </c>
      <c r="L271" s="2" t="s">
        <v>28</v>
      </c>
      <c r="M271" s="2" t="s">
        <v>824</v>
      </c>
      <c r="N271" s="17" t="s">
        <v>906</v>
      </c>
    </row>
    <row r="272" spans="1:14" ht="15" customHeight="1" x14ac:dyDescent="0.2">
      <c r="A272" s="31">
        <v>1.04440983042827E-2</v>
      </c>
      <c r="B272" s="31"/>
      <c r="C272" s="2" t="s">
        <v>892</v>
      </c>
      <c r="D272" s="2">
        <f>A272 * 545.45</f>
        <v>5.6967334200709994</v>
      </c>
      <c r="F272" s="2">
        <v>2020</v>
      </c>
      <c r="G272" s="38" t="s">
        <v>901</v>
      </c>
      <c r="H272" s="2" t="s">
        <v>730</v>
      </c>
      <c r="I272" s="31" t="s">
        <v>260</v>
      </c>
      <c r="J272" s="31">
        <v>54.372</v>
      </c>
      <c r="K272" s="31">
        <v>13.241300000000001</v>
      </c>
      <c r="L272" s="2" t="s">
        <v>28</v>
      </c>
      <c r="M272" s="2" t="s">
        <v>824</v>
      </c>
      <c r="N272" s="17" t="s">
        <v>906</v>
      </c>
    </row>
    <row r="273" spans="1:14" ht="15" customHeight="1" x14ac:dyDescent="0.2">
      <c r="A273" s="31">
        <v>1.03622257038076E-2</v>
      </c>
      <c r="B273" s="31"/>
      <c r="C273" s="2" t="s">
        <v>892</v>
      </c>
      <c r="D273" s="2">
        <f>A273 * 545.45</f>
        <v>5.6520760101418555</v>
      </c>
      <c r="F273" s="2">
        <v>2020</v>
      </c>
      <c r="G273" s="38" t="s">
        <v>901</v>
      </c>
      <c r="H273" s="2" t="s">
        <v>736</v>
      </c>
      <c r="I273" s="31" t="s">
        <v>261</v>
      </c>
      <c r="J273" s="31">
        <v>54.372100000000003</v>
      </c>
      <c r="K273" s="31">
        <v>13.242699999999999</v>
      </c>
      <c r="L273" s="2" t="s">
        <v>28</v>
      </c>
      <c r="M273" s="2" t="s">
        <v>824</v>
      </c>
      <c r="N273" s="17" t="s">
        <v>906</v>
      </c>
    </row>
    <row r="274" spans="1:14" ht="15" customHeight="1" x14ac:dyDescent="0.2">
      <c r="A274" s="31">
        <v>1.03466298869835E-2</v>
      </c>
      <c r="B274" s="31"/>
      <c r="C274" s="2" t="s">
        <v>892</v>
      </c>
      <c r="D274" s="2">
        <f>A274 * 545.45</f>
        <v>5.6435692718551502</v>
      </c>
      <c r="F274" s="2">
        <v>2020</v>
      </c>
      <c r="G274" s="38" t="s">
        <v>901</v>
      </c>
      <c r="H274" s="2" t="s">
        <v>754</v>
      </c>
      <c r="I274" s="31" t="s">
        <v>270</v>
      </c>
      <c r="J274" s="31" t="s">
        <v>822</v>
      </c>
      <c r="K274" s="31" t="s">
        <v>822</v>
      </c>
      <c r="L274" s="2" t="s">
        <v>28</v>
      </c>
      <c r="M274" s="2" t="s">
        <v>824</v>
      </c>
      <c r="N274" s="17" t="s">
        <v>906</v>
      </c>
    </row>
    <row r="275" spans="1:14" ht="15" customHeight="1" x14ac:dyDescent="0.2">
      <c r="A275" s="30">
        <v>5.6</v>
      </c>
      <c r="B275" s="30">
        <v>4.9000000000000004</v>
      </c>
      <c r="C275" s="3" t="s">
        <v>891</v>
      </c>
      <c r="D275" s="3">
        <f>A275</f>
        <v>5.6</v>
      </c>
      <c r="E275" s="3">
        <f>B275</f>
        <v>4.9000000000000004</v>
      </c>
      <c r="F275" s="3">
        <v>2017</v>
      </c>
      <c r="G275" s="3"/>
      <c r="H275" s="3" t="s">
        <v>162</v>
      </c>
      <c r="I275" s="3" t="s">
        <v>180</v>
      </c>
      <c r="J275" s="3"/>
      <c r="K275" s="3"/>
      <c r="L275" s="3" t="s">
        <v>82</v>
      </c>
      <c r="M275" s="3" t="s">
        <v>816</v>
      </c>
      <c r="N275" s="28" t="s">
        <v>889</v>
      </c>
    </row>
    <row r="276" spans="1:14" ht="15" customHeight="1" x14ac:dyDescent="0.2">
      <c r="A276" s="31">
        <v>1.00102941392385E-2</v>
      </c>
      <c r="B276" s="31"/>
      <c r="C276" s="2" t="s">
        <v>892</v>
      </c>
      <c r="D276" s="2">
        <f>A276 * 545.45</f>
        <v>5.4601149382476404</v>
      </c>
      <c r="F276" s="2">
        <v>2020</v>
      </c>
      <c r="G276" s="38" t="s">
        <v>901</v>
      </c>
      <c r="H276" s="2" t="s">
        <v>736</v>
      </c>
      <c r="I276" s="31" t="s">
        <v>257</v>
      </c>
      <c r="J276" s="31">
        <v>54.372</v>
      </c>
      <c r="K276" s="31">
        <v>13.241300000000001</v>
      </c>
      <c r="L276" s="2" t="s">
        <v>28</v>
      </c>
      <c r="M276" s="2" t="s">
        <v>824</v>
      </c>
      <c r="N276" s="17" t="s">
        <v>906</v>
      </c>
    </row>
    <row r="277" spans="1:14" ht="15" customHeight="1" x14ac:dyDescent="0.2">
      <c r="A277" s="2">
        <v>5.36</v>
      </c>
      <c r="B277" s="2">
        <v>0.16383600000000001</v>
      </c>
      <c r="C277" s="2" t="s">
        <v>891</v>
      </c>
      <c r="D277" s="2">
        <f>A277</f>
        <v>5.36</v>
      </c>
      <c r="E277" s="2">
        <f>B277</f>
        <v>0.16383600000000001</v>
      </c>
      <c r="F277" s="2">
        <v>2023</v>
      </c>
      <c r="G277" s="2" t="s">
        <v>902</v>
      </c>
      <c r="H277" s="5" t="s">
        <v>128</v>
      </c>
      <c r="I277" s="2" t="s">
        <v>165</v>
      </c>
      <c r="J277" s="2">
        <v>53.818300000000001</v>
      </c>
      <c r="K277" s="2">
        <v>14.1328</v>
      </c>
      <c r="L277" s="2" t="s">
        <v>809</v>
      </c>
      <c r="M277" s="2" t="s">
        <v>173</v>
      </c>
      <c r="N277" s="11" t="s">
        <v>166</v>
      </c>
    </row>
    <row r="278" spans="1:14" ht="15" customHeight="1" x14ac:dyDescent="0.2">
      <c r="A278" s="31">
        <v>9.7271158987513803E-3</v>
      </c>
      <c r="B278" s="31"/>
      <c r="C278" s="2" t="s">
        <v>892</v>
      </c>
      <c r="D278" s="2">
        <f>A278 * 545.45</f>
        <v>5.3056553669739408</v>
      </c>
      <c r="F278" s="2">
        <v>2020</v>
      </c>
      <c r="G278" s="38" t="s">
        <v>901</v>
      </c>
      <c r="H278" s="2" t="s">
        <v>733</v>
      </c>
      <c r="I278" s="31" t="s">
        <v>257</v>
      </c>
      <c r="J278" s="31">
        <v>54.372</v>
      </c>
      <c r="K278" s="31">
        <v>13.241300000000001</v>
      </c>
      <c r="L278" s="2" t="s">
        <v>28</v>
      </c>
      <c r="M278" s="2" t="s">
        <v>824</v>
      </c>
      <c r="N278" s="17" t="s">
        <v>906</v>
      </c>
    </row>
    <row r="279" spans="1:14" ht="15" customHeight="1" x14ac:dyDescent="0.2">
      <c r="A279" s="31">
        <v>9.6691518001667896E-3</v>
      </c>
      <c r="B279" s="31"/>
      <c r="C279" s="2" t="s">
        <v>892</v>
      </c>
      <c r="D279" s="2">
        <f>A279 * 545.45</f>
        <v>5.2740388494009762</v>
      </c>
      <c r="F279" s="2">
        <v>2020</v>
      </c>
      <c r="G279" s="38" t="s">
        <v>901</v>
      </c>
      <c r="H279" s="2" t="s">
        <v>739</v>
      </c>
      <c r="I279" s="31" t="s">
        <v>261</v>
      </c>
      <c r="J279" s="31">
        <v>54.372100000000003</v>
      </c>
      <c r="K279" s="31">
        <v>13.242699999999999</v>
      </c>
      <c r="L279" s="2" t="s">
        <v>28</v>
      </c>
      <c r="M279" s="2" t="s">
        <v>824</v>
      </c>
      <c r="N279" s="17" t="s">
        <v>906</v>
      </c>
    </row>
    <row r="280" spans="1:14" ht="15" customHeight="1" x14ac:dyDescent="0.2">
      <c r="A280" s="31">
        <v>9.3367149228771405E-3</v>
      </c>
      <c r="B280" s="31"/>
      <c r="C280" s="2" t="s">
        <v>892</v>
      </c>
      <c r="D280" s="2">
        <f>A280 * 545.45</f>
        <v>5.0927111546833368</v>
      </c>
      <c r="F280" s="2">
        <v>2020</v>
      </c>
      <c r="G280" s="38" t="s">
        <v>901</v>
      </c>
      <c r="H280" s="2" t="s">
        <v>759</v>
      </c>
      <c r="I280" s="31" t="s">
        <v>270</v>
      </c>
      <c r="J280" s="31" t="s">
        <v>822</v>
      </c>
      <c r="K280" s="31" t="s">
        <v>822</v>
      </c>
      <c r="L280" s="2" t="s">
        <v>28</v>
      </c>
      <c r="M280" s="2" t="s">
        <v>824</v>
      </c>
      <c r="N280" s="17" t="s">
        <v>906</v>
      </c>
    </row>
    <row r="281" spans="1:14" ht="15" customHeight="1" x14ac:dyDescent="0.2">
      <c r="A281" s="3">
        <v>4.9000000000000004</v>
      </c>
      <c r="B281" s="3">
        <v>7</v>
      </c>
      <c r="C281" s="3" t="s">
        <v>891</v>
      </c>
      <c r="D281" s="3">
        <f>A281</f>
        <v>4.9000000000000004</v>
      </c>
      <c r="E281" s="3">
        <f>B281</f>
        <v>7</v>
      </c>
      <c r="F281" s="3">
        <v>2018</v>
      </c>
      <c r="G281" s="3"/>
      <c r="H281" s="3" t="s">
        <v>185</v>
      </c>
      <c r="I281" s="3" t="s">
        <v>182</v>
      </c>
      <c r="J281" s="3"/>
      <c r="K281" s="3"/>
      <c r="L281" s="3" t="s">
        <v>82</v>
      </c>
      <c r="M281" s="3" t="s">
        <v>815</v>
      </c>
      <c r="N281" s="28" t="s">
        <v>889</v>
      </c>
    </row>
    <row r="282" spans="1:14" ht="15" customHeight="1" x14ac:dyDescent="0.2">
      <c r="A282" s="31">
        <v>214.51</v>
      </c>
      <c r="B282" s="31">
        <v>2.11</v>
      </c>
      <c r="C282" s="31" t="s">
        <v>681</v>
      </c>
      <c r="D282" s="2">
        <f>A282 * 0.02273</f>
        <v>4.8758122999999998</v>
      </c>
      <c r="E282" s="2">
        <f>B282* 0.02273</f>
        <v>4.7960299999999997E-2</v>
      </c>
      <c r="F282" s="2">
        <v>2017</v>
      </c>
      <c r="G282" s="23" t="s">
        <v>901</v>
      </c>
      <c r="H282" s="2" t="s">
        <v>834</v>
      </c>
      <c r="I282" s="31" t="s">
        <v>846</v>
      </c>
      <c r="J282" s="31">
        <v>37.26</v>
      </c>
      <c r="K282" s="31">
        <v>-4.33</v>
      </c>
      <c r="L282" s="34" t="s">
        <v>82</v>
      </c>
      <c r="N282" s="6" t="s">
        <v>853</v>
      </c>
    </row>
    <row r="283" spans="1:14" ht="15" customHeight="1" x14ac:dyDescent="0.2">
      <c r="A283" s="31">
        <v>8.9108279011459006E-3</v>
      </c>
      <c r="B283" s="31"/>
      <c r="C283" s="2" t="s">
        <v>892</v>
      </c>
      <c r="D283" s="2">
        <f>A283 * 545.45</f>
        <v>4.8604110786800323</v>
      </c>
      <c r="F283" s="2">
        <v>2020</v>
      </c>
      <c r="G283" s="38" t="s">
        <v>901</v>
      </c>
      <c r="H283" s="2" t="s">
        <v>754</v>
      </c>
      <c r="I283" s="31" t="s">
        <v>267</v>
      </c>
      <c r="J283" s="31" t="s">
        <v>822</v>
      </c>
      <c r="K283" s="31" t="s">
        <v>822</v>
      </c>
      <c r="L283" s="2" t="s">
        <v>28</v>
      </c>
      <c r="M283" s="2" t="s">
        <v>824</v>
      </c>
      <c r="N283" s="17" t="s">
        <v>906</v>
      </c>
    </row>
    <row r="284" spans="1:14" ht="15" customHeight="1" x14ac:dyDescent="0.2">
      <c r="A284" s="2">
        <v>4.8600000000000003</v>
      </c>
      <c r="B284" s="2">
        <v>0.21199999999999999</v>
      </c>
      <c r="C284" s="2" t="s">
        <v>891</v>
      </c>
      <c r="D284" s="2">
        <f>A284</f>
        <v>4.8600000000000003</v>
      </c>
      <c r="E284" s="2">
        <f>B284</f>
        <v>0.21199999999999999</v>
      </c>
      <c r="F284" s="2">
        <v>2006</v>
      </c>
      <c r="G284" s="2" t="s">
        <v>902</v>
      </c>
      <c r="H284" s="2" t="s">
        <v>89</v>
      </c>
      <c r="I284" s="2" t="s">
        <v>90</v>
      </c>
      <c r="J284" s="2">
        <v>41.690215000000002</v>
      </c>
      <c r="K284" s="2">
        <v>-8.8231889999999993</v>
      </c>
      <c r="L284" s="2" t="s">
        <v>38</v>
      </c>
      <c r="N284" s="6" t="s">
        <v>88</v>
      </c>
    </row>
    <row r="285" spans="1:14" ht="15" customHeight="1" x14ac:dyDescent="0.2">
      <c r="A285" s="31">
        <v>8.8698904706088402E-3</v>
      </c>
      <c r="B285" s="31"/>
      <c r="C285" s="2" t="s">
        <v>892</v>
      </c>
      <c r="D285" s="2">
        <f>A285 * 545.45</f>
        <v>4.8380817571935921</v>
      </c>
      <c r="F285" s="2">
        <v>2020</v>
      </c>
      <c r="G285" s="38" t="s">
        <v>901</v>
      </c>
      <c r="H285" s="2" t="s">
        <v>759</v>
      </c>
      <c r="I285" s="31" t="s">
        <v>266</v>
      </c>
      <c r="J285" s="31" t="s">
        <v>822</v>
      </c>
      <c r="K285" s="31" t="s">
        <v>822</v>
      </c>
      <c r="L285" s="2" t="s">
        <v>28</v>
      </c>
      <c r="M285" s="2" t="s">
        <v>824</v>
      </c>
      <c r="N285" s="17" t="s">
        <v>906</v>
      </c>
    </row>
    <row r="286" spans="1:14" ht="15" customHeight="1" x14ac:dyDescent="0.2">
      <c r="A286" s="31">
        <v>8.6185626493437105E-3</v>
      </c>
      <c r="B286" s="31"/>
      <c r="C286" s="2" t="s">
        <v>892</v>
      </c>
      <c r="D286" s="2">
        <f>A286 * 545.45</f>
        <v>4.7009949970845275</v>
      </c>
      <c r="F286" s="2">
        <v>2020</v>
      </c>
      <c r="G286" s="38" t="s">
        <v>901</v>
      </c>
      <c r="H286" s="2" t="s">
        <v>728</v>
      </c>
      <c r="I286" s="31" t="s">
        <v>258</v>
      </c>
      <c r="J286" s="31">
        <v>54.371299999999998</v>
      </c>
      <c r="K286" s="31">
        <v>13.2438</v>
      </c>
      <c r="L286" s="2" t="s">
        <v>28</v>
      </c>
      <c r="M286" s="2" t="s">
        <v>824</v>
      </c>
      <c r="N286" s="17" t="s">
        <v>906</v>
      </c>
    </row>
    <row r="287" spans="1:14" ht="15" customHeight="1" x14ac:dyDescent="0.2">
      <c r="A287" s="3">
        <v>4.7</v>
      </c>
      <c r="B287" s="3">
        <v>4.2</v>
      </c>
      <c r="C287" s="3" t="s">
        <v>891</v>
      </c>
      <c r="D287" s="3">
        <f>A287</f>
        <v>4.7</v>
      </c>
      <c r="E287" s="3">
        <f>B287</f>
        <v>4.2</v>
      </c>
      <c r="F287" s="3">
        <v>2007</v>
      </c>
      <c r="G287" s="2" t="s">
        <v>902</v>
      </c>
      <c r="H287" s="29" t="s">
        <v>149</v>
      </c>
      <c r="I287" s="3" t="s">
        <v>146</v>
      </c>
      <c r="J287" s="3" t="s">
        <v>898</v>
      </c>
      <c r="K287" s="3" t="s">
        <v>899</v>
      </c>
      <c r="L287" s="3"/>
      <c r="M287" s="3" t="s">
        <v>151</v>
      </c>
      <c r="N287" s="28" t="s">
        <v>888</v>
      </c>
    </row>
    <row r="288" spans="1:14" ht="15" customHeight="1" x14ac:dyDescent="0.25">
      <c r="A288" s="2">
        <v>388</v>
      </c>
      <c r="C288" s="2" t="s">
        <v>248</v>
      </c>
      <c r="D288" s="2">
        <f>A288 * 0.012</f>
        <v>4.6559999999999997</v>
      </c>
      <c r="F288" s="2">
        <v>1994</v>
      </c>
      <c r="G288" s="38" t="s">
        <v>902</v>
      </c>
      <c r="H288" s="2" t="s">
        <v>89</v>
      </c>
      <c r="I288" s="2" t="s">
        <v>251</v>
      </c>
      <c r="J288" s="2">
        <v>51.816099999999999</v>
      </c>
      <c r="K288" s="2">
        <v>1.0214000000000001</v>
      </c>
      <c r="L288" s="2" t="s">
        <v>255</v>
      </c>
      <c r="M288" s="2" t="s">
        <v>823</v>
      </c>
      <c r="N288" s="36" t="s">
        <v>887</v>
      </c>
    </row>
    <row r="289" spans="1:14" ht="15" customHeight="1" x14ac:dyDescent="0.2">
      <c r="A289" s="10">
        <v>4.6100000000000003</v>
      </c>
      <c r="B289" s="10">
        <v>0.30039300000000002</v>
      </c>
      <c r="C289" s="2" t="s">
        <v>891</v>
      </c>
      <c r="D289" s="2">
        <f>A289</f>
        <v>4.6100000000000003</v>
      </c>
      <c r="E289" s="2">
        <f>B289</f>
        <v>0.30039300000000002</v>
      </c>
      <c r="F289" s="2">
        <v>2023</v>
      </c>
      <c r="G289" s="2" t="s">
        <v>902</v>
      </c>
      <c r="H289" s="5" t="s">
        <v>128</v>
      </c>
      <c r="I289" s="2" t="s">
        <v>164</v>
      </c>
      <c r="J289" s="2">
        <v>54.479700000000001</v>
      </c>
      <c r="K289" s="2">
        <v>19.779800000000002</v>
      </c>
      <c r="L289" s="2" t="s">
        <v>809</v>
      </c>
      <c r="M289" s="2" t="s">
        <v>170</v>
      </c>
      <c r="N289" s="11" t="s">
        <v>166</v>
      </c>
    </row>
    <row r="290" spans="1:14" ht="15" customHeight="1" x14ac:dyDescent="0.2">
      <c r="A290" s="31">
        <v>8.4346887524126193E-3</v>
      </c>
      <c r="B290" s="31"/>
      <c r="C290" s="2" t="s">
        <v>892</v>
      </c>
      <c r="D290" s="2">
        <f>A290 * 545.45</f>
        <v>4.6007009800034639</v>
      </c>
      <c r="F290" s="2">
        <v>2020</v>
      </c>
      <c r="G290" s="38" t="s">
        <v>901</v>
      </c>
      <c r="H290" s="2" t="s">
        <v>739</v>
      </c>
      <c r="I290" s="31" t="s">
        <v>257</v>
      </c>
      <c r="J290" s="31">
        <v>54.372</v>
      </c>
      <c r="K290" s="31">
        <v>13.241300000000001</v>
      </c>
      <c r="L290" s="2" t="s">
        <v>28</v>
      </c>
      <c r="M290" s="2" t="s">
        <v>824</v>
      </c>
      <c r="N290" s="17" t="s">
        <v>906</v>
      </c>
    </row>
    <row r="291" spans="1:14" ht="15" customHeight="1" x14ac:dyDescent="0.2">
      <c r="A291" s="31">
        <v>8.3411129489377907E-3</v>
      </c>
      <c r="B291" s="31"/>
      <c r="C291" s="2" t="s">
        <v>892</v>
      </c>
      <c r="D291" s="2">
        <f>A291 * 545.45</f>
        <v>4.5496600579981186</v>
      </c>
      <c r="F291" s="2">
        <v>2020</v>
      </c>
      <c r="G291" s="38" t="s">
        <v>901</v>
      </c>
      <c r="H291" s="2" t="s">
        <v>736</v>
      </c>
      <c r="I291" s="31" t="s">
        <v>260</v>
      </c>
      <c r="J291" s="31">
        <v>54.372</v>
      </c>
      <c r="K291" s="31">
        <v>13.241300000000001</v>
      </c>
      <c r="L291" s="2" t="s">
        <v>28</v>
      </c>
      <c r="M291" s="2" t="s">
        <v>824</v>
      </c>
      <c r="N291" s="17" t="s">
        <v>906</v>
      </c>
    </row>
    <row r="292" spans="1:14" ht="15" customHeight="1" x14ac:dyDescent="0.2">
      <c r="A292" s="2">
        <v>0.2</v>
      </c>
      <c r="C292" s="2" t="s">
        <v>98</v>
      </c>
      <c r="D292" s="2">
        <f t="shared" ref="D292:D299" si="1">A292 * 22.727</f>
        <v>4.5453999999999999</v>
      </c>
      <c r="F292" s="2">
        <v>2015</v>
      </c>
      <c r="G292" s="2" t="s">
        <v>902</v>
      </c>
      <c r="H292" s="5" t="s">
        <v>48</v>
      </c>
      <c r="I292" s="2" t="s">
        <v>139</v>
      </c>
      <c r="J292" s="2">
        <v>54.655430000000003</v>
      </c>
      <c r="K292" s="2">
        <v>17.111519999999999</v>
      </c>
      <c r="L292" s="2" t="s">
        <v>809</v>
      </c>
      <c r="M292" s="2" t="s">
        <v>138</v>
      </c>
      <c r="N292" s="6" t="s">
        <v>860</v>
      </c>
    </row>
    <row r="293" spans="1:14" ht="15" customHeight="1" x14ac:dyDescent="0.2">
      <c r="A293" s="2">
        <v>0.2</v>
      </c>
      <c r="C293" s="2" t="s">
        <v>98</v>
      </c>
      <c r="D293" s="2">
        <f t="shared" si="1"/>
        <v>4.5453999999999999</v>
      </c>
      <c r="F293" s="2">
        <v>2015</v>
      </c>
      <c r="G293" s="2" t="s">
        <v>902</v>
      </c>
      <c r="H293" s="5" t="s">
        <v>48</v>
      </c>
      <c r="I293" s="2" t="s">
        <v>140</v>
      </c>
      <c r="J293" s="2">
        <v>54.273189000000002</v>
      </c>
      <c r="K293" s="2">
        <v>16.145195999999999</v>
      </c>
      <c r="L293" s="2" t="s">
        <v>809</v>
      </c>
      <c r="M293" s="2" t="s">
        <v>138</v>
      </c>
      <c r="N293" s="6" t="s">
        <v>860</v>
      </c>
    </row>
    <row r="294" spans="1:14" ht="15" customHeight="1" x14ac:dyDescent="0.2">
      <c r="A294" s="2">
        <v>0.2</v>
      </c>
      <c r="B294" s="2">
        <v>0.1</v>
      </c>
      <c r="C294" s="2" t="s">
        <v>98</v>
      </c>
      <c r="D294" s="2">
        <f t="shared" si="1"/>
        <v>4.5453999999999999</v>
      </c>
      <c r="E294" s="2">
        <f>B294 * 22.727</f>
        <v>2.2726999999999999</v>
      </c>
      <c r="F294" s="2">
        <v>2015</v>
      </c>
      <c r="G294" s="2" t="s">
        <v>902</v>
      </c>
      <c r="H294" s="5" t="s">
        <v>48</v>
      </c>
      <c r="I294" s="2" t="s">
        <v>141</v>
      </c>
      <c r="J294" s="2">
        <v>54.480849999999997</v>
      </c>
      <c r="K294" s="2">
        <v>16.450130000000001</v>
      </c>
      <c r="L294" s="2" t="s">
        <v>809</v>
      </c>
      <c r="M294" s="2" t="s">
        <v>138</v>
      </c>
      <c r="N294" s="6" t="s">
        <v>860</v>
      </c>
    </row>
    <row r="295" spans="1:14" ht="15" customHeight="1" x14ac:dyDescent="0.2">
      <c r="A295" s="2">
        <v>0.2</v>
      </c>
      <c r="C295" s="2" t="s">
        <v>98</v>
      </c>
      <c r="D295" s="2">
        <f t="shared" si="1"/>
        <v>4.5453999999999999</v>
      </c>
      <c r="F295" s="2">
        <v>2015</v>
      </c>
      <c r="G295" s="2" t="s">
        <v>902</v>
      </c>
      <c r="H295" s="5" t="s">
        <v>48</v>
      </c>
      <c r="I295" s="2" t="s">
        <v>143</v>
      </c>
      <c r="J295" s="2">
        <v>54.144829999999999</v>
      </c>
      <c r="K295" s="2">
        <v>15.369590000000001</v>
      </c>
      <c r="L295" s="2" t="s">
        <v>809</v>
      </c>
      <c r="M295" s="2" t="s">
        <v>138</v>
      </c>
      <c r="N295" s="6" t="s">
        <v>860</v>
      </c>
    </row>
    <row r="296" spans="1:14" ht="15" customHeight="1" x14ac:dyDescent="0.2">
      <c r="A296" s="2">
        <v>0.2</v>
      </c>
      <c r="B296" s="2">
        <v>0.1</v>
      </c>
      <c r="C296" s="2" t="s">
        <v>98</v>
      </c>
      <c r="D296" s="2">
        <f t="shared" si="1"/>
        <v>4.5453999999999999</v>
      </c>
      <c r="E296" s="2">
        <f>B296 * 22.727</f>
        <v>2.2726999999999999</v>
      </c>
      <c r="F296" s="2">
        <v>2015</v>
      </c>
      <c r="G296" s="2" t="s">
        <v>902</v>
      </c>
      <c r="H296" s="5" t="s">
        <v>131</v>
      </c>
      <c r="I296" s="2" t="s">
        <v>137</v>
      </c>
      <c r="J296" s="2">
        <v>54.347296999999998</v>
      </c>
      <c r="K296" s="2">
        <v>16.279091999999999</v>
      </c>
      <c r="L296" s="2" t="s">
        <v>809</v>
      </c>
      <c r="M296" s="2" t="s">
        <v>138</v>
      </c>
      <c r="N296" s="6" t="s">
        <v>860</v>
      </c>
    </row>
    <row r="297" spans="1:14" ht="15" customHeight="1" x14ac:dyDescent="0.2">
      <c r="A297" s="2">
        <v>0.2</v>
      </c>
      <c r="C297" s="2" t="s">
        <v>98</v>
      </c>
      <c r="D297" s="2">
        <f t="shared" si="1"/>
        <v>4.5453999999999999</v>
      </c>
      <c r="F297" s="2">
        <v>2015</v>
      </c>
      <c r="G297" s="2" t="s">
        <v>902</v>
      </c>
      <c r="H297" s="5" t="s">
        <v>131</v>
      </c>
      <c r="I297" s="2" t="s">
        <v>140</v>
      </c>
      <c r="J297" s="2">
        <v>54.273189000000002</v>
      </c>
      <c r="K297" s="2">
        <v>16.145195999999999</v>
      </c>
      <c r="L297" s="2" t="s">
        <v>809</v>
      </c>
      <c r="M297" s="2" t="s">
        <v>138</v>
      </c>
      <c r="N297" s="6" t="s">
        <v>860</v>
      </c>
    </row>
    <row r="298" spans="1:14" ht="15" customHeight="1" x14ac:dyDescent="0.2">
      <c r="A298" s="2">
        <v>0.2</v>
      </c>
      <c r="C298" s="2" t="s">
        <v>98</v>
      </c>
      <c r="D298" s="2">
        <f t="shared" si="1"/>
        <v>4.5453999999999999</v>
      </c>
      <c r="F298" s="2">
        <v>2015</v>
      </c>
      <c r="G298" s="2" t="s">
        <v>902</v>
      </c>
      <c r="H298" s="5" t="s">
        <v>131</v>
      </c>
      <c r="I298" s="2" t="s">
        <v>141</v>
      </c>
      <c r="J298" s="2">
        <v>54.480849999999997</v>
      </c>
      <c r="K298" s="2">
        <v>16.450130000000001</v>
      </c>
      <c r="L298" s="2" t="s">
        <v>809</v>
      </c>
      <c r="M298" s="2" t="s">
        <v>138</v>
      </c>
      <c r="N298" s="6" t="s">
        <v>860</v>
      </c>
    </row>
    <row r="299" spans="1:14" ht="15" customHeight="1" x14ac:dyDescent="0.2">
      <c r="A299" s="2">
        <v>0.2</v>
      </c>
      <c r="C299" s="2" t="s">
        <v>98</v>
      </c>
      <c r="D299" s="2">
        <f t="shared" si="1"/>
        <v>4.5453999999999999</v>
      </c>
      <c r="F299" s="2">
        <v>2015</v>
      </c>
      <c r="G299" s="2" t="s">
        <v>902</v>
      </c>
      <c r="H299" s="5" t="s">
        <v>131</v>
      </c>
      <c r="I299" s="2" t="s">
        <v>144</v>
      </c>
      <c r="J299" s="2">
        <v>54.540149999999997</v>
      </c>
      <c r="K299" s="2">
        <v>16.627939999999999</v>
      </c>
      <c r="L299" s="2" t="s">
        <v>809</v>
      </c>
      <c r="M299" s="2" t="s">
        <v>138</v>
      </c>
      <c r="N299" s="6" t="s">
        <v>860</v>
      </c>
    </row>
    <row r="300" spans="1:14" ht="15" customHeight="1" x14ac:dyDescent="0.2">
      <c r="A300" s="10">
        <v>4.4800000000000004</v>
      </c>
      <c r="B300" s="10">
        <v>0.20055799999999999</v>
      </c>
      <c r="C300" s="2" t="s">
        <v>891</v>
      </c>
      <c r="D300" s="2">
        <f>A300</f>
        <v>4.4800000000000004</v>
      </c>
      <c r="E300" s="2">
        <f>B300</f>
        <v>0.20055799999999999</v>
      </c>
      <c r="F300" s="2">
        <v>2023</v>
      </c>
      <c r="G300" s="2" t="s">
        <v>902</v>
      </c>
      <c r="H300" s="5" t="s">
        <v>128</v>
      </c>
      <c r="I300" s="2" t="s">
        <v>164</v>
      </c>
      <c r="J300" s="2">
        <v>54.479700000000001</v>
      </c>
      <c r="K300" s="2">
        <v>19.779800000000002</v>
      </c>
      <c r="L300" s="2" t="s">
        <v>809</v>
      </c>
      <c r="M300" s="2" t="s">
        <v>171</v>
      </c>
      <c r="N300" s="11" t="s">
        <v>166</v>
      </c>
    </row>
    <row r="301" spans="1:14" ht="15" customHeight="1" x14ac:dyDescent="0.2">
      <c r="A301" s="31">
        <v>8.1051125231294402E-3</v>
      </c>
      <c r="B301" s="31"/>
      <c r="C301" s="2" t="s">
        <v>892</v>
      </c>
      <c r="D301" s="2">
        <f>A301 * 545.45</f>
        <v>4.4209336257409539</v>
      </c>
      <c r="F301" s="2">
        <v>2020</v>
      </c>
      <c r="G301" s="38" t="s">
        <v>901</v>
      </c>
      <c r="H301" s="2" t="s">
        <v>759</v>
      </c>
      <c r="I301" s="31" t="s">
        <v>267</v>
      </c>
      <c r="J301" s="31" t="s">
        <v>822</v>
      </c>
      <c r="K301" s="31" t="s">
        <v>822</v>
      </c>
      <c r="L301" s="2" t="s">
        <v>28</v>
      </c>
      <c r="M301" s="2" t="s">
        <v>824</v>
      </c>
      <c r="N301" s="17" t="s">
        <v>906</v>
      </c>
    </row>
    <row r="302" spans="1:14" ht="15" customHeight="1" x14ac:dyDescent="0.2">
      <c r="A302" s="31">
        <v>8.0883634164022108E-3</v>
      </c>
      <c r="B302" s="31"/>
      <c r="C302" s="2" t="s">
        <v>892</v>
      </c>
      <c r="D302" s="2">
        <f>A302 * 545.45</f>
        <v>4.4117978254765866</v>
      </c>
      <c r="F302" s="2">
        <v>2020</v>
      </c>
      <c r="G302" s="38" t="s">
        <v>901</v>
      </c>
      <c r="H302" s="2" t="s">
        <v>735</v>
      </c>
      <c r="I302" s="31" t="s">
        <v>260</v>
      </c>
      <c r="J302" s="31">
        <v>54.372</v>
      </c>
      <c r="K302" s="31">
        <v>13.241300000000001</v>
      </c>
      <c r="L302" s="2" t="s">
        <v>28</v>
      </c>
      <c r="M302" s="2" t="s">
        <v>824</v>
      </c>
      <c r="N302" s="17" t="s">
        <v>906</v>
      </c>
    </row>
    <row r="303" spans="1:14" ht="15" customHeight="1" x14ac:dyDescent="0.2">
      <c r="A303" s="31">
        <v>8.0369860534084507E-3</v>
      </c>
      <c r="B303" s="31"/>
      <c r="C303" s="2" t="s">
        <v>892</v>
      </c>
      <c r="D303" s="2">
        <f>A303 * 545.45</f>
        <v>4.3837740428316394</v>
      </c>
      <c r="F303" s="2">
        <v>2020</v>
      </c>
      <c r="G303" s="38" t="s">
        <v>901</v>
      </c>
      <c r="H303" s="2" t="s">
        <v>759</v>
      </c>
      <c r="I303" s="31" t="s">
        <v>264</v>
      </c>
      <c r="J303" s="31" t="s">
        <v>822</v>
      </c>
      <c r="K303" s="31" t="s">
        <v>822</v>
      </c>
      <c r="L303" s="2" t="s">
        <v>28</v>
      </c>
      <c r="M303" s="2" t="s">
        <v>824</v>
      </c>
      <c r="N303" s="17" t="s">
        <v>906</v>
      </c>
    </row>
    <row r="304" spans="1:14" ht="15" customHeight="1" x14ac:dyDescent="0.2">
      <c r="A304" s="31">
        <v>8.0326426814495405E-3</v>
      </c>
      <c r="B304" s="31"/>
      <c r="C304" s="2" t="s">
        <v>892</v>
      </c>
      <c r="D304" s="2">
        <f>A304 * 545.45</f>
        <v>4.3814049505966519</v>
      </c>
      <c r="F304" s="2">
        <v>2020</v>
      </c>
      <c r="G304" s="38" t="s">
        <v>901</v>
      </c>
      <c r="H304" s="2" t="s">
        <v>739</v>
      </c>
      <c r="I304" s="31" t="s">
        <v>269</v>
      </c>
      <c r="J304" s="31">
        <v>54.370600000000003</v>
      </c>
      <c r="K304" s="31">
        <v>13.2418</v>
      </c>
      <c r="L304" s="2" t="s">
        <v>28</v>
      </c>
      <c r="M304" s="2" t="s">
        <v>824</v>
      </c>
      <c r="N304" s="17" t="s">
        <v>906</v>
      </c>
    </row>
    <row r="305" spans="1:14" ht="15" customHeight="1" x14ac:dyDescent="0.2">
      <c r="A305" s="20">
        <v>0.19180948705934231</v>
      </c>
      <c r="B305" s="20"/>
      <c r="C305" s="2" t="s">
        <v>98</v>
      </c>
      <c r="D305" s="2">
        <f>A305 * 22.727</f>
        <v>4.3592542123976727</v>
      </c>
      <c r="F305" s="2" t="s">
        <v>822</v>
      </c>
      <c r="G305" s="2" t="s">
        <v>901</v>
      </c>
      <c r="H305" s="2" t="s">
        <v>822</v>
      </c>
      <c r="I305" s="14" t="s">
        <v>215</v>
      </c>
      <c r="J305" s="16">
        <v>53.292000000000002</v>
      </c>
      <c r="K305" s="16">
        <v>-3.8340000000000001</v>
      </c>
      <c r="L305" s="16"/>
      <c r="M305" s="33" t="s">
        <v>821</v>
      </c>
      <c r="N305" s="17" t="s">
        <v>246</v>
      </c>
    </row>
    <row r="306" spans="1:14" ht="15" customHeight="1" x14ac:dyDescent="0.2">
      <c r="A306" s="2">
        <v>7.0000000000000007E-2</v>
      </c>
      <c r="C306" s="2" t="s">
        <v>6</v>
      </c>
      <c r="D306" s="2">
        <f>(A306 * 1000000)/ 44.013 / 365</f>
        <v>4.3573676395112404</v>
      </c>
      <c r="F306" s="2" t="s">
        <v>694</v>
      </c>
      <c r="G306" s="2" t="s">
        <v>903</v>
      </c>
      <c r="H306" s="2" t="s">
        <v>822</v>
      </c>
      <c r="I306" s="7" t="s">
        <v>41</v>
      </c>
      <c r="J306" s="2">
        <v>54.416612999999998</v>
      </c>
      <c r="K306" s="2">
        <v>12.915527000000001</v>
      </c>
      <c r="L306" s="2" t="s">
        <v>28</v>
      </c>
      <c r="N306" s="6" t="s">
        <v>42</v>
      </c>
    </row>
    <row r="307" spans="1:14" ht="15" customHeight="1" x14ac:dyDescent="0.2">
      <c r="A307" s="31">
        <v>7.9269849813870998E-3</v>
      </c>
      <c r="B307" s="31"/>
      <c r="C307" s="2" t="s">
        <v>892</v>
      </c>
      <c r="D307" s="2">
        <f>A307 * 545.45</f>
        <v>4.3237739580975942</v>
      </c>
      <c r="F307" s="2">
        <v>2020</v>
      </c>
      <c r="G307" s="38" t="s">
        <v>901</v>
      </c>
      <c r="H307" s="2" t="s">
        <v>759</v>
      </c>
      <c r="I307" s="31" t="s">
        <v>265</v>
      </c>
      <c r="J307" s="31" t="s">
        <v>822</v>
      </c>
      <c r="K307" s="31" t="s">
        <v>822</v>
      </c>
      <c r="L307" s="2" t="s">
        <v>28</v>
      </c>
      <c r="M307" s="2" t="s">
        <v>824</v>
      </c>
      <c r="N307" s="17" t="s">
        <v>906</v>
      </c>
    </row>
    <row r="308" spans="1:14" ht="15" customHeight="1" x14ac:dyDescent="0.2">
      <c r="A308" s="31">
        <v>7.9042933480494206E-3</v>
      </c>
      <c r="B308" s="31"/>
      <c r="C308" s="2" t="s">
        <v>892</v>
      </c>
      <c r="D308" s="2">
        <f>A308 * 545.45</f>
        <v>4.3113968066935566</v>
      </c>
      <c r="F308" s="2">
        <v>2020</v>
      </c>
      <c r="G308" s="38" t="s">
        <v>901</v>
      </c>
      <c r="H308" s="2" t="s">
        <v>740</v>
      </c>
      <c r="I308" s="31" t="s">
        <v>257</v>
      </c>
      <c r="J308" s="31">
        <v>54.372</v>
      </c>
      <c r="K308" s="31">
        <v>13.241300000000001</v>
      </c>
      <c r="L308" s="2" t="s">
        <v>28</v>
      </c>
      <c r="M308" s="2" t="s">
        <v>824</v>
      </c>
      <c r="N308" s="17" t="s">
        <v>906</v>
      </c>
    </row>
    <row r="309" spans="1:14" ht="15" customHeight="1" x14ac:dyDescent="0.2">
      <c r="A309" s="31">
        <v>7.9024912871465004E-3</v>
      </c>
      <c r="B309" s="31"/>
      <c r="C309" s="2" t="s">
        <v>892</v>
      </c>
      <c r="D309" s="2">
        <f>A309 * 545.45</f>
        <v>4.3104138725740588</v>
      </c>
      <c r="F309" s="2">
        <v>2020</v>
      </c>
      <c r="G309" s="38" t="s">
        <v>901</v>
      </c>
      <c r="H309" s="2" t="s">
        <v>762</v>
      </c>
      <c r="I309" s="31" t="s">
        <v>258</v>
      </c>
      <c r="J309" s="31">
        <v>54.371299999999998</v>
      </c>
      <c r="K309" s="31">
        <v>13.2438</v>
      </c>
      <c r="L309" s="2" t="s">
        <v>28</v>
      </c>
      <c r="M309" s="2" t="s">
        <v>824</v>
      </c>
      <c r="N309" s="17" t="s">
        <v>906</v>
      </c>
    </row>
    <row r="310" spans="1:14" ht="15" customHeight="1" x14ac:dyDescent="0.2">
      <c r="A310" s="2">
        <v>4.3</v>
      </c>
      <c r="B310" s="2">
        <v>1.5</v>
      </c>
      <c r="C310" s="2" t="s">
        <v>891</v>
      </c>
      <c r="D310" s="2">
        <f>A310</f>
        <v>4.3</v>
      </c>
      <c r="E310" s="2">
        <f>B310</f>
        <v>1.5</v>
      </c>
      <c r="F310" s="2">
        <v>2017</v>
      </c>
      <c r="G310" s="2" t="s">
        <v>902</v>
      </c>
      <c r="H310" s="2" t="s">
        <v>76</v>
      </c>
      <c r="I310" s="2" t="s">
        <v>65</v>
      </c>
      <c r="J310" s="2">
        <v>36.793773000000002</v>
      </c>
      <c r="K310" s="2">
        <v>-6.3536950000000001</v>
      </c>
      <c r="L310" s="2" t="s">
        <v>53</v>
      </c>
      <c r="N310" s="9" t="s">
        <v>77</v>
      </c>
    </row>
    <row r="311" spans="1:14" ht="15" customHeight="1" x14ac:dyDescent="0.2">
      <c r="A311" s="31">
        <v>7.8645271328915498E-3</v>
      </c>
      <c r="B311" s="31"/>
      <c r="C311" s="2" t="s">
        <v>892</v>
      </c>
      <c r="D311" s="2">
        <f>A311 * 545.45</f>
        <v>4.2897063246356959</v>
      </c>
      <c r="F311" s="2">
        <v>2020</v>
      </c>
      <c r="G311" s="38" t="s">
        <v>901</v>
      </c>
      <c r="H311" s="2" t="s">
        <v>759</v>
      </c>
      <c r="I311" s="31" t="s">
        <v>268</v>
      </c>
      <c r="J311" s="31" t="s">
        <v>822</v>
      </c>
      <c r="K311" s="31" t="s">
        <v>822</v>
      </c>
      <c r="L311" s="2" t="s">
        <v>28</v>
      </c>
      <c r="M311" s="2" t="s">
        <v>824</v>
      </c>
      <c r="N311" s="17" t="s">
        <v>906</v>
      </c>
    </row>
    <row r="312" spans="1:14" ht="15" customHeight="1" x14ac:dyDescent="0.2">
      <c r="A312" s="31">
        <v>7.7736882868587901E-3</v>
      </c>
      <c r="B312" s="31"/>
      <c r="C312" s="2" t="s">
        <v>892</v>
      </c>
      <c r="D312" s="2">
        <f>A312 * 545.45</f>
        <v>4.2401582760671275</v>
      </c>
      <c r="F312" s="2">
        <v>2020</v>
      </c>
      <c r="G312" s="38" t="s">
        <v>901</v>
      </c>
      <c r="H312" s="2" t="s">
        <v>732</v>
      </c>
      <c r="I312" s="31" t="s">
        <v>256</v>
      </c>
      <c r="J312" s="31">
        <v>54.371099999999998</v>
      </c>
      <c r="K312" s="31">
        <v>13.2446</v>
      </c>
      <c r="L312" s="2" t="s">
        <v>28</v>
      </c>
      <c r="M312" s="2" t="s">
        <v>824</v>
      </c>
      <c r="N312" s="17" t="s">
        <v>906</v>
      </c>
    </row>
    <row r="313" spans="1:14" ht="15" customHeight="1" x14ac:dyDescent="0.2">
      <c r="A313" s="31">
        <v>21.50187405133525</v>
      </c>
      <c r="B313" s="31"/>
      <c r="C313" s="2" t="s">
        <v>855</v>
      </c>
      <c r="D313" s="31">
        <f xml:space="preserve"> A313 * 0.196</f>
        <v>4.2143673140617093</v>
      </c>
      <c r="F313" s="2" t="s">
        <v>822</v>
      </c>
      <c r="G313" s="23" t="s">
        <v>902</v>
      </c>
      <c r="H313" s="2" t="s">
        <v>822</v>
      </c>
      <c r="J313" s="31">
        <v>52.778301200000001</v>
      </c>
      <c r="K313" s="31">
        <v>-10.637299499999999</v>
      </c>
      <c r="L313" s="31"/>
      <c r="M313" s="31" t="s">
        <v>854</v>
      </c>
      <c r="N313" s="6" t="s">
        <v>856</v>
      </c>
    </row>
    <row r="314" spans="1:14" ht="15" customHeight="1" x14ac:dyDescent="0.2">
      <c r="A314" s="31">
        <v>7.6823357783047897E-3</v>
      </c>
      <c r="B314" s="31"/>
      <c r="C314" s="2" t="s">
        <v>892</v>
      </c>
      <c r="D314" s="2">
        <f>A314 * 545.45</f>
        <v>4.1903300502763479</v>
      </c>
      <c r="F314" s="2">
        <v>2020</v>
      </c>
      <c r="G314" s="38" t="s">
        <v>901</v>
      </c>
      <c r="H314" s="2" t="s">
        <v>733</v>
      </c>
      <c r="I314" s="31" t="s">
        <v>256</v>
      </c>
      <c r="J314" s="31">
        <v>54.371099999999998</v>
      </c>
      <c r="K314" s="31">
        <v>13.2446</v>
      </c>
      <c r="L314" s="2" t="s">
        <v>28</v>
      </c>
      <c r="M314" s="2" t="s">
        <v>824</v>
      </c>
      <c r="N314" s="17" t="s">
        <v>906</v>
      </c>
    </row>
    <row r="315" spans="1:14" ht="15" customHeight="1" x14ac:dyDescent="0.2">
      <c r="A315" s="2">
        <v>4.1500000000000004</v>
      </c>
      <c r="B315" s="2">
        <v>3.7469999999999999</v>
      </c>
      <c r="C315" s="2" t="s">
        <v>891</v>
      </c>
      <c r="D315" s="2">
        <f>A315</f>
        <v>4.1500000000000004</v>
      </c>
      <c r="E315" s="2">
        <f>B315</f>
        <v>3.7469999999999999</v>
      </c>
      <c r="F315" s="2">
        <v>2006</v>
      </c>
      <c r="G315" s="2" t="s">
        <v>902</v>
      </c>
      <c r="H315" s="2" t="s">
        <v>68</v>
      </c>
      <c r="I315" s="2" t="s">
        <v>115</v>
      </c>
      <c r="J315" s="2">
        <v>38.742978999999998</v>
      </c>
      <c r="K315" s="2">
        <v>-9.0594889999999992</v>
      </c>
      <c r="L315" s="2" t="s">
        <v>38</v>
      </c>
      <c r="M315" s="2" t="s">
        <v>115</v>
      </c>
      <c r="N315" s="6" t="s">
        <v>116</v>
      </c>
    </row>
    <row r="316" spans="1:14" ht="15" customHeight="1" x14ac:dyDescent="0.2">
      <c r="A316" s="20">
        <v>0.18180039138943249</v>
      </c>
      <c r="B316" s="20"/>
      <c r="C316" s="2" t="s">
        <v>98</v>
      </c>
      <c r="D316" s="2">
        <f>A316 * 22.727</f>
        <v>4.1317774951076327</v>
      </c>
      <c r="F316" s="2" t="s">
        <v>822</v>
      </c>
      <c r="G316" s="2" t="s">
        <v>901</v>
      </c>
      <c r="H316" s="2" t="s">
        <v>822</v>
      </c>
      <c r="I316" s="14" t="s">
        <v>222</v>
      </c>
      <c r="J316" s="16">
        <v>56.621000000000002</v>
      </c>
      <c r="K316" s="16">
        <v>-2.8370000000000002</v>
      </c>
      <c r="L316" s="16"/>
      <c r="M316" s="33" t="s">
        <v>821</v>
      </c>
      <c r="N316" s="17" t="s">
        <v>869</v>
      </c>
    </row>
    <row r="317" spans="1:14" ht="15" customHeight="1" x14ac:dyDescent="0.2">
      <c r="A317" s="2">
        <v>4.0999999999999996</v>
      </c>
      <c r="B317" s="2">
        <v>3</v>
      </c>
      <c r="C317" s="2" t="s">
        <v>891</v>
      </c>
      <c r="D317" s="2">
        <f>A317</f>
        <v>4.0999999999999996</v>
      </c>
      <c r="E317" s="2">
        <f>B317</f>
        <v>3</v>
      </c>
      <c r="F317" s="2">
        <v>2014</v>
      </c>
      <c r="G317" s="2" t="s">
        <v>902</v>
      </c>
      <c r="H317" s="5" t="s">
        <v>156</v>
      </c>
      <c r="I317" s="2" t="s">
        <v>158</v>
      </c>
      <c r="J317" s="2">
        <v>37.012805999999998</v>
      </c>
      <c r="K317" s="2">
        <v>-7.0772560000000002</v>
      </c>
      <c r="L317" s="2" t="s">
        <v>82</v>
      </c>
      <c r="N317" s="9" t="s">
        <v>159</v>
      </c>
    </row>
    <row r="318" spans="1:14" ht="15" customHeight="1" x14ac:dyDescent="0.2">
      <c r="A318" s="2">
        <v>4</v>
      </c>
      <c r="C318" s="2" t="s">
        <v>891</v>
      </c>
      <c r="D318" s="2">
        <f>A318</f>
        <v>4</v>
      </c>
      <c r="F318" s="2">
        <v>2006</v>
      </c>
      <c r="G318" s="2" t="s">
        <v>902</v>
      </c>
      <c r="H318" s="2" t="s">
        <v>33</v>
      </c>
      <c r="I318" s="2" t="s">
        <v>87</v>
      </c>
      <c r="J318" s="2">
        <v>41.86994</v>
      </c>
      <c r="K318" s="2">
        <v>-8.8681640000000002</v>
      </c>
      <c r="L318" s="2" t="s">
        <v>38</v>
      </c>
      <c r="N318" s="6" t="s">
        <v>88</v>
      </c>
    </row>
    <row r="319" spans="1:14" ht="15" customHeight="1" x14ac:dyDescent="0.2">
      <c r="A319" s="31">
        <v>7.1510086133560399E-3</v>
      </c>
      <c r="B319" s="31"/>
      <c r="C319" s="2" t="s">
        <v>892</v>
      </c>
      <c r="D319" s="2">
        <f>A319 * 545.45</f>
        <v>3.9005176481550521</v>
      </c>
      <c r="F319" s="2">
        <v>2020</v>
      </c>
      <c r="G319" s="38" t="s">
        <v>901</v>
      </c>
      <c r="H319" s="2" t="s">
        <v>732</v>
      </c>
      <c r="I319" s="31" t="s">
        <v>259</v>
      </c>
      <c r="J319" s="31">
        <v>54.373600000000003</v>
      </c>
      <c r="K319" s="31">
        <v>13.239800000000001</v>
      </c>
      <c r="L319" s="2" t="s">
        <v>28</v>
      </c>
      <c r="M319" s="2" t="s">
        <v>824</v>
      </c>
      <c r="N319" s="17" t="s">
        <v>906</v>
      </c>
    </row>
    <row r="320" spans="1:14" ht="15" customHeight="1" x14ac:dyDescent="0.2">
      <c r="A320" s="31">
        <v>7.1340110883827499E-3</v>
      </c>
      <c r="B320" s="31"/>
      <c r="C320" s="2" t="s">
        <v>892</v>
      </c>
      <c r="D320" s="2">
        <f>A320 * 545.45</f>
        <v>3.8912463481583712</v>
      </c>
      <c r="F320" s="2">
        <v>2020</v>
      </c>
      <c r="G320" s="38" t="s">
        <v>901</v>
      </c>
      <c r="H320" s="2" t="s">
        <v>733</v>
      </c>
      <c r="I320" s="31" t="s">
        <v>258</v>
      </c>
      <c r="J320" s="31">
        <v>54.371299999999998</v>
      </c>
      <c r="K320" s="31">
        <v>13.2438</v>
      </c>
      <c r="L320" s="2" t="s">
        <v>28</v>
      </c>
      <c r="M320" s="2" t="s">
        <v>824</v>
      </c>
      <c r="N320" s="17" t="s">
        <v>906</v>
      </c>
    </row>
    <row r="321" spans="1:14" ht="15" customHeight="1" x14ac:dyDescent="0.2">
      <c r="A321" s="31">
        <v>7.0718043617520798E-3</v>
      </c>
      <c r="B321" s="31"/>
      <c r="C321" s="2" t="s">
        <v>892</v>
      </c>
      <c r="D321" s="2">
        <f>A321 * 545.45</f>
        <v>3.8573156891176721</v>
      </c>
      <c r="F321" s="2">
        <v>2020</v>
      </c>
      <c r="G321" s="38" t="s">
        <v>901</v>
      </c>
      <c r="H321" s="2" t="s">
        <v>753</v>
      </c>
      <c r="I321" s="31" t="s">
        <v>269</v>
      </c>
      <c r="J321" s="31">
        <v>54.370600000000003</v>
      </c>
      <c r="K321" s="31">
        <v>13.2418</v>
      </c>
      <c r="L321" s="2" t="s">
        <v>28</v>
      </c>
      <c r="M321" s="2" t="s">
        <v>824</v>
      </c>
      <c r="N321" s="17" t="s">
        <v>906</v>
      </c>
    </row>
    <row r="322" spans="1:14" ht="15" customHeight="1" x14ac:dyDescent="0.2">
      <c r="A322" s="31">
        <v>6.9246612763481201E-3</v>
      </c>
      <c r="B322" s="31"/>
      <c r="C322" s="2" t="s">
        <v>892</v>
      </c>
      <c r="D322" s="2">
        <f>A322 * 545.45</f>
        <v>3.7770564931840824</v>
      </c>
      <c r="F322" s="2">
        <v>2020</v>
      </c>
      <c r="G322" s="38" t="s">
        <v>901</v>
      </c>
      <c r="H322" s="2" t="s">
        <v>732</v>
      </c>
      <c r="I322" s="31" t="s">
        <v>261</v>
      </c>
      <c r="J322" s="31">
        <v>54.372100000000003</v>
      </c>
      <c r="K322" s="31">
        <v>13.242699999999999</v>
      </c>
      <c r="L322" s="2" t="s">
        <v>28</v>
      </c>
      <c r="M322" s="2" t="s">
        <v>824</v>
      </c>
      <c r="N322" s="17" t="s">
        <v>906</v>
      </c>
    </row>
    <row r="323" spans="1:14" ht="15" customHeight="1" x14ac:dyDescent="0.2">
      <c r="A323" s="31">
        <v>6.8814406567637302E-3</v>
      </c>
      <c r="B323" s="31"/>
      <c r="C323" s="2" t="s">
        <v>892</v>
      </c>
      <c r="D323" s="2">
        <f>A323 * 545.45</f>
        <v>3.7534818062317767</v>
      </c>
      <c r="F323" s="2">
        <v>2020</v>
      </c>
      <c r="G323" s="38" t="s">
        <v>901</v>
      </c>
      <c r="H323" s="2" t="s">
        <v>733</v>
      </c>
      <c r="I323" s="31" t="s">
        <v>268</v>
      </c>
      <c r="J323" s="31" t="s">
        <v>822</v>
      </c>
      <c r="K323" s="31" t="s">
        <v>822</v>
      </c>
      <c r="L323" s="2" t="s">
        <v>28</v>
      </c>
      <c r="M323" s="2" t="s">
        <v>824</v>
      </c>
      <c r="N323" s="17" t="s">
        <v>906</v>
      </c>
    </row>
    <row r="324" spans="1:14" ht="15" customHeight="1" x14ac:dyDescent="0.2">
      <c r="A324" s="20">
        <v>0.16438356164383561</v>
      </c>
      <c r="B324" s="20"/>
      <c r="C324" s="2" t="s">
        <v>98</v>
      </c>
      <c r="D324" s="2">
        <f>A324 * 22.727</f>
        <v>3.7359452054794517</v>
      </c>
      <c r="F324" s="2" t="s">
        <v>822</v>
      </c>
      <c r="G324" s="2" t="s">
        <v>901</v>
      </c>
      <c r="H324" s="2" t="s">
        <v>822</v>
      </c>
      <c r="I324" s="14" t="s">
        <v>217</v>
      </c>
      <c r="J324" s="16">
        <v>52.841999999999999</v>
      </c>
      <c r="K324" s="16">
        <v>0.29499999999999998</v>
      </c>
      <c r="L324" s="16"/>
      <c r="M324" s="33" t="s">
        <v>821</v>
      </c>
      <c r="N324" s="17" t="s">
        <v>867</v>
      </c>
    </row>
    <row r="325" spans="1:14" ht="15" customHeight="1" x14ac:dyDescent="0.2">
      <c r="A325" s="2">
        <v>0.06</v>
      </c>
      <c r="C325" s="2" t="s">
        <v>6</v>
      </c>
      <c r="D325" s="2">
        <f>(A325 * 1000000)/ 44.013 / 365</f>
        <v>3.7348865481524918</v>
      </c>
      <c r="F325" s="8">
        <v>1995</v>
      </c>
      <c r="G325" s="2" t="s">
        <v>902</v>
      </c>
      <c r="H325" s="2" t="s">
        <v>39</v>
      </c>
      <c r="I325" s="7" t="s">
        <v>40</v>
      </c>
      <c r="J325" s="2">
        <v>52.922460000000001</v>
      </c>
      <c r="K325" s="2">
        <v>0.24759999999999999</v>
      </c>
      <c r="L325" s="2" t="s">
        <v>8</v>
      </c>
      <c r="N325" s="6" t="s">
        <v>857</v>
      </c>
    </row>
    <row r="326" spans="1:14" ht="15" customHeight="1" x14ac:dyDescent="0.2">
      <c r="A326" s="2">
        <v>0.06</v>
      </c>
      <c r="C326" s="2" t="s">
        <v>6</v>
      </c>
      <c r="D326" s="2">
        <f>(A326 * 1000000)/ 44.013 / 365</f>
        <v>3.7348865481524918</v>
      </c>
      <c r="F326" s="2">
        <v>1998</v>
      </c>
      <c r="G326" s="2" t="s">
        <v>902</v>
      </c>
      <c r="H326" s="2" t="s">
        <v>711</v>
      </c>
      <c r="I326" s="2" t="s">
        <v>46</v>
      </c>
      <c r="J326" s="2">
        <v>43.334269999999997</v>
      </c>
      <c r="K326" s="2">
        <v>4.8444399999999996</v>
      </c>
      <c r="L326" s="2" t="s">
        <v>32</v>
      </c>
      <c r="N326" s="6" t="s">
        <v>47</v>
      </c>
    </row>
    <row r="327" spans="1:14" ht="15" customHeight="1" x14ac:dyDescent="0.2">
      <c r="A327" s="31">
        <v>6.7710343710562504E-3</v>
      </c>
      <c r="B327" s="31"/>
      <c r="C327" s="2" t="s">
        <v>892</v>
      </c>
      <c r="D327" s="2">
        <f>A327 * 545.45</f>
        <v>3.6932606976926321</v>
      </c>
      <c r="F327" s="2">
        <v>2020</v>
      </c>
      <c r="G327" s="38" t="s">
        <v>901</v>
      </c>
      <c r="H327" s="2" t="s">
        <v>732</v>
      </c>
      <c r="I327" s="31" t="s">
        <v>257</v>
      </c>
      <c r="J327" s="31">
        <v>54.371699999999997</v>
      </c>
      <c r="K327" s="31">
        <v>13.239599999999999</v>
      </c>
      <c r="L327" s="2" t="s">
        <v>28</v>
      </c>
      <c r="M327" s="2" t="s">
        <v>824</v>
      </c>
      <c r="N327" s="17" t="s">
        <v>906</v>
      </c>
    </row>
    <row r="328" spans="1:14" ht="15" customHeight="1" x14ac:dyDescent="0.2">
      <c r="A328" s="31">
        <v>6.7354322470659801E-3</v>
      </c>
      <c r="B328" s="31"/>
      <c r="C328" s="2" t="s">
        <v>892</v>
      </c>
      <c r="D328" s="2">
        <f>A328 * 545.45</f>
        <v>3.673841519162139</v>
      </c>
      <c r="F328" s="2">
        <v>2020</v>
      </c>
      <c r="G328" s="38" t="s">
        <v>901</v>
      </c>
      <c r="H328" s="2" t="s">
        <v>738</v>
      </c>
      <c r="I328" s="31" t="s">
        <v>263</v>
      </c>
      <c r="J328" s="31" t="s">
        <v>822</v>
      </c>
      <c r="K328" s="31" t="s">
        <v>822</v>
      </c>
      <c r="L328" s="2" t="s">
        <v>28</v>
      </c>
      <c r="M328" s="2" t="s">
        <v>824</v>
      </c>
      <c r="N328" s="17" t="s">
        <v>906</v>
      </c>
    </row>
    <row r="329" spans="1:14" ht="15" customHeight="1" x14ac:dyDescent="0.2">
      <c r="A329" s="31">
        <v>6.6422218788410002E-3</v>
      </c>
      <c r="B329" s="31"/>
      <c r="C329" s="2" t="s">
        <v>892</v>
      </c>
      <c r="D329" s="2">
        <f>A329 * 545.45</f>
        <v>3.6229999238138237</v>
      </c>
      <c r="F329" s="2">
        <v>2020</v>
      </c>
      <c r="G329" s="38" t="s">
        <v>901</v>
      </c>
      <c r="H329" s="2" t="s">
        <v>733</v>
      </c>
      <c r="I329" s="31" t="s">
        <v>261</v>
      </c>
      <c r="J329" s="31">
        <v>54.372100000000003</v>
      </c>
      <c r="K329" s="31">
        <v>13.242699999999999</v>
      </c>
      <c r="L329" s="2" t="s">
        <v>28</v>
      </c>
      <c r="M329" s="2" t="s">
        <v>824</v>
      </c>
      <c r="N329" s="17" t="s">
        <v>906</v>
      </c>
    </row>
    <row r="330" spans="1:14" ht="15" customHeight="1" x14ac:dyDescent="0.2">
      <c r="A330" s="2">
        <v>3.6</v>
      </c>
      <c r="B330" s="2">
        <v>3</v>
      </c>
      <c r="C330" s="2" t="s">
        <v>891</v>
      </c>
      <c r="D330" s="2">
        <f>A330</f>
        <v>3.6</v>
      </c>
      <c r="E330" s="2">
        <f>B330</f>
        <v>3</v>
      </c>
      <c r="F330" s="2" t="s">
        <v>695</v>
      </c>
      <c r="G330" s="2" t="s">
        <v>903</v>
      </c>
      <c r="H330" s="2" t="s">
        <v>12</v>
      </c>
      <c r="I330" s="2" t="s">
        <v>56</v>
      </c>
      <c r="J330" s="2">
        <v>36.392183000000003</v>
      </c>
      <c r="K330" s="2">
        <v>-6.2106789999999998</v>
      </c>
      <c r="L330" s="2" t="s">
        <v>53</v>
      </c>
      <c r="N330" s="9" t="s">
        <v>54</v>
      </c>
    </row>
    <row r="331" spans="1:14" ht="15" customHeight="1" x14ac:dyDescent="0.2">
      <c r="A331" s="31">
        <v>6.4308235142561702E-3</v>
      </c>
      <c r="B331" s="31"/>
      <c r="C331" s="2" t="s">
        <v>892</v>
      </c>
      <c r="D331" s="2">
        <f>A331 * 545.45</f>
        <v>3.5076926858510284</v>
      </c>
      <c r="F331" s="2">
        <v>2020</v>
      </c>
      <c r="G331" s="38" t="s">
        <v>901</v>
      </c>
      <c r="H331" s="2" t="s">
        <v>733</v>
      </c>
      <c r="I331" s="31" t="s">
        <v>260</v>
      </c>
      <c r="J331" s="31">
        <v>54.372</v>
      </c>
      <c r="K331" s="31">
        <v>13.241300000000001</v>
      </c>
      <c r="L331" s="2" t="s">
        <v>28</v>
      </c>
      <c r="M331" s="2" t="s">
        <v>824</v>
      </c>
      <c r="N331" s="17" t="s">
        <v>906</v>
      </c>
    </row>
    <row r="332" spans="1:14" ht="15" customHeight="1" x14ac:dyDescent="0.2">
      <c r="A332" s="20">
        <v>0.154</v>
      </c>
      <c r="B332" s="20"/>
      <c r="C332" s="2" t="s">
        <v>98</v>
      </c>
      <c r="D332" s="2">
        <f>A332 * 22.727</f>
        <v>3.4999579999999999</v>
      </c>
      <c r="F332" s="2" t="s">
        <v>822</v>
      </c>
      <c r="G332" s="2" t="s">
        <v>901</v>
      </c>
      <c r="H332" s="2" t="s">
        <v>822</v>
      </c>
      <c r="I332" s="14" t="s">
        <v>230</v>
      </c>
      <c r="J332" s="16">
        <v>54.5167</v>
      </c>
      <c r="K332" s="16">
        <v>10.033300000000001</v>
      </c>
      <c r="L332" s="16"/>
      <c r="M332" s="33" t="s">
        <v>821</v>
      </c>
      <c r="N332" s="17" t="s">
        <v>874</v>
      </c>
    </row>
    <row r="333" spans="1:14" ht="15" customHeight="1" x14ac:dyDescent="0.2">
      <c r="A333" s="31">
        <v>6.3089585501455003E-3</v>
      </c>
      <c r="B333" s="31"/>
      <c r="C333" s="2" t="s">
        <v>892</v>
      </c>
      <c r="D333" s="2">
        <f>A333 * 545.45</f>
        <v>3.4412214411768636</v>
      </c>
      <c r="F333" s="2">
        <v>2020</v>
      </c>
      <c r="G333" s="38" t="s">
        <v>901</v>
      </c>
      <c r="H333" s="2" t="s">
        <v>736</v>
      </c>
      <c r="I333" s="31" t="s">
        <v>259</v>
      </c>
      <c r="J333" s="31">
        <v>54.373600000000003</v>
      </c>
      <c r="K333" s="31">
        <v>13.239800000000001</v>
      </c>
      <c r="L333" s="2" t="s">
        <v>28</v>
      </c>
      <c r="M333" s="2" t="s">
        <v>824</v>
      </c>
      <c r="N333" s="17" t="s">
        <v>906</v>
      </c>
    </row>
    <row r="334" spans="1:14" ht="15" customHeight="1" x14ac:dyDescent="0.2">
      <c r="A334" s="31">
        <v>6.08158503862308E-3</v>
      </c>
      <c r="B334" s="31"/>
      <c r="C334" s="2" t="s">
        <v>892</v>
      </c>
      <c r="D334" s="2">
        <f>A334 * 545.45</f>
        <v>3.3172005593169591</v>
      </c>
      <c r="F334" s="2">
        <v>2020</v>
      </c>
      <c r="G334" s="38" t="s">
        <v>901</v>
      </c>
      <c r="H334" s="2" t="s">
        <v>739</v>
      </c>
      <c r="I334" s="31" t="s">
        <v>260</v>
      </c>
      <c r="J334" s="31">
        <v>54.372</v>
      </c>
      <c r="K334" s="31">
        <v>13.241300000000001</v>
      </c>
      <c r="L334" s="2" t="s">
        <v>28</v>
      </c>
      <c r="M334" s="2" t="s">
        <v>824</v>
      </c>
      <c r="N334" s="17" t="s">
        <v>906</v>
      </c>
    </row>
    <row r="335" spans="1:14" ht="15" customHeight="1" x14ac:dyDescent="0.2">
      <c r="A335" s="2">
        <v>3.3</v>
      </c>
      <c r="B335" s="2">
        <v>6.5</v>
      </c>
      <c r="C335" s="2" t="s">
        <v>891</v>
      </c>
      <c r="D335" s="2">
        <f>A335</f>
        <v>3.3</v>
      </c>
      <c r="E335" s="2">
        <f>B335</f>
        <v>6.5</v>
      </c>
      <c r="F335" s="2" t="s">
        <v>696</v>
      </c>
      <c r="G335" s="2" t="s">
        <v>903</v>
      </c>
      <c r="H335" s="2" t="s">
        <v>822</v>
      </c>
      <c r="I335" s="2" t="s">
        <v>57</v>
      </c>
      <c r="J335" s="2">
        <v>54.5167</v>
      </c>
      <c r="K335" s="2">
        <v>10.033300000000001</v>
      </c>
      <c r="L335" s="2" t="s">
        <v>28</v>
      </c>
      <c r="M335" s="2" t="s">
        <v>806</v>
      </c>
      <c r="N335" s="9" t="s">
        <v>58</v>
      </c>
    </row>
    <row r="336" spans="1:14" ht="15" customHeight="1" x14ac:dyDescent="0.2">
      <c r="A336" s="20">
        <v>0.1444608</v>
      </c>
      <c r="B336" s="20"/>
      <c r="C336" s="2" t="s">
        <v>98</v>
      </c>
      <c r="D336" s="2">
        <f>A336 * 22.727</f>
        <v>3.2831606016000001</v>
      </c>
      <c r="F336" s="2" t="s">
        <v>822</v>
      </c>
      <c r="G336" s="2" t="s">
        <v>901</v>
      </c>
      <c r="H336" s="2" t="s">
        <v>822</v>
      </c>
      <c r="I336" s="14" t="s">
        <v>229</v>
      </c>
      <c r="J336" s="16">
        <v>54.204000000000001</v>
      </c>
      <c r="K336" s="16">
        <v>13.522</v>
      </c>
      <c r="L336" s="16"/>
      <c r="M336" s="33" t="s">
        <v>821</v>
      </c>
      <c r="N336" s="17" t="s">
        <v>873</v>
      </c>
    </row>
    <row r="337" spans="1:14" ht="15" customHeight="1" x14ac:dyDescent="0.2">
      <c r="A337" s="31">
        <v>5.7418751154214602E-3</v>
      </c>
      <c r="B337" s="31"/>
      <c r="C337" s="2" t="s">
        <v>892</v>
      </c>
      <c r="D337" s="2">
        <f>A337 * 545.45</f>
        <v>3.1319057817066356</v>
      </c>
      <c r="F337" s="2">
        <v>2020</v>
      </c>
      <c r="G337" s="38" t="s">
        <v>901</v>
      </c>
      <c r="H337" s="2" t="s">
        <v>737</v>
      </c>
      <c r="I337" s="31" t="s">
        <v>257</v>
      </c>
      <c r="J337" s="31">
        <v>54.372</v>
      </c>
      <c r="K337" s="31">
        <v>13.241300000000001</v>
      </c>
      <c r="L337" s="2" t="s">
        <v>28</v>
      </c>
      <c r="M337" s="2" t="s">
        <v>824</v>
      </c>
      <c r="N337" s="17" t="s">
        <v>906</v>
      </c>
    </row>
    <row r="338" spans="1:14" ht="15" customHeight="1" x14ac:dyDescent="0.2">
      <c r="A338" s="31">
        <v>5.7338562107269201E-3</v>
      </c>
      <c r="B338" s="31"/>
      <c r="C338" s="2" t="s">
        <v>892</v>
      </c>
      <c r="D338" s="2">
        <f>A338 * 545.45</f>
        <v>3.1275318701409986</v>
      </c>
      <c r="F338" s="2">
        <v>2020</v>
      </c>
      <c r="G338" s="38" t="s">
        <v>901</v>
      </c>
      <c r="H338" s="2" t="s">
        <v>730</v>
      </c>
      <c r="I338" s="31" t="s">
        <v>259</v>
      </c>
      <c r="J338" s="31">
        <v>54.373600000000003</v>
      </c>
      <c r="K338" s="31">
        <v>13.239800000000001</v>
      </c>
      <c r="L338" s="2" t="s">
        <v>28</v>
      </c>
      <c r="M338" s="2" t="s">
        <v>824</v>
      </c>
      <c r="N338" s="17" t="s">
        <v>906</v>
      </c>
    </row>
    <row r="339" spans="1:14" ht="15" customHeight="1" x14ac:dyDescent="0.2">
      <c r="A339" s="20">
        <v>0.13698630136986301</v>
      </c>
      <c r="B339" s="20"/>
      <c r="C339" s="2" t="s">
        <v>98</v>
      </c>
      <c r="D339" s="2">
        <f>A339 * 22.727</f>
        <v>3.1132876712328765</v>
      </c>
      <c r="F339" s="2" t="s">
        <v>822</v>
      </c>
      <c r="G339" s="2" t="s">
        <v>901</v>
      </c>
      <c r="H339" s="2" t="s">
        <v>822</v>
      </c>
      <c r="I339" s="14" t="s">
        <v>223</v>
      </c>
      <c r="J339" s="16">
        <v>55.763331999999998</v>
      </c>
      <c r="K339" s="16">
        <v>-2.0020539999999998</v>
      </c>
      <c r="L339" s="16"/>
      <c r="M339" s="33" t="s">
        <v>821</v>
      </c>
      <c r="N339" s="17" t="s">
        <v>247</v>
      </c>
    </row>
    <row r="340" spans="1:14" ht="15" customHeight="1" x14ac:dyDescent="0.2">
      <c r="A340" s="2">
        <v>0.05</v>
      </c>
      <c r="C340" s="2" t="s">
        <v>6</v>
      </c>
      <c r="D340" s="2">
        <f>(A340 * 1000000)/ 44.013 / 365</f>
        <v>3.1124054567937431</v>
      </c>
      <c r="F340" s="2" t="s">
        <v>688</v>
      </c>
      <c r="G340" s="2" t="s">
        <v>903</v>
      </c>
      <c r="H340" s="2" t="s">
        <v>706</v>
      </c>
      <c r="I340" s="2" t="s">
        <v>14</v>
      </c>
      <c r="J340" s="2">
        <v>55.763981999999999</v>
      </c>
      <c r="K340" s="2">
        <v>-1.9997769999999999</v>
      </c>
      <c r="L340" s="2" t="s">
        <v>8</v>
      </c>
      <c r="N340" s="6" t="s">
        <v>15</v>
      </c>
    </row>
    <row r="341" spans="1:14" ht="15" customHeight="1" x14ac:dyDescent="0.2">
      <c r="A341" s="2">
        <v>0.05</v>
      </c>
      <c r="C341" s="2" t="s">
        <v>6</v>
      </c>
      <c r="D341" s="2">
        <f>(A341 * 1000000)/ 44.013 / 365</f>
        <v>3.1124054567937431</v>
      </c>
      <c r="F341" s="2">
        <v>1995</v>
      </c>
      <c r="G341" s="2" t="s">
        <v>902</v>
      </c>
      <c r="H341" s="2" t="s">
        <v>43</v>
      </c>
      <c r="I341" s="2" t="s">
        <v>44</v>
      </c>
      <c r="J341" s="2">
        <v>45.074370000000002</v>
      </c>
      <c r="K341" s="2">
        <v>30.008959999999998</v>
      </c>
      <c r="L341" s="2" t="s">
        <v>804</v>
      </c>
      <c r="M341" s="2" t="s">
        <v>805</v>
      </c>
      <c r="N341" s="6" t="s">
        <v>45</v>
      </c>
    </row>
    <row r="342" spans="1:14" ht="15" customHeight="1" x14ac:dyDescent="0.2">
      <c r="A342" s="31">
        <v>5.6858644285581704E-3</v>
      </c>
      <c r="B342" s="31"/>
      <c r="C342" s="2" t="s">
        <v>892</v>
      </c>
      <c r="D342" s="2">
        <f>A342 * 545.45</f>
        <v>3.1013547525570542</v>
      </c>
      <c r="F342" s="2">
        <v>2020</v>
      </c>
      <c r="G342" s="38" t="s">
        <v>901</v>
      </c>
      <c r="H342" s="2" t="s">
        <v>730</v>
      </c>
      <c r="I342" s="31" t="s">
        <v>257</v>
      </c>
      <c r="J342" s="31">
        <v>54.371699999999997</v>
      </c>
      <c r="K342" s="31">
        <v>13.239599999999999</v>
      </c>
      <c r="L342" s="2" t="s">
        <v>28</v>
      </c>
      <c r="M342" s="2" t="s">
        <v>824</v>
      </c>
      <c r="N342" s="17" t="s">
        <v>906</v>
      </c>
    </row>
    <row r="343" spans="1:14" ht="15" customHeight="1" x14ac:dyDescent="0.2">
      <c r="A343" s="31">
        <v>5.6076615062392102E-3</v>
      </c>
      <c r="B343" s="31"/>
      <c r="C343" s="2" t="s">
        <v>892</v>
      </c>
      <c r="D343" s="2">
        <f>A343 * 545.45</f>
        <v>3.0586989685781774</v>
      </c>
      <c r="F343" s="2">
        <v>2020</v>
      </c>
      <c r="G343" s="38" t="s">
        <v>901</v>
      </c>
      <c r="H343" s="2" t="s">
        <v>733</v>
      </c>
      <c r="I343" s="31" t="s">
        <v>267</v>
      </c>
      <c r="J343" s="31" t="s">
        <v>822</v>
      </c>
      <c r="K343" s="31" t="s">
        <v>822</v>
      </c>
      <c r="L343" s="2" t="s">
        <v>28</v>
      </c>
      <c r="M343" s="2" t="s">
        <v>824</v>
      </c>
      <c r="N343" s="17" t="s">
        <v>906</v>
      </c>
    </row>
    <row r="344" spans="1:14" ht="15" customHeight="1" x14ac:dyDescent="0.2">
      <c r="A344" s="31">
        <v>134.28</v>
      </c>
      <c r="B344" s="31">
        <v>0.92</v>
      </c>
      <c r="C344" s="31" t="s">
        <v>681</v>
      </c>
      <c r="D344" s="2">
        <f>A344 * 0.02273</f>
        <v>3.0521844000000002</v>
      </c>
      <c r="E344" s="2">
        <f>B344* 0.02273</f>
        <v>2.0911600000000002E-2</v>
      </c>
      <c r="F344" s="2">
        <v>2017</v>
      </c>
      <c r="G344" s="23" t="s">
        <v>901</v>
      </c>
      <c r="H344" s="2" t="s">
        <v>836</v>
      </c>
      <c r="I344" s="31" t="s">
        <v>848</v>
      </c>
      <c r="J344" s="31">
        <v>36.92</v>
      </c>
      <c r="K344" s="31">
        <v>-3.55</v>
      </c>
      <c r="L344" s="34" t="s">
        <v>82</v>
      </c>
      <c r="N344" s="6" t="s">
        <v>853</v>
      </c>
    </row>
    <row r="345" spans="1:14" ht="15" customHeight="1" x14ac:dyDescent="0.2">
      <c r="A345" s="31">
        <v>5.4503659218597504E-3</v>
      </c>
      <c r="B345" s="31"/>
      <c r="C345" s="2" t="s">
        <v>892</v>
      </c>
      <c r="D345" s="2">
        <f>A345 * 545.45</f>
        <v>2.9729020920784013</v>
      </c>
      <c r="F345" s="2">
        <v>2020</v>
      </c>
      <c r="G345" s="38" t="s">
        <v>901</v>
      </c>
      <c r="H345" s="2" t="s">
        <v>753</v>
      </c>
      <c r="I345" s="31" t="s">
        <v>258</v>
      </c>
      <c r="J345" s="31">
        <v>54.371299999999998</v>
      </c>
      <c r="K345" s="31">
        <v>13.2438</v>
      </c>
      <c r="L345" s="2" t="s">
        <v>28</v>
      </c>
      <c r="M345" s="2" t="s">
        <v>824</v>
      </c>
      <c r="N345" s="17" t="s">
        <v>906</v>
      </c>
    </row>
    <row r="346" spans="1:14" ht="15" customHeight="1" x14ac:dyDescent="0.2">
      <c r="A346" s="31">
        <v>5.3893896869974698E-3</v>
      </c>
      <c r="B346" s="31"/>
      <c r="C346" s="2" t="s">
        <v>892</v>
      </c>
      <c r="D346" s="2">
        <f>A346 * 545.45</f>
        <v>2.9396426047727702</v>
      </c>
      <c r="F346" s="2">
        <v>2020</v>
      </c>
      <c r="G346" s="38" t="s">
        <v>901</v>
      </c>
      <c r="H346" s="2" t="s">
        <v>738</v>
      </c>
      <c r="I346" s="31" t="s">
        <v>268</v>
      </c>
      <c r="J346" s="31" t="s">
        <v>822</v>
      </c>
      <c r="K346" s="31" t="s">
        <v>822</v>
      </c>
      <c r="L346" s="2" t="s">
        <v>28</v>
      </c>
      <c r="M346" s="2" t="s">
        <v>824</v>
      </c>
      <c r="N346" s="17" t="s">
        <v>906</v>
      </c>
    </row>
    <row r="347" spans="1:14" ht="15" customHeight="1" x14ac:dyDescent="0.2">
      <c r="A347" s="2">
        <v>2.9</v>
      </c>
      <c r="B347" s="2">
        <v>1.5</v>
      </c>
      <c r="C347" s="2" t="s">
        <v>891</v>
      </c>
      <c r="D347" s="2">
        <f t="shared" ref="D347:E351" si="2">A347</f>
        <v>2.9</v>
      </c>
      <c r="E347" s="2">
        <f t="shared" si="2"/>
        <v>1.5</v>
      </c>
      <c r="F347" s="2">
        <v>2015</v>
      </c>
      <c r="G347" s="2" t="s">
        <v>902</v>
      </c>
      <c r="H347" s="2" t="s">
        <v>48</v>
      </c>
      <c r="I347" s="2" t="s">
        <v>56</v>
      </c>
      <c r="J347" s="2">
        <v>36.392183000000003</v>
      </c>
      <c r="K347" s="2">
        <v>-6.2106789999999998</v>
      </c>
      <c r="L347" s="2" t="s">
        <v>53</v>
      </c>
      <c r="N347" s="9" t="s">
        <v>54</v>
      </c>
    </row>
    <row r="348" spans="1:14" ht="15" customHeight="1" x14ac:dyDescent="0.2">
      <c r="A348" s="2">
        <v>2.9</v>
      </c>
      <c r="B348" s="2">
        <v>1.2</v>
      </c>
      <c r="C348" s="2" t="s">
        <v>891</v>
      </c>
      <c r="D348" s="2">
        <f t="shared" si="2"/>
        <v>2.9</v>
      </c>
      <c r="E348" s="2">
        <f t="shared" si="2"/>
        <v>1.2</v>
      </c>
      <c r="F348" s="2">
        <v>2015</v>
      </c>
      <c r="G348" s="2" t="s">
        <v>902</v>
      </c>
      <c r="H348" s="5" t="s">
        <v>128</v>
      </c>
      <c r="I348" s="2" t="s">
        <v>158</v>
      </c>
      <c r="J348" s="2">
        <v>37.012805999999998</v>
      </c>
      <c r="K348" s="2">
        <v>-7.0772560000000002</v>
      </c>
      <c r="L348" s="2" t="s">
        <v>82</v>
      </c>
      <c r="N348" s="9" t="s">
        <v>159</v>
      </c>
    </row>
    <row r="349" spans="1:14" ht="15" customHeight="1" x14ac:dyDescent="0.2">
      <c r="A349" s="2">
        <v>2.84</v>
      </c>
      <c r="B349" s="2">
        <v>2.57</v>
      </c>
      <c r="C349" s="2" t="s">
        <v>891</v>
      </c>
      <c r="D349" s="2">
        <f t="shared" si="2"/>
        <v>2.84</v>
      </c>
      <c r="E349" s="2">
        <f t="shared" si="2"/>
        <v>2.57</v>
      </c>
      <c r="F349" s="2">
        <v>2018</v>
      </c>
      <c r="G349" s="2" t="s">
        <v>902</v>
      </c>
      <c r="H349" s="2" t="s">
        <v>162</v>
      </c>
      <c r="I349" s="2" t="s">
        <v>124</v>
      </c>
      <c r="J349" s="2">
        <v>42.236280000000001</v>
      </c>
      <c r="K349" s="2">
        <v>-8.7857000000000003</v>
      </c>
      <c r="L349" s="2" t="s">
        <v>82</v>
      </c>
      <c r="M349" s="2" t="s">
        <v>125</v>
      </c>
      <c r="N349" s="9" t="s">
        <v>123</v>
      </c>
    </row>
    <row r="350" spans="1:14" ht="15" customHeight="1" x14ac:dyDescent="0.2">
      <c r="A350" s="3">
        <v>2.8</v>
      </c>
      <c r="B350" s="3">
        <v>2.9</v>
      </c>
      <c r="C350" s="3" t="s">
        <v>891</v>
      </c>
      <c r="D350" s="3">
        <f t="shared" si="2"/>
        <v>2.8</v>
      </c>
      <c r="E350" s="3">
        <f t="shared" si="2"/>
        <v>2.9</v>
      </c>
      <c r="F350" s="3">
        <v>2007</v>
      </c>
      <c r="G350" s="2" t="s">
        <v>902</v>
      </c>
      <c r="H350" s="29" t="s">
        <v>149</v>
      </c>
      <c r="I350" s="3" t="s">
        <v>146</v>
      </c>
      <c r="J350" s="3" t="s">
        <v>896</v>
      </c>
      <c r="K350" s="3" t="s">
        <v>897</v>
      </c>
      <c r="L350" s="3"/>
      <c r="M350" s="3" t="s">
        <v>147</v>
      </c>
      <c r="N350" s="28" t="s">
        <v>888</v>
      </c>
    </row>
    <row r="351" spans="1:14" ht="15" customHeight="1" x14ac:dyDescent="0.2">
      <c r="A351" s="2">
        <v>2.8</v>
      </c>
      <c r="B351" s="2">
        <v>1.2</v>
      </c>
      <c r="C351" s="2" t="s">
        <v>891</v>
      </c>
      <c r="D351" s="2">
        <f t="shared" si="2"/>
        <v>2.8</v>
      </c>
      <c r="E351" s="2">
        <f t="shared" si="2"/>
        <v>1.2</v>
      </c>
      <c r="F351" s="2">
        <v>2015</v>
      </c>
      <c r="G351" s="2" t="s">
        <v>902</v>
      </c>
      <c r="H351" s="5" t="s">
        <v>89</v>
      </c>
      <c r="I351" s="2" t="s">
        <v>158</v>
      </c>
      <c r="J351" s="2">
        <v>37.012805999999998</v>
      </c>
      <c r="K351" s="2">
        <v>-7.0772560000000002</v>
      </c>
      <c r="L351" s="2" t="s">
        <v>82</v>
      </c>
      <c r="N351" s="9" t="s">
        <v>159</v>
      </c>
    </row>
    <row r="352" spans="1:14" ht="15" customHeight="1" x14ac:dyDescent="0.2">
      <c r="A352" s="22">
        <v>2.7528145271422</v>
      </c>
      <c r="B352" s="22"/>
      <c r="C352" s="2" t="s">
        <v>891</v>
      </c>
      <c r="D352" s="2">
        <f>A352</f>
        <v>2.7528145271422</v>
      </c>
      <c r="F352" s="2">
        <v>2023</v>
      </c>
      <c r="G352" s="23" t="s">
        <v>902</v>
      </c>
      <c r="H352" s="2" t="s">
        <v>765</v>
      </c>
      <c r="I352" s="23" t="s">
        <v>826</v>
      </c>
      <c r="J352" s="23">
        <v>65.030491999999995</v>
      </c>
      <c r="K352" s="23">
        <v>-14.218087000000001</v>
      </c>
      <c r="L352" s="23" t="s">
        <v>817</v>
      </c>
      <c r="M352" s="2" t="s">
        <v>825</v>
      </c>
      <c r="N352" s="6" t="s">
        <v>828</v>
      </c>
    </row>
    <row r="353" spans="1:14" ht="15" customHeight="1" x14ac:dyDescent="0.2">
      <c r="A353" s="22">
        <v>2.6807750448590859</v>
      </c>
      <c r="B353" s="22"/>
      <c r="C353" s="2" t="s">
        <v>891</v>
      </c>
      <c r="D353" s="2">
        <f>A353</f>
        <v>2.6807750448590859</v>
      </c>
      <c r="F353" s="2">
        <v>2023</v>
      </c>
      <c r="G353" s="23" t="s">
        <v>902</v>
      </c>
      <c r="H353" s="2" t="s">
        <v>765</v>
      </c>
      <c r="I353" s="23" t="s">
        <v>826</v>
      </c>
      <c r="J353" s="23">
        <v>65.026464000000004</v>
      </c>
      <c r="K353" s="23">
        <v>-14.227271999999999</v>
      </c>
      <c r="L353" s="23" t="s">
        <v>817</v>
      </c>
      <c r="M353" s="2" t="s">
        <v>825</v>
      </c>
      <c r="N353" s="6" t="s">
        <v>828</v>
      </c>
    </row>
    <row r="354" spans="1:14" ht="15" customHeight="1" x14ac:dyDescent="0.2">
      <c r="A354" s="31">
        <v>4.9096961696652201E-3</v>
      </c>
      <c r="B354" s="31"/>
      <c r="C354" s="2" t="s">
        <v>892</v>
      </c>
      <c r="D354" s="2">
        <f>A354 * 545.45</f>
        <v>2.6779937757438947</v>
      </c>
      <c r="F354" s="2">
        <v>2020</v>
      </c>
      <c r="G354" s="38" t="s">
        <v>901</v>
      </c>
      <c r="H354" s="2" t="s">
        <v>733</v>
      </c>
      <c r="I354" s="31" t="s">
        <v>264</v>
      </c>
      <c r="J354" s="31" t="s">
        <v>822</v>
      </c>
      <c r="K354" s="31" t="s">
        <v>822</v>
      </c>
      <c r="L354" s="2" t="s">
        <v>28</v>
      </c>
      <c r="M354" s="2" t="s">
        <v>824</v>
      </c>
      <c r="N354" s="17" t="s">
        <v>906</v>
      </c>
    </row>
    <row r="355" spans="1:14" ht="15" customHeight="1" x14ac:dyDescent="0.2">
      <c r="A355" s="22">
        <v>2.654551449525278</v>
      </c>
      <c r="B355" s="22"/>
      <c r="C355" s="2" t="s">
        <v>891</v>
      </c>
      <c r="D355" s="2">
        <f>A355</f>
        <v>2.654551449525278</v>
      </c>
      <c r="F355" s="2">
        <v>2023</v>
      </c>
      <c r="G355" s="23" t="s">
        <v>902</v>
      </c>
      <c r="H355" s="2" t="s">
        <v>765</v>
      </c>
      <c r="I355" s="23" t="s">
        <v>826</v>
      </c>
      <c r="J355" s="23">
        <v>65.022991000000005</v>
      </c>
      <c r="K355" s="23">
        <v>-14.171882</v>
      </c>
      <c r="L355" s="23" t="s">
        <v>817</v>
      </c>
      <c r="M355" s="2" t="s">
        <v>825</v>
      </c>
      <c r="N355" s="6" t="s">
        <v>828</v>
      </c>
    </row>
    <row r="356" spans="1:14" ht="15" customHeight="1" x14ac:dyDescent="0.2">
      <c r="A356" s="22">
        <v>2.6390673678842878</v>
      </c>
      <c r="B356" s="22"/>
      <c r="C356" s="2" t="s">
        <v>891</v>
      </c>
      <c r="D356" s="2">
        <f>A356</f>
        <v>2.6390673678842878</v>
      </c>
      <c r="F356" s="2">
        <v>2023</v>
      </c>
      <c r="G356" s="23" t="s">
        <v>902</v>
      </c>
      <c r="H356" s="2" t="s">
        <v>765</v>
      </c>
      <c r="I356" s="23" t="s">
        <v>826</v>
      </c>
      <c r="J356" s="23">
        <v>65.023893000000001</v>
      </c>
      <c r="K356" s="23">
        <v>-14.193135</v>
      </c>
      <c r="L356" s="23" t="s">
        <v>817</v>
      </c>
      <c r="M356" s="2" t="s">
        <v>825</v>
      </c>
      <c r="N356" s="6" t="s">
        <v>828</v>
      </c>
    </row>
    <row r="357" spans="1:14" ht="15" customHeight="1" x14ac:dyDescent="0.2">
      <c r="A357" s="22">
        <v>2.6333289579203307</v>
      </c>
      <c r="B357" s="22"/>
      <c r="C357" s="2" t="s">
        <v>891</v>
      </c>
      <c r="D357" s="2">
        <f>A357</f>
        <v>2.6333289579203307</v>
      </c>
      <c r="F357" s="2">
        <v>2023</v>
      </c>
      <c r="G357" s="23" t="s">
        <v>902</v>
      </c>
      <c r="H357" s="2" t="s">
        <v>765</v>
      </c>
      <c r="I357" s="23" t="s">
        <v>826</v>
      </c>
      <c r="J357" s="23">
        <v>65.023893999999999</v>
      </c>
      <c r="K357" s="23">
        <v>-14.193142</v>
      </c>
      <c r="L357" s="23" t="s">
        <v>817</v>
      </c>
      <c r="M357" s="2" t="s">
        <v>825</v>
      </c>
      <c r="N357" s="6" t="s">
        <v>828</v>
      </c>
    </row>
    <row r="358" spans="1:14" ht="15" customHeight="1" x14ac:dyDescent="0.2">
      <c r="A358" s="31">
        <v>4.8261166501212503E-3</v>
      </c>
      <c r="B358" s="31"/>
      <c r="C358" s="2" t="s">
        <v>892</v>
      </c>
      <c r="D358" s="2">
        <f>A358 * 545.45</f>
        <v>2.632405326808636</v>
      </c>
      <c r="F358" s="2">
        <v>2020</v>
      </c>
      <c r="G358" s="38" t="s">
        <v>901</v>
      </c>
      <c r="H358" s="2" t="s">
        <v>733</v>
      </c>
      <c r="I358" s="31" t="s">
        <v>266</v>
      </c>
      <c r="J358" s="31" t="s">
        <v>822</v>
      </c>
      <c r="K358" s="31" t="s">
        <v>822</v>
      </c>
      <c r="L358" s="2" t="s">
        <v>28</v>
      </c>
      <c r="M358" s="2" t="s">
        <v>824</v>
      </c>
      <c r="N358" s="17" t="s">
        <v>906</v>
      </c>
    </row>
    <row r="359" spans="1:14" ht="15" customHeight="1" x14ac:dyDescent="0.2">
      <c r="A359" s="31">
        <v>4.7995950153429199E-3</v>
      </c>
      <c r="B359" s="31"/>
      <c r="C359" s="2" t="s">
        <v>892</v>
      </c>
      <c r="D359" s="2">
        <f>A359 * 545.45</f>
        <v>2.6179391011187958</v>
      </c>
      <c r="F359" s="2">
        <v>2019</v>
      </c>
      <c r="G359" s="38" t="s">
        <v>901</v>
      </c>
      <c r="H359" s="2" t="s">
        <v>725</v>
      </c>
      <c r="I359" s="31" t="s">
        <v>261</v>
      </c>
      <c r="J359" s="31">
        <v>54.372100000000003</v>
      </c>
      <c r="K359" s="31">
        <v>13.242699999999999</v>
      </c>
      <c r="L359" s="2" t="s">
        <v>28</v>
      </c>
      <c r="M359" s="2" t="s">
        <v>824</v>
      </c>
      <c r="N359" s="17" t="s">
        <v>906</v>
      </c>
    </row>
    <row r="360" spans="1:14" ht="15" customHeight="1" x14ac:dyDescent="0.2">
      <c r="A360" s="2">
        <v>2.59</v>
      </c>
      <c r="B360" s="2">
        <v>1.93</v>
      </c>
      <c r="C360" s="2" t="s">
        <v>891</v>
      </c>
      <c r="D360" s="2">
        <f>A360</f>
        <v>2.59</v>
      </c>
      <c r="E360" s="2">
        <f>B360</f>
        <v>1.93</v>
      </c>
      <c r="F360" s="2">
        <v>2011</v>
      </c>
      <c r="G360" s="2" t="s">
        <v>902</v>
      </c>
      <c r="H360" s="2" t="s">
        <v>94</v>
      </c>
      <c r="I360" s="2" t="s">
        <v>97</v>
      </c>
      <c r="J360" s="2">
        <v>53</v>
      </c>
      <c r="K360" s="2">
        <v>2.5</v>
      </c>
      <c r="N360" s="6" t="s">
        <v>93</v>
      </c>
    </row>
    <row r="361" spans="1:14" ht="15" customHeight="1" x14ac:dyDescent="0.2">
      <c r="A361" s="22">
        <v>2.5766411608200115</v>
      </c>
      <c r="B361" s="22"/>
      <c r="C361" s="2" t="s">
        <v>891</v>
      </c>
      <c r="D361" s="2">
        <f>A361</f>
        <v>2.5766411608200115</v>
      </c>
      <c r="F361" s="2">
        <v>2023</v>
      </c>
      <c r="G361" s="23" t="s">
        <v>902</v>
      </c>
      <c r="H361" s="2" t="s">
        <v>765</v>
      </c>
      <c r="I361" s="23" t="s">
        <v>826</v>
      </c>
      <c r="J361" s="23">
        <v>65.023892000000004</v>
      </c>
      <c r="K361" s="23">
        <v>-14.193139</v>
      </c>
      <c r="L361" s="23" t="s">
        <v>817</v>
      </c>
      <c r="M361" s="2" t="s">
        <v>825</v>
      </c>
      <c r="N361" s="6" t="s">
        <v>828</v>
      </c>
    </row>
    <row r="362" spans="1:14" ht="15" customHeight="1" x14ac:dyDescent="0.2">
      <c r="A362" s="22">
        <v>2.5644816269126833</v>
      </c>
      <c r="B362" s="22"/>
      <c r="C362" s="2" t="s">
        <v>891</v>
      </c>
      <c r="D362" s="2">
        <f>A362</f>
        <v>2.5644816269126833</v>
      </c>
      <c r="F362" s="2">
        <v>2023</v>
      </c>
      <c r="G362" s="23" t="s">
        <v>902</v>
      </c>
      <c r="H362" s="2" t="s">
        <v>765</v>
      </c>
      <c r="I362" s="23" t="s">
        <v>826</v>
      </c>
      <c r="J362" s="23">
        <v>65.025631000000004</v>
      </c>
      <c r="K362" s="23">
        <v>-14.224498000000001</v>
      </c>
      <c r="L362" s="23" t="s">
        <v>817</v>
      </c>
      <c r="M362" s="2" t="s">
        <v>825</v>
      </c>
      <c r="N362" s="6" t="s">
        <v>828</v>
      </c>
    </row>
    <row r="363" spans="1:14" ht="15" customHeight="1" x14ac:dyDescent="0.2">
      <c r="A363" s="30">
        <v>2.5499999999999998</v>
      </c>
      <c r="B363" s="30">
        <v>7.2831000000000001</v>
      </c>
      <c r="C363" s="3" t="s">
        <v>891</v>
      </c>
      <c r="D363" s="3">
        <f>A363</f>
        <v>2.5499999999999998</v>
      </c>
      <c r="E363" s="3">
        <f>B363</f>
        <v>7.2831000000000001</v>
      </c>
      <c r="F363" s="3">
        <v>2019</v>
      </c>
      <c r="G363" s="3"/>
      <c r="H363" s="3" t="s">
        <v>185</v>
      </c>
      <c r="I363" s="3" t="s">
        <v>184</v>
      </c>
      <c r="J363" s="3"/>
      <c r="K363" s="3"/>
      <c r="L363" s="3" t="s">
        <v>82</v>
      </c>
      <c r="M363" s="3" t="s">
        <v>815</v>
      </c>
      <c r="N363" s="28" t="s">
        <v>889</v>
      </c>
    </row>
    <row r="364" spans="1:14" ht="15" customHeight="1" x14ac:dyDescent="0.2">
      <c r="A364" s="31">
        <v>4.6517859753189197E-3</v>
      </c>
      <c r="B364" s="31"/>
      <c r="C364" s="2" t="s">
        <v>892</v>
      </c>
      <c r="D364" s="2">
        <f>A364 * 545.45</f>
        <v>2.5373166602377051</v>
      </c>
      <c r="F364" s="2">
        <v>2020</v>
      </c>
      <c r="G364" s="38" t="s">
        <v>901</v>
      </c>
      <c r="H364" s="2" t="s">
        <v>762</v>
      </c>
      <c r="I364" s="31" t="s">
        <v>259</v>
      </c>
      <c r="J364" s="31">
        <v>54.373600000000003</v>
      </c>
      <c r="K364" s="31">
        <v>13.239800000000001</v>
      </c>
      <c r="L364" s="2" t="s">
        <v>28</v>
      </c>
      <c r="M364" s="2" t="s">
        <v>824</v>
      </c>
      <c r="N364" s="17" t="s">
        <v>906</v>
      </c>
    </row>
    <row r="365" spans="1:14" ht="15" customHeight="1" x14ac:dyDescent="0.2">
      <c r="A365" s="31">
        <v>4.6127081659194198E-3</v>
      </c>
      <c r="B365" s="31"/>
      <c r="C365" s="2" t="s">
        <v>892</v>
      </c>
      <c r="D365" s="2">
        <f>A365 * 545.45</f>
        <v>2.5160016691007479</v>
      </c>
      <c r="F365" s="2">
        <v>2020</v>
      </c>
      <c r="G365" s="38" t="s">
        <v>901</v>
      </c>
      <c r="H365" s="2" t="s">
        <v>733</v>
      </c>
      <c r="I365" s="31" t="s">
        <v>259</v>
      </c>
      <c r="J365" s="31">
        <v>54.373600000000003</v>
      </c>
      <c r="K365" s="31">
        <v>13.239800000000001</v>
      </c>
      <c r="L365" s="2" t="s">
        <v>28</v>
      </c>
      <c r="M365" s="2" t="s">
        <v>824</v>
      </c>
      <c r="N365" s="17" t="s">
        <v>906</v>
      </c>
    </row>
    <row r="366" spans="1:14" ht="15" customHeight="1" x14ac:dyDescent="0.2">
      <c r="A366" s="31">
        <v>12.825042129200551</v>
      </c>
      <c r="B366" s="31"/>
      <c r="C366" s="2" t="s">
        <v>855</v>
      </c>
      <c r="D366" s="31">
        <f xml:space="preserve"> A366 * 0.196</f>
        <v>2.5137082573233078</v>
      </c>
      <c r="F366" s="2" t="s">
        <v>822</v>
      </c>
      <c r="G366" s="23" t="s">
        <v>902</v>
      </c>
      <c r="H366" s="2" t="s">
        <v>822</v>
      </c>
      <c r="J366" s="31">
        <v>39.284301800000001</v>
      </c>
      <c r="K366" s="31">
        <v>1.3625100000000001</v>
      </c>
      <c r="L366" s="31"/>
      <c r="M366" s="31" t="s">
        <v>854</v>
      </c>
      <c r="N366" s="6" t="s">
        <v>856</v>
      </c>
    </row>
    <row r="367" spans="1:14" ht="15" customHeight="1" x14ac:dyDescent="0.2">
      <c r="A367" s="2">
        <v>2.5</v>
      </c>
      <c r="B367" s="2">
        <v>1.4</v>
      </c>
      <c r="C367" s="2" t="s">
        <v>891</v>
      </c>
      <c r="D367" s="2">
        <f>A367</f>
        <v>2.5</v>
      </c>
      <c r="E367" s="2">
        <f>B367</f>
        <v>1.4</v>
      </c>
      <c r="F367" s="2">
        <v>2014</v>
      </c>
      <c r="G367" s="2" t="s">
        <v>902</v>
      </c>
      <c r="H367" s="5" t="s">
        <v>128</v>
      </c>
      <c r="I367" s="2" t="s">
        <v>158</v>
      </c>
      <c r="J367" s="2">
        <v>37.012805999999998</v>
      </c>
      <c r="K367" s="2">
        <v>-7.0772560000000002</v>
      </c>
      <c r="L367" s="2" t="s">
        <v>82</v>
      </c>
      <c r="N367" s="9" t="s">
        <v>159</v>
      </c>
    </row>
    <row r="368" spans="1:14" ht="15" customHeight="1" x14ac:dyDescent="0.2">
      <c r="A368" s="2">
        <v>0.04</v>
      </c>
      <c r="C368" s="2" t="s">
        <v>6</v>
      </c>
      <c r="D368" s="2">
        <f>(A368 * 1000000)/ 44.013 / 365</f>
        <v>2.4899243654349945</v>
      </c>
      <c r="F368" s="2">
        <v>2001</v>
      </c>
      <c r="G368" s="2" t="s">
        <v>902</v>
      </c>
      <c r="H368" s="2" t="s">
        <v>12</v>
      </c>
      <c r="I368" s="2" t="s">
        <v>13</v>
      </c>
      <c r="J368" s="2">
        <v>56.45552</v>
      </c>
      <c r="K368" s="2">
        <v>-2.8696799999999998</v>
      </c>
      <c r="L368" s="2" t="s">
        <v>8</v>
      </c>
      <c r="N368" s="6" t="s">
        <v>857</v>
      </c>
    </row>
    <row r="369" spans="1:14" ht="15" customHeight="1" x14ac:dyDescent="0.2">
      <c r="A369" s="2">
        <v>2.46</v>
      </c>
      <c r="C369" s="2" t="s">
        <v>891</v>
      </c>
      <c r="D369" s="2">
        <f>A369</f>
        <v>2.46</v>
      </c>
      <c r="F369" s="2">
        <v>1993</v>
      </c>
      <c r="G369" s="2" t="s">
        <v>902</v>
      </c>
      <c r="H369" s="2" t="s">
        <v>822</v>
      </c>
      <c r="I369" s="2" t="s">
        <v>26</v>
      </c>
      <c r="J369" s="2">
        <v>51.454517000000003</v>
      </c>
      <c r="K369" s="2">
        <v>3.4420120000000001</v>
      </c>
      <c r="N369" s="6" t="s">
        <v>200</v>
      </c>
    </row>
    <row r="370" spans="1:14" ht="15" customHeight="1" x14ac:dyDescent="0.2">
      <c r="A370" s="2">
        <v>2.4</v>
      </c>
      <c r="B370" s="2">
        <v>3.4</v>
      </c>
      <c r="C370" s="2" t="s">
        <v>891</v>
      </c>
      <c r="D370" s="2">
        <f>A370</f>
        <v>2.4</v>
      </c>
      <c r="E370" s="2">
        <f>B370</f>
        <v>3.4</v>
      </c>
      <c r="F370" s="2" t="s">
        <v>695</v>
      </c>
      <c r="G370" s="2" t="s">
        <v>903</v>
      </c>
      <c r="H370" s="2" t="s">
        <v>12</v>
      </c>
      <c r="I370" s="2" t="s">
        <v>55</v>
      </c>
      <c r="J370" s="2">
        <v>36.528120000000001</v>
      </c>
      <c r="K370" s="2">
        <v>-6.2186700000000004</v>
      </c>
      <c r="L370" s="2" t="s">
        <v>53</v>
      </c>
      <c r="M370" s="2" t="s">
        <v>800</v>
      </c>
      <c r="N370" s="9" t="s">
        <v>54</v>
      </c>
    </row>
    <row r="371" spans="1:14" ht="15" customHeight="1" x14ac:dyDescent="0.2">
      <c r="A371" s="22">
        <v>2.3895818681277641</v>
      </c>
      <c r="B371" s="22"/>
      <c r="C371" s="2" t="s">
        <v>891</v>
      </c>
      <c r="D371" s="2">
        <f>A371</f>
        <v>2.3895818681277641</v>
      </c>
      <c r="F371" s="2">
        <v>2023</v>
      </c>
      <c r="G371" s="23" t="s">
        <v>902</v>
      </c>
      <c r="H371" s="2" t="s">
        <v>745</v>
      </c>
      <c r="I371" s="23" t="s">
        <v>827</v>
      </c>
      <c r="J371" s="23">
        <v>64.689274999999995</v>
      </c>
      <c r="K371" s="23">
        <v>-14.31546</v>
      </c>
      <c r="L371" s="23" t="s">
        <v>817</v>
      </c>
      <c r="M371" s="2" t="s">
        <v>825</v>
      </c>
      <c r="N371" s="6" t="s">
        <v>828</v>
      </c>
    </row>
    <row r="372" spans="1:14" ht="15" customHeight="1" x14ac:dyDescent="0.2">
      <c r="A372" s="31">
        <v>4.33920452215687E-3</v>
      </c>
      <c r="B372" s="31"/>
      <c r="C372" s="2" t="s">
        <v>892</v>
      </c>
      <c r="D372" s="2">
        <f>A372 * 545.45</f>
        <v>2.3668191066104649</v>
      </c>
      <c r="F372" s="2">
        <v>2020</v>
      </c>
      <c r="G372" s="38" t="s">
        <v>901</v>
      </c>
      <c r="H372" s="2" t="s">
        <v>738</v>
      </c>
      <c r="I372" s="31" t="s">
        <v>265</v>
      </c>
      <c r="J372" s="31" t="s">
        <v>822</v>
      </c>
      <c r="K372" s="31" t="s">
        <v>822</v>
      </c>
      <c r="L372" s="2" t="s">
        <v>28</v>
      </c>
      <c r="M372" s="2" t="s">
        <v>824</v>
      </c>
      <c r="N372" s="17" t="s">
        <v>906</v>
      </c>
    </row>
    <row r="373" spans="1:14" ht="15" customHeight="1" x14ac:dyDescent="0.2">
      <c r="A373" s="22">
        <v>2.3628210322999945</v>
      </c>
      <c r="B373" s="22"/>
      <c r="C373" s="2" t="s">
        <v>891</v>
      </c>
      <c r="D373" s="2">
        <f>A373</f>
        <v>2.3628210322999945</v>
      </c>
      <c r="F373" s="2">
        <v>2023</v>
      </c>
      <c r="G373" s="23" t="s">
        <v>902</v>
      </c>
      <c r="H373" s="2" t="s">
        <v>745</v>
      </c>
      <c r="I373" s="23" t="s">
        <v>827</v>
      </c>
      <c r="J373" s="23">
        <v>64.679423</v>
      </c>
      <c r="K373" s="23">
        <v>-14.290103</v>
      </c>
      <c r="L373" s="23" t="s">
        <v>817</v>
      </c>
      <c r="M373" s="2" t="s">
        <v>825</v>
      </c>
      <c r="N373" s="6" t="s">
        <v>828</v>
      </c>
    </row>
    <row r="374" spans="1:14" ht="15" customHeight="1" x14ac:dyDescent="0.2">
      <c r="A374" s="31">
        <v>11.9912680774511</v>
      </c>
      <c r="B374" s="31"/>
      <c r="C374" s="2" t="s">
        <v>855</v>
      </c>
      <c r="D374" s="31">
        <f xml:space="preserve"> A374 * 0.196</f>
        <v>2.3502885431804157</v>
      </c>
      <c r="F374" s="2" t="s">
        <v>822</v>
      </c>
      <c r="G374" s="23" t="s">
        <v>902</v>
      </c>
      <c r="H374" s="2" t="s">
        <v>822</v>
      </c>
      <c r="J374" s="31">
        <v>56.528301200000001</v>
      </c>
      <c r="K374" s="31">
        <v>3.6126699000000002</v>
      </c>
      <c r="L374" s="31"/>
      <c r="M374" s="31" t="s">
        <v>854</v>
      </c>
      <c r="N374" s="6" t="s">
        <v>856</v>
      </c>
    </row>
    <row r="375" spans="1:14" ht="15" customHeight="1" x14ac:dyDescent="0.2">
      <c r="A375" s="31">
        <v>4.3036923940799601E-3</v>
      </c>
      <c r="B375" s="31"/>
      <c r="C375" s="2" t="s">
        <v>892</v>
      </c>
      <c r="D375" s="2">
        <f>A375 * 545.45</f>
        <v>2.3474490163509145</v>
      </c>
      <c r="F375" s="2">
        <v>2020</v>
      </c>
      <c r="G375" s="38" t="s">
        <v>901</v>
      </c>
      <c r="H375" s="2" t="s">
        <v>738</v>
      </c>
      <c r="I375" s="31" t="s">
        <v>264</v>
      </c>
      <c r="J375" s="31" t="s">
        <v>822</v>
      </c>
      <c r="K375" s="31" t="s">
        <v>822</v>
      </c>
      <c r="L375" s="2" t="s">
        <v>28</v>
      </c>
      <c r="M375" s="2" t="s">
        <v>824</v>
      </c>
      <c r="N375" s="17" t="s">
        <v>906</v>
      </c>
    </row>
    <row r="376" spans="1:14" ht="15" customHeight="1" x14ac:dyDescent="0.2">
      <c r="A376" s="22">
        <v>2.3305293408608265</v>
      </c>
      <c r="B376" s="22"/>
      <c r="C376" s="2" t="s">
        <v>891</v>
      </c>
      <c r="D376" s="2">
        <f>A376</f>
        <v>2.3305293408608265</v>
      </c>
      <c r="F376" s="2">
        <v>2023</v>
      </c>
      <c r="G376" s="23" t="s">
        <v>902</v>
      </c>
      <c r="H376" s="2" t="s">
        <v>745</v>
      </c>
      <c r="I376" s="23" t="s">
        <v>827</v>
      </c>
      <c r="J376" s="23">
        <v>64.760380999999995</v>
      </c>
      <c r="K376" s="23">
        <v>-14.446111</v>
      </c>
      <c r="L376" s="23" t="s">
        <v>817</v>
      </c>
      <c r="M376" s="2" t="s">
        <v>825</v>
      </c>
      <c r="N376" s="6" t="s">
        <v>828</v>
      </c>
    </row>
    <row r="377" spans="1:14" ht="15" customHeight="1" x14ac:dyDescent="0.2">
      <c r="A377" s="22">
        <v>2.325551961952534</v>
      </c>
      <c r="B377" s="22"/>
      <c r="C377" s="2" t="s">
        <v>891</v>
      </c>
      <c r="D377" s="2">
        <f>A377</f>
        <v>2.325551961952534</v>
      </c>
      <c r="F377" s="2">
        <v>2023</v>
      </c>
      <c r="G377" s="23" t="s">
        <v>902</v>
      </c>
      <c r="H377" s="2" t="s">
        <v>745</v>
      </c>
      <c r="I377" s="23" t="s">
        <v>827</v>
      </c>
      <c r="J377" s="23">
        <v>64.760382000000007</v>
      </c>
      <c r="K377" s="23">
        <v>-14.446104999999999</v>
      </c>
      <c r="L377" s="23" t="s">
        <v>817</v>
      </c>
      <c r="M377" s="2" t="s">
        <v>825</v>
      </c>
      <c r="N377" s="6" t="s">
        <v>828</v>
      </c>
    </row>
    <row r="378" spans="1:14" ht="15" customHeight="1" x14ac:dyDescent="0.2">
      <c r="A378" s="22">
        <v>2.3226337984188836</v>
      </c>
      <c r="B378" s="22"/>
      <c r="C378" s="2" t="s">
        <v>891</v>
      </c>
      <c r="D378" s="2">
        <f>A378</f>
        <v>2.3226337984188836</v>
      </c>
      <c r="F378" s="2">
        <v>2023</v>
      </c>
      <c r="G378" s="23" t="s">
        <v>902</v>
      </c>
      <c r="H378" s="2" t="s">
        <v>745</v>
      </c>
      <c r="I378" s="23" t="s">
        <v>827</v>
      </c>
      <c r="J378" s="23">
        <v>64.760390000000001</v>
      </c>
      <c r="K378" s="23">
        <v>-14.446104</v>
      </c>
      <c r="L378" s="23" t="s">
        <v>817</v>
      </c>
      <c r="M378" s="2" t="s">
        <v>825</v>
      </c>
      <c r="N378" s="6" t="s">
        <v>828</v>
      </c>
    </row>
    <row r="379" spans="1:14" ht="15" customHeight="1" x14ac:dyDescent="0.2">
      <c r="A379" s="31">
        <v>101.9</v>
      </c>
      <c r="B379" s="31">
        <v>1.02</v>
      </c>
      <c r="C379" s="31" t="s">
        <v>681</v>
      </c>
      <c r="D379" s="2">
        <f>A379 * 0.02273</f>
        <v>2.3161870000000002</v>
      </c>
      <c r="E379" s="2">
        <f>B379* 0.02273</f>
        <v>2.31846E-2</v>
      </c>
      <c r="F379" s="2">
        <v>2017</v>
      </c>
      <c r="G379" s="23" t="s">
        <v>901</v>
      </c>
      <c r="H379" s="2" t="s">
        <v>830</v>
      </c>
      <c r="I379" s="31" t="s">
        <v>842</v>
      </c>
      <c r="J379" s="31">
        <v>38.4</v>
      </c>
      <c r="K379" s="31">
        <v>-3.72</v>
      </c>
      <c r="L379" s="34" t="s">
        <v>82</v>
      </c>
      <c r="N379" s="6" t="s">
        <v>853</v>
      </c>
    </row>
    <row r="380" spans="1:14" ht="15" customHeight="1" x14ac:dyDescent="0.2">
      <c r="A380" s="22">
        <v>2.2998171518238988</v>
      </c>
      <c r="B380" s="22"/>
      <c r="C380" s="2" t="s">
        <v>891</v>
      </c>
      <c r="D380" s="2">
        <f>A380</f>
        <v>2.2998171518238988</v>
      </c>
      <c r="F380" s="2">
        <v>2023</v>
      </c>
      <c r="G380" s="23" t="s">
        <v>902</v>
      </c>
      <c r="H380" s="2" t="s">
        <v>745</v>
      </c>
      <c r="I380" s="23" t="s">
        <v>827</v>
      </c>
      <c r="J380" s="23">
        <v>64.680615000000003</v>
      </c>
      <c r="K380" s="23">
        <v>-14.293302000000001</v>
      </c>
      <c r="L380" s="23" t="s">
        <v>817</v>
      </c>
      <c r="M380" s="2" t="s">
        <v>825</v>
      </c>
      <c r="N380" s="6" t="s">
        <v>828</v>
      </c>
    </row>
    <row r="381" spans="1:14" ht="15" customHeight="1" x14ac:dyDescent="0.2">
      <c r="A381" s="31">
        <v>11.719174276081819</v>
      </c>
      <c r="B381" s="31"/>
      <c r="C381" s="2" t="s">
        <v>855</v>
      </c>
      <c r="D381" s="31">
        <f xml:space="preserve"> A381 * 0.196</f>
        <v>2.2969581581120369</v>
      </c>
      <c r="F381" s="2" t="s">
        <v>822</v>
      </c>
      <c r="G381" s="23" t="s">
        <v>902</v>
      </c>
      <c r="H381" s="2" t="s">
        <v>822</v>
      </c>
      <c r="J381" s="31">
        <v>39.293701200000001</v>
      </c>
      <c r="K381" s="31">
        <v>-32.4026985</v>
      </c>
      <c r="L381" s="31"/>
      <c r="M381" s="31" t="s">
        <v>854</v>
      </c>
      <c r="N381" s="6" t="s">
        <v>856</v>
      </c>
    </row>
    <row r="382" spans="1:14" ht="15" customHeight="1" x14ac:dyDescent="0.2">
      <c r="A382" s="22">
        <v>2.285783917250912</v>
      </c>
      <c r="B382" s="22"/>
      <c r="C382" s="2" t="s">
        <v>891</v>
      </c>
      <c r="D382" s="2">
        <f>A382</f>
        <v>2.285783917250912</v>
      </c>
      <c r="F382" s="2">
        <v>2023</v>
      </c>
      <c r="G382" s="23" t="s">
        <v>902</v>
      </c>
      <c r="H382" s="2" t="s">
        <v>745</v>
      </c>
      <c r="I382" s="23" t="s">
        <v>827</v>
      </c>
      <c r="J382" s="23">
        <v>64.760389000000004</v>
      </c>
      <c r="K382" s="23">
        <v>-14.446097999999999</v>
      </c>
      <c r="L382" s="23" t="s">
        <v>817</v>
      </c>
      <c r="M382" s="2" t="s">
        <v>825</v>
      </c>
      <c r="N382" s="6" t="s">
        <v>828</v>
      </c>
    </row>
    <row r="383" spans="1:14" ht="15" customHeight="1" x14ac:dyDescent="0.2">
      <c r="A383" s="31">
        <v>4.1900406272886697E-3</v>
      </c>
      <c r="B383" s="31"/>
      <c r="C383" s="2" t="s">
        <v>892</v>
      </c>
      <c r="D383" s="2">
        <f>A383 * 545.45</f>
        <v>2.2854576601546053</v>
      </c>
      <c r="F383" s="2">
        <v>2020</v>
      </c>
      <c r="G383" s="38" t="s">
        <v>901</v>
      </c>
      <c r="H383" s="2" t="s">
        <v>762</v>
      </c>
      <c r="I383" s="31" t="s">
        <v>261</v>
      </c>
      <c r="J383" s="31">
        <v>54.372100000000003</v>
      </c>
      <c r="K383" s="31">
        <v>13.242699999999999</v>
      </c>
      <c r="L383" s="2" t="s">
        <v>28</v>
      </c>
      <c r="M383" s="2" t="s">
        <v>824</v>
      </c>
      <c r="N383" s="17" t="s">
        <v>906</v>
      </c>
    </row>
    <row r="384" spans="1:14" ht="15" customHeight="1" x14ac:dyDescent="0.2">
      <c r="A384" s="22">
        <v>2.2783387060455111</v>
      </c>
      <c r="B384" s="22"/>
      <c r="C384" s="2" t="s">
        <v>891</v>
      </c>
      <c r="D384" s="2">
        <f>A384</f>
        <v>2.2783387060455111</v>
      </c>
      <c r="F384" s="2">
        <v>2023</v>
      </c>
      <c r="G384" s="23" t="s">
        <v>902</v>
      </c>
      <c r="H384" s="2" t="s">
        <v>765</v>
      </c>
      <c r="I384" s="23" t="s">
        <v>826</v>
      </c>
      <c r="J384" s="23">
        <v>64.962699000000001</v>
      </c>
      <c r="K384" s="23">
        <v>-13.759677999999999</v>
      </c>
      <c r="L384" s="23" t="s">
        <v>817</v>
      </c>
      <c r="M384" s="2" t="s">
        <v>825</v>
      </c>
      <c r="N384" s="6" t="s">
        <v>828</v>
      </c>
    </row>
    <row r="385" spans="1:14" ht="15" customHeight="1" x14ac:dyDescent="0.2">
      <c r="A385" s="22">
        <v>2.276692410334709</v>
      </c>
      <c r="B385" s="22"/>
      <c r="C385" s="2" t="s">
        <v>891</v>
      </c>
      <c r="D385" s="2">
        <f>A385</f>
        <v>2.276692410334709</v>
      </c>
      <c r="F385" s="2">
        <v>2023</v>
      </c>
      <c r="G385" s="23" t="s">
        <v>902</v>
      </c>
      <c r="H385" s="2" t="s">
        <v>745</v>
      </c>
      <c r="I385" s="23" t="s">
        <v>827</v>
      </c>
      <c r="J385" s="23">
        <v>64.760382000000007</v>
      </c>
      <c r="K385" s="23">
        <v>-14.446104</v>
      </c>
      <c r="L385" s="23" t="s">
        <v>817</v>
      </c>
      <c r="M385" s="2" t="s">
        <v>825</v>
      </c>
      <c r="N385" s="6" t="s">
        <v>828</v>
      </c>
    </row>
    <row r="386" spans="1:14" ht="15" customHeight="1" x14ac:dyDescent="0.2">
      <c r="A386" s="22">
        <v>2.2755122700460153</v>
      </c>
      <c r="B386" s="22"/>
      <c r="C386" s="2" t="s">
        <v>891</v>
      </c>
      <c r="D386" s="2">
        <f>A386</f>
        <v>2.2755122700460153</v>
      </c>
      <c r="F386" s="2">
        <v>2023</v>
      </c>
      <c r="G386" s="23" t="s">
        <v>902</v>
      </c>
      <c r="H386" s="2" t="s">
        <v>765</v>
      </c>
      <c r="I386" s="23" t="s">
        <v>826</v>
      </c>
      <c r="J386" s="23">
        <v>65.015986999999996</v>
      </c>
      <c r="K386" s="23">
        <v>-13.908264000000001</v>
      </c>
      <c r="L386" s="23" t="s">
        <v>817</v>
      </c>
      <c r="M386" s="2" t="s">
        <v>825</v>
      </c>
      <c r="N386" s="6" t="s">
        <v>828</v>
      </c>
    </row>
    <row r="387" spans="1:14" ht="15" customHeight="1" x14ac:dyDescent="0.2">
      <c r="A387" s="22">
        <v>2.2750816269313368</v>
      </c>
      <c r="B387" s="22"/>
      <c r="C387" s="2" t="s">
        <v>891</v>
      </c>
      <c r="D387" s="2">
        <f>A387</f>
        <v>2.2750816269313368</v>
      </c>
      <c r="F387" s="2">
        <v>2023</v>
      </c>
      <c r="G387" s="23" t="s">
        <v>902</v>
      </c>
      <c r="H387" s="2" t="s">
        <v>765</v>
      </c>
      <c r="I387" s="23" t="s">
        <v>826</v>
      </c>
      <c r="J387" s="23">
        <v>65.022981999999999</v>
      </c>
      <c r="K387" s="23">
        <v>-14.098591000000001</v>
      </c>
      <c r="L387" s="23" t="s">
        <v>817</v>
      </c>
      <c r="M387" s="2" t="s">
        <v>825</v>
      </c>
      <c r="N387" s="6" t="s">
        <v>828</v>
      </c>
    </row>
    <row r="388" spans="1:14" ht="15" customHeight="1" x14ac:dyDescent="0.2">
      <c r="A388" s="22">
        <v>2.2740925726170405</v>
      </c>
      <c r="B388" s="22"/>
      <c r="C388" s="2" t="s">
        <v>891</v>
      </c>
      <c r="D388" s="2">
        <f>A388</f>
        <v>2.2740925726170405</v>
      </c>
      <c r="F388" s="2">
        <v>2023</v>
      </c>
      <c r="G388" s="23" t="s">
        <v>902</v>
      </c>
      <c r="H388" s="2" t="s">
        <v>765</v>
      </c>
      <c r="I388" s="23" t="s">
        <v>826</v>
      </c>
      <c r="J388" s="23">
        <v>64.960902000000004</v>
      </c>
      <c r="K388" s="23">
        <v>-13.753579</v>
      </c>
      <c r="L388" s="23" t="s">
        <v>817</v>
      </c>
      <c r="M388" s="2" t="s">
        <v>825</v>
      </c>
      <c r="N388" s="6" t="s">
        <v>828</v>
      </c>
    </row>
    <row r="389" spans="1:14" ht="15" customHeight="1" x14ac:dyDescent="0.2">
      <c r="A389" s="31">
        <v>4.1689836759995396E-3</v>
      </c>
      <c r="B389" s="31"/>
      <c r="C389" s="2" t="s">
        <v>892</v>
      </c>
      <c r="D389" s="2">
        <f>A389 * 545.45</f>
        <v>2.273972146073949</v>
      </c>
      <c r="F389" s="2">
        <v>2019</v>
      </c>
      <c r="G389" s="38" t="s">
        <v>901</v>
      </c>
      <c r="H389" s="2" t="s">
        <v>725</v>
      </c>
      <c r="I389" s="31" t="s">
        <v>260</v>
      </c>
      <c r="J389" s="31">
        <v>54.372</v>
      </c>
      <c r="K389" s="31">
        <v>13.241300000000001</v>
      </c>
      <c r="L389" s="2" t="s">
        <v>28</v>
      </c>
      <c r="M389" s="2" t="s">
        <v>824</v>
      </c>
      <c r="N389" s="17" t="s">
        <v>906</v>
      </c>
    </row>
    <row r="390" spans="1:14" ht="15" customHeight="1" x14ac:dyDescent="0.2">
      <c r="A390" s="22">
        <v>2.2730674571392164</v>
      </c>
      <c r="B390" s="22"/>
      <c r="C390" s="2" t="s">
        <v>891</v>
      </c>
      <c r="D390" s="2">
        <f>A390</f>
        <v>2.2730674571392164</v>
      </c>
      <c r="F390" s="2">
        <v>2023</v>
      </c>
      <c r="G390" s="23" t="s">
        <v>902</v>
      </c>
      <c r="H390" s="2" t="s">
        <v>765</v>
      </c>
      <c r="I390" s="23" t="s">
        <v>826</v>
      </c>
      <c r="J390" s="23">
        <v>64.960903000000002</v>
      </c>
      <c r="K390" s="23">
        <v>-13.753583000000001</v>
      </c>
      <c r="L390" s="23" t="s">
        <v>817</v>
      </c>
      <c r="M390" s="2" t="s">
        <v>825</v>
      </c>
      <c r="N390" s="6" t="s">
        <v>828</v>
      </c>
    </row>
    <row r="391" spans="1:14" ht="15" customHeight="1" x14ac:dyDescent="0.2">
      <c r="A391" s="2">
        <v>0.1</v>
      </c>
      <c r="B391" s="2">
        <v>0.2</v>
      </c>
      <c r="C391" s="2" t="s">
        <v>98</v>
      </c>
      <c r="D391" s="2">
        <f>A391 * 22.727</f>
        <v>2.2726999999999999</v>
      </c>
      <c r="E391" s="2">
        <f>B391 * 22.727</f>
        <v>4.5453999999999999</v>
      </c>
      <c r="F391" s="2">
        <v>2015</v>
      </c>
      <c r="G391" s="2" t="s">
        <v>902</v>
      </c>
      <c r="H391" s="5" t="s">
        <v>48</v>
      </c>
      <c r="I391" s="2" t="s">
        <v>137</v>
      </c>
      <c r="J391" s="2">
        <v>54.347296999999998</v>
      </c>
      <c r="K391" s="2">
        <v>16.279091999999999</v>
      </c>
      <c r="L391" s="2" t="s">
        <v>809</v>
      </c>
      <c r="M391" s="2" t="s">
        <v>138</v>
      </c>
      <c r="N391" s="6" t="s">
        <v>860</v>
      </c>
    </row>
    <row r="392" spans="1:14" ht="15" customHeight="1" x14ac:dyDescent="0.2">
      <c r="A392" s="2">
        <v>0.1</v>
      </c>
      <c r="C392" s="2" t="s">
        <v>98</v>
      </c>
      <c r="D392" s="2">
        <f>A392 * 22.727</f>
        <v>2.2726999999999999</v>
      </c>
      <c r="F392" s="2">
        <v>2015</v>
      </c>
      <c r="G392" s="2" t="s">
        <v>902</v>
      </c>
      <c r="H392" s="5" t="s">
        <v>48</v>
      </c>
      <c r="I392" s="2" t="s">
        <v>144</v>
      </c>
      <c r="J392" s="2">
        <v>54.540149999999997</v>
      </c>
      <c r="K392" s="2">
        <v>16.627939999999999</v>
      </c>
      <c r="L392" s="2" t="s">
        <v>809</v>
      </c>
      <c r="M392" s="2" t="s">
        <v>138</v>
      </c>
      <c r="N392" s="6" t="s">
        <v>860</v>
      </c>
    </row>
    <row r="393" spans="1:14" ht="15" customHeight="1" x14ac:dyDescent="0.2">
      <c r="A393" s="2">
        <v>0.1</v>
      </c>
      <c r="C393" s="2" t="s">
        <v>98</v>
      </c>
      <c r="D393" s="2">
        <f>A393 * 22.727</f>
        <v>2.2726999999999999</v>
      </c>
      <c r="F393" s="2">
        <v>2015</v>
      </c>
      <c r="G393" s="2" t="s">
        <v>902</v>
      </c>
      <c r="H393" s="5" t="s">
        <v>131</v>
      </c>
      <c r="I393" s="2" t="s">
        <v>142</v>
      </c>
      <c r="J393" s="2">
        <v>54.720219999999998</v>
      </c>
      <c r="K393" s="2">
        <v>17.411290000000001</v>
      </c>
      <c r="L393" s="2" t="s">
        <v>809</v>
      </c>
      <c r="M393" s="2" t="s">
        <v>138</v>
      </c>
      <c r="N393" s="6" t="s">
        <v>860</v>
      </c>
    </row>
    <row r="394" spans="1:14" ht="15" customHeight="1" x14ac:dyDescent="0.2">
      <c r="A394" s="2">
        <v>0.1</v>
      </c>
      <c r="C394" s="2" t="s">
        <v>98</v>
      </c>
      <c r="D394" s="2">
        <f>A394 * 22.727</f>
        <v>2.2726999999999999</v>
      </c>
      <c r="F394" s="2">
        <v>2015</v>
      </c>
      <c r="G394" s="2" t="s">
        <v>902</v>
      </c>
      <c r="H394" s="5" t="s">
        <v>131</v>
      </c>
      <c r="I394" s="2" t="s">
        <v>143</v>
      </c>
      <c r="J394" s="2">
        <v>54.144829999999999</v>
      </c>
      <c r="K394" s="2">
        <v>15.369590000000001</v>
      </c>
      <c r="L394" s="2" t="s">
        <v>809</v>
      </c>
      <c r="M394" s="2" t="s">
        <v>138</v>
      </c>
      <c r="N394" s="6" t="s">
        <v>860</v>
      </c>
    </row>
    <row r="395" spans="1:14" ht="15" customHeight="1" x14ac:dyDescent="0.2">
      <c r="A395" s="22">
        <v>2.2718211481599506</v>
      </c>
      <c r="B395" s="22"/>
      <c r="C395" s="2" t="s">
        <v>891</v>
      </c>
      <c r="D395" s="2">
        <f>A395</f>
        <v>2.2718211481599506</v>
      </c>
      <c r="F395" s="2">
        <v>2023</v>
      </c>
      <c r="G395" s="23" t="s">
        <v>902</v>
      </c>
      <c r="H395" s="2" t="s">
        <v>765</v>
      </c>
      <c r="I395" s="23" t="s">
        <v>826</v>
      </c>
      <c r="J395" s="23">
        <v>64.960901000000007</v>
      </c>
      <c r="K395" s="23">
        <v>-13.753586</v>
      </c>
      <c r="L395" s="23" t="s">
        <v>817</v>
      </c>
      <c r="M395" s="2" t="s">
        <v>825</v>
      </c>
      <c r="N395" s="6" t="s">
        <v>828</v>
      </c>
    </row>
    <row r="396" spans="1:14" ht="15" customHeight="1" x14ac:dyDescent="0.2">
      <c r="A396" s="2">
        <v>99.9</v>
      </c>
      <c r="B396" s="2">
        <v>14.6</v>
      </c>
      <c r="C396" s="31" t="s">
        <v>681</v>
      </c>
      <c r="D396" s="2">
        <f>A396 * 0.02273</f>
        <v>2.2707269999999999</v>
      </c>
      <c r="E396" s="2">
        <f>B396* 0.02273</f>
        <v>0.33185799999999999</v>
      </c>
      <c r="F396" s="2">
        <v>2023</v>
      </c>
      <c r="G396" s="2" t="s">
        <v>902</v>
      </c>
      <c r="H396" s="2" t="s">
        <v>154</v>
      </c>
      <c r="I396" s="2" t="s">
        <v>186</v>
      </c>
      <c r="J396" s="2">
        <v>65.03</v>
      </c>
      <c r="K396" s="2">
        <v>-14.22</v>
      </c>
      <c r="L396" s="2" t="s">
        <v>817</v>
      </c>
      <c r="M396" s="2" t="s">
        <v>818</v>
      </c>
      <c r="N396" s="6" t="s">
        <v>862</v>
      </c>
    </row>
    <row r="397" spans="1:14" ht="15" customHeight="1" x14ac:dyDescent="0.2">
      <c r="A397" s="22">
        <v>2.2681605247210355</v>
      </c>
      <c r="B397" s="22"/>
      <c r="C397" s="2" t="s">
        <v>891</v>
      </c>
      <c r="D397" s="2">
        <f t="shared" ref="D397:D408" si="3">A397</f>
        <v>2.2681605247210355</v>
      </c>
      <c r="F397" s="2">
        <v>2023</v>
      </c>
      <c r="G397" s="23" t="s">
        <v>902</v>
      </c>
      <c r="H397" s="2" t="s">
        <v>765</v>
      </c>
      <c r="I397" s="23" t="s">
        <v>826</v>
      </c>
      <c r="J397" s="23">
        <v>64.960897000000003</v>
      </c>
      <c r="K397" s="23">
        <v>-13.753584999999999</v>
      </c>
      <c r="L397" s="23" t="s">
        <v>817</v>
      </c>
      <c r="M397" s="2" t="s">
        <v>825</v>
      </c>
      <c r="N397" s="6" t="s">
        <v>828</v>
      </c>
    </row>
    <row r="398" spans="1:14" ht="15" customHeight="1" x14ac:dyDescent="0.2">
      <c r="A398" s="22">
        <v>2.2640314826984351</v>
      </c>
      <c r="B398" s="22"/>
      <c r="C398" s="2" t="s">
        <v>891</v>
      </c>
      <c r="D398" s="2">
        <f t="shared" si="3"/>
        <v>2.2640314826984351</v>
      </c>
      <c r="F398" s="2">
        <v>2023</v>
      </c>
      <c r="G398" s="23" t="s">
        <v>902</v>
      </c>
      <c r="H398" s="2" t="s">
        <v>745</v>
      </c>
      <c r="I398" s="23" t="s">
        <v>827</v>
      </c>
      <c r="J398" s="23">
        <v>64.705905000000001</v>
      </c>
      <c r="K398" s="23">
        <v>-14.355689999999999</v>
      </c>
      <c r="L398" s="23" t="s">
        <v>817</v>
      </c>
      <c r="M398" s="2" t="s">
        <v>825</v>
      </c>
      <c r="N398" s="6" t="s">
        <v>828</v>
      </c>
    </row>
    <row r="399" spans="1:14" ht="15" customHeight="1" x14ac:dyDescent="0.2">
      <c r="A399" s="22">
        <v>2.2634649374434614</v>
      </c>
      <c r="B399" s="22"/>
      <c r="C399" s="2" t="s">
        <v>891</v>
      </c>
      <c r="D399" s="2">
        <f t="shared" si="3"/>
        <v>2.2634649374434614</v>
      </c>
      <c r="F399" s="2">
        <v>2023</v>
      </c>
      <c r="G399" s="23" t="s">
        <v>902</v>
      </c>
      <c r="H399" s="2" t="s">
        <v>745</v>
      </c>
      <c r="I399" s="23" t="s">
        <v>827</v>
      </c>
      <c r="J399" s="23">
        <v>64.760560999999996</v>
      </c>
      <c r="K399" s="23">
        <v>-14.447113</v>
      </c>
      <c r="L399" s="23" t="s">
        <v>817</v>
      </c>
      <c r="M399" s="2" t="s">
        <v>825</v>
      </c>
      <c r="N399" s="6" t="s">
        <v>828</v>
      </c>
    </row>
    <row r="400" spans="1:14" ht="15" customHeight="1" x14ac:dyDescent="0.2">
      <c r="A400" s="22">
        <v>2.2616003265171729</v>
      </c>
      <c r="B400" s="22"/>
      <c r="C400" s="2" t="s">
        <v>891</v>
      </c>
      <c r="D400" s="2">
        <f t="shared" si="3"/>
        <v>2.2616003265171729</v>
      </c>
      <c r="F400" s="2">
        <v>2023</v>
      </c>
      <c r="G400" s="23" t="s">
        <v>902</v>
      </c>
      <c r="H400" s="2" t="s">
        <v>745</v>
      </c>
      <c r="I400" s="23" t="s">
        <v>827</v>
      </c>
      <c r="J400" s="23">
        <v>64.760384999999999</v>
      </c>
      <c r="K400" s="23">
        <v>-14.446113</v>
      </c>
      <c r="L400" s="23" t="s">
        <v>817</v>
      </c>
      <c r="M400" s="2" t="s">
        <v>825</v>
      </c>
      <c r="N400" s="6" t="s">
        <v>828</v>
      </c>
    </row>
    <row r="401" spans="1:14" ht="15" customHeight="1" x14ac:dyDescent="0.2">
      <c r="A401" s="22">
        <v>2.2596091299553689</v>
      </c>
      <c r="B401" s="22"/>
      <c r="C401" s="2" t="s">
        <v>891</v>
      </c>
      <c r="D401" s="2">
        <f t="shared" si="3"/>
        <v>2.2596091299553689</v>
      </c>
      <c r="F401" s="2">
        <v>2023</v>
      </c>
      <c r="G401" s="23" t="s">
        <v>902</v>
      </c>
      <c r="H401" s="2" t="s">
        <v>765</v>
      </c>
      <c r="I401" s="23" t="s">
        <v>826</v>
      </c>
      <c r="J401" s="23">
        <v>64.973087000000007</v>
      </c>
      <c r="K401" s="23">
        <v>-13.787374</v>
      </c>
      <c r="L401" s="23" t="s">
        <v>817</v>
      </c>
      <c r="M401" s="2" t="s">
        <v>825</v>
      </c>
      <c r="N401" s="6" t="s">
        <v>828</v>
      </c>
    </row>
    <row r="402" spans="1:14" ht="15" customHeight="1" x14ac:dyDescent="0.2">
      <c r="A402" s="22">
        <v>2.2527709428157903</v>
      </c>
      <c r="B402" s="22"/>
      <c r="C402" s="2" t="s">
        <v>891</v>
      </c>
      <c r="D402" s="2">
        <f t="shared" si="3"/>
        <v>2.2527709428157903</v>
      </c>
      <c r="F402" s="2">
        <v>2023</v>
      </c>
      <c r="G402" s="23" t="s">
        <v>902</v>
      </c>
      <c r="H402" s="2" t="s">
        <v>765</v>
      </c>
      <c r="I402" s="23" t="s">
        <v>826</v>
      </c>
      <c r="J402" s="23">
        <v>65.000279000000006</v>
      </c>
      <c r="K402" s="23">
        <v>-13.857848000000001</v>
      </c>
      <c r="L402" s="23" t="s">
        <v>817</v>
      </c>
      <c r="M402" s="2" t="s">
        <v>825</v>
      </c>
      <c r="N402" s="6" t="s">
        <v>828</v>
      </c>
    </row>
    <row r="403" spans="1:14" ht="15" customHeight="1" x14ac:dyDescent="0.2">
      <c r="A403" s="22">
        <v>2.2514880784715667</v>
      </c>
      <c r="B403" s="22"/>
      <c r="C403" s="2" t="s">
        <v>891</v>
      </c>
      <c r="D403" s="2">
        <f t="shared" si="3"/>
        <v>2.2514880784715667</v>
      </c>
      <c r="F403" s="2">
        <v>2023</v>
      </c>
      <c r="G403" s="23" t="s">
        <v>902</v>
      </c>
      <c r="H403" s="2" t="s">
        <v>745</v>
      </c>
      <c r="I403" s="23" t="s">
        <v>827</v>
      </c>
      <c r="J403" s="23">
        <v>64.760561999999993</v>
      </c>
      <c r="K403" s="23">
        <v>-14.44712</v>
      </c>
      <c r="L403" s="23" t="s">
        <v>817</v>
      </c>
      <c r="M403" s="2" t="s">
        <v>825</v>
      </c>
      <c r="N403" s="6" t="s">
        <v>828</v>
      </c>
    </row>
    <row r="404" spans="1:14" ht="15" customHeight="1" x14ac:dyDescent="0.2">
      <c r="A404" s="22">
        <v>2.2480194832066149</v>
      </c>
      <c r="B404" s="22"/>
      <c r="C404" s="2" t="s">
        <v>891</v>
      </c>
      <c r="D404" s="2">
        <f t="shared" si="3"/>
        <v>2.2480194832066149</v>
      </c>
      <c r="F404" s="2">
        <v>2023</v>
      </c>
      <c r="G404" s="23" t="s">
        <v>902</v>
      </c>
      <c r="H404" s="2" t="s">
        <v>745</v>
      </c>
      <c r="I404" s="23" t="s">
        <v>827</v>
      </c>
      <c r="J404" s="23">
        <v>64.760388000000006</v>
      </c>
      <c r="K404" s="23">
        <v>-14.446108000000001</v>
      </c>
      <c r="L404" s="23" t="s">
        <v>817</v>
      </c>
      <c r="M404" s="2" t="s">
        <v>825</v>
      </c>
      <c r="N404" s="6" t="s">
        <v>828</v>
      </c>
    </row>
    <row r="405" spans="1:14" ht="15" customHeight="1" x14ac:dyDescent="0.2">
      <c r="A405" s="22">
        <v>2.2443747626930493</v>
      </c>
      <c r="B405" s="22"/>
      <c r="C405" s="2" t="s">
        <v>891</v>
      </c>
      <c r="D405" s="2">
        <f t="shared" si="3"/>
        <v>2.2443747626930493</v>
      </c>
      <c r="F405" s="2">
        <v>2023</v>
      </c>
      <c r="G405" s="23" t="s">
        <v>902</v>
      </c>
      <c r="H405" s="2" t="s">
        <v>765</v>
      </c>
      <c r="I405" s="23" t="s">
        <v>826</v>
      </c>
      <c r="J405" s="23">
        <v>65.000279000000006</v>
      </c>
      <c r="K405" s="23">
        <v>-13.857846</v>
      </c>
      <c r="L405" s="23" t="s">
        <v>817</v>
      </c>
      <c r="M405" s="2" t="s">
        <v>825</v>
      </c>
      <c r="N405" s="6" t="s">
        <v>828</v>
      </c>
    </row>
    <row r="406" spans="1:14" ht="15" customHeight="1" x14ac:dyDescent="0.2">
      <c r="A406" s="22">
        <v>2.2368206897267844</v>
      </c>
      <c r="B406" s="22"/>
      <c r="C406" s="2" t="s">
        <v>891</v>
      </c>
      <c r="D406" s="2">
        <f t="shared" si="3"/>
        <v>2.2368206897267844</v>
      </c>
      <c r="F406" s="2">
        <v>2023</v>
      </c>
      <c r="G406" s="23" t="s">
        <v>902</v>
      </c>
      <c r="H406" s="2" t="s">
        <v>745</v>
      </c>
      <c r="I406" s="23" t="s">
        <v>827</v>
      </c>
      <c r="J406" s="23">
        <v>64.760385999999997</v>
      </c>
      <c r="K406" s="23">
        <v>-14.446109999999999</v>
      </c>
      <c r="L406" s="23" t="s">
        <v>817</v>
      </c>
      <c r="M406" s="2" t="s">
        <v>825</v>
      </c>
      <c r="N406" s="6" t="s">
        <v>828</v>
      </c>
    </row>
    <row r="407" spans="1:14" ht="15" customHeight="1" x14ac:dyDescent="0.2">
      <c r="A407" s="22">
        <v>2.2340656443807112</v>
      </c>
      <c r="B407" s="22"/>
      <c r="C407" s="2" t="s">
        <v>891</v>
      </c>
      <c r="D407" s="2">
        <f t="shared" si="3"/>
        <v>2.2340656443807112</v>
      </c>
      <c r="F407" s="2">
        <v>2023</v>
      </c>
      <c r="G407" s="23" t="s">
        <v>902</v>
      </c>
      <c r="H407" s="2" t="s">
        <v>765</v>
      </c>
      <c r="I407" s="23" t="s">
        <v>826</v>
      </c>
      <c r="J407" s="23">
        <v>65.000277999999994</v>
      </c>
      <c r="K407" s="23">
        <v>-13.857854</v>
      </c>
      <c r="L407" s="23" t="s">
        <v>817</v>
      </c>
      <c r="M407" s="2" t="s">
        <v>825</v>
      </c>
      <c r="N407" s="6" t="s">
        <v>828</v>
      </c>
    </row>
    <row r="408" spans="1:14" ht="15" customHeight="1" x14ac:dyDescent="0.2">
      <c r="A408" s="22">
        <v>2.2335170256360208</v>
      </c>
      <c r="B408" s="22"/>
      <c r="C408" s="2" t="s">
        <v>891</v>
      </c>
      <c r="D408" s="2">
        <f t="shared" si="3"/>
        <v>2.2335170256360208</v>
      </c>
      <c r="F408" s="2">
        <v>2023</v>
      </c>
      <c r="G408" s="23" t="s">
        <v>902</v>
      </c>
      <c r="H408" s="2" t="s">
        <v>745</v>
      </c>
      <c r="I408" s="23" t="s">
        <v>827</v>
      </c>
      <c r="J408" s="23">
        <v>64.760384999999999</v>
      </c>
      <c r="K408" s="23">
        <v>-14.446101000000001</v>
      </c>
      <c r="L408" s="23" t="s">
        <v>817</v>
      </c>
      <c r="M408" s="2" t="s">
        <v>825</v>
      </c>
      <c r="N408" s="6" t="s">
        <v>828</v>
      </c>
    </row>
    <row r="409" spans="1:14" ht="15" customHeight="1" x14ac:dyDescent="0.2">
      <c r="A409" s="31">
        <v>4.0912517626042304E-3</v>
      </c>
      <c r="B409" s="31"/>
      <c r="C409" s="2" t="s">
        <v>892</v>
      </c>
      <c r="D409" s="2">
        <f>A409 * 545.45</f>
        <v>2.2315732739124776</v>
      </c>
      <c r="F409" s="2">
        <v>2020</v>
      </c>
      <c r="G409" s="38" t="s">
        <v>901</v>
      </c>
      <c r="H409" s="2" t="s">
        <v>738</v>
      </c>
      <c r="I409" s="31" t="s">
        <v>270</v>
      </c>
      <c r="J409" s="31" t="s">
        <v>822</v>
      </c>
      <c r="K409" s="31" t="s">
        <v>822</v>
      </c>
      <c r="L409" s="2" t="s">
        <v>28</v>
      </c>
      <c r="M409" s="2" t="s">
        <v>824</v>
      </c>
      <c r="N409" s="17" t="s">
        <v>906</v>
      </c>
    </row>
    <row r="410" spans="1:14" ht="15" customHeight="1" x14ac:dyDescent="0.2">
      <c r="A410" s="22">
        <v>2.231458575312931</v>
      </c>
      <c r="B410" s="22"/>
      <c r="C410" s="2" t="s">
        <v>891</v>
      </c>
      <c r="D410" s="2">
        <f>A410</f>
        <v>2.231458575312931</v>
      </c>
      <c r="F410" s="2">
        <v>2023</v>
      </c>
      <c r="G410" s="23" t="s">
        <v>902</v>
      </c>
      <c r="H410" s="2" t="s">
        <v>770</v>
      </c>
      <c r="I410" s="23" t="s">
        <v>190</v>
      </c>
      <c r="J410" s="23">
        <v>58332095</v>
      </c>
      <c r="K410" s="23">
        <v>11872707</v>
      </c>
      <c r="L410" s="23" t="s">
        <v>819</v>
      </c>
      <c r="M410" s="2" t="s">
        <v>825</v>
      </c>
      <c r="N410" s="6" t="s">
        <v>828</v>
      </c>
    </row>
    <row r="411" spans="1:14" ht="15" customHeight="1" x14ac:dyDescent="0.2">
      <c r="A411" s="22">
        <v>2.2299488727806591</v>
      </c>
      <c r="B411" s="22"/>
      <c r="C411" s="2" t="s">
        <v>891</v>
      </c>
      <c r="D411" s="2">
        <f>A411</f>
        <v>2.2299488727806591</v>
      </c>
      <c r="F411" s="2">
        <v>2023</v>
      </c>
      <c r="G411" s="23" t="s">
        <v>902</v>
      </c>
      <c r="H411" s="2" t="s">
        <v>745</v>
      </c>
      <c r="I411" s="23" t="s">
        <v>827</v>
      </c>
      <c r="J411" s="23">
        <v>64.705905999999999</v>
      </c>
      <c r="K411" s="23">
        <v>-14.355696999999999</v>
      </c>
      <c r="L411" s="23" t="s">
        <v>817</v>
      </c>
      <c r="M411" s="2" t="s">
        <v>825</v>
      </c>
      <c r="N411" s="6" t="s">
        <v>828</v>
      </c>
    </row>
    <row r="412" spans="1:14" ht="15" customHeight="1" x14ac:dyDescent="0.2">
      <c r="A412" s="22">
        <v>2.2289051781712672</v>
      </c>
      <c r="B412" s="22"/>
      <c r="C412" s="2" t="s">
        <v>891</v>
      </c>
      <c r="D412" s="2">
        <f>A412</f>
        <v>2.2289051781712672</v>
      </c>
      <c r="F412" s="2">
        <v>2023</v>
      </c>
      <c r="G412" s="23" t="s">
        <v>902</v>
      </c>
      <c r="H412" s="2" t="s">
        <v>765</v>
      </c>
      <c r="I412" s="23" t="s">
        <v>826</v>
      </c>
      <c r="J412" s="23">
        <v>64.990122</v>
      </c>
      <c r="K412" s="23">
        <v>-13.839324</v>
      </c>
      <c r="L412" s="23" t="s">
        <v>817</v>
      </c>
      <c r="M412" s="2" t="s">
        <v>825</v>
      </c>
      <c r="N412" s="6" t="s">
        <v>828</v>
      </c>
    </row>
    <row r="413" spans="1:14" ht="15" customHeight="1" x14ac:dyDescent="0.2">
      <c r="A413" s="22">
        <v>2.226277604294209</v>
      </c>
      <c r="B413" s="22"/>
      <c r="C413" s="2" t="s">
        <v>891</v>
      </c>
      <c r="D413" s="2">
        <f>A413</f>
        <v>2.226277604294209</v>
      </c>
      <c r="F413" s="2">
        <v>2023</v>
      </c>
      <c r="G413" s="23" t="s">
        <v>902</v>
      </c>
      <c r="H413" s="2" t="s">
        <v>765</v>
      </c>
      <c r="I413" s="23" t="s">
        <v>826</v>
      </c>
      <c r="J413" s="23">
        <v>65.022681000000006</v>
      </c>
      <c r="K413" s="23">
        <v>-13.959595999999999</v>
      </c>
      <c r="L413" s="23" t="s">
        <v>817</v>
      </c>
      <c r="M413" s="2" t="s">
        <v>825</v>
      </c>
      <c r="N413" s="6" t="s">
        <v>828</v>
      </c>
    </row>
    <row r="414" spans="1:14" ht="15" customHeight="1" x14ac:dyDescent="0.2">
      <c r="A414" s="22">
        <v>2.219341865709973</v>
      </c>
      <c r="B414" s="22"/>
      <c r="C414" s="2" t="s">
        <v>891</v>
      </c>
      <c r="D414" s="2">
        <f>A414</f>
        <v>2.219341865709973</v>
      </c>
      <c r="F414" s="2">
        <v>2023</v>
      </c>
      <c r="G414" s="23" t="s">
        <v>902</v>
      </c>
      <c r="H414" s="2" t="s">
        <v>745</v>
      </c>
      <c r="I414" s="23" t="s">
        <v>827</v>
      </c>
      <c r="J414" s="23">
        <v>64.760745999999997</v>
      </c>
      <c r="K414" s="23">
        <v>-14.447115</v>
      </c>
      <c r="L414" s="23" t="s">
        <v>817</v>
      </c>
      <c r="M414" s="2" t="s">
        <v>825</v>
      </c>
      <c r="N414" s="6" t="s">
        <v>828</v>
      </c>
    </row>
    <row r="415" spans="1:14" ht="15" customHeight="1" x14ac:dyDescent="0.2">
      <c r="A415" s="31">
        <v>97.61</v>
      </c>
      <c r="B415" s="31">
        <v>1.43</v>
      </c>
      <c r="C415" s="31" t="s">
        <v>681</v>
      </c>
      <c r="D415" s="2">
        <f>A415 * 0.02273</f>
        <v>2.2186753000000001</v>
      </c>
      <c r="E415" s="2">
        <f>B415* 0.02273</f>
        <v>3.2503900000000002E-2</v>
      </c>
      <c r="F415" s="2">
        <v>2017</v>
      </c>
      <c r="G415" s="23" t="s">
        <v>901</v>
      </c>
      <c r="H415" s="2" t="s">
        <v>832</v>
      </c>
      <c r="I415" s="31" t="s">
        <v>844</v>
      </c>
      <c r="J415" s="31">
        <v>37.76</v>
      </c>
      <c r="K415" s="31">
        <v>-2.9</v>
      </c>
      <c r="L415" s="34" t="s">
        <v>82</v>
      </c>
      <c r="N415" s="6" t="s">
        <v>853</v>
      </c>
    </row>
    <row r="416" spans="1:14" ht="15" customHeight="1" x14ac:dyDescent="0.2">
      <c r="A416" s="22">
        <v>2.2138067190332564</v>
      </c>
      <c r="B416" s="22"/>
      <c r="C416" s="2" t="s">
        <v>891</v>
      </c>
      <c r="D416" s="2">
        <f t="shared" ref="D416:D421" si="4">A416</f>
        <v>2.2138067190332564</v>
      </c>
      <c r="F416" s="2">
        <v>2023</v>
      </c>
      <c r="G416" s="23" t="s">
        <v>902</v>
      </c>
      <c r="H416" s="2" t="s">
        <v>765</v>
      </c>
      <c r="I416" s="23" t="s">
        <v>826</v>
      </c>
      <c r="J416" s="23">
        <v>65.000277999999994</v>
      </c>
      <c r="K416" s="23">
        <v>-13.857847</v>
      </c>
      <c r="L416" s="23" t="s">
        <v>817</v>
      </c>
      <c r="M416" s="2" t="s">
        <v>825</v>
      </c>
      <c r="N416" s="6" t="s">
        <v>828</v>
      </c>
    </row>
    <row r="417" spans="1:14" ht="15" customHeight="1" x14ac:dyDescent="0.2">
      <c r="A417" s="22">
        <v>2.2112197437887993</v>
      </c>
      <c r="B417" s="22"/>
      <c r="C417" s="2" t="s">
        <v>891</v>
      </c>
      <c r="D417" s="2">
        <f t="shared" si="4"/>
        <v>2.2112197437887993</v>
      </c>
      <c r="F417" s="2">
        <v>2023</v>
      </c>
      <c r="G417" s="23" t="s">
        <v>902</v>
      </c>
      <c r="H417" s="2" t="s">
        <v>745</v>
      </c>
      <c r="I417" s="23" t="s">
        <v>827</v>
      </c>
      <c r="J417" s="23">
        <v>64.705900999999997</v>
      </c>
      <c r="K417" s="23">
        <v>-14.355691999999999</v>
      </c>
      <c r="L417" s="23" t="s">
        <v>817</v>
      </c>
      <c r="M417" s="2" t="s">
        <v>825</v>
      </c>
      <c r="N417" s="6" t="s">
        <v>828</v>
      </c>
    </row>
    <row r="418" spans="1:14" ht="15" customHeight="1" x14ac:dyDescent="0.2">
      <c r="A418" s="22">
        <v>2.2079748288808649</v>
      </c>
      <c r="B418" s="22"/>
      <c r="C418" s="2" t="s">
        <v>891</v>
      </c>
      <c r="D418" s="2">
        <f t="shared" si="4"/>
        <v>2.2079748288808649</v>
      </c>
      <c r="F418" s="2">
        <v>2023</v>
      </c>
      <c r="G418" s="23" t="s">
        <v>902</v>
      </c>
      <c r="H418" s="2" t="s">
        <v>745</v>
      </c>
      <c r="I418" s="23" t="s">
        <v>827</v>
      </c>
      <c r="J418" s="23">
        <v>64.705904000000004</v>
      </c>
      <c r="K418" s="23">
        <v>-14.355689999999999</v>
      </c>
      <c r="L418" s="23" t="s">
        <v>817</v>
      </c>
      <c r="M418" s="2" t="s">
        <v>825</v>
      </c>
      <c r="N418" s="6" t="s">
        <v>828</v>
      </c>
    </row>
    <row r="419" spans="1:14" ht="15" customHeight="1" x14ac:dyDescent="0.2">
      <c r="A419" s="22">
        <v>2.2077359380566142</v>
      </c>
      <c r="B419" s="22"/>
      <c r="C419" s="2" t="s">
        <v>891</v>
      </c>
      <c r="D419" s="2">
        <f t="shared" si="4"/>
        <v>2.2077359380566142</v>
      </c>
      <c r="F419" s="2">
        <v>2023</v>
      </c>
      <c r="G419" s="23" t="s">
        <v>902</v>
      </c>
      <c r="H419" s="2" t="s">
        <v>745</v>
      </c>
      <c r="I419" s="23" t="s">
        <v>827</v>
      </c>
      <c r="J419" s="23">
        <v>64.760564000000002</v>
      </c>
      <c r="K419" s="23">
        <v>-14.447113</v>
      </c>
      <c r="L419" s="23" t="s">
        <v>817</v>
      </c>
      <c r="M419" s="2" t="s">
        <v>825</v>
      </c>
      <c r="N419" s="6" t="s">
        <v>828</v>
      </c>
    </row>
    <row r="420" spans="1:14" ht="15" customHeight="1" x14ac:dyDescent="0.2">
      <c r="A420" s="3">
        <v>2.2000000000000002</v>
      </c>
      <c r="B420" s="3">
        <v>0.8</v>
      </c>
      <c r="C420" s="3" t="s">
        <v>891</v>
      </c>
      <c r="D420" s="3">
        <f t="shared" si="4"/>
        <v>2.2000000000000002</v>
      </c>
      <c r="E420" s="3">
        <f>B420</f>
        <v>0.8</v>
      </c>
      <c r="F420" s="3">
        <v>2007</v>
      </c>
      <c r="G420" s="2" t="s">
        <v>902</v>
      </c>
      <c r="H420" s="29" t="s">
        <v>150</v>
      </c>
      <c r="I420" s="3" t="s">
        <v>146</v>
      </c>
      <c r="J420" s="3" t="s">
        <v>898</v>
      </c>
      <c r="K420" s="3" t="s">
        <v>899</v>
      </c>
      <c r="L420" s="3"/>
      <c r="M420" s="3" t="s">
        <v>151</v>
      </c>
      <c r="N420" s="28" t="s">
        <v>888</v>
      </c>
    </row>
    <row r="421" spans="1:14" ht="15" customHeight="1" x14ac:dyDescent="0.2">
      <c r="A421" s="2">
        <v>2.2000000000000002</v>
      </c>
      <c r="B421" s="2">
        <v>1.7</v>
      </c>
      <c r="C421" s="2" t="s">
        <v>891</v>
      </c>
      <c r="D421" s="2">
        <f t="shared" si="4"/>
        <v>2.2000000000000002</v>
      </c>
      <c r="E421" s="2">
        <f>B421</f>
        <v>1.7</v>
      </c>
      <c r="F421" s="2">
        <v>2015</v>
      </c>
      <c r="G421" s="2" t="s">
        <v>902</v>
      </c>
      <c r="H421" s="5" t="s">
        <v>155</v>
      </c>
      <c r="I421" s="2" t="s">
        <v>158</v>
      </c>
      <c r="J421" s="2">
        <v>37.012805999999998</v>
      </c>
      <c r="K421" s="2">
        <v>-7.0772560000000002</v>
      </c>
      <c r="L421" s="2" t="s">
        <v>82</v>
      </c>
      <c r="N421" s="9" t="s">
        <v>159</v>
      </c>
    </row>
    <row r="422" spans="1:14" ht="15" customHeight="1" x14ac:dyDescent="0.2">
      <c r="A422" s="20">
        <v>9.6799999999999997E-2</v>
      </c>
      <c r="B422" s="20"/>
      <c r="C422" s="2" t="s">
        <v>98</v>
      </c>
      <c r="D422" s="2">
        <f>A422 * 22.727</f>
        <v>2.1999735999999999</v>
      </c>
      <c r="F422" s="2" t="s">
        <v>822</v>
      </c>
      <c r="G422" s="2" t="s">
        <v>901</v>
      </c>
      <c r="H422" s="2" t="s">
        <v>822</v>
      </c>
      <c r="I422" s="14" t="s">
        <v>234</v>
      </c>
      <c r="J422" s="16">
        <v>45.295009</v>
      </c>
      <c r="K422" s="16">
        <v>30.029852000000002</v>
      </c>
      <c r="L422" s="16"/>
      <c r="M422" s="33" t="s">
        <v>821</v>
      </c>
      <c r="N422" s="17" t="s">
        <v>878</v>
      </c>
    </row>
    <row r="423" spans="1:14" ht="15" customHeight="1" x14ac:dyDescent="0.2">
      <c r="A423" s="22">
        <v>2.1956062087143917</v>
      </c>
      <c r="B423" s="22"/>
      <c r="C423" s="2" t="s">
        <v>891</v>
      </c>
      <c r="D423" s="2">
        <f>A423</f>
        <v>2.1956062087143917</v>
      </c>
      <c r="F423" s="2">
        <v>2023</v>
      </c>
      <c r="G423" s="23" t="s">
        <v>902</v>
      </c>
      <c r="H423" s="2" t="s">
        <v>745</v>
      </c>
      <c r="I423" s="23" t="s">
        <v>827</v>
      </c>
      <c r="J423" s="23">
        <v>64.760745</v>
      </c>
      <c r="K423" s="23">
        <v>-14.447122999999999</v>
      </c>
      <c r="L423" s="23" t="s">
        <v>817</v>
      </c>
      <c r="M423" s="2" t="s">
        <v>825</v>
      </c>
      <c r="N423" s="6" t="s">
        <v>828</v>
      </c>
    </row>
    <row r="424" spans="1:14" ht="15" customHeight="1" x14ac:dyDescent="0.2">
      <c r="A424" s="22">
        <v>2.1939323142706213</v>
      </c>
      <c r="B424" s="22"/>
      <c r="C424" s="2" t="s">
        <v>891</v>
      </c>
      <c r="D424" s="2">
        <f>A424</f>
        <v>2.1939323142706213</v>
      </c>
      <c r="F424" s="2">
        <v>2023</v>
      </c>
      <c r="G424" s="23" t="s">
        <v>902</v>
      </c>
      <c r="H424" s="2" t="s">
        <v>745</v>
      </c>
      <c r="I424" s="23" t="s">
        <v>827</v>
      </c>
      <c r="J424" s="23">
        <v>64.760388000000006</v>
      </c>
      <c r="K424" s="23">
        <v>-14.446107</v>
      </c>
      <c r="L424" s="23" t="s">
        <v>817</v>
      </c>
      <c r="M424" s="2" t="s">
        <v>825</v>
      </c>
      <c r="N424" s="6" t="s">
        <v>828</v>
      </c>
    </row>
    <row r="425" spans="1:14" ht="15" customHeight="1" x14ac:dyDescent="0.2">
      <c r="A425" s="22">
        <v>2.1900548715208878</v>
      </c>
      <c r="B425" s="22"/>
      <c r="C425" s="2" t="s">
        <v>891</v>
      </c>
      <c r="D425" s="2">
        <f>A425</f>
        <v>2.1900548715208878</v>
      </c>
      <c r="F425" s="2">
        <v>2023</v>
      </c>
      <c r="G425" s="23" t="s">
        <v>902</v>
      </c>
      <c r="H425" s="2" t="s">
        <v>745</v>
      </c>
      <c r="I425" s="23" t="s">
        <v>827</v>
      </c>
      <c r="J425" s="23">
        <v>64.760563000000005</v>
      </c>
      <c r="K425" s="23">
        <v>-14.447115</v>
      </c>
      <c r="L425" s="23" t="s">
        <v>817</v>
      </c>
      <c r="M425" s="2" t="s">
        <v>825</v>
      </c>
      <c r="N425" s="6" t="s">
        <v>828</v>
      </c>
    </row>
    <row r="426" spans="1:14" ht="15" customHeight="1" x14ac:dyDescent="0.2">
      <c r="A426" s="22">
        <v>2.1838925992230496</v>
      </c>
      <c r="B426" s="22"/>
      <c r="C426" s="2" t="s">
        <v>891</v>
      </c>
      <c r="D426" s="2">
        <f>A426</f>
        <v>2.1838925992230496</v>
      </c>
      <c r="F426" s="2">
        <v>2023</v>
      </c>
      <c r="G426" s="38" t="s">
        <v>902</v>
      </c>
      <c r="H426" s="2" t="s">
        <v>765</v>
      </c>
      <c r="I426" s="23" t="s">
        <v>826</v>
      </c>
      <c r="J426" s="23">
        <v>64.960898999999998</v>
      </c>
      <c r="K426" s="23">
        <v>-13.753588000000001</v>
      </c>
      <c r="L426" s="23" t="s">
        <v>817</v>
      </c>
      <c r="M426" s="2" t="s">
        <v>825</v>
      </c>
      <c r="N426" s="6" t="s">
        <v>828</v>
      </c>
    </row>
    <row r="427" spans="1:14" ht="15" customHeight="1" x14ac:dyDescent="0.2">
      <c r="A427" s="2">
        <v>95.9</v>
      </c>
      <c r="B427" s="2">
        <v>5.9</v>
      </c>
      <c r="C427" s="31" t="s">
        <v>681</v>
      </c>
      <c r="D427" s="2">
        <f>A427 * 0.02273</f>
        <v>2.1798070000000003</v>
      </c>
      <c r="E427" s="2">
        <f>B427* 0.02273</f>
        <v>0.134107</v>
      </c>
      <c r="F427" s="2">
        <v>2023</v>
      </c>
      <c r="G427" s="2" t="s">
        <v>902</v>
      </c>
      <c r="H427" s="2" t="s">
        <v>154</v>
      </c>
      <c r="I427" s="2" t="s">
        <v>187</v>
      </c>
      <c r="J427" s="2">
        <v>64.67</v>
      </c>
      <c r="K427" s="2">
        <v>-14.19</v>
      </c>
      <c r="L427" s="2" t="s">
        <v>817</v>
      </c>
      <c r="M427" s="2" t="s">
        <v>818</v>
      </c>
      <c r="N427" s="6" t="s">
        <v>862</v>
      </c>
    </row>
    <row r="428" spans="1:14" ht="15" customHeight="1" x14ac:dyDescent="0.2">
      <c r="A428" s="22">
        <v>2.177525719017523</v>
      </c>
      <c r="B428" s="22"/>
      <c r="C428" s="2" t="s">
        <v>891</v>
      </c>
      <c r="D428" s="2">
        <f>A428</f>
        <v>2.177525719017523</v>
      </c>
      <c r="F428" s="2">
        <v>2023</v>
      </c>
      <c r="G428" s="23" t="s">
        <v>902</v>
      </c>
      <c r="H428" s="2" t="s">
        <v>745</v>
      </c>
      <c r="I428" s="23" t="s">
        <v>827</v>
      </c>
      <c r="J428" s="23">
        <v>64.705836000000005</v>
      </c>
      <c r="K428" s="23">
        <v>-14.355456999999999</v>
      </c>
      <c r="L428" s="23" t="s">
        <v>817</v>
      </c>
      <c r="M428" s="2" t="s">
        <v>825</v>
      </c>
      <c r="N428" s="6" t="s">
        <v>828</v>
      </c>
    </row>
    <row r="429" spans="1:14" ht="15" customHeight="1" x14ac:dyDescent="0.2">
      <c r="A429" s="22">
        <v>2.1613650609857755</v>
      </c>
      <c r="B429" s="22"/>
      <c r="C429" s="2" t="s">
        <v>891</v>
      </c>
      <c r="D429" s="2">
        <f>A429</f>
        <v>2.1613650609857755</v>
      </c>
      <c r="F429" s="2">
        <v>2023</v>
      </c>
      <c r="G429" s="23" t="s">
        <v>902</v>
      </c>
      <c r="H429" s="2" t="s">
        <v>745</v>
      </c>
      <c r="I429" s="23" t="s">
        <v>827</v>
      </c>
      <c r="J429" s="23">
        <v>64.705834999999993</v>
      </c>
      <c r="K429" s="23">
        <v>-14.355454</v>
      </c>
      <c r="L429" s="23" t="s">
        <v>817</v>
      </c>
      <c r="M429" s="2" t="s">
        <v>825</v>
      </c>
      <c r="N429" s="6" t="s">
        <v>828</v>
      </c>
    </row>
    <row r="430" spans="1:14" ht="15" customHeight="1" x14ac:dyDescent="0.2">
      <c r="A430" s="2">
        <v>2.16</v>
      </c>
      <c r="B430" s="2">
        <v>2.56</v>
      </c>
      <c r="C430" s="2" t="s">
        <v>891</v>
      </c>
      <c r="D430" s="2">
        <f>A430</f>
        <v>2.16</v>
      </c>
      <c r="E430" s="2">
        <f>B430</f>
        <v>2.56</v>
      </c>
      <c r="F430" s="2" t="s">
        <v>175</v>
      </c>
      <c r="G430" s="2" t="s">
        <v>903</v>
      </c>
      <c r="H430" s="2" t="s">
        <v>700</v>
      </c>
      <c r="I430" s="2" t="s">
        <v>120</v>
      </c>
      <c r="J430" s="2">
        <v>54.126176999999998</v>
      </c>
      <c r="K430" s="2">
        <v>14.190588</v>
      </c>
      <c r="M430" s="2" t="s">
        <v>120</v>
      </c>
      <c r="N430" s="6" t="s">
        <v>861</v>
      </c>
    </row>
    <row r="431" spans="1:14" ht="15" customHeight="1" x14ac:dyDescent="0.2">
      <c r="A431" s="31">
        <v>3.9526368248276704E-3</v>
      </c>
      <c r="B431" s="31"/>
      <c r="C431" s="2" t="s">
        <v>892</v>
      </c>
      <c r="D431" s="2">
        <f>A431 * 545.45</f>
        <v>2.1559657561022529</v>
      </c>
      <c r="F431" s="2">
        <v>2020</v>
      </c>
      <c r="G431" s="38" t="s">
        <v>901</v>
      </c>
      <c r="H431" s="2" t="s">
        <v>756</v>
      </c>
      <c r="I431" s="31" t="s">
        <v>256</v>
      </c>
      <c r="J431" s="31">
        <v>54.371099999999998</v>
      </c>
      <c r="K431" s="31">
        <v>13.2446</v>
      </c>
      <c r="L431" s="2" t="s">
        <v>28</v>
      </c>
      <c r="M431" s="2" t="s">
        <v>824</v>
      </c>
      <c r="N431" s="17" t="s">
        <v>906</v>
      </c>
    </row>
    <row r="432" spans="1:14" ht="15" customHeight="1" x14ac:dyDescent="0.2">
      <c r="A432" s="31">
        <v>3.93575005777281E-3</v>
      </c>
      <c r="B432" s="31"/>
      <c r="C432" s="2" t="s">
        <v>892</v>
      </c>
      <c r="D432" s="2">
        <f>A432 * 545.45</f>
        <v>2.1467548690121796</v>
      </c>
      <c r="F432" s="2">
        <v>2020</v>
      </c>
      <c r="G432" s="38" t="s">
        <v>901</v>
      </c>
      <c r="H432" s="2" t="s">
        <v>738</v>
      </c>
      <c r="I432" s="31" t="s">
        <v>266</v>
      </c>
      <c r="J432" s="31" t="s">
        <v>822</v>
      </c>
      <c r="K432" s="31" t="s">
        <v>822</v>
      </c>
      <c r="L432" s="2" t="s">
        <v>28</v>
      </c>
      <c r="M432" s="2" t="s">
        <v>824</v>
      </c>
      <c r="N432" s="17" t="s">
        <v>906</v>
      </c>
    </row>
    <row r="433" spans="1:14" ht="15" customHeight="1" x14ac:dyDescent="0.2">
      <c r="A433" s="31">
        <v>10.932662428800469</v>
      </c>
      <c r="B433" s="31"/>
      <c r="C433" s="2" t="s">
        <v>855</v>
      </c>
      <c r="D433" s="31">
        <f xml:space="preserve"> A433 * 0.196</f>
        <v>2.1428018360448919</v>
      </c>
      <c r="F433" s="2" t="s">
        <v>822</v>
      </c>
      <c r="G433" s="23" t="s">
        <v>902</v>
      </c>
      <c r="H433" s="2" t="s">
        <v>822</v>
      </c>
      <c r="J433" s="31">
        <v>30.2782993</v>
      </c>
      <c r="K433" s="31">
        <v>-12.0825005</v>
      </c>
      <c r="L433" s="31"/>
      <c r="M433" s="31" t="s">
        <v>854</v>
      </c>
      <c r="N433" s="6" t="s">
        <v>856</v>
      </c>
    </row>
    <row r="434" spans="1:14" ht="15" customHeight="1" x14ac:dyDescent="0.2">
      <c r="A434" s="22">
        <v>2.1420536656804101</v>
      </c>
      <c r="B434" s="22"/>
      <c r="C434" s="2" t="s">
        <v>891</v>
      </c>
      <c r="D434" s="2">
        <f t="shared" ref="D434:D439" si="5">A434</f>
        <v>2.1420536656804101</v>
      </c>
      <c r="F434" s="2">
        <v>2023</v>
      </c>
      <c r="G434" s="23" t="s">
        <v>902</v>
      </c>
      <c r="H434" s="2" t="s">
        <v>770</v>
      </c>
      <c r="I434" s="23" t="s">
        <v>190</v>
      </c>
      <c r="J434" s="23">
        <v>58332092</v>
      </c>
      <c r="K434" s="23">
        <v>11872711</v>
      </c>
      <c r="L434" s="23" t="s">
        <v>819</v>
      </c>
      <c r="M434" s="2" t="s">
        <v>825</v>
      </c>
      <c r="N434" s="6" t="s">
        <v>828</v>
      </c>
    </row>
    <row r="435" spans="1:14" ht="15" customHeight="1" x14ac:dyDescent="0.2">
      <c r="A435" s="22">
        <v>2.1405477809510036</v>
      </c>
      <c r="B435" s="22"/>
      <c r="C435" s="2" t="s">
        <v>891</v>
      </c>
      <c r="D435" s="2">
        <f t="shared" si="5"/>
        <v>2.1405477809510036</v>
      </c>
      <c r="F435" s="2">
        <v>2023</v>
      </c>
      <c r="G435" s="23" t="s">
        <v>902</v>
      </c>
      <c r="H435" s="2" t="s">
        <v>770</v>
      </c>
      <c r="I435" s="23" t="s">
        <v>190</v>
      </c>
      <c r="J435" s="23">
        <v>58332093</v>
      </c>
      <c r="K435" s="23">
        <v>11872709</v>
      </c>
      <c r="L435" s="23" t="s">
        <v>819</v>
      </c>
      <c r="M435" s="2" t="s">
        <v>825</v>
      </c>
      <c r="N435" s="6" t="s">
        <v>828</v>
      </c>
    </row>
    <row r="436" spans="1:14" ht="15" customHeight="1" x14ac:dyDescent="0.2">
      <c r="A436" s="22">
        <v>2.1394751670788668</v>
      </c>
      <c r="B436" s="22"/>
      <c r="C436" s="2" t="s">
        <v>891</v>
      </c>
      <c r="D436" s="2">
        <f t="shared" si="5"/>
        <v>2.1394751670788668</v>
      </c>
      <c r="F436" s="2">
        <v>2023</v>
      </c>
      <c r="G436" s="23" t="s">
        <v>902</v>
      </c>
      <c r="H436" s="2" t="s">
        <v>745</v>
      </c>
      <c r="I436" s="23" t="s">
        <v>827</v>
      </c>
      <c r="J436" s="23">
        <v>64.705838</v>
      </c>
      <c r="K436" s="23">
        <v>-14.355461</v>
      </c>
      <c r="L436" s="23" t="s">
        <v>817</v>
      </c>
      <c r="M436" s="2" t="s">
        <v>825</v>
      </c>
      <c r="N436" s="6" t="s">
        <v>828</v>
      </c>
    </row>
    <row r="437" spans="1:14" ht="15" customHeight="1" x14ac:dyDescent="0.2">
      <c r="A437" s="22">
        <v>2.1370055203602534</v>
      </c>
      <c r="B437" s="22"/>
      <c r="C437" s="2" t="s">
        <v>891</v>
      </c>
      <c r="D437" s="2">
        <f t="shared" si="5"/>
        <v>2.1370055203602534</v>
      </c>
      <c r="F437" s="2">
        <v>2023</v>
      </c>
      <c r="G437" s="23" t="s">
        <v>902</v>
      </c>
      <c r="H437" s="2" t="s">
        <v>745</v>
      </c>
      <c r="I437" s="23" t="s">
        <v>827</v>
      </c>
      <c r="J437" s="23">
        <v>64.760561999999993</v>
      </c>
      <c r="K437" s="23">
        <v>-14.447113999999999</v>
      </c>
      <c r="L437" s="23" t="s">
        <v>817</v>
      </c>
      <c r="M437" s="2" t="s">
        <v>825</v>
      </c>
      <c r="N437" s="6" t="s">
        <v>828</v>
      </c>
    </row>
    <row r="438" spans="1:14" ht="15" customHeight="1" x14ac:dyDescent="0.2">
      <c r="A438" s="22">
        <v>2.1369549987674006</v>
      </c>
      <c r="B438" s="22"/>
      <c r="C438" s="2" t="s">
        <v>891</v>
      </c>
      <c r="D438" s="2">
        <f t="shared" si="5"/>
        <v>2.1369549987674006</v>
      </c>
      <c r="F438" s="2">
        <v>2023</v>
      </c>
      <c r="G438" s="23" t="s">
        <v>902</v>
      </c>
      <c r="H438" s="2" t="s">
        <v>765</v>
      </c>
      <c r="I438" s="23" t="s">
        <v>826</v>
      </c>
      <c r="J438" s="23">
        <v>65.030584000000005</v>
      </c>
      <c r="K438" s="23">
        <v>-14.002409</v>
      </c>
      <c r="L438" s="23" t="s">
        <v>817</v>
      </c>
      <c r="M438" s="2" t="s">
        <v>825</v>
      </c>
      <c r="N438" s="6" t="s">
        <v>828</v>
      </c>
    </row>
    <row r="439" spans="1:14" ht="15" customHeight="1" x14ac:dyDescent="0.2">
      <c r="A439" s="22">
        <v>2.1202762883605408</v>
      </c>
      <c r="B439" s="22"/>
      <c r="C439" s="2" t="s">
        <v>891</v>
      </c>
      <c r="D439" s="2">
        <f t="shared" si="5"/>
        <v>2.1202762883605408</v>
      </c>
      <c r="F439" s="2">
        <v>2023</v>
      </c>
      <c r="G439" s="23" t="s">
        <v>902</v>
      </c>
      <c r="H439" s="2" t="s">
        <v>745</v>
      </c>
      <c r="I439" s="23" t="s">
        <v>827</v>
      </c>
      <c r="J439" s="23">
        <v>64.705837000000002</v>
      </c>
      <c r="K439" s="23">
        <v>-14.355464</v>
      </c>
      <c r="L439" s="23" t="s">
        <v>817</v>
      </c>
      <c r="M439" s="2" t="s">
        <v>825</v>
      </c>
      <c r="N439" s="6" t="s">
        <v>828</v>
      </c>
    </row>
    <row r="440" spans="1:14" ht="15" customHeight="1" x14ac:dyDescent="0.2">
      <c r="A440" s="31">
        <v>92.21</v>
      </c>
      <c r="B440" s="31">
        <v>1.98</v>
      </c>
      <c r="C440" s="31" t="s">
        <v>681</v>
      </c>
      <c r="D440" s="2">
        <f>A440 * 0.02273</f>
        <v>2.0959333</v>
      </c>
      <c r="E440" s="2">
        <f>B440* 0.02273</f>
        <v>4.5005400000000001E-2</v>
      </c>
      <c r="F440" s="2">
        <v>2017</v>
      </c>
      <c r="G440" s="23" t="s">
        <v>901</v>
      </c>
      <c r="H440" s="2" t="s">
        <v>833</v>
      </c>
      <c r="I440" s="31" t="s">
        <v>845</v>
      </c>
      <c r="J440" s="31">
        <v>36.99</v>
      </c>
      <c r="K440" s="31">
        <v>-3.89</v>
      </c>
      <c r="L440" s="34" t="s">
        <v>82</v>
      </c>
      <c r="N440" s="6" t="s">
        <v>853</v>
      </c>
    </row>
    <row r="441" spans="1:14" ht="15" customHeight="1" x14ac:dyDescent="0.2">
      <c r="A441" s="22">
        <v>2.0803691662525501</v>
      </c>
      <c r="B441" s="22"/>
      <c r="C441" s="2" t="s">
        <v>891</v>
      </c>
      <c r="D441" s="2">
        <f>A441</f>
        <v>2.0803691662525501</v>
      </c>
      <c r="F441" s="2">
        <v>2023</v>
      </c>
      <c r="G441" s="23" t="s">
        <v>902</v>
      </c>
      <c r="H441" s="2" t="s">
        <v>745</v>
      </c>
      <c r="I441" s="23" t="s">
        <v>827</v>
      </c>
      <c r="J441" s="23">
        <v>64.741033000000002</v>
      </c>
      <c r="K441" s="23">
        <v>-14.399680999999999</v>
      </c>
      <c r="L441" s="23" t="s">
        <v>817</v>
      </c>
      <c r="M441" s="2" t="s">
        <v>825</v>
      </c>
      <c r="N441" s="6" t="s">
        <v>828</v>
      </c>
    </row>
    <row r="442" spans="1:14" ht="15" customHeight="1" x14ac:dyDescent="0.25">
      <c r="A442" s="2">
        <v>173</v>
      </c>
      <c r="C442" s="2" t="s">
        <v>248</v>
      </c>
      <c r="D442" s="2">
        <f>A442 * 0.012</f>
        <v>2.0760000000000001</v>
      </c>
      <c r="F442" s="2">
        <v>1995</v>
      </c>
      <c r="G442" s="38" t="s">
        <v>902</v>
      </c>
      <c r="H442" s="2" t="s">
        <v>249</v>
      </c>
      <c r="I442" s="2" t="s">
        <v>251</v>
      </c>
      <c r="J442" s="2">
        <v>51.816099999999999</v>
      </c>
      <c r="K442" s="2">
        <v>1.0214000000000001</v>
      </c>
      <c r="L442" s="2" t="s">
        <v>255</v>
      </c>
      <c r="M442" s="2" t="s">
        <v>823</v>
      </c>
      <c r="N442" s="36" t="s">
        <v>887</v>
      </c>
    </row>
    <row r="443" spans="1:14" ht="15" customHeight="1" x14ac:dyDescent="0.2">
      <c r="A443" s="22">
        <v>2.0690727379901732</v>
      </c>
      <c r="B443" s="22"/>
      <c r="C443" s="2" t="s">
        <v>891</v>
      </c>
      <c r="D443" s="2">
        <f t="shared" ref="D443:D448" si="6">A443</f>
        <v>2.0690727379901732</v>
      </c>
      <c r="F443" s="2">
        <v>2023</v>
      </c>
      <c r="G443" s="23" t="s">
        <v>902</v>
      </c>
      <c r="H443" s="2" t="s">
        <v>745</v>
      </c>
      <c r="I443" s="23" t="s">
        <v>827</v>
      </c>
      <c r="J443" s="23">
        <v>64.712737000000004</v>
      </c>
      <c r="K443" s="23">
        <v>-14.362549</v>
      </c>
      <c r="L443" s="23" t="s">
        <v>817</v>
      </c>
      <c r="M443" s="2" t="s">
        <v>825</v>
      </c>
      <c r="N443" s="6" t="s">
        <v>828</v>
      </c>
    </row>
    <row r="444" spans="1:14" ht="15" customHeight="1" x14ac:dyDescent="0.2">
      <c r="A444" s="22">
        <v>2.0582723504825831</v>
      </c>
      <c r="B444" s="22"/>
      <c r="C444" s="2" t="s">
        <v>891</v>
      </c>
      <c r="D444" s="2">
        <f t="shared" si="6"/>
        <v>2.0582723504825831</v>
      </c>
      <c r="F444" s="2">
        <v>2023</v>
      </c>
      <c r="G444" s="23" t="s">
        <v>902</v>
      </c>
      <c r="H444" s="2" t="s">
        <v>745</v>
      </c>
      <c r="I444" s="23" t="s">
        <v>827</v>
      </c>
      <c r="J444" s="23">
        <v>64.676062000000002</v>
      </c>
      <c r="K444" s="23">
        <v>-14.263820000000001</v>
      </c>
      <c r="L444" s="23" t="s">
        <v>817</v>
      </c>
      <c r="M444" s="2" t="s">
        <v>825</v>
      </c>
      <c r="N444" s="6" t="s">
        <v>828</v>
      </c>
    </row>
    <row r="445" spans="1:14" ht="15" customHeight="1" x14ac:dyDescent="0.2">
      <c r="A445" s="22">
        <v>2.055507719943098</v>
      </c>
      <c r="B445" s="22"/>
      <c r="C445" s="2" t="s">
        <v>891</v>
      </c>
      <c r="D445" s="2">
        <f t="shared" si="6"/>
        <v>2.055507719943098</v>
      </c>
      <c r="F445" s="2">
        <v>2023</v>
      </c>
      <c r="G445" s="23" t="s">
        <v>902</v>
      </c>
      <c r="H445" s="2" t="s">
        <v>745</v>
      </c>
      <c r="I445" s="23" t="s">
        <v>827</v>
      </c>
      <c r="J445" s="23">
        <v>64.760748000000007</v>
      </c>
      <c r="K445" s="23">
        <v>-14.447113999999999</v>
      </c>
      <c r="L445" s="23" t="s">
        <v>817</v>
      </c>
      <c r="M445" s="2" t="s">
        <v>825</v>
      </c>
      <c r="N445" s="6" t="s">
        <v>828</v>
      </c>
    </row>
    <row r="446" spans="1:14" ht="15" customHeight="1" x14ac:dyDescent="0.2">
      <c r="A446" s="22">
        <v>2.0526723742622384</v>
      </c>
      <c r="B446" s="22"/>
      <c r="C446" s="2" t="s">
        <v>891</v>
      </c>
      <c r="D446" s="2">
        <f t="shared" si="6"/>
        <v>2.0526723742622384</v>
      </c>
      <c r="F446" s="2">
        <v>2023</v>
      </c>
      <c r="G446" s="23" t="s">
        <v>902</v>
      </c>
      <c r="H446" s="2" t="s">
        <v>745</v>
      </c>
      <c r="I446" s="23" t="s">
        <v>827</v>
      </c>
      <c r="J446" s="23">
        <v>64.741040999999996</v>
      </c>
      <c r="K446" s="23">
        <v>-14.403320000000001</v>
      </c>
      <c r="L446" s="23" t="s">
        <v>817</v>
      </c>
      <c r="M446" s="2" t="s">
        <v>825</v>
      </c>
      <c r="N446" s="6" t="s">
        <v>828</v>
      </c>
    </row>
    <row r="447" spans="1:14" ht="15" customHeight="1" x14ac:dyDescent="0.2">
      <c r="A447" s="22">
        <v>2.0262698534548798</v>
      </c>
      <c r="B447" s="22"/>
      <c r="C447" s="2" t="s">
        <v>891</v>
      </c>
      <c r="D447" s="2">
        <f t="shared" si="6"/>
        <v>2.0262698534548798</v>
      </c>
      <c r="F447" s="2">
        <v>2023</v>
      </c>
      <c r="G447" s="23" t="s">
        <v>902</v>
      </c>
      <c r="H447" s="2" t="s">
        <v>745</v>
      </c>
      <c r="I447" s="23" t="s">
        <v>827</v>
      </c>
      <c r="J447" s="23">
        <v>64.680921999999995</v>
      </c>
      <c r="K447" s="23">
        <v>-14.293666999999999</v>
      </c>
      <c r="L447" s="23" t="s">
        <v>817</v>
      </c>
      <c r="M447" s="2" t="s">
        <v>825</v>
      </c>
      <c r="N447" s="6" t="s">
        <v>828</v>
      </c>
    </row>
    <row r="448" spans="1:14" ht="15" customHeight="1" x14ac:dyDescent="0.2">
      <c r="A448" s="22">
        <v>2.0006442148213108</v>
      </c>
      <c r="B448" s="22"/>
      <c r="C448" s="2" t="s">
        <v>891</v>
      </c>
      <c r="D448" s="2">
        <f t="shared" si="6"/>
        <v>2.0006442148213108</v>
      </c>
      <c r="F448" s="2">
        <v>2023</v>
      </c>
      <c r="G448" s="23" t="s">
        <v>902</v>
      </c>
      <c r="H448" s="2" t="s">
        <v>745</v>
      </c>
      <c r="I448" s="23" t="s">
        <v>827</v>
      </c>
      <c r="J448" s="23">
        <v>64.742029000000002</v>
      </c>
      <c r="K448" s="23">
        <v>-14.400213000000001</v>
      </c>
      <c r="L448" s="23" t="s">
        <v>817</v>
      </c>
      <c r="M448" s="2" t="s">
        <v>825</v>
      </c>
      <c r="N448" s="6" t="s">
        <v>828</v>
      </c>
    </row>
    <row r="449" spans="1:14" ht="15" customHeight="1" x14ac:dyDescent="0.2">
      <c r="A449" s="31">
        <v>3.6159098179297101E-3</v>
      </c>
      <c r="B449" s="31"/>
      <c r="C449" s="2" t="s">
        <v>892</v>
      </c>
      <c r="D449" s="2">
        <f>A449 * 545.45</f>
        <v>1.9722980101897605</v>
      </c>
      <c r="F449" s="2">
        <v>2020</v>
      </c>
      <c r="G449" s="38" t="s">
        <v>901</v>
      </c>
      <c r="H449" s="2" t="s">
        <v>738</v>
      </c>
      <c r="I449" s="31" t="s">
        <v>267</v>
      </c>
      <c r="J449" s="31" t="s">
        <v>822</v>
      </c>
      <c r="K449" s="31" t="s">
        <v>822</v>
      </c>
      <c r="L449" s="2" t="s">
        <v>28</v>
      </c>
      <c r="M449" s="2" t="s">
        <v>824</v>
      </c>
      <c r="N449" s="17" t="s">
        <v>906</v>
      </c>
    </row>
    <row r="450" spans="1:14" ht="15" customHeight="1" x14ac:dyDescent="0.2">
      <c r="A450" s="22">
        <v>1.9380187470595764</v>
      </c>
      <c r="B450" s="22"/>
      <c r="C450" s="2" t="s">
        <v>891</v>
      </c>
      <c r="D450" s="2">
        <f>A450</f>
        <v>1.9380187470595764</v>
      </c>
      <c r="F450" s="2">
        <v>2023</v>
      </c>
      <c r="G450" s="23" t="s">
        <v>902</v>
      </c>
      <c r="H450" s="2" t="s">
        <v>770</v>
      </c>
      <c r="I450" s="23" t="s">
        <v>190</v>
      </c>
      <c r="J450" s="23">
        <v>58332089</v>
      </c>
      <c r="K450" s="23">
        <v>11872713</v>
      </c>
      <c r="L450" s="23" t="s">
        <v>819</v>
      </c>
      <c r="M450" s="2" t="s">
        <v>825</v>
      </c>
      <c r="N450" s="6" t="s">
        <v>828</v>
      </c>
    </row>
    <row r="451" spans="1:14" ht="15" customHeight="1" x14ac:dyDescent="0.2">
      <c r="A451" s="31">
        <v>3.5457031027676402E-3</v>
      </c>
      <c r="B451" s="31"/>
      <c r="C451" s="2" t="s">
        <v>892</v>
      </c>
      <c r="D451" s="2">
        <f>A451 * 545.45</f>
        <v>1.9340037574046096</v>
      </c>
      <c r="F451" s="2">
        <v>2020</v>
      </c>
      <c r="G451" s="38" t="s">
        <v>901</v>
      </c>
      <c r="H451" s="2" t="s">
        <v>728</v>
      </c>
      <c r="I451" s="31" t="s">
        <v>259</v>
      </c>
      <c r="J451" s="31">
        <v>54.373600000000003</v>
      </c>
      <c r="K451" s="31">
        <v>13.239800000000001</v>
      </c>
      <c r="L451" s="2" t="s">
        <v>28</v>
      </c>
      <c r="M451" s="2" t="s">
        <v>824</v>
      </c>
      <c r="N451" s="17" t="s">
        <v>906</v>
      </c>
    </row>
    <row r="452" spans="1:14" ht="15" customHeight="1" x14ac:dyDescent="0.2">
      <c r="A452" s="22">
        <v>1.9252683777207236</v>
      </c>
      <c r="B452" s="22"/>
      <c r="C452" s="2" t="s">
        <v>891</v>
      </c>
      <c r="D452" s="2">
        <f>A452</f>
        <v>1.9252683777207236</v>
      </c>
      <c r="F452" s="2">
        <v>2023</v>
      </c>
      <c r="G452" s="23" t="s">
        <v>902</v>
      </c>
      <c r="H452" s="2" t="s">
        <v>770</v>
      </c>
      <c r="I452" s="23" t="s">
        <v>190</v>
      </c>
      <c r="J452" s="23">
        <v>58331997</v>
      </c>
      <c r="K452" s="23">
        <v>11872806</v>
      </c>
      <c r="L452" s="23" t="s">
        <v>819</v>
      </c>
      <c r="M452" s="2" t="s">
        <v>825</v>
      </c>
      <c r="N452" s="6" t="s">
        <v>828</v>
      </c>
    </row>
    <row r="453" spans="1:14" ht="15" customHeight="1" x14ac:dyDescent="0.2">
      <c r="A453" s="22">
        <v>1.9212714793796677</v>
      </c>
      <c r="B453" s="22"/>
      <c r="C453" s="2" t="s">
        <v>891</v>
      </c>
      <c r="D453" s="2">
        <f>A453</f>
        <v>1.9212714793796677</v>
      </c>
      <c r="F453" s="2">
        <v>2023</v>
      </c>
      <c r="G453" s="23" t="s">
        <v>902</v>
      </c>
      <c r="H453" s="2" t="s">
        <v>770</v>
      </c>
      <c r="I453" s="23" t="s">
        <v>190</v>
      </c>
      <c r="J453" s="23">
        <v>58332024</v>
      </c>
      <c r="K453" s="23">
        <v>11872759</v>
      </c>
      <c r="L453" s="23" t="s">
        <v>819</v>
      </c>
      <c r="M453" s="2" t="s">
        <v>825</v>
      </c>
      <c r="N453" s="6" t="s">
        <v>828</v>
      </c>
    </row>
    <row r="454" spans="1:14" ht="15" customHeight="1" x14ac:dyDescent="0.2">
      <c r="A454" s="2">
        <v>1.87</v>
      </c>
      <c r="B454" s="2">
        <v>2.0699999999999998</v>
      </c>
      <c r="C454" s="2" t="s">
        <v>891</v>
      </c>
      <c r="D454" s="2">
        <f>A454</f>
        <v>1.87</v>
      </c>
      <c r="E454" s="2">
        <f>B454</f>
        <v>2.0699999999999998</v>
      </c>
      <c r="F454" s="2">
        <v>2011</v>
      </c>
      <c r="G454" s="2" t="s">
        <v>902</v>
      </c>
      <c r="H454" s="2" t="s">
        <v>94</v>
      </c>
      <c r="I454" s="2" t="s">
        <v>96</v>
      </c>
      <c r="J454" s="2">
        <v>57.25</v>
      </c>
      <c r="K454" s="2">
        <v>-0.5</v>
      </c>
      <c r="N454" s="6" t="s">
        <v>93</v>
      </c>
    </row>
    <row r="455" spans="1:14" ht="15" customHeight="1" x14ac:dyDescent="0.2">
      <c r="A455" s="22">
        <v>1.8680325351259242</v>
      </c>
      <c r="B455" s="22"/>
      <c r="C455" s="2" t="s">
        <v>891</v>
      </c>
      <c r="D455" s="2">
        <f>A455</f>
        <v>1.8680325351259242</v>
      </c>
      <c r="F455" s="2">
        <v>2023</v>
      </c>
      <c r="G455" s="23" t="s">
        <v>902</v>
      </c>
      <c r="H455" s="2" t="s">
        <v>770</v>
      </c>
      <c r="I455" s="23" t="s">
        <v>190</v>
      </c>
      <c r="J455" s="23">
        <v>58332010</v>
      </c>
      <c r="K455" s="23">
        <v>11872780</v>
      </c>
      <c r="L455" s="23" t="s">
        <v>819</v>
      </c>
      <c r="M455" s="2" t="s">
        <v>825</v>
      </c>
      <c r="N455" s="6" t="s">
        <v>828</v>
      </c>
    </row>
    <row r="456" spans="1:14" ht="15" customHeight="1" x14ac:dyDescent="0.2">
      <c r="A456" s="2">
        <v>0.03</v>
      </c>
      <c r="C456" s="2" t="s">
        <v>6</v>
      </c>
      <c r="D456" s="2">
        <f>(A456 * 1000000)/ 44.013 / 365</f>
        <v>1.8674432740762459</v>
      </c>
      <c r="F456" s="2">
        <v>1993</v>
      </c>
      <c r="G456" s="2" t="s">
        <v>902</v>
      </c>
      <c r="H456" s="2" t="s">
        <v>48</v>
      </c>
      <c r="I456" s="2" t="s">
        <v>49</v>
      </c>
      <c r="J456" s="2">
        <v>38.980220000000003</v>
      </c>
      <c r="K456" s="2">
        <v>20.967410000000001</v>
      </c>
      <c r="L456" s="2" t="s">
        <v>50</v>
      </c>
      <c r="N456" s="6" t="s">
        <v>51</v>
      </c>
    </row>
    <row r="457" spans="1:14" ht="15" customHeight="1" x14ac:dyDescent="0.2">
      <c r="A457" s="22">
        <v>1.8199337318625728</v>
      </c>
      <c r="B457" s="22"/>
      <c r="C457" s="2" t="s">
        <v>891</v>
      </c>
      <c r="D457" s="2">
        <f>A457</f>
        <v>1.8199337318625728</v>
      </c>
      <c r="F457" s="2">
        <v>2023</v>
      </c>
      <c r="G457" s="23" t="s">
        <v>902</v>
      </c>
      <c r="H457" s="2" t="s">
        <v>745</v>
      </c>
      <c r="I457" s="23" t="s">
        <v>827</v>
      </c>
      <c r="J457" s="23">
        <v>64.669642999999994</v>
      </c>
      <c r="K457" s="23">
        <v>-14.186757</v>
      </c>
      <c r="L457" s="23" t="s">
        <v>817</v>
      </c>
      <c r="M457" s="2" t="s">
        <v>825</v>
      </c>
      <c r="N457" s="6" t="s">
        <v>828</v>
      </c>
    </row>
    <row r="458" spans="1:14" ht="15" customHeight="1" x14ac:dyDescent="0.2">
      <c r="A458" s="31">
        <v>9.1601415370138692</v>
      </c>
      <c r="B458" s="31"/>
      <c r="C458" s="2" t="s">
        <v>855</v>
      </c>
      <c r="D458" s="31">
        <f xml:space="preserve"> A458 * 0.196</f>
        <v>1.7953877412547183</v>
      </c>
      <c r="F458" s="2" t="s">
        <v>822</v>
      </c>
      <c r="G458" s="23" t="s">
        <v>902</v>
      </c>
      <c r="H458" s="2" t="s">
        <v>822</v>
      </c>
      <c r="J458" s="31">
        <v>51.278301200000001</v>
      </c>
      <c r="K458" s="31">
        <v>-6.1373300999999998</v>
      </c>
      <c r="L458" s="31"/>
      <c r="M458" s="31" t="s">
        <v>854</v>
      </c>
      <c r="N458" s="6" t="s">
        <v>856</v>
      </c>
    </row>
    <row r="459" spans="1:14" ht="15" customHeight="1" x14ac:dyDescent="0.2">
      <c r="A459" s="22">
        <v>1.7635774785757059</v>
      </c>
      <c r="B459" s="22"/>
      <c r="C459" s="2" t="s">
        <v>891</v>
      </c>
      <c r="D459" s="2">
        <f>A459</f>
        <v>1.7635774785757059</v>
      </c>
      <c r="F459" s="2">
        <v>2023</v>
      </c>
      <c r="G459" s="23" t="s">
        <v>902</v>
      </c>
      <c r="H459" s="2" t="s">
        <v>745</v>
      </c>
      <c r="I459" s="23" t="s">
        <v>827</v>
      </c>
      <c r="J459" s="23">
        <v>64.661519999999996</v>
      </c>
      <c r="K459" s="23">
        <v>-14.030492000000001</v>
      </c>
      <c r="L459" s="23" t="s">
        <v>817</v>
      </c>
      <c r="M459" s="2" t="s">
        <v>825</v>
      </c>
      <c r="N459" s="6" t="s">
        <v>828</v>
      </c>
    </row>
    <row r="460" spans="1:14" ht="15" customHeight="1" x14ac:dyDescent="0.2">
      <c r="A460" s="22">
        <v>1.7563604428356587</v>
      </c>
      <c r="B460" s="22"/>
      <c r="C460" s="2" t="s">
        <v>891</v>
      </c>
      <c r="D460" s="2">
        <f>A460</f>
        <v>1.7563604428356587</v>
      </c>
      <c r="F460" s="2">
        <v>2023</v>
      </c>
      <c r="G460" s="23" t="s">
        <v>902</v>
      </c>
      <c r="H460" s="2" t="s">
        <v>765</v>
      </c>
      <c r="I460" s="23" t="s">
        <v>826</v>
      </c>
      <c r="J460" s="23">
        <v>64.929947999999996</v>
      </c>
      <c r="K460" s="23">
        <v>-13.595003999999999</v>
      </c>
      <c r="L460" s="23" t="s">
        <v>817</v>
      </c>
      <c r="M460" s="2" t="s">
        <v>825</v>
      </c>
      <c r="N460" s="6" t="s">
        <v>828</v>
      </c>
    </row>
    <row r="461" spans="1:14" ht="15" customHeight="1" x14ac:dyDescent="0.2">
      <c r="A461" s="22">
        <v>1.7211683290419049</v>
      </c>
      <c r="B461" s="22"/>
      <c r="C461" s="2" t="s">
        <v>891</v>
      </c>
      <c r="D461" s="2">
        <f>A461</f>
        <v>1.7211683290419049</v>
      </c>
      <c r="F461" s="2">
        <v>2023</v>
      </c>
      <c r="G461" s="23" t="s">
        <v>902</v>
      </c>
      <c r="H461" s="2" t="s">
        <v>770</v>
      </c>
      <c r="I461" s="23" t="s">
        <v>190</v>
      </c>
      <c r="J461" s="23">
        <v>58337098</v>
      </c>
      <c r="K461" s="23">
        <v>11872208</v>
      </c>
      <c r="L461" s="23" t="s">
        <v>819</v>
      </c>
      <c r="M461" s="2" t="s">
        <v>825</v>
      </c>
      <c r="N461" s="6" t="s">
        <v>828</v>
      </c>
    </row>
    <row r="462" spans="1:14" ht="15" customHeight="1" x14ac:dyDescent="0.2">
      <c r="A462" s="20">
        <v>7.5690476190476183E-2</v>
      </c>
      <c r="B462" s="20"/>
      <c r="C462" s="2" t="s">
        <v>98</v>
      </c>
      <c r="D462" s="2">
        <f>A462 * 22.727</f>
        <v>1.7202174523809521</v>
      </c>
      <c r="F462" s="2" t="s">
        <v>822</v>
      </c>
      <c r="G462" s="2" t="s">
        <v>901</v>
      </c>
      <c r="H462" s="2" t="s">
        <v>822</v>
      </c>
      <c r="I462" s="14" t="s">
        <v>236</v>
      </c>
      <c r="J462" s="16">
        <v>64.878797000000006</v>
      </c>
      <c r="K462" s="16">
        <v>25.333984000000001</v>
      </c>
      <c r="L462" s="16"/>
      <c r="M462" s="33" t="s">
        <v>821</v>
      </c>
      <c r="N462" s="17" t="s">
        <v>880</v>
      </c>
    </row>
    <row r="463" spans="1:14" ht="15" customHeight="1" x14ac:dyDescent="0.2">
      <c r="A463" s="31">
        <v>3.1255013171046799E-3</v>
      </c>
      <c r="B463" s="31"/>
      <c r="C463" s="2" t="s">
        <v>892</v>
      </c>
      <c r="D463" s="2">
        <f>A463 * 545.45</f>
        <v>1.7048046934147478</v>
      </c>
      <c r="F463" s="2">
        <v>2020</v>
      </c>
      <c r="G463" s="38" t="s">
        <v>901</v>
      </c>
      <c r="H463" s="2" t="s">
        <v>728</v>
      </c>
      <c r="I463" s="31" t="s">
        <v>261</v>
      </c>
      <c r="J463" s="31">
        <v>54.372100000000003</v>
      </c>
      <c r="K463" s="31">
        <v>13.242699999999999</v>
      </c>
      <c r="L463" s="2" t="s">
        <v>28</v>
      </c>
      <c r="M463" s="2" t="s">
        <v>824</v>
      </c>
      <c r="N463" s="17" t="s">
        <v>906</v>
      </c>
    </row>
    <row r="464" spans="1:14" ht="15" customHeight="1" x14ac:dyDescent="0.2">
      <c r="A464" s="31">
        <v>3.1233164254735298E-3</v>
      </c>
      <c r="B464" s="31"/>
      <c r="C464" s="2" t="s">
        <v>892</v>
      </c>
      <c r="D464" s="2">
        <f>A464 * 545.45</f>
        <v>1.7036129442745369</v>
      </c>
      <c r="F464" s="2">
        <v>2020</v>
      </c>
      <c r="G464" s="38" t="s">
        <v>901</v>
      </c>
      <c r="H464" s="2" t="s">
        <v>740</v>
      </c>
      <c r="I464" s="31" t="s">
        <v>256</v>
      </c>
      <c r="J464" s="31">
        <v>54.371099999999998</v>
      </c>
      <c r="K464" s="31">
        <v>13.2446</v>
      </c>
      <c r="L464" s="2" t="s">
        <v>28</v>
      </c>
      <c r="M464" s="2" t="s">
        <v>824</v>
      </c>
      <c r="N464" s="17" t="s">
        <v>906</v>
      </c>
    </row>
    <row r="465" spans="1:14" ht="15" customHeight="1" x14ac:dyDescent="0.2">
      <c r="A465" s="31">
        <v>3.1188119684803501E-3</v>
      </c>
      <c r="B465" s="31"/>
      <c r="C465" s="2" t="s">
        <v>892</v>
      </c>
      <c r="D465" s="2">
        <f>A465 * 545.45</f>
        <v>1.7011559882076071</v>
      </c>
      <c r="F465" s="2">
        <v>2020</v>
      </c>
      <c r="G465" s="38" t="s">
        <v>901</v>
      </c>
      <c r="H465" s="2" t="s">
        <v>724</v>
      </c>
      <c r="I465" s="31" t="s">
        <v>262</v>
      </c>
      <c r="J465" s="31" t="s">
        <v>822</v>
      </c>
      <c r="K465" s="31" t="s">
        <v>822</v>
      </c>
      <c r="L465" s="2" t="s">
        <v>28</v>
      </c>
      <c r="M465" s="2" t="s">
        <v>824</v>
      </c>
      <c r="N465" s="17" t="s">
        <v>906</v>
      </c>
    </row>
    <row r="466" spans="1:14" ht="15" customHeight="1" x14ac:dyDescent="0.2">
      <c r="A466" s="2">
        <v>1.7</v>
      </c>
      <c r="B466" s="2">
        <v>2</v>
      </c>
      <c r="C466" s="2" t="s">
        <v>891</v>
      </c>
      <c r="D466" s="2">
        <f>A466</f>
        <v>1.7</v>
      </c>
      <c r="E466" s="2">
        <f>B466</f>
        <v>2</v>
      </c>
      <c r="F466" s="2">
        <v>2015</v>
      </c>
      <c r="G466" s="2" t="s">
        <v>902</v>
      </c>
      <c r="H466" s="5" t="s">
        <v>156</v>
      </c>
      <c r="I466" s="2" t="s">
        <v>158</v>
      </c>
      <c r="J466" s="2">
        <v>37.012805999999998</v>
      </c>
      <c r="K466" s="2">
        <v>-7.0772560000000002</v>
      </c>
      <c r="L466" s="2" t="s">
        <v>82</v>
      </c>
      <c r="N466" s="9" t="s">
        <v>159</v>
      </c>
    </row>
    <row r="467" spans="1:14" ht="15" customHeight="1" x14ac:dyDescent="0.2">
      <c r="A467" s="31">
        <v>74.709999999999994</v>
      </c>
      <c r="B467" s="31">
        <v>2.08</v>
      </c>
      <c r="C467" s="31" t="s">
        <v>681</v>
      </c>
      <c r="D467" s="2">
        <f>A467 * 0.02273</f>
        <v>1.6981582999999998</v>
      </c>
      <c r="E467" s="2">
        <f>B467* 0.02273</f>
        <v>4.7278400000000005E-2</v>
      </c>
      <c r="F467" s="2">
        <v>2017</v>
      </c>
      <c r="G467" s="23" t="s">
        <v>901</v>
      </c>
      <c r="H467" s="2" t="s">
        <v>829</v>
      </c>
      <c r="I467" s="31" t="s">
        <v>841</v>
      </c>
      <c r="J467" s="31">
        <v>37.270000000000003</v>
      </c>
      <c r="K467" s="31">
        <v>-3.68</v>
      </c>
      <c r="L467" s="34" t="s">
        <v>82</v>
      </c>
      <c r="N467" s="6" t="s">
        <v>853</v>
      </c>
    </row>
    <row r="468" spans="1:14" ht="15" customHeight="1" x14ac:dyDescent="0.2">
      <c r="A468" s="22">
        <v>1.6378820026926613</v>
      </c>
      <c r="B468" s="22"/>
      <c r="C468" s="2" t="s">
        <v>891</v>
      </c>
      <c r="D468" s="2">
        <f t="shared" ref="D468:D474" si="7">A468</f>
        <v>1.6378820026926613</v>
      </c>
      <c r="F468" s="2">
        <v>2023</v>
      </c>
      <c r="G468" s="23" t="s">
        <v>902</v>
      </c>
      <c r="H468" s="2" t="s">
        <v>770</v>
      </c>
      <c r="I468" s="23" t="s">
        <v>190</v>
      </c>
      <c r="J468" s="23">
        <v>58327135</v>
      </c>
      <c r="K468" s="23">
        <v>11850230</v>
      </c>
      <c r="L468" s="23" t="s">
        <v>819</v>
      </c>
      <c r="M468" s="2" t="s">
        <v>825</v>
      </c>
      <c r="N468" s="6" t="s">
        <v>828</v>
      </c>
    </row>
    <row r="469" spans="1:14" ht="15" customHeight="1" x14ac:dyDescent="0.2">
      <c r="A469" s="22">
        <v>1.6001411825520231</v>
      </c>
      <c r="B469" s="22"/>
      <c r="C469" s="2" t="s">
        <v>891</v>
      </c>
      <c r="D469" s="2">
        <f t="shared" si="7"/>
        <v>1.6001411825520231</v>
      </c>
      <c r="F469" s="2">
        <v>2023</v>
      </c>
      <c r="G469" s="23" t="s">
        <v>902</v>
      </c>
      <c r="H469" s="2" t="s">
        <v>770</v>
      </c>
      <c r="I469" s="23" t="s">
        <v>190</v>
      </c>
      <c r="J469" s="23">
        <v>58332343</v>
      </c>
      <c r="K469" s="23">
        <v>11893401</v>
      </c>
      <c r="L469" s="23" t="s">
        <v>819</v>
      </c>
      <c r="M469" s="2" t="s">
        <v>825</v>
      </c>
      <c r="N469" s="6" t="s">
        <v>828</v>
      </c>
    </row>
    <row r="470" spans="1:14" ht="15" customHeight="1" x14ac:dyDescent="0.2">
      <c r="A470" s="22">
        <v>1.5936031585419483</v>
      </c>
      <c r="B470" s="22"/>
      <c r="C470" s="2" t="s">
        <v>891</v>
      </c>
      <c r="D470" s="2">
        <f t="shared" si="7"/>
        <v>1.5936031585419483</v>
      </c>
      <c r="F470" s="2">
        <v>2023</v>
      </c>
      <c r="G470" s="23" t="s">
        <v>902</v>
      </c>
      <c r="H470" s="2" t="s">
        <v>770</v>
      </c>
      <c r="I470" s="23" t="s">
        <v>190</v>
      </c>
      <c r="J470" s="23">
        <v>58332305</v>
      </c>
      <c r="K470" s="23">
        <v>11893402</v>
      </c>
      <c r="L470" s="23" t="s">
        <v>819</v>
      </c>
      <c r="M470" s="2" t="s">
        <v>825</v>
      </c>
      <c r="N470" s="6" t="s">
        <v>828</v>
      </c>
    </row>
    <row r="471" spans="1:14" ht="15" customHeight="1" x14ac:dyDescent="0.2">
      <c r="A471" s="2">
        <v>1.59</v>
      </c>
      <c r="B471" s="2">
        <v>1.93</v>
      </c>
      <c r="C471" s="2" t="s">
        <v>891</v>
      </c>
      <c r="D471" s="2">
        <f t="shared" si="7"/>
        <v>1.59</v>
      </c>
      <c r="E471" s="2">
        <f>B471</f>
        <v>1.93</v>
      </c>
      <c r="F471" s="2">
        <v>2011</v>
      </c>
      <c r="G471" s="2" t="s">
        <v>902</v>
      </c>
      <c r="H471" s="2" t="s">
        <v>94</v>
      </c>
      <c r="I471" s="2" t="s">
        <v>95</v>
      </c>
      <c r="J471" s="2">
        <v>57.25</v>
      </c>
      <c r="K471" s="2">
        <v>2.5</v>
      </c>
      <c r="N471" s="6" t="s">
        <v>93</v>
      </c>
    </row>
    <row r="472" spans="1:14" ht="15" customHeight="1" x14ac:dyDescent="0.2">
      <c r="A472" s="22">
        <v>1.5783001095420104</v>
      </c>
      <c r="B472" s="22"/>
      <c r="C472" s="2" t="s">
        <v>891</v>
      </c>
      <c r="D472" s="2">
        <f t="shared" si="7"/>
        <v>1.5783001095420104</v>
      </c>
      <c r="F472" s="2">
        <v>2023</v>
      </c>
      <c r="G472" s="23" t="s">
        <v>902</v>
      </c>
      <c r="H472" s="2" t="s">
        <v>770</v>
      </c>
      <c r="I472" s="23" t="s">
        <v>190</v>
      </c>
      <c r="J472" s="23">
        <v>58345563</v>
      </c>
      <c r="K472" s="23">
        <v>11890146</v>
      </c>
      <c r="L472" s="23" t="s">
        <v>819</v>
      </c>
      <c r="M472" s="2" t="s">
        <v>825</v>
      </c>
      <c r="N472" s="6" t="s">
        <v>828</v>
      </c>
    </row>
    <row r="473" spans="1:14" ht="15" customHeight="1" x14ac:dyDescent="0.2">
      <c r="A473" s="2">
        <v>1.57</v>
      </c>
      <c r="B473" s="2">
        <v>1.79</v>
      </c>
      <c r="C473" s="2" t="s">
        <v>891</v>
      </c>
      <c r="D473" s="2">
        <f t="shared" si="7"/>
        <v>1.57</v>
      </c>
      <c r="E473" s="2">
        <f>B473</f>
        <v>1.79</v>
      </c>
      <c r="F473" s="4" t="s">
        <v>698</v>
      </c>
      <c r="G473" s="2" t="s">
        <v>903</v>
      </c>
      <c r="H473" s="2" t="s">
        <v>91</v>
      </c>
      <c r="I473" s="2" t="s">
        <v>92</v>
      </c>
      <c r="J473" s="2">
        <v>49.39</v>
      </c>
      <c r="K473" s="2">
        <v>-8.58</v>
      </c>
      <c r="N473" s="6" t="s">
        <v>93</v>
      </c>
    </row>
    <row r="474" spans="1:14" ht="15" customHeight="1" x14ac:dyDescent="0.2">
      <c r="A474" s="2">
        <v>1.57</v>
      </c>
      <c r="B474" s="2">
        <v>1.47</v>
      </c>
      <c r="C474" s="2" t="s">
        <v>891</v>
      </c>
      <c r="D474" s="2">
        <f t="shared" si="7"/>
        <v>1.57</v>
      </c>
      <c r="E474" s="2">
        <f>B474</f>
        <v>1.47</v>
      </c>
      <c r="F474" s="2">
        <v>2018</v>
      </c>
      <c r="G474" s="2" t="s">
        <v>902</v>
      </c>
      <c r="H474" s="2" t="s">
        <v>162</v>
      </c>
      <c r="I474" s="2" t="s">
        <v>121</v>
      </c>
      <c r="J474" s="2">
        <v>43.361130000000003</v>
      </c>
      <c r="K474" s="2">
        <v>-8.3644099999999995</v>
      </c>
      <c r="L474" s="2" t="s">
        <v>82</v>
      </c>
      <c r="M474" s="2" t="s">
        <v>122</v>
      </c>
      <c r="N474" s="9" t="s">
        <v>123</v>
      </c>
    </row>
    <row r="475" spans="1:14" ht="15" customHeight="1" x14ac:dyDescent="0.2">
      <c r="A475" s="20">
        <v>6.8933333333333319E-2</v>
      </c>
      <c r="B475" s="20"/>
      <c r="C475" s="2" t="s">
        <v>98</v>
      </c>
      <c r="D475" s="2">
        <f>A475 * 22.727</f>
        <v>1.5666478666666663</v>
      </c>
      <c r="F475" s="2" t="s">
        <v>822</v>
      </c>
      <c r="G475" s="2" t="s">
        <v>901</v>
      </c>
      <c r="H475" s="2" t="s">
        <v>822</v>
      </c>
      <c r="I475" s="14" t="s">
        <v>239</v>
      </c>
      <c r="J475" s="16">
        <v>38.455860999999999</v>
      </c>
      <c r="K475" s="16">
        <v>-8.7790970000000002</v>
      </c>
      <c r="L475" s="16"/>
      <c r="M475" s="33" t="s">
        <v>821</v>
      </c>
      <c r="N475" s="17" t="s">
        <v>882</v>
      </c>
    </row>
    <row r="476" spans="1:14" ht="15" customHeight="1" x14ac:dyDescent="0.2">
      <c r="A476" s="31">
        <v>2.8084989802450201E-3</v>
      </c>
      <c r="B476" s="31"/>
      <c r="C476" s="2" t="s">
        <v>892</v>
      </c>
      <c r="D476" s="2">
        <f>A476 * 545.45</f>
        <v>1.5318957687746464</v>
      </c>
      <c r="F476" s="2">
        <v>2020</v>
      </c>
      <c r="G476" s="38" t="s">
        <v>901</v>
      </c>
      <c r="H476" s="2" t="s">
        <v>724</v>
      </c>
      <c r="I476" s="31" t="s">
        <v>268</v>
      </c>
      <c r="J476" s="31" t="s">
        <v>822</v>
      </c>
      <c r="K476" s="31" t="s">
        <v>822</v>
      </c>
      <c r="L476" s="2" t="s">
        <v>28</v>
      </c>
      <c r="M476" s="2" t="s">
        <v>824</v>
      </c>
      <c r="N476" s="17" t="s">
        <v>906</v>
      </c>
    </row>
    <row r="477" spans="1:14" ht="15" customHeight="1" x14ac:dyDescent="0.2">
      <c r="A477" s="22">
        <v>1.5139662294227352</v>
      </c>
      <c r="B477" s="22"/>
      <c r="C477" s="2" t="s">
        <v>891</v>
      </c>
      <c r="D477" s="2">
        <f>A477</f>
        <v>1.5139662294227352</v>
      </c>
      <c r="F477" s="2">
        <v>2023</v>
      </c>
      <c r="G477" s="23" t="s">
        <v>902</v>
      </c>
      <c r="H477" s="2" t="s">
        <v>770</v>
      </c>
      <c r="I477" s="23" t="s">
        <v>190</v>
      </c>
      <c r="J477" s="23">
        <v>58340229</v>
      </c>
      <c r="K477" s="23">
        <v>11900036</v>
      </c>
      <c r="L477" s="23" t="s">
        <v>819</v>
      </c>
      <c r="M477" s="2" t="s">
        <v>825</v>
      </c>
      <c r="N477" s="6" t="s">
        <v>828</v>
      </c>
    </row>
    <row r="478" spans="1:14" ht="15" customHeight="1" x14ac:dyDescent="0.2">
      <c r="A478" s="22">
        <v>1.5109844070064817</v>
      </c>
      <c r="B478" s="22"/>
      <c r="C478" s="2" t="s">
        <v>891</v>
      </c>
      <c r="D478" s="2">
        <f>A478</f>
        <v>1.5109844070064817</v>
      </c>
      <c r="F478" s="2">
        <v>2023</v>
      </c>
      <c r="G478" s="23" t="s">
        <v>902</v>
      </c>
      <c r="H478" s="2" t="s">
        <v>765</v>
      </c>
      <c r="I478" s="23" t="s">
        <v>826</v>
      </c>
      <c r="J478" s="23">
        <v>64.955445999999995</v>
      </c>
      <c r="K478" s="23">
        <v>-13.682147000000001</v>
      </c>
      <c r="L478" s="23" t="s">
        <v>817</v>
      </c>
      <c r="M478" s="2" t="s">
        <v>825</v>
      </c>
      <c r="N478" s="6" t="s">
        <v>828</v>
      </c>
    </row>
    <row r="479" spans="1:14" ht="15" customHeight="1" x14ac:dyDescent="0.2">
      <c r="A479" s="22">
        <v>1.5055897940914789</v>
      </c>
      <c r="B479" s="22"/>
      <c r="C479" s="2" t="s">
        <v>891</v>
      </c>
      <c r="D479" s="2">
        <f>A479</f>
        <v>1.5055897940914789</v>
      </c>
      <c r="F479" s="2">
        <v>2023</v>
      </c>
      <c r="G479" s="23" t="s">
        <v>902</v>
      </c>
      <c r="H479" s="2" t="s">
        <v>770</v>
      </c>
      <c r="I479" s="23" t="s">
        <v>190</v>
      </c>
      <c r="J479" s="23">
        <v>58332303</v>
      </c>
      <c r="K479" s="23">
        <v>11893400</v>
      </c>
      <c r="L479" s="23" t="s">
        <v>819</v>
      </c>
      <c r="M479" s="2" t="s">
        <v>825</v>
      </c>
      <c r="N479" s="6" t="s">
        <v>828</v>
      </c>
    </row>
    <row r="480" spans="1:14" ht="15" customHeight="1" x14ac:dyDescent="0.2">
      <c r="A480" s="31">
        <v>2.7598061826919601E-3</v>
      </c>
      <c r="B480" s="31"/>
      <c r="C480" s="2" t="s">
        <v>892</v>
      </c>
      <c r="D480" s="2">
        <f>A480 * 545.45</f>
        <v>1.5053362823493297</v>
      </c>
      <c r="F480" s="2">
        <v>2020</v>
      </c>
      <c r="G480" s="38" t="s">
        <v>901</v>
      </c>
      <c r="H480" s="2" t="s">
        <v>724</v>
      </c>
      <c r="I480" s="31" t="s">
        <v>264</v>
      </c>
      <c r="J480" s="31" t="s">
        <v>822</v>
      </c>
      <c r="K480" s="31" t="s">
        <v>822</v>
      </c>
      <c r="L480" s="2" t="s">
        <v>28</v>
      </c>
      <c r="M480" s="2" t="s">
        <v>824</v>
      </c>
      <c r="N480" s="17" t="s">
        <v>906</v>
      </c>
    </row>
    <row r="481" spans="1:14" ht="15" customHeight="1" x14ac:dyDescent="0.2">
      <c r="A481" s="31">
        <v>2.6896753771028202E-3</v>
      </c>
      <c r="B481" s="31"/>
      <c r="C481" s="2" t="s">
        <v>892</v>
      </c>
      <c r="D481" s="2">
        <f>A481 * 545.45</f>
        <v>1.4670834344407333</v>
      </c>
      <c r="F481" s="2">
        <v>2020</v>
      </c>
      <c r="G481" s="38" t="s">
        <v>901</v>
      </c>
      <c r="H481" s="2" t="s">
        <v>740</v>
      </c>
      <c r="I481" s="31" t="s">
        <v>259</v>
      </c>
      <c r="J481" s="31">
        <v>54.373600000000003</v>
      </c>
      <c r="K481" s="31">
        <v>13.239800000000001</v>
      </c>
      <c r="L481" s="2" t="s">
        <v>28</v>
      </c>
      <c r="M481" s="2" t="s">
        <v>824</v>
      </c>
      <c r="N481" s="17" t="s">
        <v>906</v>
      </c>
    </row>
    <row r="482" spans="1:14" ht="15" customHeight="1" x14ac:dyDescent="0.2">
      <c r="A482" s="2">
        <v>64.400000000000006</v>
      </c>
      <c r="B482" s="2">
        <v>24</v>
      </c>
      <c r="C482" s="31" t="s">
        <v>681</v>
      </c>
      <c r="D482" s="2">
        <f>A482 * 0.02273</f>
        <v>1.4638120000000001</v>
      </c>
      <c r="E482" s="2">
        <f>B482* 0.02273</f>
        <v>0.54552</v>
      </c>
      <c r="F482" s="2">
        <v>2023</v>
      </c>
      <c r="G482" s="2" t="s">
        <v>902</v>
      </c>
      <c r="H482" s="2" t="s">
        <v>154</v>
      </c>
      <c r="I482" s="2" t="s">
        <v>190</v>
      </c>
      <c r="J482" s="2">
        <v>58.33</v>
      </c>
      <c r="K482" s="2">
        <v>11.89</v>
      </c>
      <c r="L482" s="2" t="s">
        <v>819</v>
      </c>
      <c r="M482" s="2" t="s">
        <v>818</v>
      </c>
      <c r="N482" s="6" t="s">
        <v>862</v>
      </c>
    </row>
    <row r="483" spans="1:14" ht="15" customHeight="1" x14ac:dyDescent="0.2">
      <c r="A483" s="22">
        <v>1.4502312651571643</v>
      </c>
      <c r="B483" s="22"/>
      <c r="C483" s="2" t="s">
        <v>891</v>
      </c>
      <c r="D483" s="2">
        <f>A483</f>
        <v>1.4502312651571643</v>
      </c>
      <c r="F483" s="2">
        <v>2023</v>
      </c>
      <c r="G483" s="23" t="s">
        <v>902</v>
      </c>
      <c r="H483" s="2" t="s">
        <v>770</v>
      </c>
      <c r="I483" s="23" t="s">
        <v>190</v>
      </c>
      <c r="J483" s="23">
        <v>58340374</v>
      </c>
      <c r="K483" s="23">
        <v>11900536</v>
      </c>
      <c r="L483" s="23" t="s">
        <v>819</v>
      </c>
      <c r="M483" s="2" t="s">
        <v>825</v>
      </c>
      <c r="N483" s="6" t="s">
        <v>828</v>
      </c>
    </row>
    <row r="484" spans="1:14" ht="15" customHeight="1" x14ac:dyDescent="0.2">
      <c r="A484" s="31">
        <v>2.6518525612252899E-3</v>
      </c>
      <c r="B484" s="31"/>
      <c r="C484" s="2" t="s">
        <v>892</v>
      </c>
      <c r="D484" s="2">
        <f>A484 * 545.45</f>
        <v>1.4464529795203345</v>
      </c>
      <c r="F484" s="2">
        <v>2020</v>
      </c>
      <c r="G484" s="38" t="s">
        <v>901</v>
      </c>
      <c r="H484" s="2" t="s">
        <v>758</v>
      </c>
      <c r="I484" s="31" t="s">
        <v>269</v>
      </c>
      <c r="J484" s="31">
        <v>54.370600000000003</v>
      </c>
      <c r="K484" s="31">
        <v>13.2418</v>
      </c>
      <c r="L484" s="2" t="s">
        <v>28</v>
      </c>
      <c r="M484" s="2" t="s">
        <v>824</v>
      </c>
      <c r="N484" s="17" t="s">
        <v>906</v>
      </c>
    </row>
    <row r="485" spans="1:14" ht="15" customHeight="1" x14ac:dyDescent="0.2">
      <c r="A485" s="31">
        <v>7.3563260302776481</v>
      </c>
      <c r="B485" s="31"/>
      <c r="C485" s="2" t="s">
        <v>855</v>
      </c>
      <c r="D485" s="31">
        <f xml:space="preserve"> A485 * 0.196</f>
        <v>1.441839901934419</v>
      </c>
      <c r="F485" s="2" t="s">
        <v>822</v>
      </c>
      <c r="G485" s="23" t="s">
        <v>902</v>
      </c>
      <c r="H485" s="2" t="s">
        <v>822</v>
      </c>
      <c r="J485" s="31">
        <v>51.333099400000002</v>
      </c>
      <c r="K485" s="31">
        <v>-7.6373300999999998</v>
      </c>
      <c r="L485" s="31"/>
      <c r="M485" s="31" t="s">
        <v>854</v>
      </c>
      <c r="N485" s="6" t="s">
        <v>856</v>
      </c>
    </row>
    <row r="486" spans="1:14" ht="15" customHeight="1" x14ac:dyDescent="0.2">
      <c r="A486" s="31">
        <v>2.6355744928124899E-3</v>
      </c>
      <c r="B486" s="31"/>
      <c r="C486" s="2" t="s">
        <v>892</v>
      </c>
      <c r="D486" s="2">
        <f>A486 * 545.45</f>
        <v>1.4375741071045727</v>
      </c>
      <c r="F486" s="2">
        <v>2020</v>
      </c>
      <c r="G486" s="38" t="s">
        <v>901</v>
      </c>
      <c r="H486" s="2" t="s">
        <v>724</v>
      </c>
      <c r="I486" s="31" t="s">
        <v>263</v>
      </c>
      <c r="J486" s="31" t="s">
        <v>822</v>
      </c>
      <c r="K486" s="31" t="s">
        <v>822</v>
      </c>
      <c r="L486" s="2" t="s">
        <v>28</v>
      </c>
      <c r="M486" s="2" t="s">
        <v>824</v>
      </c>
      <c r="N486" s="17" t="s">
        <v>906</v>
      </c>
    </row>
    <row r="487" spans="1:14" ht="15" customHeight="1" x14ac:dyDescent="0.2">
      <c r="A487" s="31">
        <v>62.63</v>
      </c>
      <c r="B487" s="31">
        <v>1.38</v>
      </c>
      <c r="C487" s="31" t="s">
        <v>681</v>
      </c>
      <c r="D487" s="2">
        <f>A487 * 0.02273</f>
        <v>1.4235799</v>
      </c>
      <c r="E487" s="2">
        <f>B487* 0.02273</f>
        <v>3.1367399999999997E-2</v>
      </c>
      <c r="F487" s="2">
        <v>2017</v>
      </c>
      <c r="G487" s="23" t="s">
        <v>901</v>
      </c>
      <c r="H487" s="2" t="s">
        <v>831</v>
      </c>
      <c r="I487" s="31" t="s">
        <v>843</v>
      </c>
      <c r="J487" s="31">
        <v>37.56</v>
      </c>
      <c r="K487" s="31">
        <v>-2.95</v>
      </c>
      <c r="L487" s="34" t="s">
        <v>82</v>
      </c>
      <c r="N487" s="6" t="s">
        <v>853</v>
      </c>
    </row>
    <row r="488" spans="1:14" ht="15" customHeight="1" x14ac:dyDescent="0.2">
      <c r="A488" s="2">
        <v>1.4</v>
      </c>
      <c r="B488" s="2">
        <v>0.82</v>
      </c>
      <c r="C488" s="2" t="s">
        <v>891</v>
      </c>
      <c r="D488" s="2">
        <f>A488</f>
        <v>1.4</v>
      </c>
      <c r="E488" s="2">
        <f>B488</f>
        <v>0.82</v>
      </c>
      <c r="F488" s="2">
        <v>2017</v>
      </c>
      <c r="G488" s="2" t="s">
        <v>902</v>
      </c>
      <c r="H488" s="2" t="s">
        <v>21</v>
      </c>
      <c r="I488" s="2" t="s">
        <v>124</v>
      </c>
      <c r="J488" s="2">
        <v>42.236280000000001</v>
      </c>
      <c r="K488" s="2">
        <v>-8.7857000000000003</v>
      </c>
      <c r="L488" s="2" t="s">
        <v>82</v>
      </c>
      <c r="M488" s="2" t="s">
        <v>125</v>
      </c>
      <c r="N488" s="9" t="s">
        <v>123</v>
      </c>
    </row>
    <row r="489" spans="1:14" ht="15" customHeight="1" x14ac:dyDescent="0.2">
      <c r="A489" s="31">
        <v>2.5284770545254001E-3</v>
      </c>
      <c r="B489" s="31"/>
      <c r="C489" s="2" t="s">
        <v>892</v>
      </c>
      <c r="D489" s="2">
        <f>A489 * 545.45</f>
        <v>1.3791578093908796</v>
      </c>
      <c r="F489" s="2">
        <v>2020</v>
      </c>
      <c r="G489" s="38" t="s">
        <v>901</v>
      </c>
      <c r="H489" s="2" t="s">
        <v>728</v>
      </c>
      <c r="I489" s="31" t="s">
        <v>260</v>
      </c>
      <c r="J489" s="31">
        <v>54.372</v>
      </c>
      <c r="K489" s="31">
        <v>13.241300000000001</v>
      </c>
      <c r="L489" s="2" t="s">
        <v>28</v>
      </c>
      <c r="M489" s="2" t="s">
        <v>824</v>
      </c>
      <c r="N489" s="17" t="s">
        <v>906</v>
      </c>
    </row>
    <row r="490" spans="1:14" ht="15" customHeight="1" x14ac:dyDescent="0.2">
      <c r="A490" s="31">
        <v>2.47435662995368E-3</v>
      </c>
      <c r="B490" s="31"/>
      <c r="C490" s="2" t="s">
        <v>892</v>
      </c>
      <c r="D490" s="2">
        <f>A490 * 545.45</f>
        <v>1.3496378238082349</v>
      </c>
      <c r="F490" s="2">
        <v>2020</v>
      </c>
      <c r="G490" s="38" t="s">
        <v>901</v>
      </c>
      <c r="H490" s="2" t="s">
        <v>764</v>
      </c>
      <c r="I490" s="31" t="s">
        <v>269</v>
      </c>
      <c r="J490" s="31">
        <v>54.370600000000003</v>
      </c>
      <c r="K490" s="31">
        <v>13.2418</v>
      </c>
      <c r="L490" s="2" t="s">
        <v>28</v>
      </c>
      <c r="M490" s="2" t="s">
        <v>824</v>
      </c>
      <c r="N490" s="17" t="s">
        <v>906</v>
      </c>
    </row>
    <row r="491" spans="1:14" ht="15" customHeight="1" x14ac:dyDescent="0.2">
      <c r="A491" s="31">
        <v>2.44008996287178E-3</v>
      </c>
      <c r="B491" s="31"/>
      <c r="C491" s="2" t="s">
        <v>892</v>
      </c>
      <c r="D491" s="2">
        <f>A491 * 545.45</f>
        <v>1.3309470702484125</v>
      </c>
      <c r="F491" s="2">
        <v>2020</v>
      </c>
      <c r="G491" s="38" t="s">
        <v>901</v>
      </c>
      <c r="H491" s="2" t="s">
        <v>740</v>
      </c>
      <c r="I491" s="31" t="s">
        <v>258</v>
      </c>
      <c r="J491" s="31">
        <v>54.371299999999998</v>
      </c>
      <c r="K491" s="31">
        <v>13.2438</v>
      </c>
      <c r="L491" s="2" t="s">
        <v>28</v>
      </c>
      <c r="M491" s="2" t="s">
        <v>824</v>
      </c>
      <c r="N491" s="17" t="s">
        <v>906</v>
      </c>
    </row>
    <row r="492" spans="1:14" ht="15" customHeight="1" x14ac:dyDescent="0.2">
      <c r="A492" s="22">
        <v>1.3249178545503699</v>
      </c>
      <c r="B492" s="22"/>
      <c r="C492" s="2" t="s">
        <v>891</v>
      </c>
      <c r="D492" s="2">
        <f>A492</f>
        <v>1.3249178545503699</v>
      </c>
      <c r="F492" s="2">
        <v>2023</v>
      </c>
      <c r="G492" s="23" t="s">
        <v>902</v>
      </c>
      <c r="H492" s="2" t="s">
        <v>765</v>
      </c>
      <c r="I492" s="23" t="s">
        <v>826</v>
      </c>
      <c r="J492" s="23">
        <v>64.956900000000005</v>
      </c>
      <c r="K492" s="23">
        <v>-13.60186</v>
      </c>
      <c r="L492" s="23" t="s">
        <v>817</v>
      </c>
      <c r="M492" s="2" t="s">
        <v>825</v>
      </c>
      <c r="N492" s="6" t="s">
        <v>828</v>
      </c>
    </row>
    <row r="493" spans="1:14" ht="15" customHeight="1" x14ac:dyDescent="0.2">
      <c r="A493" s="31">
        <v>2.4188181946349701E-3</v>
      </c>
      <c r="B493" s="31"/>
      <c r="C493" s="2" t="s">
        <v>892</v>
      </c>
      <c r="D493" s="2">
        <f>A493 * 545.45</f>
        <v>1.3193443842636445</v>
      </c>
      <c r="F493" s="2">
        <v>2020</v>
      </c>
      <c r="G493" s="38" t="s">
        <v>901</v>
      </c>
      <c r="H493" s="2" t="s">
        <v>737</v>
      </c>
      <c r="I493" s="31" t="s">
        <v>260</v>
      </c>
      <c r="J493" s="31">
        <v>54.372</v>
      </c>
      <c r="K493" s="31">
        <v>13.241300000000001</v>
      </c>
      <c r="L493" s="2" t="s">
        <v>28</v>
      </c>
      <c r="M493" s="2" t="s">
        <v>824</v>
      </c>
      <c r="N493" s="17" t="s">
        <v>906</v>
      </c>
    </row>
    <row r="494" spans="1:14" ht="15" customHeight="1" x14ac:dyDescent="0.2">
      <c r="A494" s="31">
        <v>2.4023069632161998E-3</v>
      </c>
      <c r="B494" s="31"/>
      <c r="C494" s="2" t="s">
        <v>892</v>
      </c>
      <c r="D494" s="2">
        <f>A494 * 545.45</f>
        <v>1.3103383330862763</v>
      </c>
      <c r="F494" s="2">
        <v>2020</v>
      </c>
      <c r="G494" s="38" t="s">
        <v>901</v>
      </c>
      <c r="H494" s="2" t="s">
        <v>728</v>
      </c>
      <c r="I494" s="31" t="s">
        <v>257</v>
      </c>
      <c r="J494" s="31">
        <v>54.371699999999997</v>
      </c>
      <c r="K494" s="31">
        <v>13.239599999999999</v>
      </c>
      <c r="L494" s="2" t="s">
        <v>28</v>
      </c>
      <c r="M494" s="2" t="s">
        <v>824</v>
      </c>
      <c r="N494" s="17" t="s">
        <v>906</v>
      </c>
    </row>
    <row r="495" spans="1:14" ht="15" customHeight="1" x14ac:dyDescent="0.2">
      <c r="A495" s="31">
        <v>6.6139990166777736</v>
      </c>
      <c r="B495" s="31"/>
      <c r="C495" s="2" t="s">
        <v>855</v>
      </c>
      <c r="D495" s="31">
        <f xml:space="preserve"> A495 * 0.196</f>
        <v>1.2963438072688436</v>
      </c>
      <c r="F495" s="2" t="s">
        <v>822</v>
      </c>
      <c r="G495" s="23" t="s">
        <v>902</v>
      </c>
      <c r="H495" s="2" t="s">
        <v>822</v>
      </c>
      <c r="J495" s="31">
        <v>51.278301200000001</v>
      </c>
      <c r="K495" s="31">
        <v>-10.637299499999999</v>
      </c>
      <c r="L495" s="31"/>
      <c r="M495" s="31" t="s">
        <v>854</v>
      </c>
      <c r="N495" s="6" t="s">
        <v>856</v>
      </c>
    </row>
    <row r="496" spans="1:14" ht="15" customHeight="1" x14ac:dyDescent="0.2">
      <c r="A496" s="22">
        <v>1.2624304586219255</v>
      </c>
      <c r="B496" s="22"/>
      <c r="C496" s="2" t="s">
        <v>891</v>
      </c>
      <c r="D496" s="2">
        <f>A496</f>
        <v>1.2624304586219255</v>
      </c>
      <c r="F496" s="2">
        <v>2023</v>
      </c>
      <c r="G496" s="23" t="s">
        <v>902</v>
      </c>
      <c r="H496" s="2" t="s">
        <v>772</v>
      </c>
      <c r="I496" s="14" t="s">
        <v>191</v>
      </c>
      <c r="J496" s="23" t="s">
        <v>291</v>
      </c>
      <c r="K496" s="23" t="s">
        <v>495</v>
      </c>
      <c r="L496" s="23" t="s">
        <v>820</v>
      </c>
      <c r="M496" s="2" t="s">
        <v>825</v>
      </c>
      <c r="N496" s="6" t="s">
        <v>828</v>
      </c>
    </row>
    <row r="497" spans="1:14" ht="15" customHeight="1" x14ac:dyDescent="0.2">
      <c r="A497" s="31">
        <v>2.3064298219099902E-3</v>
      </c>
      <c r="B497" s="31"/>
      <c r="C497" s="2" t="s">
        <v>892</v>
      </c>
      <c r="D497" s="2">
        <f>A497 * 545.45</f>
        <v>1.2580421463608042</v>
      </c>
      <c r="F497" s="2">
        <v>2020</v>
      </c>
      <c r="G497" s="38" t="s">
        <v>901</v>
      </c>
      <c r="H497" s="2" t="s">
        <v>724</v>
      </c>
      <c r="I497" s="31" t="s">
        <v>265</v>
      </c>
      <c r="J497" s="31" t="s">
        <v>822</v>
      </c>
      <c r="K497" s="31" t="s">
        <v>822</v>
      </c>
      <c r="L497" s="2" t="s">
        <v>28</v>
      </c>
      <c r="M497" s="2" t="s">
        <v>824</v>
      </c>
      <c r="N497" s="17" t="s">
        <v>906</v>
      </c>
    </row>
    <row r="498" spans="1:14" ht="15" customHeight="1" x14ac:dyDescent="0.2">
      <c r="A498" s="22">
        <v>1.1795496485089647</v>
      </c>
      <c r="B498" s="22"/>
      <c r="C498" s="2" t="s">
        <v>891</v>
      </c>
      <c r="D498" s="2">
        <f>A498</f>
        <v>1.1795496485089647</v>
      </c>
      <c r="F498" s="2">
        <v>2023</v>
      </c>
      <c r="G498" s="23" t="s">
        <v>902</v>
      </c>
      <c r="H498" s="2" t="s">
        <v>769</v>
      </c>
      <c r="I498" s="23" t="s">
        <v>190</v>
      </c>
      <c r="J498" s="23">
        <v>58328899</v>
      </c>
      <c r="K498" s="23">
        <v>11857367</v>
      </c>
      <c r="L498" s="23" t="s">
        <v>819</v>
      </c>
      <c r="M498" s="2" t="s">
        <v>825</v>
      </c>
      <c r="N498" s="6" t="s">
        <v>828</v>
      </c>
    </row>
    <row r="499" spans="1:14" ht="15" customHeight="1" x14ac:dyDescent="0.2">
      <c r="A499" s="2">
        <v>1.17</v>
      </c>
      <c r="B499" s="2">
        <v>0.09</v>
      </c>
      <c r="C499" s="2" t="s">
        <v>891</v>
      </c>
      <c r="D499" s="2">
        <f>A499</f>
        <v>1.17</v>
      </c>
      <c r="E499" s="2">
        <f>B499</f>
        <v>0.09</v>
      </c>
      <c r="F499" s="2">
        <v>2011</v>
      </c>
      <c r="G499" s="2" t="s">
        <v>902</v>
      </c>
      <c r="H499" s="2" t="s">
        <v>71</v>
      </c>
      <c r="I499" s="2" t="s">
        <v>69</v>
      </c>
      <c r="J499" s="2">
        <v>35.941650000000003</v>
      </c>
      <c r="K499" s="2">
        <v>-5.6569900000000004</v>
      </c>
      <c r="L499" s="2" t="s">
        <v>82</v>
      </c>
      <c r="M499" s="2" t="s">
        <v>70</v>
      </c>
      <c r="N499" s="6" t="s">
        <v>194</v>
      </c>
    </row>
    <row r="500" spans="1:14" ht="15" customHeight="1" x14ac:dyDescent="0.2">
      <c r="A500" s="31">
        <v>2.1186759057170799E-3</v>
      </c>
      <c r="B500" s="31"/>
      <c r="C500" s="2" t="s">
        <v>892</v>
      </c>
      <c r="D500" s="2">
        <f>A500 * 545.45</f>
        <v>1.1556317727733814</v>
      </c>
      <c r="F500" s="2">
        <v>2020</v>
      </c>
      <c r="G500" s="38" t="s">
        <v>901</v>
      </c>
      <c r="H500" s="2" t="s">
        <v>764</v>
      </c>
      <c r="I500" s="31" t="s">
        <v>256</v>
      </c>
      <c r="J500" s="31">
        <v>54.371099999999998</v>
      </c>
      <c r="K500" s="31">
        <v>13.2446</v>
      </c>
      <c r="L500" s="2" t="s">
        <v>28</v>
      </c>
      <c r="M500" s="2" t="s">
        <v>824</v>
      </c>
      <c r="N500" s="17" t="s">
        <v>906</v>
      </c>
    </row>
    <row r="501" spans="1:14" ht="15" customHeight="1" x14ac:dyDescent="0.2">
      <c r="A501" s="31">
        <v>2.1019347326326301E-3</v>
      </c>
      <c r="B501" s="31"/>
      <c r="C501" s="2" t="s">
        <v>892</v>
      </c>
      <c r="D501" s="2">
        <f>A501 * 545.45</f>
        <v>1.1465002999144682</v>
      </c>
      <c r="F501" s="2">
        <v>2020</v>
      </c>
      <c r="G501" s="38" t="s">
        <v>901</v>
      </c>
      <c r="H501" s="2" t="s">
        <v>762</v>
      </c>
      <c r="I501" s="31" t="s">
        <v>260</v>
      </c>
      <c r="J501" s="31">
        <v>54.372</v>
      </c>
      <c r="K501" s="31">
        <v>13.241300000000001</v>
      </c>
      <c r="L501" s="2" t="s">
        <v>28</v>
      </c>
      <c r="M501" s="2" t="s">
        <v>824</v>
      </c>
      <c r="N501" s="17" t="s">
        <v>906</v>
      </c>
    </row>
    <row r="502" spans="1:14" ht="15" customHeight="1" x14ac:dyDescent="0.2">
      <c r="A502" s="31">
        <v>2.0387264229793801E-3</v>
      </c>
      <c r="B502" s="31"/>
      <c r="C502" s="2" t="s">
        <v>892</v>
      </c>
      <c r="D502" s="2">
        <f>A502 * 545.45</f>
        <v>1.1120233274141029</v>
      </c>
      <c r="F502" s="2">
        <v>2020</v>
      </c>
      <c r="G502" s="38" t="s">
        <v>901</v>
      </c>
      <c r="H502" s="2" t="s">
        <v>756</v>
      </c>
      <c r="I502" s="31" t="s">
        <v>258</v>
      </c>
      <c r="J502" s="31">
        <v>54.371299999999998</v>
      </c>
      <c r="K502" s="31">
        <v>13.2438</v>
      </c>
      <c r="L502" s="2" t="s">
        <v>28</v>
      </c>
      <c r="M502" s="2" t="s">
        <v>824</v>
      </c>
      <c r="N502" s="17" t="s">
        <v>906</v>
      </c>
    </row>
    <row r="503" spans="1:14" ht="15" customHeight="1" x14ac:dyDescent="0.2">
      <c r="A503" s="2">
        <v>1.08</v>
      </c>
      <c r="B503" s="2">
        <v>1.43</v>
      </c>
      <c r="C503" s="2" t="s">
        <v>891</v>
      </c>
      <c r="D503" s="2">
        <f>A503</f>
        <v>1.08</v>
      </c>
      <c r="E503" s="2">
        <f>B503</f>
        <v>1.43</v>
      </c>
      <c r="F503" s="2">
        <v>2017</v>
      </c>
      <c r="G503" s="2" t="s">
        <v>902</v>
      </c>
      <c r="H503" s="2" t="s">
        <v>21</v>
      </c>
      <c r="I503" s="2" t="s">
        <v>121</v>
      </c>
      <c r="J503" s="2">
        <v>43.361130000000003</v>
      </c>
      <c r="K503" s="2">
        <v>-8.3644099999999995</v>
      </c>
      <c r="L503" s="2" t="s">
        <v>82</v>
      </c>
      <c r="M503" s="2" t="s">
        <v>122</v>
      </c>
      <c r="N503" s="9" t="s">
        <v>123</v>
      </c>
    </row>
    <row r="504" spans="1:14" ht="15" customHeight="1" x14ac:dyDescent="0.2">
      <c r="A504" s="22">
        <v>1.0626112009707185</v>
      </c>
      <c r="B504" s="22"/>
      <c r="C504" s="2" t="s">
        <v>891</v>
      </c>
      <c r="D504" s="2">
        <f>A504</f>
        <v>1.0626112009707185</v>
      </c>
      <c r="F504" s="2">
        <v>2023</v>
      </c>
      <c r="G504" s="23" t="s">
        <v>902</v>
      </c>
      <c r="H504" s="2" t="s">
        <v>769</v>
      </c>
      <c r="I504" s="23" t="s">
        <v>190</v>
      </c>
      <c r="J504" s="23">
        <v>58328902</v>
      </c>
      <c r="K504" s="23">
        <v>11857369</v>
      </c>
      <c r="L504" s="23" t="s">
        <v>819</v>
      </c>
      <c r="M504" s="2" t="s">
        <v>825</v>
      </c>
      <c r="N504" s="6" t="s">
        <v>828</v>
      </c>
    </row>
    <row r="505" spans="1:14" ht="15" customHeight="1" x14ac:dyDescent="0.2">
      <c r="A505" s="31">
        <v>1.94367012804352E-3</v>
      </c>
      <c r="B505" s="31"/>
      <c r="C505" s="2" t="s">
        <v>892</v>
      </c>
      <c r="D505" s="2">
        <f>A505 * 545.45</f>
        <v>1.0601748713413381</v>
      </c>
      <c r="F505" s="2">
        <v>2020</v>
      </c>
      <c r="G505" s="38" t="s">
        <v>901</v>
      </c>
      <c r="H505" s="2" t="s">
        <v>756</v>
      </c>
      <c r="I505" s="31" t="s">
        <v>261</v>
      </c>
      <c r="J505" s="31">
        <v>54.372100000000003</v>
      </c>
      <c r="K505" s="31">
        <v>13.242699999999999</v>
      </c>
      <c r="L505" s="2" t="s">
        <v>28</v>
      </c>
      <c r="M505" s="2" t="s">
        <v>824</v>
      </c>
      <c r="N505" s="17" t="s">
        <v>906</v>
      </c>
    </row>
    <row r="506" spans="1:14" ht="15" customHeight="1" x14ac:dyDescent="0.2">
      <c r="A506" s="3">
        <v>1</v>
      </c>
      <c r="B506" s="3">
        <v>0.8</v>
      </c>
      <c r="C506" s="3" t="s">
        <v>891</v>
      </c>
      <c r="D506" s="3">
        <f>A506</f>
        <v>1</v>
      </c>
      <c r="E506" s="3">
        <f>B506</f>
        <v>0.8</v>
      </c>
      <c r="F506" s="3">
        <v>2007</v>
      </c>
      <c r="G506" s="2" t="s">
        <v>902</v>
      </c>
      <c r="H506" s="29" t="s">
        <v>150</v>
      </c>
      <c r="I506" s="3" t="s">
        <v>146</v>
      </c>
      <c r="J506" s="3" t="s">
        <v>896</v>
      </c>
      <c r="K506" s="3" t="s">
        <v>897</v>
      </c>
      <c r="L506" s="3"/>
      <c r="M506" s="3" t="s">
        <v>147</v>
      </c>
      <c r="N506" s="28" t="s">
        <v>888</v>
      </c>
    </row>
    <row r="507" spans="1:14" ht="15" customHeight="1" x14ac:dyDescent="0.2">
      <c r="A507" s="31">
        <v>1.83307584715729E-3</v>
      </c>
      <c r="B507" s="31"/>
      <c r="C507" s="2" t="s">
        <v>892</v>
      </c>
      <c r="D507" s="2">
        <f>A507 * 545.45</f>
        <v>0.99985122083194389</v>
      </c>
      <c r="F507" s="2">
        <v>2020</v>
      </c>
      <c r="G507" s="38" t="s">
        <v>901</v>
      </c>
      <c r="H507" s="2" t="s">
        <v>724</v>
      </c>
      <c r="I507" s="31" t="s">
        <v>267</v>
      </c>
      <c r="J507" s="31" t="s">
        <v>822</v>
      </c>
      <c r="K507" s="31" t="s">
        <v>822</v>
      </c>
      <c r="L507" s="2" t="s">
        <v>28</v>
      </c>
      <c r="M507" s="2" t="s">
        <v>824</v>
      </c>
      <c r="N507" s="17" t="s">
        <v>906</v>
      </c>
    </row>
    <row r="508" spans="1:14" ht="15" customHeight="1" x14ac:dyDescent="0.2">
      <c r="A508" s="31">
        <v>1.7913033612483799E-3</v>
      </c>
      <c r="B508" s="31"/>
      <c r="C508" s="2" t="s">
        <v>892</v>
      </c>
      <c r="D508" s="2">
        <f>A508 * 545.45</f>
        <v>0.97706641839292885</v>
      </c>
      <c r="F508" s="2">
        <v>2020</v>
      </c>
      <c r="G508" s="38" t="s">
        <v>901</v>
      </c>
      <c r="H508" s="2" t="s">
        <v>724</v>
      </c>
      <c r="I508" s="31" t="s">
        <v>266</v>
      </c>
      <c r="J508" s="31" t="s">
        <v>822</v>
      </c>
      <c r="K508" s="31" t="s">
        <v>822</v>
      </c>
      <c r="L508" s="2" t="s">
        <v>28</v>
      </c>
      <c r="M508" s="2" t="s">
        <v>824</v>
      </c>
      <c r="N508" s="17" t="s">
        <v>906</v>
      </c>
    </row>
    <row r="509" spans="1:14" ht="15" customHeight="1" x14ac:dyDescent="0.2">
      <c r="A509" s="31">
        <v>1.76684849990857E-3</v>
      </c>
      <c r="B509" s="31"/>
      <c r="C509" s="2" t="s">
        <v>892</v>
      </c>
      <c r="D509" s="2">
        <f>A509 * 545.45</f>
        <v>0.96372751427512959</v>
      </c>
      <c r="F509" s="2">
        <v>2020</v>
      </c>
      <c r="G509" s="38" t="s">
        <v>901</v>
      </c>
      <c r="H509" s="2" t="s">
        <v>724</v>
      </c>
      <c r="I509" s="31" t="s">
        <v>270</v>
      </c>
      <c r="J509" s="31" t="s">
        <v>822</v>
      </c>
      <c r="K509" s="31" t="s">
        <v>822</v>
      </c>
      <c r="L509" s="2" t="s">
        <v>28</v>
      </c>
      <c r="M509" s="2" t="s">
        <v>824</v>
      </c>
      <c r="N509" s="17" t="s">
        <v>906</v>
      </c>
    </row>
    <row r="510" spans="1:14" ht="15" customHeight="1" x14ac:dyDescent="0.2">
      <c r="A510" s="31">
        <v>1.6957965233908899E-3</v>
      </c>
      <c r="B510" s="31"/>
      <c r="C510" s="2" t="s">
        <v>892</v>
      </c>
      <c r="D510" s="2">
        <f>A510 * 545.45</f>
        <v>0.92497221368356097</v>
      </c>
      <c r="F510" s="2">
        <v>2020</v>
      </c>
      <c r="G510" s="38" t="s">
        <v>901</v>
      </c>
      <c r="H510" s="2" t="s">
        <v>756</v>
      </c>
      <c r="I510" s="31" t="s">
        <v>269</v>
      </c>
      <c r="J510" s="31">
        <v>54.370600000000003</v>
      </c>
      <c r="K510" s="31">
        <v>13.2418</v>
      </c>
      <c r="L510" s="2" t="s">
        <v>28</v>
      </c>
      <c r="M510" s="2" t="s">
        <v>824</v>
      </c>
      <c r="N510" s="17" t="s">
        <v>906</v>
      </c>
    </row>
    <row r="511" spans="1:14" ht="15" customHeight="1" x14ac:dyDescent="0.25">
      <c r="A511" s="2">
        <v>77</v>
      </c>
      <c r="C511" s="2" t="s">
        <v>248</v>
      </c>
      <c r="D511" s="2">
        <f>A511 * 0.012</f>
        <v>0.92400000000000004</v>
      </c>
      <c r="F511" s="2">
        <v>1994</v>
      </c>
      <c r="G511" s="38" t="s">
        <v>902</v>
      </c>
      <c r="H511" s="2" t="s">
        <v>89</v>
      </c>
      <c r="I511" s="2" t="s">
        <v>252</v>
      </c>
      <c r="J511" s="2">
        <v>51.085599999999999</v>
      </c>
      <c r="K511" s="2">
        <v>1.1656</v>
      </c>
      <c r="L511" s="2" t="s">
        <v>255</v>
      </c>
      <c r="M511" s="2" t="s">
        <v>823</v>
      </c>
      <c r="N511" s="36" t="s">
        <v>887</v>
      </c>
    </row>
    <row r="512" spans="1:14" ht="15" customHeight="1" x14ac:dyDescent="0.2">
      <c r="A512" s="22">
        <v>0.90048116500884268</v>
      </c>
      <c r="B512" s="22"/>
      <c r="C512" s="2" t="s">
        <v>891</v>
      </c>
      <c r="D512" s="2">
        <f>A512</f>
        <v>0.90048116500884268</v>
      </c>
      <c r="F512" s="2">
        <v>2023</v>
      </c>
      <c r="G512" s="23" t="s">
        <v>902</v>
      </c>
      <c r="H512" s="2" t="s">
        <v>769</v>
      </c>
      <c r="I512" s="23" t="s">
        <v>190</v>
      </c>
      <c r="J512" s="23">
        <v>58315326</v>
      </c>
      <c r="K512" s="23">
        <v>11802349</v>
      </c>
      <c r="L512" s="23" t="s">
        <v>819</v>
      </c>
      <c r="M512" s="2" t="s">
        <v>825</v>
      </c>
      <c r="N512" s="6" t="s">
        <v>828</v>
      </c>
    </row>
    <row r="513" spans="1:14" ht="15" customHeight="1" x14ac:dyDescent="0.2">
      <c r="A513" s="20">
        <v>3.9599999999999996E-2</v>
      </c>
      <c r="B513" s="20"/>
      <c r="C513" s="2" t="s">
        <v>98</v>
      </c>
      <c r="D513" s="2">
        <f>A513 * 22.727</f>
        <v>0.89998919999999993</v>
      </c>
      <c r="F513" s="2" t="s">
        <v>822</v>
      </c>
      <c r="G513" s="2" t="s">
        <v>901</v>
      </c>
      <c r="H513" s="2" t="s">
        <v>822</v>
      </c>
      <c r="I513" s="14" t="s">
        <v>240</v>
      </c>
      <c r="J513" s="16">
        <v>37.17</v>
      </c>
      <c r="K513" s="16">
        <v>-7.3936109999999999</v>
      </c>
      <c r="L513" s="16"/>
      <c r="M513" s="33" t="s">
        <v>821</v>
      </c>
      <c r="N513" s="17" t="s">
        <v>883</v>
      </c>
    </row>
    <row r="514" spans="1:14" ht="15" customHeight="1" x14ac:dyDescent="0.2">
      <c r="A514" s="31">
        <v>1.4727388310478099E-3</v>
      </c>
      <c r="B514" s="31"/>
      <c r="C514" s="2" t="s">
        <v>892</v>
      </c>
      <c r="D514" s="2">
        <f>A514 * 545.45</f>
        <v>0.80330539539502799</v>
      </c>
      <c r="F514" s="2">
        <v>2020</v>
      </c>
      <c r="G514" s="38" t="s">
        <v>901</v>
      </c>
      <c r="H514" s="2" t="s">
        <v>758</v>
      </c>
      <c r="I514" s="31" t="s">
        <v>261</v>
      </c>
      <c r="J514" s="31">
        <v>54.372100000000003</v>
      </c>
      <c r="K514" s="31">
        <v>13.242699999999999</v>
      </c>
      <c r="L514" s="2" t="s">
        <v>28</v>
      </c>
      <c r="M514" s="2" t="s">
        <v>824</v>
      </c>
      <c r="N514" s="17" t="s">
        <v>906</v>
      </c>
    </row>
    <row r="515" spans="1:14" ht="15" customHeight="1" x14ac:dyDescent="0.2">
      <c r="A515" s="2">
        <v>0.8</v>
      </c>
      <c r="B515" s="2">
        <v>4.2</v>
      </c>
      <c r="C515" s="2" t="s">
        <v>891</v>
      </c>
      <c r="D515" s="2">
        <f>A515</f>
        <v>0.8</v>
      </c>
      <c r="E515" s="2">
        <f>B515</f>
        <v>4.2</v>
      </c>
      <c r="F515" s="2">
        <v>2007</v>
      </c>
      <c r="G515" s="2" t="s">
        <v>902</v>
      </c>
      <c r="H515" s="2" t="s">
        <v>84</v>
      </c>
      <c r="I515" s="2" t="s">
        <v>85</v>
      </c>
      <c r="J515" s="2">
        <v>38.441015</v>
      </c>
      <c r="K515" s="2">
        <v>-8.7451299999999996</v>
      </c>
      <c r="L515" s="2" t="s">
        <v>38</v>
      </c>
      <c r="N515" s="9" t="s">
        <v>86</v>
      </c>
    </row>
    <row r="516" spans="1:14" ht="15" customHeight="1" x14ac:dyDescent="0.2">
      <c r="A516" s="31">
        <v>1.4322895365831E-3</v>
      </c>
      <c r="B516" s="31"/>
      <c r="C516" s="2" t="s">
        <v>892</v>
      </c>
      <c r="D516" s="2">
        <f t="shared" ref="D516:D522" si="8">A516 * 545.45</f>
        <v>0.78124232772925195</v>
      </c>
      <c r="F516" s="2">
        <v>2020</v>
      </c>
      <c r="G516" s="38" t="s">
        <v>901</v>
      </c>
      <c r="H516" s="2" t="s">
        <v>762</v>
      </c>
      <c r="I516" s="31" t="s">
        <v>269</v>
      </c>
      <c r="J516" s="31">
        <v>54.370600000000003</v>
      </c>
      <c r="K516" s="31">
        <v>13.2418</v>
      </c>
      <c r="L516" s="2" t="s">
        <v>28</v>
      </c>
      <c r="M516" s="2" t="s">
        <v>824</v>
      </c>
      <c r="N516" s="17" t="s">
        <v>906</v>
      </c>
    </row>
    <row r="517" spans="1:14" ht="15" customHeight="1" x14ac:dyDescent="0.2">
      <c r="A517" s="31">
        <v>1.38218667572694E-3</v>
      </c>
      <c r="B517" s="31"/>
      <c r="C517" s="2" t="s">
        <v>892</v>
      </c>
      <c r="D517" s="2">
        <f t="shared" si="8"/>
        <v>0.75391372227525943</v>
      </c>
      <c r="F517" s="2">
        <v>2020</v>
      </c>
      <c r="G517" s="38" t="s">
        <v>901</v>
      </c>
      <c r="H517" s="2" t="s">
        <v>763</v>
      </c>
      <c r="I517" s="31" t="s">
        <v>264</v>
      </c>
      <c r="J517" s="31" t="s">
        <v>822</v>
      </c>
      <c r="K517" s="31" t="s">
        <v>822</v>
      </c>
      <c r="L517" s="2" t="s">
        <v>28</v>
      </c>
      <c r="M517" s="2" t="s">
        <v>824</v>
      </c>
      <c r="N517" s="17" t="s">
        <v>906</v>
      </c>
    </row>
    <row r="518" spans="1:14" ht="15" customHeight="1" x14ac:dyDescent="0.2">
      <c r="A518" s="31">
        <v>1.3460207361841801E-3</v>
      </c>
      <c r="B518" s="31"/>
      <c r="C518" s="2" t="s">
        <v>892</v>
      </c>
      <c r="D518" s="2">
        <f t="shared" si="8"/>
        <v>0.73418701055166113</v>
      </c>
      <c r="F518" s="2">
        <v>2020</v>
      </c>
      <c r="G518" s="38" t="s">
        <v>901</v>
      </c>
      <c r="H518" s="2" t="s">
        <v>756</v>
      </c>
      <c r="I518" s="31" t="s">
        <v>260</v>
      </c>
      <c r="J518" s="31">
        <v>54.372</v>
      </c>
      <c r="K518" s="31">
        <v>13.241300000000001</v>
      </c>
      <c r="L518" s="2" t="s">
        <v>28</v>
      </c>
      <c r="M518" s="2" t="s">
        <v>824</v>
      </c>
      <c r="N518" s="17" t="s">
        <v>906</v>
      </c>
    </row>
    <row r="519" spans="1:14" ht="15" customHeight="1" x14ac:dyDescent="0.2">
      <c r="A519" s="31">
        <v>1.3348026258307999E-3</v>
      </c>
      <c r="B519" s="31"/>
      <c r="C519" s="2" t="s">
        <v>892</v>
      </c>
      <c r="D519" s="2">
        <f t="shared" si="8"/>
        <v>0.72806809225940983</v>
      </c>
      <c r="F519" s="2">
        <v>2020</v>
      </c>
      <c r="G519" s="38" t="s">
        <v>901</v>
      </c>
      <c r="H519" s="2" t="s">
        <v>763</v>
      </c>
      <c r="I519" s="31" t="s">
        <v>267</v>
      </c>
      <c r="J519" s="31" t="s">
        <v>822</v>
      </c>
      <c r="K519" s="31" t="s">
        <v>822</v>
      </c>
      <c r="L519" s="2" t="s">
        <v>28</v>
      </c>
      <c r="M519" s="2" t="s">
        <v>824</v>
      </c>
      <c r="N519" s="17" t="s">
        <v>906</v>
      </c>
    </row>
    <row r="520" spans="1:14" ht="15" customHeight="1" x14ac:dyDescent="0.2">
      <c r="A520" s="31">
        <v>1.3345752692027501E-3</v>
      </c>
      <c r="B520" s="31"/>
      <c r="C520" s="2" t="s">
        <v>892</v>
      </c>
      <c r="D520" s="2">
        <f t="shared" si="8"/>
        <v>0.72794408058664006</v>
      </c>
      <c r="F520" s="2">
        <v>2020</v>
      </c>
      <c r="G520" s="38" t="s">
        <v>901</v>
      </c>
      <c r="H520" s="2" t="s">
        <v>762</v>
      </c>
      <c r="I520" s="31" t="s">
        <v>257</v>
      </c>
      <c r="J520" s="31">
        <v>54.372</v>
      </c>
      <c r="K520" s="31">
        <v>13.241300000000001</v>
      </c>
      <c r="L520" s="2" t="s">
        <v>28</v>
      </c>
      <c r="M520" s="2" t="s">
        <v>824</v>
      </c>
      <c r="N520" s="17" t="s">
        <v>906</v>
      </c>
    </row>
    <row r="521" spans="1:14" ht="15" customHeight="1" x14ac:dyDescent="0.2">
      <c r="A521" s="31">
        <v>1.31984549361151E-3</v>
      </c>
      <c r="B521" s="31"/>
      <c r="C521" s="2" t="s">
        <v>892</v>
      </c>
      <c r="D521" s="2">
        <f t="shared" si="8"/>
        <v>0.71990972449039814</v>
      </c>
      <c r="F521" s="2">
        <v>2020</v>
      </c>
      <c r="G521" s="38" t="s">
        <v>901</v>
      </c>
      <c r="H521" s="2" t="s">
        <v>756</v>
      </c>
      <c r="I521" s="31" t="s">
        <v>257</v>
      </c>
      <c r="J521" s="31">
        <v>54.372</v>
      </c>
      <c r="K521" s="31">
        <v>13.241300000000001</v>
      </c>
      <c r="L521" s="2" t="s">
        <v>28</v>
      </c>
      <c r="M521" s="2" t="s">
        <v>824</v>
      </c>
      <c r="N521" s="17" t="s">
        <v>906</v>
      </c>
    </row>
    <row r="522" spans="1:14" ht="15" customHeight="1" x14ac:dyDescent="0.2">
      <c r="A522" s="31">
        <v>1.2567811916197301E-3</v>
      </c>
      <c r="B522" s="31"/>
      <c r="C522" s="2" t="s">
        <v>892</v>
      </c>
      <c r="D522" s="2">
        <f t="shared" si="8"/>
        <v>0.68551130096898183</v>
      </c>
      <c r="F522" s="2">
        <v>2020</v>
      </c>
      <c r="G522" s="38" t="s">
        <v>901</v>
      </c>
      <c r="H522" s="2" t="s">
        <v>764</v>
      </c>
      <c r="I522" s="31" t="s">
        <v>258</v>
      </c>
      <c r="J522" s="31">
        <v>54.371299999999998</v>
      </c>
      <c r="K522" s="31">
        <v>13.2438</v>
      </c>
      <c r="L522" s="2" t="s">
        <v>28</v>
      </c>
      <c r="M522" s="2" t="s">
        <v>824</v>
      </c>
      <c r="N522" s="17" t="s">
        <v>906</v>
      </c>
    </row>
    <row r="523" spans="1:14" ht="15" customHeight="1" x14ac:dyDescent="0.2">
      <c r="A523" s="22">
        <v>0.67382676925055318</v>
      </c>
      <c r="B523" s="22"/>
      <c r="C523" s="2" t="s">
        <v>891</v>
      </c>
      <c r="D523" s="2">
        <f>A523</f>
        <v>0.67382676925055318</v>
      </c>
      <c r="F523" s="2">
        <v>2023</v>
      </c>
      <c r="G523" s="23" t="s">
        <v>902</v>
      </c>
      <c r="H523" s="2" t="s">
        <v>769</v>
      </c>
      <c r="I523" s="23" t="s">
        <v>190</v>
      </c>
      <c r="J523" s="23">
        <v>58330489</v>
      </c>
      <c r="K523" s="23">
        <v>11859937</v>
      </c>
      <c r="L523" s="23" t="s">
        <v>819</v>
      </c>
      <c r="M523" s="2" t="s">
        <v>825</v>
      </c>
      <c r="N523" s="6" t="s">
        <v>828</v>
      </c>
    </row>
    <row r="524" spans="1:14" ht="15" customHeight="1" x14ac:dyDescent="0.2">
      <c r="A524" s="31">
        <v>1.22150203203972E-3</v>
      </c>
      <c r="B524" s="31"/>
      <c r="C524" s="2" t="s">
        <v>892</v>
      </c>
      <c r="D524" s="2">
        <f>A524 * 545.45</f>
        <v>0.66626828337606536</v>
      </c>
      <c r="F524" s="2">
        <v>2020</v>
      </c>
      <c r="G524" s="38" t="s">
        <v>901</v>
      </c>
      <c r="H524" s="2" t="s">
        <v>763</v>
      </c>
      <c r="I524" s="31" t="s">
        <v>266</v>
      </c>
      <c r="J524" s="31" t="s">
        <v>822</v>
      </c>
      <c r="K524" s="31" t="s">
        <v>822</v>
      </c>
      <c r="L524" s="2" t="s">
        <v>28</v>
      </c>
      <c r="M524" s="2" t="s">
        <v>824</v>
      </c>
      <c r="N524" s="17" t="s">
        <v>906</v>
      </c>
    </row>
    <row r="525" spans="1:14" ht="15" customHeight="1" x14ac:dyDescent="0.2">
      <c r="A525" s="31">
        <v>1.2212173058643999E-3</v>
      </c>
      <c r="B525" s="31"/>
      <c r="C525" s="2" t="s">
        <v>892</v>
      </c>
      <c r="D525" s="2">
        <f>A525 * 545.45</f>
        <v>0.66611297948373704</v>
      </c>
      <c r="F525" s="2">
        <v>2020</v>
      </c>
      <c r="G525" s="38" t="s">
        <v>901</v>
      </c>
      <c r="H525" s="2" t="s">
        <v>740</v>
      </c>
      <c r="I525" s="31" t="s">
        <v>269</v>
      </c>
      <c r="J525" s="31">
        <v>54.370600000000003</v>
      </c>
      <c r="K525" s="31">
        <v>13.2418</v>
      </c>
      <c r="L525" s="2" t="s">
        <v>28</v>
      </c>
      <c r="M525" s="2" t="s">
        <v>824</v>
      </c>
      <c r="N525" s="17" t="s">
        <v>906</v>
      </c>
    </row>
    <row r="526" spans="1:14" ht="15" customHeight="1" x14ac:dyDescent="0.2">
      <c r="A526" s="31">
        <v>1.2157007498467399E-3</v>
      </c>
      <c r="B526" s="31"/>
      <c r="C526" s="2" t="s">
        <v>892</v>
      </c>
      <c r="D526" s="2">
        <f>A526 * 545.45</f>
        <v>0.66310397400390431</v>
      </c>
      <c r="F526" s="2">
        <v>2020</v>
      </c>
      <c r="G526" s="38" t="s">
        <v>901</v>
      </c>
      <c r="H526" s="2" t="s">
        <v>763</v>
      </c>
      <c r="I526" s="31" t="s">
        <v>265</v>
      </c>
      <c r="J526" s="31" t="s">
        <v>822</v>
      </c>
      <c r="K526" s="31" t="s">
        <v>822</v>
      </c>
      <c r="L526" s="2" t="s">
        <v>28</v>
      </c>
      <c r="M526" s="2" t="s">
        <v>824</v>
      </c>
      <c r="N526" s="17" t="s">
        <v>906</v>
      </c>
    </row>
    <row r="527" spans="1:14" ht="15" customHeight="1" x14ac:dyDescent="0.2">
      <c r="A527" s="22">
        <v>0.65877105334836128</v>
      </c>
      <c r="B527" s="22"/>
      <c r="C527" s="2" t="s">
        <v>891</v>
      </c>
      <c r="D527" s="2">
        <f>A527</f>
        <v>0.65877105334836128</v>
      </c>
      <c r="F527" s="2">
        <v>2023</v>
      </c>
      <c r="G527" s="23" t="s">
        <v>902</v>
      </c>
      <c r="H527" s="2" t="s">
        <v>767</v>
      </c>
      <c r="I527" s="23" t="s">
        <v>188</v>
      </c>
      <c r="J527" s="23">
        <v>58.458373999999999</v>
      </c>
      <c r="K527" s="23">
        <v>11.580753</v>
      </c>
      <c r="L527" s="23" t="s">
        <v>819</v>
      </c>
      <c r="M527" s="2" t="s">
        <v>825</v>
      </c>
      <c r="N527" s="6" t="s">
        <v>828</v>
      </c>
    </row>
    <row r="528" spans="1:14" ht="15" customHeight="1" x14ac:dyDescent="0.2">
      <c r="A528" s="22">
        <v>0.65726385673613663</v>
      </c>
      <c r="B528" s="22"/>
      <c r="C528" s="2" t="s">
        <v>891</v>
      </c>
      <c r="D528" s="2">
        <f>A528</f>
        <v>0.65726385673613663</v>
      </c>
      <c r="F528" s="2">
        <v>2023</v>
      </c>
      <c r="G528" s="23" t="s">
        <v>902</v>
      </c>
      <c r="H528" s="2" t="s">
        <v>767</v>
      </c>
      <c r="I528" s="23" t="s">
        <v>188</v>
      </c>
      <c r="J528" s="23">
        <v>58.458376999999999</v>
      </c>
      <c r="K528" s="23">
        <v>11.580750999999999</v>
      </c>
      <c r="L528" s="23" t="s">
        <v>819</v>
      </c>
      <c r="M528" s="2" t="s">
        <v>825</v>
      </c>
      <c r="N528" s="6" t="s">
        <v>828</v>
      </c>
    </row>
    <row r="529" spans="1:14" ht="15" customHeight="1" x14ac:dyDescent="0.2">
      <c r="A529" s="22">
        <v>0.6512544448880816</v>
      </c>
      <c r="B529" s="22"/>
      <c r="C529" s="2" t="s">
        <v>891</v>
      </c>
      <c r="D529" s="2">
        <f>A529</f>
        <v>0.6512544448880816</v>
      </c>
      <c r="F529" s="2">
        <v>2023</v>
      </c>
      <c r="G529" s="23" t="s">
        <v>902</v>
      </c>
      <c r="H529" s="2" t="s">
        <v>767</v>
      </c>
      <c r="I529" s="23" t="s">
        <v>188</v>
      </c>
      <c r="J529" s="23">
        <v>58.458374999999997</v>
      </c>
      <c r="K529" s="23">
        <v>11.580752</v>
      </c>
      <c r="L529" s="23" t="s">
        <v>819</v>
      </c>
      <c r="M529" s="2" t="s">
        <v>825</v>
      </c>
      <c r="N529" s="6" t="s">
        <v>828</v>
      </c>
    </row>
    <row r="530" spans="1:14" ht="15" customHeight="1" x14ac:dyDescent="0.2">
      <c r="A530" s="31">
        <v>1.1859998788571E-3</v>
      </c>
      <c r="B530" s="31"/>
      <c r="C530" s="2" t="s">
        <v>892</v>
      </c>
      <c r="D530" s="2">
        <f>A530 * 545.45</f>
        <v>0.6469036339226053</v>
      </c>
      <c r="F530" s="2">
        <v>2020</v>
      </c>
      <c r="G530" s="38" t="s">
        <v>901</v>
      </c>
      <c r="H530" s="2" t="s">
        <v>763</v>
      </c>
      <c r="I530" s="31" t="s">
        <v>270</v>
      </c>
      <c r="J530" s="31" t="s">
        <v>822</v>
      </c>
      <c r="K530" s="31" t="s">
        <v>822</v>
      </c>
      <c r="L530" s="2" t="s">
        <v>28</v>
      </c>
      <c r="M530" s="2" t="s">
        <v>824</v>
      </c>
      <c r="N530" s="17" t="s">
        <v>906</v>
      </c>
    </row>
    <row r="531" spans="1:14" ht="15" customHeight="1" x14ac:dyDescent="0.2">
      <c r="A531" s="22">
        <v>0.63874546711923885</v>
      </c>
      <c r="B531" s="22"/>
      <c r="C531" s="2" t="s">
        <v>891</v>
      </c>
      <c r="D531" s="2">
        <f>A531</f>
        <v>0.63874546711923885</v>
      </c>
      <c r="F531" s="2">
        <v>2023</v>
      </c>
      <c r="G531" s="23" t="s">
        <v>902</v>
      </c>
      <c r="H531" s="2" t="s">
        <v>767</v>
      </c>
      <c r="I531" s="23" t="s">
        <v>188</v>
      </c>
      <c r="J531" s="23">
        <v>58.458381000000003</v>
      </c>
      <c r="K531" s="23">
        <v>11.580746</v>
      </c>
      <c r="L531" s="23" t="s">
        <v>819</v>
      </c>
      <c r="M531" s="2" t="s">
        <v>825</v>
      </c>
      <c r="N531" s="6" t="s">
        <v>828</v>
      </c>
    </row>
    <row r="532" spans="1:14" ht="15" customHeight="1" x14ac:dyDescent="0.2">
      <c r="A532" s="22">
        <v>0.6348984015201472</v>
      </c>
      <c r="B532" s="22"/>
      <c r="C532" s="2" t="s">
        <v>891</v>
      </c>
      <c r="D532" s="2">
        <f>A532</f>
        <v>0.6348984015201472</v>
      </c>
      <c r="F532" s="2">
        <v>2023</v>
      </c>
      <c r="G532" s="23" t="s">
        <v>902</v>
      </c>
      <c r="H532" s="2" t="s">
        <v>769</v>
      </c>
      <c r="I532" s="23" t="s">
        <v>190</v>
      </c>
      <c r="J532" s="23">
        <v>58334192</v>
      </c>
      <c r="K532" s="23">
        <v>11890476</v>
      </c>
      <c r="L532" s="23" t="s">
        <v>819</v>
      </c>
      <c r="M532" s="2" t="s">
        <v>825</v>
      </c>
      <c r="N532" s="6" t="s">
        <v>828</v>
      </c>
    </row>
    <row r="533" spans="1:14" ht="15" customHeight="1" x14ac:dyDescent="0.2">
      <c r="A533" s="31">
        <v>1.1256457345252501E-3</v>
      </c>
      <c r="B533" s="31"/>
      <c r="C533" s="2" t="s">
        <v>892</v>
      </c>
      <c r="D533" s="2">
        <f>A533 * 545.45</f>
        <v>0.61398346589679775</v>
      </c>
      <c r="F533" s="2">
        <v>2020</v>
      </c>
      <c r="G533" s="38" t="s">
        <v>901</v>
      </c>
      <c r="H533" s="2" t="s">
        <v>763</v>
      </c>
      <c r="I533" s="31" t="s">
        <v>262</v>
      </c>
      <c r="J533" s="31" t="s">
        <v>822</v>
      </c>
      <c r="K533" s="31" t="s">
        <v>822</v>
      </c>
      <c r="L533" s="2" t="s">
        <v>28</v>
      </c>
      <c r="M533" s="2" t="s">
        <v>824</v>
      </c>
      <c r="N533" s="17" t="s">
        <v>906</v>
      </c>
    </row>
    <row r="534" spans="1:14" ht="15" customHeight="1" x14ac:dyDescent="0.2">
      <c r="A534" s="31">
        <v>1.11511323986043E-3</v>
      </c>
      <c r="B534" s="31"/>
      <c r="C534" s="2" t="s">
        <v>892</v>
      </c>
      <c r="D534" s="2">
        <f>A534 * 545.45</f>
        <v>0.60823851668187157</v>
      </c>
      <c r="F534" s="2">
        <v>2020</v>
      </c>
      <c r="G534" s="38" t="s">
        <v>901</v>
      </c>
      <c r="H534" s="2" t="s">
        <v>758</v>
      </c>
      <c r="I534" s="31" t="s">
        <v>256</v>
      </c>
      <c r="J534" s="31">
        <v>54.371099999999998</v>
      </c>
      <c r="K534" s="31">
        <v>13.2446</v>
      </c>
      <c r="L534" s="2" t="s">
        <v>28</v>
      </c>
      <c r="M534" s="2" t="s">
        <v>824</v>
      </c>
      <c r="N534" s="17" t="s">
        <v>906</v>
      </c>
    </row>
    <row r="535" spans="1:14" ht="15" customHeight="1" x14ac:dyDescent="0.2">
      <c r="A535" s="22">
        <v>0.60547068242595148</v>
      </c>
      <c r="B535" s="22"/>
      <c r="C535" s="2" t="s">
        <v>891</v>
      </c>
      <c r="D535" s="2">
        <f>A535</f>
        <v>0.60547068242595148</v>
      </c>
      <c r="F535" s="2">
        <v>2023</v>
      </c>
      <c r="G535" s="23" t="s">
        <v>902</v>
      </c>
      <c r="H535" s="2" t="s">
        <v>769</v>
      </c>
      <c r="I535" s="23" t="s">
        <v>190</v>
      </c>
      <c r="J535" s="23">
        <v>58328902</v>
      </c>
      <c r="K535" s="23">
        <v>11857368</v>
      </c>
      <c r="L535" s="23" t="s">
        <v>819</v>
      </c>
      <c r="M535" s="2" t="s">
        <v>825</v>
      </c>
      <c r="N535" s="6" t="s">
        <v>828</v>
      </c>
    </row>
    <row r="536" spans="1:14" ht="15" customHeight="1" x14ac:dyDescent="0.2">
      <c r="A536" s="2">
        <v>7.0000000000000001E-3</v>
      </c>
      <c r="C536" s="2" t="s">
        <v>59</v>
      </c>
      <c r="D536" s="2">
        <f>A536 * 86.4</f>
        <v>0.6048</v>
      </c>
      <c r="F536" s="2">
        <v>1993</v>
      </c>
      <c r="G536" s="2" t="s">
        <v>902</v>
      </c>
      <c r="H536" s="2" t="s">
        <v>48</v>
      </c>
      <c r="I536" s="2" t="s">
        <v>74</v>
      </c>
      <c r="J536" s="2">
        <v>36.673099999999998</v>
      </c>
      <c r="K536" s="2">
        <v>25.56147</v>
      </c>
      <c r="L536" s="2" t="s">
        <v>50</v>
      </c>
      <c r="N536" s="6" t="s">
        <v>195</v>
      </c>
    </row>
    <row r="537" spans="1:14" ht="15" customHeight="1" x14ac:dyDescent="0.2">
      <c r="A537" s="2">
        <v>0.6</v>
      </c>
      <c r="B537" s="2">
        <v>0.3</v>
      </c>
      <c r="C537" s="2" t="s">
        <v>891</v>
      </c>
      <c r="D537" s="2">
        <f>A537</f>
        <v>0.6</v>
      </c>
      <c r="E537" s="2">
        <f>B537</f>
        <v>0.3</v>
      </c>
      <c r="F537" s="2">
        <v>2017</v>
      </c>
      <c r="G537" s="2" t="s">
        <v>902</v>
      </c>
      <c r="H537" s="2" t="s">
        <v>78</v>
      </c>
      <c r="I537" s="2" t="s">
        <v>79</v>
      </c>
      <c r="J537" s="2">
        <v>37.173194000000002</v>
      </c>
      <c r="K537" s="2">
        <v>-7.4009109999999998</v>
      </c>
      <c r="L537" s="2" t="s">
        <v>53</v>
      </c>
      <c r="N537" s="9" t="s">
        <v>77</v>
      </c>
    </row>
    <row r="538" spans="1:14" ht="15" customHeight="1" x14ac:dyDescent="0.2">
      <c r="A538" s="22">
        <v>0.59269731863735775</v>
      </c>
      <c r="B538" s="22"/>
      <c r="C538" s="2" t="s">
        <v>891</v>
      </c>
      <c r="D538" s="2">
        <f t="shared" ref="D538:D548" si="9">A538</f>
        <v>0.59269731863735775</v>
      </c>
      <c r="F538" s="2">
        <v>2023</v>
      </c>
      <c r="G538" s="23" t="s">
        <v>902</v>
      </c>
      <c r="H538" s="2" t="s">
        <v>767</v>
      </c>
      <c r="I538" s="23" t="s">
        <v>188</v>
      </c>
      <c r="J538" s="23">
        <v>58.250124</v>
      </c>
      <c r="K538" s="23">
        <v>11.445423</v>
      </c>
      <c r="L538" s="23" t="s">
        <v>819</v>
      </c>
      <c r="M538" s="2" t="s">
        <v>825</v>
      </c>
      <c r="N538" s="6" t="s">
        <v>828</v>
      </c>
    </row>
    <row r="539" spans="1:14" ht="15" customHeight="1" x14ac:dyDescent="0.2">
      <c r="A539" s="22">
        <v>0.58376667100858104</v>
      </c>
      <c r="B539" s="22"/>
      <c r="C539" s="2" t="s">
        <v>891</v>
      </c>
      <c r="D539" s="2">
        <f t="shared" si="9"/>
        <v>0.58376667100858104</v>
      </c>
      <c r="F539" s="2">
        <v>2023</v>
      </c>
      <c r="G539" s="23" t="s">
        <v>902</v>
      </c>
      <c r="H539" s="2" t="s">
        <v>767</v>
      </c>
      <c r="I539" s="23" t="s">
        <v>188</v>
      </c>
      <c r="J539" s="23">
        <v>58.455536000000002</v>
      </c>
      <c r="K539" s="23">
        <v>11.581308999999999</v>
      </c>
      <c r="L539" s="23" t="s">
        <v>819</v>
      </c>
      <c r="M539" s="2" t="s">
        <v>825</v>
      </c>
      <c r="N539" s="6" t="s">
        <v>828</v>
      </c>
    </row>
    <row r="540" spans="1:14" ht="15" customHeight="1" x14ac:dyDescent="0.2">
      <c r="A540" s="22">
        <v>0.5326520461060793</v>
      </c>
      <c r="B540" s="22"/>
      <c r="C540" s="2" t="s">
        <v>891</v>
      </c>
      <c r="D540" s="2">
        <f t="shared" si="9"/>
        <v>0.5326520461060793</v>
      </c>
      <c r="F540" s="2">
        <v>2023</v>
      </c>
      <c r="G540" s="23" t="s">
        <v>902</v>
      </c>
      <c r="H540" s="2" t="s">
        <v>767</v>
      </c>
      <c r="I540" s="23" t="s">
        <v>188</v>
      </c>
      <c r="J540" s="23">
        <v>58.250121999999998</v>
      </c>
      <c r="K540" s="23">
        <v>11.445425</v>
      </c>
      <c r="L540" s="23" t="s">
        <v>819</v>
      </c>
      <c r="M540" s="2" t="s">
        <v>825</v>
      </c>
      <c r="N540" s="6" t="s">
        <v>828</v>
      </c>
    </row>
    <row r="541" spans="1:14" ht="15" customHeight="1" x14ac:dyDescent="0.2">
      <c r="A541" s="22">
        <v>0.53262195814640312</v>
      </c>
      <c r="B541" s="22"/>
      <c r="C541" s="2" t="s">
        <v>891</v>
      </c>
      <c r="D541" s="2">
        <f t="shared" si="9"/>
        <v>0.53262195814640312</v>
      </c>
      <c r="F541" s="2">
        <v>2023</v>
      </c>
      <c r="G541" s="23" t="s">
        <v>902</v>
      </c>
      <c r="H541" s="2" t="s">
        <v>767</v>
      </c>
      <c r="I541" s="23" t="s">
        <v>188</v>
      </c>
      <c r="J541" s="23">
        <v>58.250121</v>
      </c>
      <c r="K541" s="23">
        <v>11.445418999999999</v>
      </c>
      <c r="L541" s="23" t="s">
        <v>819</v>
      </c>
      <c r="M541" s="2" t="s">
        <v>825</v>
      </c>
      <c r="N541" s="6" t="s">
        <v>828</v>
      </c>
    </row>
    <row r="542" spans="1:14" ht="15" customHeight="1" x14ac:dyDescent="0.2">
      <c r="A542" s="22">
        <v>0.52852357993025323</v>
      </c>
      <c r="B542" s="22"/>
      <c r="C542" s="2" t="s">
        <v>891</v>
      </c>
      <c r="D542" s="2">
        <f t="shared" si="9"/>
        <v>0.52852357993025323</v>
      </c>
      <c r="F542" s="2">
        <v>2023</v>
      </c>
      <c r="G542" s="23" t="s">
        <v>902</v>
      </c>
      <c r="H542" s="2" t="s">
        <v>766</v>
      </c>
      <c r="I542" s="23" t="s">
        <v>188</v>
      </c>
      <c r="J542" s="23">
        <v>58.432456999999999</v>
      </c>
      <c r="K542" s="23">
        <v>11.678717000000001</v>
      </c>
      <c r="L542" s="23" t="s">
        <v>819</v>
      </c>
      <c r="M542" s="2" t="s">
        <v>825</v>
      </c>
      <c r="N542" s="6" t="s">
        <v>828</v>
      </c>
    </row>
    <row r="543" spans="1:14" ht="15" customHeight="1" x14ac:dyDescent="0.2">
      <c r="A543" s="22">
        <v>0.51037842407145528</v>
      </c>
      <c r="B543" s="22"/>
      <c r="C543" s="2" t="s">
        <v>891</v>
      </c>
      <c r="D543" s="2">
        <f t="shared" si="9"/>
        <v>0.51037842407145528</v>
      </c>
      <c r="F543" s="2">
        <v>2023</v>
      </c>
      <c r="G543" s="23" t="s">
        <v>902</v>
      </c>
      <c r="H543" s="2" t="s">
        <v>766</v>
      </c>
      <c r="I543" s="23" t="s">
        <v>188</v>
      </c>
      <c r="J543" s="23">
        <v>58.430005999999999</v>
      </c>
      <c r="K543" s="23">
        <v>11.675222</v>
      </c>
      <c r="L543" s="23" t="s">
        <v>819</v>
      </c>
      <c r="M543" s="2" t="s">
        <v>825</v>
      </c>
      <c r="N543" s="6" t="s">
        <v>828</v>
      </c>
    </row>
    <row r="544" spans="1:14" ht="15" customHeight="1" x14ac:dyDescent="0.2">
      <c r="A544" s="22">
        <v>0.50242698727965807</v>
      </c>
      <c r="B544" s="22"/>
      <c r="C544" s="2" t="s">
        <v>891</v>
      </c>
      <c r="D544" s="2">
        <f t="shared" si="9"/>
        <v>0.50242698727965807</v>
      </c>
      <c r="F544" s="2">
        <v>2023</v>
      </c>
      <c r="G544" s="23" t="s">
        <v>902</v>
      </c>
      <c r="H544" s="2" t="s">
        <v>766</v>
      </c>
      <c r="I544" s="23" t="s">
        <v>188</v>
      </c>
      <c r="J544" s="23">
        <v>58.428984999999997</v>
      </c>
      <c r="K544" s="23">
        <v>11.685673</v>
      </c>
      <c r="L544" s="23" t="s">
        <v>819</v>
      </c>
      <c r="M544" s="2" t="s">
        <v>825</v>
      </c>
      <c r="N544" s="6" t="s">
        <v>828</v>
      </c>
    </row>
    <row r="545" spans="1:14" ht="15" customHeight="1" x14ac:dyDescent="0.2">
      <c r="A545" s="22">
        <v>0.49622931840161938</v>
      </c>
      <c r="B545" s="22"/>
      <c r="C545" s="2" t="s">
        <v>891</v>
      </c>
      <c r="D545" s="2">
        <f t="shared" si="9"/>
        <v>0.49622931840161938</v>
      </c>
      <c r="F545" s="2">
        <v>2023</v>
      </c>
      <c r="G545" s="23" t="s">
        <v>902</v>
      </c>
      <c r="H545" s="2" t="s">
        <v>766</v>
      </c>
      <c r="I545" s="23" t="s">
        <v>188</v>
      </c>
      <c r="J545" s="23">
        <v>58.430007000000003</v>
      </c>
      <c r="K545" s="23">
        <v>11.675210999999999</v>
      </c>
      <c r="L545" s="23" t="s">
        <v>819</v>
      </c>
      <c r="M545" s="2" t="s">
        <v>825</v>
      </c>
      <c r="N545" s="6" t="s">
        <v>828</v>
      </c>
    </row>
    <row r="546" spans="1:14" ht="15" customHeight="1" x14ac:dyDescent="0.2">
      <c r="A546" s="22">
        <v>0.49347999091606665</v>
      </c>
      <c r="B546" s="22"/>
      <c r="C546" s="2" t="s">
        <v>891</v>
      </c>
      <c r="D546" s="2">
        <f t="shared" si="9"/>
        <v>0.49347999091606665</v>
      </c>
      <c r="F546" s="2">
        <v>2023</v>
      </c>
      <c r="G546" s="23" t="s">
        <v>902</v>
      </c>
      <c r="H546" s="2" t="s">
        <v>766</v>
      </c>
      <c r="I546" s="23" t="s">
        <v>188</v>
      </c>
      <c r="J546" s="23">
        <v>58.430002999999999</v>
      </c>
      <c r="K546" s="23">
        <v>11.675214</v>
      </c>
      <c r="L546" s="23" t="s">
        <v>819</v>
      </c>
      <c r="M546" s="2" t="s">
        <v>825</v>
      </c>
      <c r="N546" s="6" t="s">
        <v>828</v>
      </c>
    </row>
    <row r="547" spans="1:14" ht="15" customHeight="1" x14ac:dyDescent="0.2">
      <c r="A547" s="22">
        <v>0.4888689705932151</v>
      </c>
      <c r="B547" s="22"/>
      <c r="C547" s="2" t="s">
        <v>891</v>
      </c>
      <c r="D547" s="2">
        <f t="shared" si="9"/>
        <v>0.4888689705932151</v>
      </c>
      <c r="F547" s="2">
        <v>2023</v>
      </c>
      <c r="G547" s="23" t="s">
        <v>902</v>
      </c>
      <c r="H547" s="2" t="s">
        <v>767</v>
      </c>
      <c r="I547" s="23" t="s">
        <v>188</v>
      </c>
      <c r="J547" s="23">
        <v>58.250121</v>
      </c>
      <c r="K547" s="23">
        <v>11.445425999999999</v>
      </c>
      <c r="L547" s="23" t="s">
        <v>819</v>
      </c>
      <c r="M547" s="2" t="s">
        <v>825</v>
      </c>
      <c r="N547" s="6" t="s">
        <v>828</v>
      </c>
    </row>
    <row r="548" spans="1:14" ht="15" customHeight="1" x14ac:dyDescent="0.2">
      <c r="A548" s="22">
        <v>0.4878110582239602</v>
      </c>
      <c r="B548" s="22"/>
      <c r="C548" s="2" t="s">
        <v>891</v>
      </c>
      <c r="D548" s="2">
        <f t="shared" si="9"/>
        <v>0.4878110582239602</v>
      </c>
      <c r="F548" s="2">
        <v>2023</v>
      </c>
      <c r="G548" s="23" t="s">
        <v>902</v>
      </c>
      <c r="H548" s="2" t="s">
        <v>766</v>
      </c>
      <c r="I548" s="23" t="s">
        <v>188</v>
      </c>
      <c r="J548" s="23">
        <v>58.423788999999999</v>
      </c>
      <c r="K548" s="23">
        <v>11.651166</v>
      </c>
      <c r="L548" s="23" t="s">
        <v>819</v>
      </c>
      <c r="M548" s="2" t="s">
        <v>825</v>
      </c>
      <c r="N548" s="6" t="s">
        <v>828</v>
      </c>
    </row>
    <row r="549" spans="1:14" ht="15" customHeight="1" x14ac:dyDescent="0.2">
      <c r="A549" s="31">
        <v>8.8994442700892999E-4</v>
      </c>
      <c r="B549" s="31"/>
      <c r="C549" s="2" t="s">
        <v>892</v>
      </c>
      <c r="D549" s="2">
        <f>A549 * 545.45</f>
        <v>0.48542018771202089</v>
      </c>
      <c r="F549" s="2">
        <v>2020</v>
      </c>
      <c r="G549" s="38" t="s">
        <v>901</v>
      </c>
      <c r="H549" s="2" t="s">
        <v>763</v>
      </c>
      <c r="I549" s="31" t="s">
        <v>263</v>
      </c>
      <c r="J549" s="31" t="s">
        <v>822</v>
      </c>
      <c r="K549" s="31" t="s">
        <v>822</v>
      </c>
      <c r="L549" s="2" t="s">
        <v>28</v>
      </c>
      <c r="M549" s="2" t="s">
        <v>824</v>
      </c>
      <c r="N549" s="17" t="s">
        <v>906</v>
      </c>
    </row>
    <row r="550" spans="1:14" ht="15" customHeight="1" x14ac:dyDescent="0.2">
      <c r="A550" s="31">
        <v>8.8695953954735004E-4</v>
      </c>
      <c r="B550" s="31"/>
      <c r="C550" s="2" t="s">
        <v>892</v>
      </c>
      <c r="D550" s="2">
        <f>A550 * 545.45</f>
        <v>0.48379208084610215</v>
      </c>
      <c r="F550" s="2">
        <v>2020</v>
      </c>
      <c r="G550" s="38" t="s">
        <v>901</v>
      </c>
      <c r="H550" s="2" t="s">
        <v>763</v>
      </c>
      <c r="I550" s="31" t="s">
        <v>268</v>
      </c>
      <c r="J550" s="31" t="s">
        <v>822</v>
      </c>
      <c r="K550" s="31" t="s">
        <v>822</v>
      </c>
      <c r="L550" s="2" t="s">
        <v>28</v>
      </c>
      <c r="M550" s="2" t="s">
        <v>824</v>
      </c>
      <c r="N550" s="17" t="s">
        <v>906</v>
      </c>
    </row>
    <row r="551" spans="1:14" ht="15" customHeight="1" x14ac:dyDescent="0.2">
      <c r="A551" s="31">
        <v>2.4643797456972991</v>
      </c>
      <c r="B551" s="31"/>
      <c r="C551" s="2" t="s">
        <v>855</v>
      </c>
      <c r="D551" s="31">
        <f xml:space="preserve"> A551 * 0.196</f>
        <v>0.48301843015667062</v>
      </c>
      <c r="F551" s="2" t="s">
        <v>822</v>
      </c>
      <c r="G551" s="23" t="s">
        <v>902</v>
      </c>
      <c r="H551" s="2" t="s">
        <v>822</v>
      </c>
      <c r="J551" s="31">
        <v>25.187700299999999</v>
      </c>
      <c r="K551" s="31">
        <v>64.856102000000007</v>
      </c>
      <c r="L551" s="31"/>
      <c r="M551" s="31" t="s">
        <v>854</v>
      </c>
      <c r="N551" s="6" t="s">
        <v>856</v>
      </c>
    </row>
    <row r="552" spans="1:14" ht="15" customHeight="1" x14ac:dyDescent="0.2">
      <c r="A552" s="31">
        <v>2.447701965682282</v>
      </c>
      <c r="B552" s="31"/>
      <c r="C552" s="2" t="s">
        <v>855</v>
      </c>
      <c r="D552" s="31">
        <f xml:space="preserve"> A552 * 0.196</f>
        <v>0.4797495852737273</v>
      </c>
      <c r="F552" s="2" t="s">
        <v>822</v>
      </c>
      <c r="G552" s="23" t="s">
        <v>902</v>
      </c>
      <c r="H552" s="2" t="s">
        <v>822</v>
      </c>
      <c r="J552" s="31">
        <v>27.773000700000001</v>
      </c>
      <c r="K552" s="31">
        <v>34.399501800000003</v>
      </c>
      <c r="L552" s="31"/>
      <c r="M552" s="31" t="s">
        <v>854</v>
      </c>
      <c r="N552" s="6" t="s">
        <v>856</v>
      </c>
    </row>
    <row r="553" spans="1:14" ht="15" customHeight="1" x14ac:dyDescent="0.2">
      <c r="A553" s="22">
        <v>0.47931262524654322</v>
      </c>
      <c r="B553" s="22"/>
      <c r="C553" s="2" t="s">
        <v>891</v>
      </c>
      <c r="D553" s="2">
        <f>A553</f>
        <v>0.47931262524654322</v>
      </c>
      <c r="F553" s="2">
        <v>2023</v>
      </c>
      <c r="G553" s="23" t="s">
        <v>902</v>
      </c>
      <c r="H553" s="2" t="s">
        <v>767</v>
      </c>
      <c r="I553" s="23" t="s">
        <v>188</v>
      </c>
      <c r="J553" s="23">
        <v>58.439593000000002</v>
      </c>
      <c r="K553" s="23">
        <v>11.583258000000001</v>
      </c>
      <c r="L553" s="23" t="s">
        <v>819</v>
      </c>
      <c r="M553" s="2" t="s">
        <v>825</v>
      </c>
      <c r="N553" s="6" t="s">
        <v>828</v>
      </c>
    </row>
    <row r="554" spans="1:14" ht="15" customHeight="1" x14ac:dyDescent="0.2">
      <c r="A554" s="31">
        <v>2.4169838535738171</v>
      </c>
      <c r="B554" s="31"/>
      <c r="C554" s="2" t="s">
        <v>855</v>
      </c>
      <c r="D554" s="31">
        <f xml:space="preserve"> A554 * 0.196</f>
        <v>0.47372883530046817</v>
      </c>
      <c r="F554" s="2" t="s">
        <v>822</v>
      </c>
      <c r="G554" s="23" t="s">
        <v>902</v>
      </c>
      <c r="H554" s="2" t="s">
        <v>822</v>
      </c>
      <c r="J554" s="31">
        <v>25.1692009</v>
      </c>
      <c r="K554" s="31">
        <v>64.287101699999994</v>
      </c>
      <c r="L554" s="31"/>
      <c r="M554" s="31" t="s">
        <v>854</v>
      </c>
      <c r="N554" s="6" t="s">
        <v>856</v>
      </c>
    </row>
    <row r="555" spans="1:14" ht="15" customHeight="1" x14ac:dyDescent="0.2">
      <c r="A555" s="22">
        <v>0.47235240218538138</v>
      </c>
      <c r="B555" s="22"/>
      <c r="C555" s="2" t="s">
        <v>891</v>
      </c>
      <c r="D555" s="2">
        <f>A555</f>
        <v>0.47235240218538138</v>
      </c>
      <c r="F555" s="2">
        <v>2023</v>
      </c>
      <c r="G555" s="23" t="s">
        <v>902</v>
      </c>
      <c r="H555" s="2" t="s">
        <v>770</v>
      </c>
      <c r="I555" s="23" t="s">
        <v>189</v>
      </c>
      <c r="J555" s="23">
        <v>58077380</v>
      </c>
      <c r="K555" s="23">
        <v>11813551</v>
      </c>
      <c r="L555" s="23" t="s">
        <v>819</v>
      </c>
      <c r="M555" s="2" t="s">
        <v>825</v>
      </c>
      <c r="N555" s="6" t="s">
        <v>828</v>
      </c>
    </row>
    <row r="556" spans="1:14" ht="15" customHeight="1" x14ac:dyDescent="0.2">
      <c r="A556" s="31">
        <v>2.3939113725213539</v>
      </c>
      <c r="B556" s="31"/>
      <c r="C556" s="2" t="s">
        <v>855</v>
      </c>
      <c r="D556" s="31">
        <f xml:space="preserve"> A556 * 0.196</f>
        <v>0.46920662901418536</v>
      </c>
      <c r="F556" s="2" t="s">
        <v>822</v>
      </c>
      <c r="G556" s="23" t="s">
        <v>902</v>
      </c>
      <c r="H556" s="2" t="s">
        <v>822</v>
      </c>
      <c r="J556" s="31">
        <v>57.882198299999999</v>
      </c>
      <c r="K556" s="31">
        <v>19.0730991</v>
      </c>
      <c r="L556" s="31"/>
      <c r="M556" s="31" t="s">
        <v>854</v>
      </c>
      <c r="N556" s="6" t="s">
        <v>856</v>
      </c>
    </row>
    <row r="557" spans="1:14" ht="15" customHeight="1" x14ac:dyDescent="0.2">
      <c r="A557" s="22">
        <v>0.46432868329051058</v>
      </c>
      <c r="B557" s="22"/>
      <c r="C557" s="2" t="s">
        <v>891</v>
      </c>
      <c r="D557" s="2">
        <f>A557</f>
        <v>0.46432868329051058</v>
      </c>
      <c r="F557" s="2">
        <v>2023</v>
      </c>
      <c r="G557" s="23" t="s">
        <v>902</v>
      </c>
      <c r="H557" s="2" t="s">
        <v>767</v>
      </c>
      <c r="I557" s="23" t="s">
        <v>188</v>
      </c>
      <c r="J557" s="23">
        <v>58.416772999999999</v>
      </c>
      <c r="K557" s="23">
        <v>11.594282</v>
      </c>
      <c r="L557" s="23" t="s">
        <v>819</v>
      </c>
      <c r="M557" s="2" t="s">
        <v>825</v>
      </c>
      <c r="N557" s="6" t="s">
        <v>828</v>
      </c>
    </row>
    <row r="558" spans="1:14" ht="15" customHeight="1" x14ac:dyDescent="0.2">
      <c r="A558" s="22">
        <v>0.45181650992799061</v>
      </c>
      <c r="B558" s="22"/>
      <c r="C558" s="2" t="s">
        <v>891</v>
      </c>
      <c r="D558" s="2">
        <f>A558</f>
        <v>0.45181650992799061</v>
      </c>
      <c r="F558" s="2">
        <v>2023</v>
      </c>
      <c r="G558" s="23" t="s">
        <v>902</v>
      </c>
      <c r="H558" s="2" t="s">
        <v>766</v>
      </c>
      <c r="I558" s="23" t="s">
        <v>188</v>
      </c>
      <c r="J558" s="23">
        <v>58.338985000000001</v>
      </c>
      <c r="K558" s="23">
        <v>11.549801</v>
      </c>
      <c r="L558" s="23" t="s">
        <v>819</v>
      </c>
      <c r="M558" s="2" t="s">
        <v>825</v>
      </c>
      <c r="N558" s="6" t="s">
        <v>828</v>
      </c>
    </row>
    <row r="559" spans="1:14" ht="15" customHeight="1" x14ac:dyDescent="0.2">
      <c r="A559" s="31">
        <v>2.2989686422641782</v>
      </c>
      <c r="B559" s="31"/>
      <c r="C559" s="2" t="s">
        <v>855</v>
      </c>
      <c r="D559" s="31">
        <f xml:space="preserve"> A559 * 0.196</f>
        <v>0.45059785388377893</v>
      </c>
      <c r="F559" s="2" t="s">
        <v>822</v>
      </c>
      <c r="G559" s="23" t="s">
        <v>902</v>
      </c>
      <c r="H559" s="2" t="s">
        <v>822</v>
      </c>
      <c r="J559" s="31">
        <v>26.304000899999998</v>
      </c>
      <c r="K559" s="31">
        <v>-14.4098997</v>
      </c>
      <c r="L559" s="31"/>
      <c r="M559" s="31" t="s">
        <v>854</v>
      </c>
      <c r="N559" s="6" t="s">
        <v>856</v>
      </c>
    </row>
    <row r="560" spans="1:14" ht="15" customHeight="1" x14ac:dyDescent="0.2">
      <c r="A560" s="22">
        <v>0.4480695937844501</v>
      </c>
      <c r="B560" s="22"/>
      <c r="C560" s="2" t="s">
        <v>891</v>
      </c>
      <c r="D560" s="2">
        <f>A560</f>
        <v>0.4480695937844501</v>
      </c>
      <c r="F560" s="2">
        <v>2023</v>
      </c>
      <c r="G560" s="23" t="s">
        <v>902</v>
      </c>
      <c r="H560" s="2" t="s">
        <v>766</v>
      </c>
      <c r="I560" s="23" t="s">
        <v>188</v>
      </c>
      <c r="J560" s="23">
        <v>58.395007</v>
      </c>
      <c r="K560" s="23">
        <v>11.623037</v>
      </c>
      <c r="L560" s="23" t="s">
        <v>819</v>
      </c>
      <c r="M560" s="2" t="s">
        <v>825</v>
      </c>
      <c r="N560" s="6" t="s">
        <v>828</v>
      </c>
    </row>
    <row r="561" spans="1:14" ht="15" customHeight="1" x14ac:dyDescent="0.2">
      <c r="A561" s="31">
        <v>8.1834800329922005E-4</v>
      </c>
      <c r="B561" s="31"/>
      <c r="C561" s="2" t="s">
        <v>892</v>
      </c>
      <c r="D561" s="2">
        <f>A561 * 545.45</f>
        <v>0.44636791839955964</v>
      </c>
      <c r="F561" s="2">
        <v>2020</v>
      </c>
      <c r="G561" s="38" t="s">
        <v>901</v>
      </c>
      <c r="H561" s="2" t="s">
        <v>740</v>
      </c>
      <c r="I561" s="31" t="s">
        <v>261</v>
      </c>
      <c r="J561" s="31">
        <v>54.372100000000003</v>
      </c>
      <c r="K561" s="31">
        <v>13.242699999999999</v>
      </c>
      <c r="L561" s="2" t="s">
        <v>28</v>
      </c>
      <c r="M561" s="2" t="s">
        <v>824</v>
      </c>
      <c r="N561" s="17" t="s">
        <v>906</v>
      </c>
    </row>
    <row r="562" spans="1:14" ht="15" customHeight="1" x14ac:dyDescent="0.2">
      <c r="A562" s="22">
        <v>0.43411383993318309</v>
      </c>
      <c r="B562" s="22"/>
      <c r="C562" s="2" t="s">
        <v>891</v>
      </c>
      <c r="D562" s="2">
        <f>A562</f>
        <v>0.43411383993318309</v>
      </c>
      <c r="F562" s="2">
        <v>2023</v>
      </c>
      <c r="G562" s="23" t="s">
        <v>902</v>
      </c>
      <c r="H562" s="2" t="s">
        <v>770</v>
      </c>
      <c r="I562" s="23" t="s">
        <v>189</v>
      </c>
      <c r="J562" s="23">
        <v>58077388</v>
      </c>
      <c r="K562" s="23">
        <v>11813559</v>
      </c>
      <c r="L562" s="23" t="s">
        <v>819</v>
      </c>
      <c r="M562" s="2" t="s">
        <v>825</v>
      </c>
      <c r="N562" s="6" t="s">
        <v>828</v>
      </c>
    </row>
    <row r="563" spans="1:14" ht="15" customHeight="1" x14ac:dyDescent="0.2">
      <c r="A563" s="22">
        <v>0.4329823304073997</v>
      </c>
      <c r="B563" s="22"/>
      <c r="C563" s="2" t="s">
        <v>891</v>
      </c>
      <c r="D563" s="2">
        <f>A563</f>
        <v>0.4329823304073997</v>
      </c>
      <c r="F563" s="2">
        <v>2023</v>
      </c>
      <c r="G563" s="23" t="s">
        <v>902</v>
      </c>
      <c r="H563" s="2" t="s">
        <v>766</v>
      </c>
      <c r="I563" s="23" t="s">
        <v>188</v>
      </c>
      <c r="J563" s="23">
        <v>58.389173</v>
      </c>
      <c r="K563" s="23">
        <v>11.620557</v>
      </c>
      <c r="L563" s="23" t="s">
        <v>819</v>
      </c>
      <c r="M563" s="2" t="s">
        <v>825</v>
      </c>
      <c r="N563" s="6" t="s">
        <v>828</v>
      </c>
    </row>
    <row r="564" spans="1:14" ht="15" customHeight="1" x14ac:dyDescent="0.2">
      <c r="A564" s="22">
        <v>0.43148798705127267</v>
      </c>
      <c r="B564" s="22"/>
      <c r="C564" s="2" t="s">
        <v>891</v>
      </c>
      <c r="D564" s="2">
        <f>A564</f>
        <v>0.43148798705127267</v>
      </c>
      <c r="F564" s="2">
        <v>2023</v>
      </c>
      <c r="G564" s="23" t="s">
        <v>902</v>
      </c>
      <c r="H564" s="2" t="s">
        <v>767</v>
      </c>
      <c r="I564" s="23" t="s">
        <v>188</v>
      </c>
      <c r="J564" s="23">
        <v>58.262551999999999</v>
      </c>
      <c r="K564" s="23">
        <v>11.456833</v>
      </c>
      <c r="L564" s="23" t="s">
        <v>819</v>
      </c>
      <c r="M564" s="2" t="s">
        <v>825</v>
      </c>
      <c r="N564" s="6" t="s">
        <v>828</v>
      </c>
    </row>
    <row r="565" spans="1:14" ht="15" customHeight="1" x14ac:dyDescent="0.2">
      <c r="A565" s="22">
        <v>0.42628309338745951</v>
      </c>
      <c r="B565" s="22"/>
      <c r="C565" s="2" t="s">
        <v>891</v>
      </c>
      <c r="D565" s="2">
        <f>A565</f>
        <v>0.42628309338745951</v>
      </c>
      <c r="F565" s="2">
        <v>2023</v>
      </c>
      <c r="G565" s="23" t="s">
        <v>902</v>
      </c>
      <c r="H565" s="2" t="s">
        <v>767</v>
      </c>
      <c r="I565" s="23" t="s">
        <v>188</v>
      </c>
      <c r="J565" s="23">
        <v>58.262557000000001</v>
      </c>
      <c r="K565" s="23">
        <v>11.456839</v>
      </c>
      <c r="L565" s="23" t="s">
        <v>819</v>
      </c>
      <c r="M565" s="2" t="s">
        <v>825</v>
      </c>
      <c r="N565" s="6" t="s">
        <v>828</v>
      </c>
    </row>
    <row r="566" spans="1:14" ht="15" customHeight="1" x14ac:dyDescent="0.2">
      <c r="A566" s="31">
        <v>7.7832250084335997E-4</v>
      </c>
      <c r="B566" s="31"/>
      <c r="C566" s="2" t="s">
        <v>892</v>
      </c>
      <c r="D566" s="2">
        <f>A566 * 545.45</f>
        <v>0.42453600808501074</v>
      </c>
      <c r="F566" s="2">
        <v>2020</v>
      </c>
      <c r="G566" s="38" t="s">
        <v>901</v>
      </c>
      <c r="H566" s="2" t="s">
        <v>758</v>
      </c>
      <c r="I566" s="31" t="s">
        <v>258</v>
      </c>
      <c r="J566" s="31">
        <v>54.371299999999998</v>
      </c>
      <c r="K566" s="31">
        <v>13.2438</v>
      </c>
      <c r="L566" s="2" t="s">
        <v>28</v>
      </c>
      <c r="M566" s="2" t="s">
        <v>824</v>
      </c>
      <c r="N566" s="17" t="s">
        <v>906</v>
      </c>
    </row>
    <row r="567" spans="1:14" ht="15" customHeight="1" x14ac:dyDescent="0.2">
      <c r="A567" s="22">
        <v>0.42194294662517295</v>
      </c>
      <c r="B567" s="22"/>
      <c r="C567" s="2" t="s">
        <v>891</v>
      </c>
      <c r="D567" s="2">
        <f>A567</f>
        <v>0.42194294662517295</v>
      </c>
      <c r="F567" s="2">
        <v>2023</v>
      </c>
      <c r="G567" s="23" t="s">
        <v>902</v>
      </c>
      <c r="H567" s="2" t="s">
        <v>766</v>
      </c>
      <c r="I567" s="23" t="s">
        <v>188</v>
      </c>
      <c r="J567" s="23">
        <v>58.404961</v>
      </c>
      <c r="K567" s="23">
        <v>11.628318</v>
      </c>
      <c r="L567" s="23" t="s">
        <v>819</v>
      </c>
      <c r="M567" s="2" t="s">
        <v>825</v>
      </c>
      <c r="N567" s="6" t="s">
        <v>828</v>
      </c>
    </row>
    <row r="568" spans="1:14" ht="15" customHeight="1" x14ac:dyDescent="0.2">
      <c r="A568" s="22">
        <v>0.42064553841399377</v>
      </c>
      <c r="B568" s="22"/>
      <c r="C568" s="2" t="s">
        <v>891</v>
      </c>
      <c r="D568" s="2">
        <f>A568</f>
        <v>0.42064553841399377</v>
      </c>
      <c r="F568" s="2">
        <v>2023</v>
      </c>
      <c r="G568" s="23" t="s">
        <v>902</v>
      </c>
      <c r="H568" s="2" t="s">
        <v>767</v>
      </c>
      <c r="I568" s="23" t="s">
        <v>188</v>
      </c>
      <c r="J568" s="23">
        <v>58.402501000000001</v>
      </c>
      <c r="K568" s="23">
        <v>11.630020999999999</v>
      </c>
      <c r="L568" s="23" t="s">
        <v>819</v>
      </c>
      <c r="M568" s="2" t="s">
        <v>825</v>
      </c>
      <c r="N568" s="6" t="s">
        <v>828</v>
      </c>
    </row>
    <row r="569" spans="1:14" ht="15" customHeight="1" x14ac:dyDescent="0.2">
      <c r="A569" s="22">
        <v>0.41280391305435876</v>
      </c>
      <c r="B569" s="22"/>
      <c r="C569" s="2" t="s">
        <v>891</v>
      </c>
      <c r="D569" s="2">
        <f>A569</f>
        <v>0.41280391305435876</v>
      </c>
      <c r="F569" s="2">
        <v>2023</v>
      </c>
      <c r="G569" s="23" t="s">
        <v>902</v>
      </c>
      <c r="H569" s="2" t="s">
        <v>766</v>
      </c>
      <c r="I569" s="23" t="s">
        <v>188</v>
      </c>
      <c r="J569" s="23">
        <v>58.389173999999997</v>
      </c>
      <c r="K569" s="23">
        <v>11.620564999999999</v>
      </c>
      <c r="L569" s="23" t="s">
        <v>819</v>
      </c>
      <c r="M569" s="2" t="s">
        <v>825</v>
      </c>
      <c r="N569" s="6" t="s">
        <v>828</v>
      </c>
    </row>
    <row r="570" spans="1:14" ht="15" customHeight="1" x14ac:dyDescent="0.2">
      <c r="A570" s="31">
        <v>2.084848451555728</v>
      </c>
      <c r="B570" s="31"/>
      <c r="C570" s="2" t="s">
        <v>855</v>
      </c>
      <c r="D570" s="31">
        <f xml:space="preserve"> A570 * 0.196</f>
        <v>0.40863029650492272</v>
      </c>
      <c r="F570" s="2" t="s">
        <v>822</v>
      </c>
      <c r="G570" s="23" t="s">
        <v>902</v>
      </c>
      <c r="H570" s="2" t="s">
        <v>822</v>
      </c>
      <c r="J570" s="31">
        <v>25.1427002</v>
      </c>
      <c r="K570" s="31">
        <v>62.939701100000001</v>
      </c>
      <c r="L570" s="31"/>
      <c r="M570" s="31" t="s">
        <v>854</v>
      </c>
      <c r="N570" s="6" t="s">
        <v>856</v>
      </c>
    </row>
    <row r="571" spans="1:14" ht="15" customHeight="1" x14ac:dyDescent="0.2">
      <c r="A571" s="22">
        <v>0.40855992413519998</v>
      </c>
      <c r="B571" s="22"/>
      <c r="C571" s="2" t="s">
        <v>891</v>
      </c>
      <c r="D571" s="2">
        <f>A571</f>
        <v>0.40855992413519998</v>
      </c>
      <c r="F571" s="2">
        <v>2023</v>
      </c>
      <c r="G571" s="23" t="s">
        <v>902</v>
      </c>
      <c r="H571" s="2" t="s">
        <v>772</v>
      </c>
      <c r="I571" s="14" t="s">
        <v>191</v>
      </c>
      <c r="J571" s="23" t="s">
        <v>292</v>
      </c>
      <c r="K571" s="23" t="s">
        <v>496</v>
      </c>
      <c r="L571" s="23" t="s">
        <v>820</v>
      </c>
      <c r="M571" s="2" t="s">
        <v>825</v>
      </c>
      <c r="N571" s="6" t="s">
        <v>828</v>
      </c>
    </row>
    <row r="572" spans="1:14" ht="15" customHeight="1" x14ac:dyDescent="0.2">
      <c r="A572" s="31">
        <v>2.0808685362318462</v>
      </c>
      <c r="B572" s="31"/>
      <c r="C572" s="2" t="s">
        <v>855</v>
      </c>
      <c r="D572" s="31">
        <f xml:space="preserve"> A572 * 0.196</f>
        <v>0.40785023310144186</v>
      </c>
      <c r="F572" s="2" t="s">
        <v>822</v>
      </c>
      <c r="G572" s="23" t="s">
        <v>902</v>
      </c>
      <c r="H572" s="2" t="s">
        <v>822</v>
      </c>
      <c r="J572" s="31">
        <v>28.390600200000002</v>
      </c>
      <c r="K572" s="31">
        <v>48.804798099999999</v>
      </c>
      <c r="L572" s="31"/>
      <c r="M572" s="31" t="s">
        <v>854</v>
      </c>
      <c r="N572" s="6" t="s">
        <v>856</v>
      </c>
    </row>
    <row r="573" spans="1:14" ht="15" customHeight="1" x14ac:dyDescent="0.2">
      <c r="A573" s="22">
        <v>0.40707424811776927</v>
      </c>
      <c r="B573" s="22"/>
      <c r="C573" s="2" t="s">
        <v>891</v>
      </c>
      <c r="D573" s="2">
        <f>A573</f>
        <v>0.40707424811776927</v>
      </c>
      <c r="F573" s="2">
        <v>2023</v>
      </c>
      <c r="G573" s="23" t="s">
        <v>902</v>
      </c>
      <c r="H573" s="2" t="s">
        <v>770</v>
      </c>
      <c r="I573" s="23" t="s">
        <v>189</v>
      </c>
      <c r="J573" s="23">
        <v>58077377</v>
      </c>
      <c r="K573" s="23">
        <v>11813559</v>
      </c>
      <c r="L573" s="23" t="s">
        <v>819</v>
      </c>
      <c r="M573" s="2" t="s">
        <v>825</v>
      </c>
      <c r="N573" s="6" t="s">
        <v>828</v>
      </c>
    </row>
    <row r="574" spans="1:14" ht="15" customHeight="1" x14ac:dyDescent="0.2">
      <c r="A574" s="31">
        <v>2.065301139556325</v>
      </c>
      <c r="B574" s="31"/>
      <c r="C574" s="2" t="s">
        <v>855</v>
      </c>
      <c r="D574" s="31">
        <f xml:space="preserve"> A574 * 0.196</f>
        <v>0.40479902335303969</v>
      </c>
      <c r="F574" s="2" t="s">
        <v>822</v>
      </c>
      <c r="G574" s="23" t="s">
        <v>902</v>
      </c>
      <c r="H574" s="2" t="s">
        <v>822</v>
      </c>
      <c r="J574" s="31">
        <v>59.475399000000003</v>
      </c>
      <c r="K574" s="31">
        <v>24.385400799999999</v>
      </c>
      <c r="L574" s="31"/>
      <c r="M574" s="31" t="s">
        <v>854</v>
      </c>
      <c r="N574" s="6" t="s">
        <v>856</v>
      </c>
    </row>
    <row r="575" spans="1:14" ht="15" customHeight="1" x14ac:dyDescent="0.2">
      <c r="A575" s="31">
        <v>2.052150679546048</v>
      </c>
      <c r="B575" s="31"/>
      <c r="C575" s="2" t="s">
        <v>855</v>
      </c>
      <c r="D575" s="31">
        <f xml:space="preserve"> A575 * 0.196</f>
        <v>0.40222153319102544</v>
      </c>
      <c r="F575" s="2" t="s">
        <v>822</v>
      </c>
      <c r="G575" s="23" t="s">
        <v>902</v>
      </c>
      <c r="H575" s="2" t="s">
        <v>822</v>
      </c>
      <c r="J575" s="31">
        <v>25.306899999999999</v>
      </c>
      <c r="K575" s="31">
        <v>60.103801699999998</v>
      </c>
      <c r="L575" s="31"/>
      <c r="M575" s="31" t="s">
        <v>854</v>
      </c>
      <c r="N575" s="6" t="s">
        <v>856</v>
      </c>
    </row>
    <row r="576" spans="1:14" ht="15" customHeight="1" x14ac:dyDescent="0.2">
      <c r="A576" s="22">
        <v>0.40163092864256117</v>
      </c>
      <c r="B576" s="22"/>
      <c r="C576" s="2" t="s">
        <v>891</v>
      </c>
      <c r="D576" s="2">
        <f>A576</f>
        <v>0.40163092864256117</v>
      </c>
      <c r="F576" s="2">
        <v>2023</v>
      </c>
      <c r="G576" s="23" t="s">
        <v>902</v>
      </c>
      <c r="H576" s="2" t="s">
        <v>766</v>
      </c>
      <c r="I576" s="23" t="s">
        <v>188</v>
      </c>
      <c r="J576" s="23">
        <v>58.385871000000002</v>
      </c>
      <c r="K576" s="23">
        <v>11.652533999999999</v>
      </c>
      <c r="L576" s="23" t="s">
        <v>819</v>
      </c>
      <c r="M576" s="2" t="s">
        <v>825</v>
      </c>
      <c r="N576" s="6" t="s">
        <v>828</v>
      </c>
    </row>
    <row r="577" spans="1:14" ht="15" customHeight="1" x14ac:dyDescent="0.2">
      <c r="A577" s="22">
        <v>0.40162888965668814</v>
      </c>
      <c r="B577" s="22"/>
      <c r="C577" s="2" t="s">
        <v>891</v>
      </c>
      <c r="D577" s="2">
        <f>A577</f>
        <v>0.40162888965668814</v>
      </c>
      <c r="F577" s="2">
        <v>2023</v>
      </c>
      <c r="G577" s="23" t="s">
        <v>902</v>
      </c>
      <c r="H577" s="2" t="s">
        <v>767</v>
      </c>
      <c r="I577" s="23" t="s">
        <v>188</v>
      </c>
      <c r="J577" s="23">
        <v>58.250134000000003</v>
      </c>
      <c r="K577" s="23">
        <v>11.445423</v>
      </c>
      <c r="L577" s="23" t="s">
        <v>819</v>
      </c>
      <c r="M577" s="2" t="s">
        <v>825</v>
      </c>
      <c r="N577" s="6" t="s">
        <v>828</v>
      </c>
    </row>
    <row r="578" spans="1:14" ht="15" customHeight="1" x14ac:dyDescent="0.2">
      <c r="A578" s="2">
        <v>0.4</v>
      </c>
      <c r="B578" s="2">
        <v>0.1</v>
      </c>
      <c r="C578" s="2" t="s">
        <v>891</v>
      </c>
      <c r="D578" s="2">
        <f>A578</f>
        <v>0.4</v>
      </c>
      <c r="E578" s="2">
        <f>B578</f>
        <v>0.1</v>
      </c>
      <c r="F578" s="2">
        <v>2015</v>
      </c>
      <c r="G578" s="2" t="s">
        <v>902</v>
      </c>
      <c r="H578" s="2" t="s">
        <v>48</v>
      </c>
      <c r="I578" s="2" t="s">
        <v>55</v>
      </c>
      <c r="J578" s="2">
        <v>36.528120000000001</v>
      </c>
      <c r="K578" s="2">
        <v>-6.2186700000000004</v>
      </c>
      <c r="L578" s="2" t="s">
        <v>53</v>
      </c>
      <c r="M578" s="2" t="s">
        <v>800</v>
      </c>
      <c r="N578" s="9" t="s">
        <v>54</v>
      </c>
    </row>
    <row r="579" spans="1:14" ht="15" customHeight="1" x14ac:dyDescent="0.2">
      <c r="A579" s="31">
        <v>2.037838742718725</v>
      </c>
      <c r="B579" s="31"/>
      <c r="C579" s="2" t="s">
        <v>855</v>
      </c>
      <c r="D579" s="31">
        <f xml:space="preserve"> A579 * 0.196</f>
        <v>0.39941639357287012</v>
      </c>
      <c r="F579" s="2" t="s">
        <v>822</v>
      </c>
      <c r="G579" s="23" t="s">
        <v>902</v>
      </c>
      <c r="H579" s="2" t="s">
        <v>822</v>
      </c>
      <c r="J579" s="31">
        <v>49.909900700000001</v>
      </c>
      <c r="K579" s="31">
        <v>-10.468400000000001</v>
      </c>
      <c r="L579" s="31"/>
      <c r="M579" s="31" t="s">
        <v>854</v>
      </c>
      <c r="N579" s="6" t="s">
        <v>856</v>
      </c>
    </row>
    <row r="580" spans="1:14" ht="15" customHeight="1" x14ac:dyDescent="0.2">
      <c r="A580" s="31">
        <v>2.032795396241279</v>
      </c>
      <c r="B580" s="31"/>
      <c r="C580" s="2" t="s">
        <v>855</v>
      </c>
      <c r="D580" s="31">
        <f xml:space="preserve"> A580 * 0.196</f>
        <v>0.39842789766329073</v>
      </c>
      <c r="F580" s="2" t="s">
        <v>822</v>
      </c>
      <c r="G580" s="23" t="s">
        <v>902</v>
      </c>
      <c r="H580" s="2" t="s">
        <v>822</v>
      </c>
      <c r="J580" s="31">
        <v>27.703199399999999</v>
      </c>
      <c r="K580" s="31">
        <v>51.232399000000001</v>
      </c>
      <c r="L580" s="31"/>
      <c r="M580" s="31" t="s">
        <v>854</v>
      </c>
      <c r="N580" s="6" t="s">
        <v>856</v>
      </c>
    </row>
    <row r="581" spans="1:14" ht="15" customHeight="1" x14ac:dyDescent="0.2">
      <c r="A581" s="31">
        <v>2.0318819658523508</v>
      </c>
      <c r="B581" s="31"/>
      <c r="C581" s="2" t="s">
        <v>855</v>
      </c>
      <c r="D581" s="31">
        <f xml:space="preserve"> A581 * 0.196</f>
        <v>0.39824886530706077</v>
      </c>
      <c r="F581" s="2" t="s">
        <v>822</v>
      </c>
      <c r="G581" s="23" t="s">
        <v>902</v>
      </c>
      <c r="H581" s="2" t="s">
        <v>822</v>
      </c>
      <c r="J581" s="31">
        <v>26.618299499999999</v>
      </c>
      <c r="K581" s="31">
        <v>-14.4452</v>
      </c>
      <c r="L581" s="31"/>
      <c r="M581" s="31" t="s">
        <v>854</v>
      </c>
      <c r="N581" s="6" t="s">
        <v>856</v>
      </c>
    </row>
    <row r="582" spans="1:14" ht="15" customHeight="1" x14ac:dyDescent="0.2">
      <c r="A582" s="22">
        <v>0.39647599812012913</v>
      </c>
      <c r="B582" s="22"/>
      <c r="C582" s="2" t="s">
        <v>891</v>
      </c>
      <c r="D582" s="2">
        <f>A582</f>
        <v>0.39647599812012913</v>
      </c>
      <c r="F582" s="2">
        <v>2023</v>
      </c>
      <c r="G582" s="23" t="s">
        <v>902</v>
      </c>
      <c r="H582" s="2" t="s">
        <v>771</v>
      </c>
      <c r="I582" s="23" t="s">
        <v>189</v>
      </c>
      <c r="J582" s="23">
        <v>58077390</v>
      </c>
      <c r="K582" s="23">
        <v>11813528</v>
      </c>
      <c r="L582" s="23" t="s">
        <v>819</v>
      </c>
      <c r="M582" s="2" t="s">
        <v>825</v>
      </c>
      <c r="N582" s="6" t="s">
        <v>828</v>
      </c>
    </row>
    <row r="583" spans="1:14" ht="15" customHeight="1" x14ac:dyDescent="0.2">
      <c r="A583" s="31">
        <v>2.0009537268715141</v>
      </c>
      <c r="B583" s="31"/>
      <c r="C583" s="2" t="s">
        <v>855</v>
      </c>
      <c r="D583" s="31">
        <f t="shared" ref="D583:D590" si="10" xml:space="preserve"> A583 * 0.196</f>
        <v>0.3921869304668168</v>
      </c>
      <c r="F583" s="2" t="s">
        <v>822</v>
      </c>
      <c r="G583" s="23" t="s">
        <v>902</v>
      </c>
      <c r="H583" s="2" t="s">
        <v>822</v>
      </c>
      <c r="J583" s="31">
        <v>27.3271999</v>
      </c>
      <c r="K583" s="31">
        <v>-13.409500100000001</v>
      </c>
      <c r="L583" s="31"/>
      <c r="M583" s="31" t="s">
        <v>854</v>
      </c>
      <c r="N583" s="6" t="s">
        <v>856</v>
      </c>
    </row>
    <row r="584" spans="1:14" ht="15" customHeight="1" x14ac:dyDescent="0.2">
      <c r="A584" s="31">
        <v>1.984018910373212</v>
      </c>
      <c r="B584" s="31"/>
      <c r="C584" s="2" t="s">
        <v>855</v>
      </c>
      <c r="D584" s="31">
        <f t="shared" si="10"/>
        <v>0.38886770643314955</v>
      </c>
      <c r="F584" s="2" t="s">
        <v>822</v>
      </c>
      <c r="G584" s="23" t="s">
        <v>902</v>
      </c>
      <c r="H584" s="2" t="s">
        <v>822</v>
      </c>
      <c r="J584" s="31">
        <v>25.555999799999999</v>
      </c>
      <c r="K584" s="31">
        <v>57.587001800000003</v>
      </c>
      <c r="L584" s="31"/>
      <c r="M584" s="31" t="s">
        <v>854</v>
      </c>
      <c r="N584" s="6" t="s">
        <v>856</v>
      </c>
    </row>
    <row r="585" spans="1:14" ht="15" customHeight="1" x14ac:dyDescent="0.2">
      <c r="A585" s="31">
        <v>1.98333704034239</v>
      </c>
      <c r="B585" s="31"/>
      <c r="C585" s="2" t="s">
        <v>855</v>
      </c>
      <c r="D585" s="31">
        <f t="shared" si="10"/>
        <v>0.38873405990710846</v>
      </c>
      <c r="F585" s="2" t="s">
        <v>822</v>
      </c>
      <c r="G585" s="23" t="s">
        <v>902</v>
      </c>
      <c r="H585" s="2" t="s">
        <v>822</v>
      </c>
      <c r="J585" s="31">
        <v>57.044300100000001</v>
      </c>
      <c r="K585" s="31">
        <v>21.030700700000001</v>
      </c>
      <c r="L585" s="31"/>
      <c r="M585" s="31" t="s">
        <v>854</v>
      </c>
      <c r="N585" s="6" t="s">
        <v>856</v>
      </c>
    </row>
    <row r="586" spans="1:14" ht="15" customHeight="1" x14ac:dyDescent="0.2">
      <c r="A586" s="31">
        <v>1.9796613038503701</v>
      </c>
      <c r="B586" s="31"/>
      <c r="C586" s="2" t="s">
        <v>855</v>
      </c>
      <c r="D586" s="31">
        <f t="shared" si="10"/>
        <v>0.38801361555467256</v>
      </c>
      <c r="F586" s="2" t="s">
        <v>822</v>
      </c>
      <c r="G586" s="23" t="s">
        <v>902</v>
      </c>
      <c r="H586" s="2" t="s">
        <v>822</v>
      </c>
      <c r="J586" s="31">
        <v>59.474601700000001</v>
      </c>
      <c r="K586" s="31">
        <v>23.778200099999999</v>
      </c>
      <c r="L586" s="31"/>
      <c r="M586" s="31" t="s">
        <v>854</v>
      </c>
      <c r="N586" s="6" t="s">
        <v>856</v>
      </c>
    </row>
    <row r="587" spans="1:14" ht="15" customHeight="1" x14ac:dyDescent="0.2">
      <c r="A587" s="31">
        <v>1.9702471071369909</v>
      </c>
      <c r="B587" s="31"/>
      <c r="C587" s="2" t="s">
        <v>855</v>
      </c>
      <c r="D587" s="31">
        <f t="shared" si="10"/>
        <v>0.38616843299885023</v>
      </c>
      <c r="F587" s="2" t="s">
        <v>822</v>
      </c>
      <c r="G587" s="23" t="s">
        <v>902</v>
      </c>
      <c r="H587" s="2" t="s">
        <v>822</v>
      </c>
      <c r="J587" s="31">
        <v>25.079500199999998</v>
      </c>
      <c r="K587" s="31">
        <v>60.659301800000001</v>
      </c>
      <c r="L587" s="31"/>
      <c r="M587" s="31" t="s">
        <v>854</v>
      </c>
      <c r="N587" s="6" t="s">
        <v>856</v>
      </c>
    </row>
    <row r="588" spans="1:14" ht="15" customHeight="1" x14ac:dyDescent="0.2">
      <c r="A588" s="31">
        <v>1.9665645430415879</v>
      </c>
      <c r="B588" s="31"/>
      <c r="C588" s="2" t="s">
        <v>855</v>
      </c>
      <c r="D588" s="31">
        <f t="shared" si="10"/>
        <v>0.38544665043615123</v>
      </c>
      <c r="F588" s="2" t="s">
        <v>822</v>
      </c>
      <c r="G588" s="23" t="s">
        <v>902</v>
      </c>
      <c r="H588" s="2" t="s">
        <v>822</v>
      </c>
      <c r="J588" s="31">
        <v>25.023199099999999</v>
      </c>
      <c r="K588" s="31">
        <v>64.822799700000004</v>
      </c>
      <c r="L588" s="31"/>
      <c r="M588" s="31" t="s">
        <v>854</v>
      </c>
      <c r="N588" s="6" t="s">
        <v>856</v>
      </c>
    </row>
    <row r="589" spans="1:14" ht="15" customHeight="1" x14ac:dyDescent="0.2">
      <c r="A589" s="31">
        <v>1.9629932003290751</v>
      </c>
      <c r="B589" s="31"/>
      <c r="C589" s="2" t="s">
        <v>855</v>
      </c>
      <c r="D589" s="31">
        <f t="shared" si="10"/>
        <v>0.38474666726449874</v>
      </c>
      <c r="F589" s="2" t="s">
        <v>822</v>
      </c>
      <c r="G589" s="23" t="s">
        <v>902</v>
      </c>
      <c r="H589" s="2" t="s">
        <v>822</v>
      </c>
      <c r="J589" s="31">
        <v>25.319299699999998</v>
      </c>
      <c r="K589" s="31">
        <v>59.7112999</v>
      </c>
      <c r="L589" s="31"/>
      <c r="M589" s="31" t="s">
        <v>854</v>
      </c>
      <c r="N589" s="6" t="s">
        <v>856</v>
      </c>
    </row>
    <row r="590" spans="1:14" ht="15" customHeight="1" x14ac:dyDescent="0.2">
      <c r="A590" s="40">
        <v>1.9599858546181199</v>
      </c>
      <c r="B590" s="31"/>
      <c r="C590" s="2" t="s">
        <v>855</v>
      </c>
      <c r="D590" s="31">
        <f t="shared" si="10"/>
        <v>0.38415722750515152</v>
      </c>
      <c r="F590" s="2" t="s">
        <v>822</v>
      </c>
      <c r="G590" s="23" t="s">
        <v>902</v>
      </c>
      <c r="H590" s="2" t="s">
        <v>822</v>
      </c>
      <c r="J590" s="40">
        <v>59.693100000000001</v>
      </c>
      <c r="K590" s="40">
        <v>21.587299300000002</v>
      </c>
      <c r="L590" s="31"/>
      <c r="M590" s="31" t="s">
        <v>854</v>
      </c>
      <c r="N590" s="6" t="s">
        <v>856</v>
      </c>
    </row>
    <row r="591" spans="1:14" ht="15" customHeight="1" x14ac:dyDescent="0.2">
      <c r="A591" s="22">
        <v>0.38353884939554062</v>
      </c>
      <c r="B591" s="22"/>
      <c r="C591" s="2" t="s">
        <v>891</v>
      </c>
      <c r="D591" s="2">
        <f>A591</f>
        <v>0.38353884939554062</v>
      </c>
      <c r="F591" s="2">
        <v>2023</v>
      </c>
      <c r="G591" s="23" t="s">
        <v>902</v>
      </c>
      <c r="H591" s="2" t="s">
        <v>766</v>
      </c>
      <c r="I591" s="23" t="s">
        <v>188</v>
      </c>
      <c r="J591" s="23">
        <v>58.310612999999996</v>
      </c>
      <c r="K591" s="23">
        <v>11.534964</v>
      </c>
      <c r="L591" s="23" t="s">
        <v>819</v>
      </c>
      <c r="M591" s="2" t="s">
        <v>825</v>
      </c>
      <c r="N591" s="6" t="s">
        <v>828</v>
      </c>
    </row>
    <row r="592" spans="1:14" ht="15" customHeight="1" x14ac:dyDescent="0.2">
      <c r="A592" s="22">
        <v>0.38343657574597517</v>
      </c>
      <c r="B592" s="22"/>
      <c r="C592" s="2" t="s">
        <v>891</v>
      </c>
      <c r="D592" s="2">
        <f>A592</f>
        <v>0.38343657574597517</v>
      </c>
      <c r="F592" s="2">
        <v>2023</v>
      </c>
      <c r="G592" s="23" t="s">
        <v>902</v>
      </c>
      <c r="H592" s="2" t="s">
        <v>769</v>
      </c>
      <c r="I592" s="23" t="s">
        <v>190</v>
      </c>
      <c r="J592" s="23">
        <v>58330488</v>
      </c>
      <c r="K592" s="23">
        <v>11859931</v>
      </c>
      <c r="L592" s="23" t="s">
        <v>819</v>
      </c>
      <c r="M592" s="2" t="s">
        <v>825</v>
      </c>
      <c r="N592" s="6" t="s">
        <v>828</v>
      </c>
    </row>
    <row r="593" spans="1:14" ht="15" customHeight="1" x14ac:dyDescent="0.2">
      <c r="A593" s="22">
        <v>0.38157475211881542</v>
      </c>
      <c r="B593" s="22"/>
      <c r="C593" s="2" t="s">
        <v>891</v>
      </c>
      <c r="D593" s="2">
        <f>A593</f>
        <v>0.38157475211881542</v>
      </c>
      <c r="F593" s="2">
        <v>2023</v>
      </c>
      <c r="G593" s="23" t="s">
        <v>902</v>
      </c>
      <c r="H593" s="2" t="s">
        <v>770</v>
      </c>
      <c r="I593" s="23" t="s">
        <v>189</v>
      </c>
      <c r="J593" s="23">
        <v>58077373</v>
      </c>
      <c r="K593" s="23">
        <v>11813561</v>
      </c>
      <c r="L593" s="23" t="s">
        <v>819</v>
      </c>
      <c r="M593" s="2" t="s">
        <v>825</v>
      </c>
      <c r="N593" s="6" t="s">
        <v>828</v>
      </c>
    </row>
    <row r="594" spans="1:14" ht="15" customHeight="1" x14ac:dyDescent="0.2">
      <c r="A594" s="22">
        <v>0.38155492889711895</v>
      </c>
      <c r="B594" s="22"/>
      <c r="C594" s="2" t="s">
        <v>891</v>
      </c>
      <c r="D594" s="2">
        <f>A594</f>
        <v>0.38155492889711895</v>
      </c>
      <c r="F594" s="2">
        <v>2023</v>
      </c>
      <c r="G594" s="23" t="s">
        <v>902</v>
      </c>
      <c r="H594" s="2" t="s">
        <v>766</v>
      </c>
      <c r="I594" s="23" t="s">
        <v>188</v>
      </c>
      <c r="J594" s="23">
        <v>58.375914000000002</v>
      </c>
      <c r="K594" s="23">
        <v>11.610135</v>
      </c>
      <c r="L594" s="23" t="s">
        <v>819</v>
      </c>
      <c r="M594" s="2" t="s">
        <v>825</v>
      </c>
      <c r="N594" s="6" t="s">
        <v>828</v>
      </c>
    </row>
    <row r="595" spans="1:14" ht="15" customHeight="1" x14ac:dyDescent="0.2">
      <c r="A595" s="31">
        <v>1.938759138161066</v>
      </c>
      <c r="B595" s="31"/>
      <c r="C595" s="2" t="s">
        <v>855</v>
      </c>
      <c r="D595" s="31">
        <f xml:space="preserve"> A595 * 0.196</f>
        <v>0.37999679107956896</v>
      </c>
      <c r="F595" s="2" t="s">
        <v>822</v>
      </c>
      <c r="G595" s="23" t="s">
        <v>902</v>
      </c>
      <c r="H595" s="2" t="s">
        <v>822</v>
      </c>
      <c r="J595" s="31">
        <v>28.3904991</v>
      </c>
      <c r="K595" s="31">
        <v>-11.9617004</v>
      </c>
      <c r="L595" s="31"/>
      <c r="M595" s="31" t="s">
        <v>854</v>
      </c>
      <c r="N595" s="6" t="s">
        <v>856</v>
      </c>
    </row>
    <row r="596" spans="1:14" ht="15" customHeight="1" x14ac:dyDescent="0.2">
      <c r="A596" s="22">
        <v>0.37986288168043397</v>
      </c>
      <c r="B596" s="22"/>
      <c r="C596" s="2" t="s">
        <v>891</v>
      </c>
      <c r="D596" s="2">
        <f>A596</f>
        <v>0.37986288168043397</v>
      </c>
      <c r="F596" s="2">
        <v>2023</v>
      </c>
      <c r="G596" s="23" t="s">
        <v>902</v>
      </c>
      <c r="H596" s="2" t="s">
        <v>766</v>
      </c>
      <c r="I596" s="23" t="s">
        <v>188</v>
      </c>
      <c r="J596" s="23">
        <v>58.314731000000002</v>
      </c>
      <c r="K596" s="23">
        <v>11.529836</v>
      </c>
      <c r="L596" s="23" t="s">
        <v>819</v>
      </c>
      <c r="M596" s="2" t="s">
        <v>825</v>
      </c>
      <c r="N596" s="6" t="s">
        <v>828</v>
      </c>
    </row>
    <row r="597" spans="1:14" ht="15" customHeight="1" x14ac:dyDescent="0.2">
      <c r="A597" s="22">
        <v>0.37635804651973842</v>
      </c>
      <c r="B597" s="22"/>
      <c r="C597" s="2" t="s">
        <v>891</v>
      </c>
      <c r="D597" s="2">
        <f>A597</f>
        <v>0.37635804651973842</v>
      </c>
      <c r="F597" s="2">
        <v>2023</v>
      </c>
      <c r="G597" s="23" t="s">
        <v>902</v>
      </c>
      <c r="H597" s="2" t="s">
        <v>770</v>
      </c>
      <c r="I597" s="23" t="s">
        <v>189</v>
      </c>
      <c r="J597" s="23">
        <v>58077379</v>
      </c>
      <c r="K597" s="23">
        <v>11813552</v>
      </c>
      <c r="L597" s="23" t="s">
        <v>819</v>
      </c>
      <c r="M597" s="2" t="s">
        <v>825</v>
      </c>
      <c r="N597" s="6" t="s">
        <v>828</v>
      </c>
    </row>
    <row r="598" spans="1:14" ht="15" customHeight="1" x14ac:dyDescent="0.2">
      <c r="A598" s="22">
        <v>0.37559684016401323</v>
      </c>
      <c r="B598" s="22"/>
      <c r="C598" s="2" t="s">
        <v>891</v>
      </c>
      <c r="D598" s="2">
        <f>A598</f>
        <v>0.37559684016401323</v>
      </c>
      <c r="F598" s="2">
        <v>2023</v>
      </c>
      <c r="G598" s="23" t="s">
        <v>902</v>
      </c>
      <c r="H598" s="2" t="s">
        <v>766</v>
      </c>
      <c r="I598" s="23" t="s">
        <v>188</v>
      </c>
      <c r="J598" s="23">
        <v>58.338256000000001</v>
      </c>
      <c r="K598" s="23">
        <v>11.566466999999999</v>
      </c>
      <c r="L598" s="23" t="s">
        <v>819</v>
      </c>
      <c r="M598" s="2" t="s">
        <v>825</v>
      </c>
      <c r="N598" s="6" t="s">
        <v>828</v>
      </c>
    </row>
    <row r="599" spans="1:14" ht="15" customHeight="1" x14ac:dyDescent="0.2">
      <c r="A599" s="31">
        <v>1.915895740597658</v>
      </c>
      <c r="B599" s="31"/>
      <c r="C599" s="2" t="s">
        <v>855</v>
      </c>
      <c r="D599" s="31">
        <f xml:space="preserve"> A599 * 0.196</f>
        <v>0.37551556515714096</v>
      </c>
      <c r="F599" s="2" t="s">
        <v>822</v>
      </c>
      <c r="G599" s="23" t="s">
        <v>902</v>
      </c>
      <c r="H599" s="2" t="s">
        <v>822</v>
      </c>
      <c r="J599" s="31">
        <v>57.3600998</v>
      </c>
      <c r="K599" s="31">
        <v>23.9134007</v>
      </c>
      <c r="L599" s="31"/>
      <c r="M599" s="31" t="s">
        <v>854</v>
      </c>
      <c r="N599" s="6" t="s">
        <v>856</v>
      </c>
    </row>
    <row r="600" spans="1:14" ht="15" customHeight="1" x14ac:dyDescent="0.2">
      <c r="A600" s="31">
        <v>1.9143132292977989</v>
      </c>
      <c r="B600" s="31"/>
      <c r="C600" s="2" t="s">
        <v>855</v>
      </c>
      <c r="D600" s="31">
        <f xml:space="preserve"> A600 * 0.196</f>
        <v>0.3752053929423686</v>
      </c>
      <c r="F600" s="2" t="s">
        <v>822</v>
      </c>
      <c r="G600" s="23" t="s">
        <v>902</v>
      </c>
      <c r="H600" s="2" t="s">
        <v>822</v>
      </c>
      <c r="J600" s="31">
        <v>57.244098700000002</v>
      </c>
      <c r="K600" s="31">
        <v>21.015600200000002</v>
      </c>
      <c r="L600" s="31"/>
      <c r="M600" s="31" t="s">
        <v>854</v>
      </c>
      <c r="N600" s="6" t="s">
        <v>856</v>
      </c>
    </row>
    <row r="601" spans="1:14" ht="15" customHeight="1" x14ac:dyDescent="0.2">
      <c r="A601" s="22">
        <v>0.37282471759994679</v>
      </c>
      <c r="B601" s="22"/>
      <c r="C601" s="2" t="s">
        <v>891</v>
      </c>
      <c r="D601" s="2">
        <f>A601</f>
        <v>0.37282471759994679</v>
      </c>
      <c r="F601" s="2">
        <v>2023</v>
      </c>
      <c r="G601" s="23" t="s">
        <v>902</v>
      </c>
      <c r="H601" s="2" t="s">
        <v>770</v>
      </c>
      <c r="I601" s="23" t="s">
        <v>189</v>
      </c>
      <c r="J601" s="23">
        <v>58305612</v>
      </c>
      <c r="K601" s="23">
        <v>11761939</v>
      </c>
      <c r="L601" s="23" t="s">
        <v>819</v>
      </c>
      <c r="M601" s="2" t="s">
        <v>825</v>
      </c>
      <c r="N601" s="6" t="s">
        <v>828</v>
      </c>
    </row>
    <row r="602" spans="1:14" ht="15" customHeight="1" x14ac:dyDescent="0.2">
      <c r="A602" s="31">
        <v>1.9011660452827019</v>
      </c>
      <c r="B602" s="31"/>
      <c r="C602" s="2" t="s">
        <v>855</v>
      </c>
      <c r="D602" s="31">
        <f xml:space="preserve"> A602 * 0.196</f>
        <v>0.37262854487540958</v>
      </c>
      <c r="F602" s="2" t="s">
        <v>822</v>
      </c>
      <c r="G602" s="23" t="s">
        <v>902</v>
      </c>
      <c r="H602" s="2" t="s">
        <v>822</v>
      </c>
      <c r="J602" s="31">
        <v>25.188699700000001</v>
      </c>
      <c r="K602" s="31">
        <v>63.683998099999997</v>
      </c>
      <c r="L602" s="31"/>
      <c r="M602" s="31" t="s">
        <v>854</v>
      </c>
      <c r="N602" s="6" t="s">
        <v>856</v>
      </c>
    </row>
    <row r="603" spans="1:14" ht="15" customHeight="1" x14ac:dyDescent="0.2">
      <c r="A603" s="31">
        <v>1.896598741069168</v>
      </c>
      <c r="B603" s="31"/>
      <c r="C603" s="2" t="s">
        <v>855</v>
      </c>
      <c r="D603" s="31">
        <f xml:space="preserve"> A603 * 0.196</f>
        <v>0.37173335324955697</v>
      </c>
      <c r="F603" s="2" t="s">
        <v>822</v>
      </c>
      <c r="G603" s="23" t="s">
        <v>902</v>
      </c>
      <c r="H603" s="2" t="s">
        <v>822</v>
      </c>
      <c r="J603" s="31">
        <v>25.101100899999999</v>
      </c>
      <c r="K603" s="31">
        <v>61.353198999999996</v>
      </c>
      <c r="L603" s="31"/>
      <c r="M603" s="31" t="s">
        <v>854</v>
      </c>
      <c r="N603" s="6" t="s">
        <v>856</v>
      </c>
    </row>
    <row r="604" spans="1:14" ht="15" customHeight="1" x14ac:dyDescent="0.2">
      <c r="A604" s="22">
        <v>0.37087509339396707</v>
      </c>
      <c r="B604" s="22"/>
      <c r="C604" s="2" t="s">
        <v>891</v>
      </c>
      <c r="D604" s="2">
        <f>A604</f>
        <v>0.37087509339396707</v>
      </c>
      <c r="F604" s="2">
        <v>2023</v>
      </c>
      <c r="G604" s="23" t="s">
        <v>902</v>
      </c>
      <c r="H604" s="2" t="s">
        <v>770</v>
      </c>
      <c r="I604" s="23" t="s">
        <v>189</v>
      </c>
      <c r="J604" s="23">
        <v>58224861</v>
      </c>
      <c r="K604" s="23">
        <v>11847461</v>
      </c>
      <c r="L604" s="23" t="s">
        <v>819</v>
      </c>
      <c r="M604" s="2" t="s">
        <v>825</v>
      </c>
      <c r="N604" s="6" t="s">
        <v>828</v>
      </c>
    </row>
    <row r="605" spans="1:14" ht="15" customHeight="1" x14ac:dyDescent="0.2">
      <c r="A605" s="22">
        <v>0.37045066294347628</v>
      </c>
      <c r="B605" s="22"/>
      <c r="C605" s="2" t="s">
        <v>891</v>
      </c>
      <c r="D605" s="2">
        <f>A605</f>
        <v>0.37045066294347628</v>
      </c>
      <c r="F605" s="2">
        <v>2023</v>
      </c>
      <c r="G605" s="23" t="s">
        <v>902</v>
      </c>
      <c r="H605" s="2" t="s">
        <v>770</v>
      </c>
      <c r="I605" s="23" t="s">
        <v>189</v>
      </c>
      <c r="J605" s="23">
        <v>58273829</v>
      </c>
      <c r="K605" s="23">
        <v>11828397</v>
      </c>
      <c r="L605" s="23" t="s">
        <v>819</v>
      </c>
      <c r="M605" s="2" t="s">
        <v>825</v>
      </c>
      <c r="N605" s="6" t="s">
        <v>828</v>
      </c>
    </row>
    <row r="606" spans="1:14" ht="15" customHeight="1" x14ac:dyDescent="0.2">
      <c r="A606" s="31">
        <v>1.8851001963401619</v>
      </c>
      <c r="B606" s="31"/>
      <c r="C606" s="2" t="s">
        <v>855</v>
      </c>
      <c r="D606" s="31">
        <f xml:space="preserve"> A606 * 0.196</f>
        <v>0.36947963848267174</v>
      </c>
      <c r="F606" s="2" t="s">
        <v>822</v>
      </c>
      <c r="G606" s="23" t="s">
        <v>902</v>
      </c>
      <c r="H606" s="2" t="s">
        <v>822</v>
      </c>
      <c r="J606" s="31">
        <v>27.368499799999999</v>
      </c>
      <c r="K606" s="31">
        <v>50.885700200000002</v>
      </c>
      <c r="L606" s="31"/>
      <c r="M606" s="31" t="s">
        <v>854</v>
      </c>
      <c r="N606" s="6" t="s">
        <v>856</v>
      </c>
    </row>
    <row r="607" spans="1:14" ht="15" customHeight="1" x14ac:dyDescent="0.2">
      <c r="A607" s="22">
        <v>0.36941702976439122</v>
      </c>
      <c r="B607" s="22"/>
      <c r="C607" s="2" t="s">
        <v>891</v>
      </c>
      <c r="D607" s="2">
        <f>A607</f>
        <v>0.36941702976439122</v>
      </c>
      <c r="F607" s="2">
        <v>2023</v>
      </c>
      <c r="G607" s="23" t="s">
        <v>902</v>
      </c>
      <c r="H607" s="2" t="s">
        <v>770</v>
      </c>
      <c r="I607" s="23" t="s">
        <v>189</v>
      </c>
      <c r="J607" s="23">
        <v>58077375</v>
      </c>
      <c r="K607" s="23">
        <v>11813553</v>
      </c>
      <c r="L607" s="23" t="s">
        <v>819</v>
      </c>
      <c r="M607" s="2" t="s">
        <v>825</v>
      </c>
      <c r="N607" s="6" t="s">
        <v>828</v>
      </c>
    </row>
    <row r="608" spans="1:14" ht="15" customHeight="1" x14ac:dyDescent="0.2">
      <c r="A608" s="31">
        <v>1.8844146520238989</v>
      </c>
      <c r="B608" s="31"/>
      <c r="C608" s="2" t="s">
        <v>855</v>
      </c>
      <c r="D608" s="31">
        <f xml:space="preserve"> A608 * 0.196</f>
        <v>0.36934527179668419</v>
      </c>
      <c r="F608" s="2" t="s">
        <v>822</v>
      </c>
      <c r="G608" s="23" t="s">
        <v>902</v>
      </c>
      <c r="H608" s="2" t="s">
        <v>822</v>
      </c>
      <c r="J608" s="31">
        <v>25.212600699999999</v>
      </c>
      <c r="K608" s="31">
        <v>53.816501600000002</v>
      </c>
      <c r="L608" s="31"/>
      <c r="M608" s="31" t="s">
        <v>854</v>
      </c>
      <c r="N608" s="6" t="s">
        <v>856</v>
      </c>
    </row>
    <row r="609" spans="1:14" ht="15" customHeight="1" x14ac:dyDescent="0.2">
      <c r="A609" s="22">
        <v>0.36922471069282042</v>
      </c>
      <c r="B609" s="22"/>
      <c r="C609" s="2" t="s">
        <v>891</v>
      </c>
      <c r="D609" s="2">
        <f>A609</f>
        <v>0.36922471069282042</v>
      </c>
      <c r="F609" s="2">
        <v>2023</v>
      </c>
      <c r="G609" s="23" t="s">
        <v>902</v>
      </c>
      <c r="H609" s="2" t="s">
        <v>770</v>
      </c>
      <c r="I609" s="23" t="s">
        <v>189</v>
      </c>
      <c r="J609" s="23">
        <v>58129252</v>
      </c>
      <c r="K609" s="23">
        <v>11832786</v>
      </c>
      <c r="L609" s="23" t="s">
        <v>819</v>
      </c>
      <c r="M609" s="2" t="s">
        <v>825</v>
      </c>
      <c r="N609" s="6" t="s">
        <v>828</v>
      </c>
    </row>
    <row r="610" spans="1:14" ht="15" customHeight="1" x14ac:dyDescent="0.2">
      <c r="A610" s="31">
        <v>1.8824492771287329</v>
      </c>
      <c r="B610" s="31"/>
      <c r="C610" s="2" t="s">
        <v>855</v>
      </c>
      <c r="D610" s="31">
        <f xml:space="preserve"> A610 * 0.196</f>
        <v>0.36896005831723167</v>
      </c>
      <c r="F610" s="2" t="s">
        <v>822</v>
      </c>
      <c r="G610" s="23" t="s">
        <v>902</v>
      </c>
      <c r="H610" s="2" t="s">
        <v>822</v>
      </c>
      <c r="J610" s="31">
        <v>25.923400900000001</v>
      </c>
      <c r="K610" s="31">
        <v>52.357399000000001</v>
      </c>
      <c r="L610" s="31"/>
      <c r="M610" s="31" t="s">
        <v>854</v>
      </c>
      <c r="N610" s="6" t="s">
        <v>856</v>
      </c>
    </row>
    <row r="611" spans="1:14" ht="15" customHeight="1" x14ac:dyDescent="0.2">
      <c r="A611" s="22">
        <v>0.36847978927863223</v>
      </c>
      <c r="B611" s="22"/>
      <c r="C611" s="2" t="s">
        <v>891</v>
      </c>
      <c r="D611" s="2">
        <f>A611</f>
        <v>0.36847978927863223</v>
      </c>
      <c r="F611" s="2">
        <v>2023</v>
      </c>
      <c r="G611" s="23" t="s">
        <v>902</v>
      </c>
      <c r="H611" s="2" t="s">
        <v>767</v>
      </c>
      <c r="I611" s="23" t="s">
        <v>188</v>
      </c>
      <c r="J611" s="23">
        <v>58.250123000000002</v>
      </c>
      <c r="K611" s="23">
        <v>11.445428</v>
      </c>
      <c r="L611" s="23" t="s">
        <v>819</v>
      </c>
      <c r="M611" s="2" t="s">
        <v>825</v>
      </c>
      <c r="N611" s="6" t="s">
        <v>828</v>
      </c>
    </row>
    <row r="612" spans="1:14" ht="15" customHeight="1" x14ac:dyDescent="0.2">
      <c r="A612" s="31">
        <v>1.8795240718506501</v>
      </c>
      <c r="B612" s="31"/>
      <c r="C612" s="2" t="s">
        <v>855</v>
      </c>
      <c r="D612" s="31">
        <f xml:space="preserve"> A612 * 0.196</f>
        <v>0.36838671808272744</v>
      </c>
      <c r="F612" s="2" t="s">
        <v>822</v>
      </c>
      <c r="G612" s="23" t="s">
        <v>902</v>
      </c>
      <c r="H612" s="2" t="s">
        <v>822</v>
      </c>
      <c r="J612" s="31">
        <v>25.151199299999998</v>
      </c>
      <c r="K612" s="31">
        <v>62.569099399999999</v>
      </c>
      <c r="L612" s="31"/>
      <c r="M612" s="31" t="s">
        <v>854</v>
      </c>
      <c r="N612" s="6" t="s">
        <v>856</v>
      </c>
    </row>
    <row r="613" spans="1:14" ht="15" customHeight="1" x14ac:dyDescent="0.2">
      <c r="A613" s="31">
        <v>1.876776773457812</v>
      </c>
      <c r="B613" s="31"/>
      <c r="C613" s="2" t="s">
        <v>855</v>
      </c>
      <c r="D613" s="31">
        <f xml:space="preserve"> A613 * 0.196</f>
        <v>0.36784824759773116</v>
      </c>
      <c r="F613" s="2" t="s">
        <v>822</v>
      </c>
      <c r="G613" s="23" t="s">
        <v>902</v>
      </c>
      <c r="H613" s="2" t="s">
        <v>822</v>
      </c>
      <c r="J613" s="31">
        <v>58.615398399999997</v>
      </c>
      <c r="K613" s="31">
        <v>20.823200199999999</v>
      </c>
      <c r="L613" s="31"/>
      <c r="M613" s="31" t="s">
        <v>854</v>
      </c>
      <c r="N613" s="6" t="s">
        <v>856</v>
      </c>
    </row>
    <row r="614" spans="1:14" ht="15" customHeight="1" x14ac:dyDescent="0.2">
      <c r="A614" s="22">
        <v>0.3670402812471284</v>
      </c>
      <c r="B614" s="22"/>
      <c r="C614" s="2" t="s">
        <v>891</v>
      </c>
      <c r="D614" s="2">
        <f>A614</f>
        <v>0.3670402812471284</v>
      </c>
      <c r="F614" s="2">
        <v>2023</v>
      </c>
      <c r="G614" s="23" t="s">
        <v>902</v>
      </c>
      <c r="H614" s="2" t="s">
        <v>770</v>
      </c>
      <c r="I614" s="23" t="s">
        <v>189</v>
      </c>
      <c r="J614" s="23">
        <v>58077379</v>
      </c>
      <c r="K614" s="23">
        <v>11813556</v>
      </c>
      <c r="L614" s="23" t="s">
        <v>819</v>
      </c>
      <c r="M614" s="2" t="s">
        <v>825</v>
      </c>
      <c r="N614" s="6" t="s">
        <v>828</v>
      </c>
    </row>
    <row r="615" spans="1:14" ht="15" customHeight="1" x14ac:dyDescent="0.2">
      <c r="A615" s="22">
        <v>0.36667946031594617</v>
      </c>
      <c r="B615" s="22"/>
      <c r="C615" s="2" t="s">
        <v>891</v>
      </c>
      <c r="D615" s="2">
        <f>A615</f>
        <v>0.36667946031594617</v>
      </c>
      <c r="F615" s="2">
        <v>2023</v>
      </c>
      <c r="G615" s="23" t="s">
        <v>902</v>
      </c>
      <c r="H615" s="2" t="s">
        <v>770</v>
      </c>
      <c r="I615" s="23" t="s">
        <v>189</v>
      </c>
      <c r="J615" s="23">
        <v>58268955</v>
      </c>
      <c r="K615" s="23">
        <v>11823231</v>
      </c>
      <c r="L615" s="23" t="s">
        <v>819</v>
      </c>
      <c r="M615" s="2" t="s">
        <v>825</v>
      </c>
      <c r="N615" s="6" t="s">
        <v>828</v>
      </c>
    </row>
    <row r="616" spans="1:14" ht="15" customHeight="1" x14ac:dyDescent="0.2">
      <c r="A616" s="31">
        <v>1.867537860973624</v>
      </c>
      <c r="B616" s="31"/>
      <c r="C616" s="2" t="s">
        <v>855</v>
      </c>
      <c r="D616" s="31">
        <f t="shared" ref="D616:D622" si="11" xml:space="preserve"> A616 * 0.196</f>
        <v>0.36603742075083029</v>
      </c>
      <c r="F616" s="2" t="s">
        <v>822</v>
      </c>
      <c r="G616" s="23" t="s">
        <v>902</v>
      </c>
      <c r="H616" s="2" t="s">
        <v>822</v>
      </c>
      <c r="J616" s="31">
        <v>55.165100099999997</v>
      </c>
      <c r="K616" s="31">
        <v>15.255499800000001</v>
      </c>
      <c r="L616" s="31"/>
      <c r="M616" s="31" t="s">
        <v>854</v>
      </c>
      <c r="N616" s="6" t="s">
        <v>856</v>
      </c>
    </row>
    <row r="617" spans="1:14" ht="15" customHeight="1" x14ac:dyDescent="0.2">
      <c r="A617" s="31">
        <v>1.8674989086629199</v>
      </c>
      <c r="B617" s="31"/>
      <c r="C617" s="2" t="s">
        <v>855</v>
      </c>
      <c r="D617" s="31">
        <f t="shared" si="11"/>
        <v>0.3660297860979323</v>
      </c>
      <c r="F617" s="2" t="s">
        <v>822</v>
      </c>
      <c r="G617" s="23" t="s">
        <v>902</v>
      </c>
      <c r="H617" s="2" t="s">
        <v>822</v>
      </c>
      <c r="J617" s="31">
        <v>25.4447002</v>
      </c>
      <c r="K617" s="31">
        <v>34.691398599999999</v>
      </c>
      <c r="L617" s="31"/>
      <c r="M617" s="31" t="s">
        <v>854</v>
      </c>
      <c r="N617" s="6" t="s">
        <v>856</v>
      </c>
    </row>
    <row r="618" spans="1:14" ht="15" customHeight="1" x14ac:dyDescent="0.2">
      <c r="A618" s="31">
        <v>1.8641213982544089</v>
      </c>
      <c r="B618" s="31"/>
      <c r="C618" s="2" t="s">
        <v>855</v>
      </c>
      <c r="D618" s="31">
        <f t="shared" si="11"/>
        <v>0.36536779405786418</v>
      </c>
      <c r="F618" s="2" t="s">
        <v>822</v>
      </c>
      <c r="G618" s="23" t="s">
        <v>902</v>
      </c>
      <c r="H618" s="2" t="s">
        <v>822</v>
      </c>
      <c r="J618" s="31">
        <v>25.023199099999999</v>
      </c>
      <c r="K618" s="31">
        <v>62.568801899999997</v>
      </c>
      <c r="L618" s="31"/>
      <c r="M618" s="31" t="s">
        <v>854</v>
      </c>
      <c r="N618" s="6" t="s">
        <v>856</v>
      </c>
    </row>
    <row r="619" spans="1:14" ht="15" customHeight="1" x14ac:dyDescent="0.2">
      <c r="A619" s="31">
        <v>1.8600423251835241</v>
      </c>
      <c r="B619" s="31"/>
      <c r="C619" s="2" t="s">
        <v>855</v>
      </c>
      <c r="D619" s="31">
        <f t="shared" si="11"/>
        <v>0.36456829573597072</v>
      </c>
      <c r="F619" s="2" t="s">
        <v>822</v>
      </c>
      <c r="G619" s="23" t="s">
        <v>902</v>
      </c>
      <c r="H619" s="2" t="s">
        <v>822</v>
      </c>
      <c r="J619" s="31">
        <v>26.8307991</v>
      </c>
      <c r="K619" s="31">
        <v>35.835800200000001</v>
      </c>
      <c r="L619" s="31"/>
      <c r="M619" s="31" t="s">
        <v>854</v>
      </c>
      <c r="N619" s="6" t="s">
        <v>856</v>
      </c>
    </row>
    <row r="620" spans="1:14" ht="15" customHeight="1" x14ac:dyDescent="0.2">
      <c r="A620" s="31">
        <v>1.8597644617047491</v>
      </c>
      <c r="B620" s="31"/>
      <c r="C620" s="2" t="s">
        <v>855</v>
      </c>
      <c r="D620" s="31">
        <f t="shared" si="11"/>
        <v>0.36451383449413083</v>
      </c>
      <c r="F620" s="2" t="s">
        <v>822</v>
      </c>
      <c r="G620" s="23" t="s">
        <v>902</v>
      </c>
      <c r="H620" s="2" t="s">
        <v>822</v>
      </c>
      <c r="J620" s="31">
        <v>26.358499500000001</v>
      </c>
      <c r="K620" s="31">
        <v>34.152999899999998</v>
      </c>
      <c r="L620" s="31"/>
      <c r="M620" s="31" t="s">
        <v>854</v>
      </c>
      <c r="N620" s="6" t="s">
        <v>856</v>
      </c>
    </row>
    <row r="621" spans="1:14" ht="15" customHeight="1" x14ac:dyDescent="0.2">
      <c r="A621" s="31">
        <v>1.856011953086971</v>
      </c>
      <c r="B621" s="31"/>
      <c r="C621" s="2" t="s">
        <v>855</v>
      </c>
      <c r="D621" s="31">
        <f t="shared" si="11"/>
        <v>0.36377834280504634</v>
      </c>
      <c r="F621" s="2" t="s">
        <v>822</v>
      </c>
      <c r="G621" s="23" t="s">
        <v>902</v>
      </c>
      <c r="H621" s="2" t="s">
        <v>822</v>
      </c>
      <c r="J621" s="31">
        <v>25.121700300000001</v>
      </c>
      <c r="K621" s="31">
        <v>59.081001299999997</v>
      </c>
      <c r="L621" s="31"/>
      <c r="M621" s="31" t="s">
        <v>854</v>
      </c>
      <c r="N621" s="6" t="s">
        <v>856</v>
      </c>
    </row>
    <row r="622" spans="1:14" ht="15" customHeight="1" x14ac:dyDescent="0.2">
      <c r="A622" s="31">
        <v>1.855953753295579</v>
      </c>
      <c r="B622" s="31"/>
      <c r="C622" s="2" t="s">
        <v>855</v>
      </c>
      <c r="D622" s="31">
        <f t="shared" si="11"/>
        <v>0.36376693564593349</v>
      </c>
      <c r="F622" s="2" t="s">
        <v>822</v>
      </c>
      <c r="G622" s="23" t="s">
        <v>902</v>
      </c>
      <c r="H622" s="2" t="s">
        <v>822</v>
      </c>
      <c r="J622" s="31">
        <v>25.023199099999999</v>
      </c>
      <c r="K622" s="31">
        <v>63.652000399999999</v>
      </c>
      <c r="L622" s="31"/>
      <c r="M622" s="31" t="s">
        <v>854</v>
      </c>
      <c r="N622" s="6" t="s">
        <v>856</v>
      </c>
    </row>
    <row r="623" spans="1:14" ht="15" customHeight="1" x14ac:dyDescent="0.2">
      <c r="A623" s="22">
        <v>0.36169424403108097</v>
      </c>
      <c r="B623" s="22"/>
      <c r="C623" s="2" t="s">
        <v>891</v>
      </c>
      <c r="D623" s="2">
        <f>A623</f>
        <v>0.36169424403108097</v>
      </c>
      <c r="F623" s="2">
        <v>2023</v>
      </c>
      <c r="G623" s="23" t="s">
        <v>902</v>
      </c>
      <c r="H623" s="2" t="s">
        <v>766</v>
      </c>
      <c r="I623" s="23" t="s">
        <v>188</v>
      </c>
      <c r="J623" s="23">
        <v>58.322803999999998</v>
      </c>
      <c r="K623" s="23">
        <v>11.545002999999999</v>
      </c>
      <c r="L623" s="23" t="s">
        <v>819</v>
      </c>
      <c r="M623" s="2" t="s">
        <v>825</v>
      </c>
      <c r="N623" s="6" t="s">
        <v>828</v>
      </c>
    </row>
    <row r="624" spans="1:14" ht="15" customHeight="1" x14ac:dyDescent="0.2">
      <c r="A624" s="22">
        <v>0.36161714534782219</v>
      </c>
      <c r="B624" s="22"/>
      <c r="C624" s="2" t="s">
        <v>891</v>
      </c>
      <c r="D624" s="2">
        <f>A624</f>
        <v>0.36161714534782219</v>
      </c>
      <c r="F624" s="2">
        <v>2023</v>
      </c>
      <c r="G624" s="23" t="s">
        <v>902</v>
      </c>
      <c r="H624" s="2" t="s">
        <v>767</v>
      </c>
      <c r="I624" s="23" t="s">
        <v>188</v>
      </c>
      <c r="J624" s="23">
        <v>58.287326999999998</v>
      </c>
      <c r="K624" s="23">
        <v>11.503785000000001</v>
      </c>
      <c r="L624" s="23" t="s">
        <v>819</v>
      </c>
      <c r="M624" s="2" t="s">
        <v>825</v>
      </c>
      <c r="N624" s="6" t="s">
        <v>828</v>
      </c>
    </row>
    <row r="625" spans="1:14" ht="15" customHeight="1" x14ac:dyDescent="0.2">
      <c r="A625" s="22">
        <v>0.36135457436169494</v>
      </c>
      <c r="B625" s="22"/>
      <c r="C625" s="2" t="s">
        <v>891</v>
      </c>
      <c r="D625" s="2">
        <f>A625</f>
        <v>0.36135457436169494</v>
      </c>
      <c r="F625" s="2">
        <v>2023</v>
      </c>
      <c r="G625" s="23" t="s">
        <v>902</v>
      </c>
      <c r="H625" s="2" t="s">
        <v>767</v>
      </c>
      <c r="I625" s="23" t="s">
        <v>188</v>
      </c>
      <c r="J625" s="23">
        <v>58.385002999999998</v>
      </c>
      <c r="K625" s="23">
        <v>11.61848</v>
      </c>
      <c r="L625" s="23" t="s">
        <v>819</v>
      </c>
      <c r="M625" s="2" t="s">
        <v>825</v>
      </c>
      <c r="N625" s="6" t="s">
        <v>828</v>
      </c>
    </row>
    <row r="626" spans="1:14" ht="15" customHeight="1" x14ac:dyDescent="0.2">
      <c r="A626" s="22">
        <v>0.36099273539378229</v>
      </c>
      <c r="B626" s="22"/>
      <c r="C626" s="2" t="s">
        <v>891</v>
      </c>
      <c r="D626" s="2">
        <f>A626</f>
        <v>0.36099273539378229</v>
      </c>
      <c r="F626" s="2">
        <v>2023</v>
      </c>
      <c r="G626" s="23" t="s">
        <v>902</v>
      </c>
      <c r="H626" s="2" t="s">
        <v>766</v>
      </c>
      <c r="I626" s="23" t="s">
        <v>188</v>
      </c>
      <c r="J626" s="23">
        <v>58.322935000000001</v>
      </c>
      <c r="K626" s="23">
        <v>11.545351</v>
      </c>
      <c r="L626" s="23" t="s">
        <v>819</v>
      </c>
      <c r="M626" s="2" t="s">
        <v>825</v>
      </c>
      <c r="N626" s="6" t="s">
        <v>828</v>
      </c>
    </row>
    <row r="627" spans="1:14" ht="15" customHeight="1" x14ac:dyDescent="0.2">
      <c r="A627" s="24">
        <v>0.36077018084613893</v>
      </c>
      <c r="B627" s="22"/>
      <c r="C627" s="2" t="s">
        <v>891</v>
      </c>
      <c r="D627" s="2">
        <f>A627</f>
        <v>0.36077018084613893</v>
      </c>
      <c r="F627" s="2">
        <v>2023</v>
      </c>
      <c r="G627" s="23" t="s">
        <v>902</v>
      </c>
      <c r="H627" s="2" t="s">
        <v>767</v>
      </c>
      <c r="I627" s="23" t="s">
        <v>188</v>
      </c>
      <c r="J627" s="25">
        <v>58.353403999999998</v>
      </c>
      <c r="K627" s="25">
        <v>11.580859</v>
      </c>
      <c r="L627" s="23" t="s">
        <v>819</v>
      </c>
      <c r="M627" s="2" t="s">
        <v>825</v>
      </c>
      <c r="N627" s="6" t="s">
        <v>828</v>
      </c>
    </row>
    <row r="628" spans="1:14" ht="15" customHeight="1" x14ac:dyDescent="0.2">
      <c r="A628" s="31">
        <v>1.837968139657161</v>
      </c>
      <c r="B628" s="31"/>
      <c r="C628" s="2" t="s">
        <v>855</v>
      </c>
      <c r="D628" s="31">
        <f xml:space="preserve"> A628 * 0.196</f>
        <v>0.36024175537280356</v>
      </c>
      <c r="F628" s="2" t="s">
        <v>822</v>
      </c>
      <c r="G628" s="23" t="s">
        <v>902</v>
      </c>
      <c r="H628" s="2" t="s">
        <v>822</v>
      </c>
      <c r="J628" s="31">
        <v>57.557300599999998</v>
      </c>
      <c r="K628" s="31">
        <v>23.4242992</v>
      </c>
      <c r="L628" s="31"/>
      <c r="M628" s="31" t="s">
        <v>854</v>
      </c>
      <c r="N628" s="6" t="s">
        <v>856</v>
      </c>
    </row>
    <row r="629" spans="1:14" ht="15" customHeight="1" x14ac:dyDescent="0.2">
      <c r="A629" s="22">
        <v>0.3596202611863531</v>
      </c>
      <c r="B629" s="22"/>
      <c r="C629" s="2" t="s">
        <v>891</v>
      </c>
      <c r="D629" s="2">
        <f>A629</f>
        <v>0.3596202611863531</v>
      </c>
      <c r="F629" s="2">
        <v>2023</v>
      </c>
      <c r="G629" s="23" t="s">
        <v>902</v>
      </c>
      <c r="H629" s="2" t="s">
        <v>770</v>
      </c>
      <c r="I629" s="23" t="s">
        <v>189</v>
      </c>
      <c r="J629" s="23">
        <v>58077378</v>
      </c>
      <c r="K629" s="23">
        <v>11813555</v>
      </c>
      <c r="L629" s="23" t="s">
        <v>819</v>
      </c>
      <c r="M629" s="2" t="s">
        <v>825</v>
      </c>
      <c r="N629" s="6" t="s">
        <v>828</v>
      </c>
    </row>
    <row r="630" spans="1:14" ht="15" customHeight="1" x14ac:dyDescent="0.2">
      <c r="A630" s="22">
        <v>0.35947390977427307</v>
      </c>
      <c r="B630" s="22"/>
      <c r="C630" s="2" t="s">
        <v>891</v>
      </c>
      <c r="D630" s="2">
        <f>A630</f>
        <v>0.35947390977427307</v>
      </c>
      <c r="F630" s="2">
        <v>2023</v>
      </c>
      <c r="G630" s="23" t="s">
        <v>902</v>
      </c>
      <c r="H630" s="2" t="s">
        <v>770</v>
      </c>
      <c r="I630" s="23" t="s">
        <v>189</v>
      </c>
      <c r="J630" s="23">
        <v>58076828</v>
      </c>
      <c r="K630" s="23">
        <v>11813133</v>
      </c>
      <c r="L630" s="23" t="s">
        <v>819</v>
      </c>
      <c r="M630" s="2" t="s">
        <v>825</v>
      </c>
      <c r="N630" s="6" t="s">
        <v>828</v>
      </c>
    </row>
    <row r="631" spans="1:14" ht="15" customHeight="1" x14ac:dyDescent="0.2">
      <c r="A631" s="2">
        <v>15.8</v>
      </c>
      <c r="B631" s="2">
        <v>4.5999999999999996</v>
      </c>
      <c r="C631" s="31" t="s">
        <v>681</v>
      </c>
      <c r="D631" s="2">
        <f>A631 * 0.02273</f>
        <v>0.35913400000000001</v>
      </c>
      <c r="E631" s="2">
        <f>B631* 0.02273</f>
        <v>0.104558</v>
      </c>
      <c r="F631" s="2">
        <v>2023</v>
      </c>
      <c r="G631" s="2" t="s">
        <v>902</v>
      </c>
      <c r="H631" s="2" t="s">
        <v>185</v>
      </c>
      <c r="I631" s="2" t="s">
        <v>188</v>
      </c>
      <c r="J631" s="2">
        <v>58.43</v>
      </c>
      <c r="K631" s="2">
        <v>11.68</v>
      </c>
      <c r="L631" s="2" t="s">
        <v>819</v>
      </c>
      <c r="M631" s="2" t="s">
        <v>818</v>
      </c>
      <c r="N631" s="6" t="s">
        <v>862</v>
      </c>
    </row>
    <row r="632" spans="1:14" ht="15" customHeight="1" x14ac:dyDescent="0.2">
      <c r="A632" s="22">
        <v>0.3588761551511061</v>
      </c>
      <c r="B632" s="22"/>
      <c r="C632" s="2" t="s">
        <v>891</v>
      </c>
      <c r="D632" s="2">
        <f>A632</f>
        <v>0.3588761551511061</v>
      </c>
      <c r="F632" s="2">
        <v>2023</v>
      </c>
      <c r="G632" s="23" t="s">
        <v>902</v>
      </c>
      <c r="H632" s="2" t="s">
        <v>767</v>
      </c>
      <c r="I632" s="23" t="s">
        <v>188</v>
      </c>
      <c r="J632" s="23">
        <v>58.250124999999997</v>
      </c>
      <c r="K632" s="23">
        <v>11.445425999999999</v>
      </c>
      <c r="L632" s="23" t="s">
        <v>819</v>
      </c>
      <c r="M632" s="2" t="s">
        <v>825</v>
      </c>
      <c r="N632" s="6" t="s">
        <v>828</v>
      </c>
    </row>
    <row r="633" spans="1:14" ht="15" customHeight="1" x14ac:dyDescent="0.2">
      <c r="A633" s="22">
        <v>0.35827122848651832</v>
      </c>
      <c r="B633" s="22"/>
      <c r="C633" s="2" t="s">
        <v>891</v>
      </c>
      <c r="D633" s="2">
        <f>A633</f>
        <v>0.35827122848651832</v>
      </c>
      <c r="F633" s="2">
        <v>2023</v>
      </c>
      <c r="G633" s="23" t="s">
        <v>902</v>
      </c>
      <c r="H633" s="2" t="s">
        <v>766</v>
      </c>
      <c r="I633" s="23" t="s">
        <v>188</v>
      </c>
      <c r="J633" s="23">
        <v>58.322645999999999</v>
      </c>
      <c r="K633" s="23">
        <v>11.545609000000001</v>
      </c>
      <c r="L633" s="23" t="s">
        <v>819</v>
      </c>
      <c r="M633" s="2" t="s">
        <v>825</v>
      </c>
      <c r="N633" s="6" t="s">
        <v>828</v>
      </c>
    </row>
    <row r="634" spans="1:14" ht="15" customHeight="1" x14ac:dyDescent="0.2">
      <c r="A634" s="31">
        <v>1.8274659546265839</v>
      </c>
      <c r="B634" s="31"/>
      <c r="C634" s="2" t="s">
        <v>855</v>
      </c>
      <c r="D634" s="31">
        <f xml:space="preserve"> A634 * 0.196</f>
        <v>0.35818332710681045</v>
      </c>
      <c r="F634" s="2" t="s">
        <v>822</v>
      </c>
      <c r="G634" s="23" t="s">
        <v>902</v>
      </c>
      <c r="H634" s="2" t="s">
        <v>822</v>
      </c>
      <c r="J634" s="31">
        <v>25.021699900000002</v>
      </c>
      <c r="K634" s="31">
        <v>61.884899099999998</v>
      </c>
      <c r="L634" s="31"/>
      <c r="M634" s="31" t="s">
        <v>854</v>
      </c>
      <c r="N634" s="6" t="s">
        <v>856</v>
      </c>
    </row>
    <row r="635" spans="1:14" ht="15" customHeight="1" x14ac:dyDescent="0.2">
      <c r="A635" s="31">
        <v>1.814478317940871</v>
      </c>
      <c r="B635" s="31"/>
      <c r="C635" s="2" t="s">
        <v>855</v>
      </c>
      <c r="D635" s="31">
        <f xml:space="preserve"> A635 * 0.196</f>
        <v>0.35563775031641071</v>
      </c>
      <c r="F635" s="2" t="s">
        <v>822</v>
      </c>
      <c r="G635" s="23" t="s">
        <v>902</v>
      </c>
      <c r="H635" s="2" t="s">
        <v>822</v>
      </c>
      <c r="J635" s="31">
        <v>57.623298599999998</v>
      </c>
      <c r="K635" s="31">
        <v>21.944000200000001</v>
      </c>
      <c r="L635" s="31"/>
      <c r="M635" s="31" t="s">
        <v>854</v>
      </c>
      <c r="N635" s="6" t="s">
        <v>856</v>
      </c>
    </row>
    <row r="636" spans="1:14" ht="15" customHeight="1" x14ac:dyDescent="0.2">
      <c r="A636" s="31">
        <v>1.814366333688457</v>
      </c>
      <c r="B636" s="31"/>
      <c r="C636" s="2" t="s">
        <v>855</v>
      </c>
      <c r="D636" s="31">
        <f xml:space="preserve"> A636 * 0.196</f>
        <v>0.35561580140293758</v>
      </c>
      <c r="F636" s="2" t="s">
        <v>822</v>
      </c>
      <c r="G636" s="23" t="s">
        <v>902</v>
      </c>
      <c r="H636" s="2" t="s">
        <v>822</v>
      </c>
      <c r="J636" s="31">
        <v>58.039798699999999</v>
      </c>
      <c r="K636" s="31">
        <v>19.0489006</v>
      </c>
      <c r="L636" s="31"/>
      <c r="M636" s="31" t="s">
        <v>854</v>
      </c>
      <c r="N636" s="6" t="s">
        <v>856</v>
      </c>
    </row>
    <row r="637" spans="1:14" ht="15" customHeight="1" x14ac:dyDescent="0.2">
      <c r="A637" s="31">
        <v>1.812834989491152</v>
      </c>
      <c r="B637" s="31"/>
      <c r="C637" s="2" t="s">
        <v>855</v>
      </c>
      <c r="D637" s="31">
        <f xml:space="preserve"> A637 * 0.196</f>
        <v>0.35531565794026582</v>
      </c>
      <c r="F637" s="2" t="s">
        <v>822</v>
      </c>
      <c r="G637" s="23" t="s">
        <v>902</v>
      </c>
      <c r="H637" s="2" t="s">
        <v>822</v>
      </c>
      <c r="J637" s="31">
        <v>25.4582996</v>
      </c>
      <c r="K637" s="31">
        <v>55.127601599999998</v>
      </c>
      <c r="L637" s="31"/>
      <c r="M637" s="31" t="s">
        <v>854</v>
      </c>
      <c r="N637" s="6" t="s">
        <v>856</v>
      </c>
    </row>
    <row r="638" spans="1:14" ht="15" customHeight="1" x14ac:dyDescent="0.2">
      <c r="A638" s="22">
        <v>0.35464174906083379</v>
      </c>
      <c r="B638" s="22"/>
      <c r="C638" s="2" t="s">
        <v>891</v>
      </c>
      <c r="D638" s="2">
        <f>A638</f>
        <v>0.35464174906083379</v>
      </c>
      <c r="F638" s="2">
        <v>2023</v>
      </c>
      <c r="G638" s="23" t="s">
        <v>902</v>
      </c>
      <c r="H638" s="2" t="s">
        <v>767</v>
      </c>
      <c r="I638" s="23" t="s">
        <v>188</v>
      </c>
      <c r="J638" s="23">
        <v>58.263348999999998</v>
      </c>
      <c r="K638" s="23">
        <v>11.385748</v>
      </c>
      <c r="L638" s="23" t="s">
        <v>819</v>
      </c>
      <c r="M638" s="2" t="s">
        <v>825</v>
      </c>
      <c r="N638" s="6" t="s">
        <v>828</v>
      </c>
    </row>
    <row r="639" spans="1:14" ht="15" customHeight="1" x14ac:dyDescent="0.2">
      <c r="A639" s="31">
        <v>1.8044637702552571</v>
      </c>
      <c r="B639" s="31"/>
      <c r="C639" s="2" t="s">
        <v>855</v>
      </c>
      <c r="D639" s="31">
        <f xml:space="preserve"> A639 * 0.196</f>
        <v>0.3536748989700304</v>
      </c>
      <c r="F639" s="2" t="s">
        <v>822</v>
      </c>
      <c r="G639" s="23" t="s">
        <v>902</v>
      </c>
      <c r="H639" s="2" t="s">
        <v>822</v>
      </c>
      <c r="J639" s="31">
        <v>28.785499600000001</v>
      </c>
      <c r="K639" s="31">
        <v>-12.142499900000001</v>
      </c>
      <c r="L639" s="31"/>
      <c r="M639" s="31" t="s">
        <v>854</v>
      </c>
      <c r="N639" s="6" t="s">
        <v>856</v>
      </c>
    </row>
    <row r="640" spans="1:14" ht="15" customHeight="1" x14ac:dyDescent="0.2">
      <c r="A640" s="31">
        <v>1.7988422235351369</v>
      </c>
      <c r="B640" s="31"/>
      <c r="C640" s="2" t="s">
        <v>855</v>
      </c>
      <c r="D640" s="31">
        <f xml:space="preserve"> A640 * 0.196</f>
        <v>0.35257307581288683</v>
      </c>
      <c r="F640" s="2" t="s">
        <v>822</v>
      </c>
      <c r="G640" s="23" t="s">
        <v>902</v>
      </c>
      <c r="H640" s="2" t="s">
        <v>822</v>
      </c>
      <c r="J640" s="31">
        <v>59.129600500000002</v>
      </c>
      <c r="K640" s="31">
        <v>22.9878006</v>
      </c>
      <c r="L640" s="31"/>
      <c r="M640" s="31" t="s">
        <v>854</v>
      </c>
      <c r="N640" s="6" t="s">
        <v>856</v>
      </c>
    </row>
    <row r="641" spans="1:14" ht="15" customHeight="1" x14ac:dyDescent="0.2">
      <c r="A641" s="22">
        <v>0.35244168963686617</v>
      </c>
      <c r="B641" s="22"/>
      <c r="C641" s="2" t="s">
        <v>891</v>
      </c>
      <c r="D641" s="2">
        <f>A641</f>
        <v>0.35244168963686617</v>
      </c>
      <c r="F641" s="2">
        <v>2023</v>
      </c>
      <c r="G641" s="23" t="s">
        <v>902</v>
      </c>
      <c r="H641" s="2" t="s">
        <v>768</v>
      </c>
      <c r="I641" s="23" t="s">
        <v>188</v>
      </c>
      <c r="J641" s="23">
        <v>58.250131000000003</v>
      </c>
      <c r="K641" s="23">
        <v>11.445437</v>
      </c>
      <c r="L641" s="23" t="s">
        <v>819</v>
      </c>
      <c r="M641" s="2" t="s">
        <v>825</v>
      </c>
      <c r="N641" s="6" t="s">
        <v>828</v>
      </c>
    </row>
    <row r="642" spans="1:14" ht="15" customHeight="1" x14ac:dyDescent="0.2">
      <c r="A642" s="22">
        <v>0.35216225436534182</v>
      </c>
      <c r="B642" s="22"/>
      <c r="C642" s="2" t="s">
        <v>891</v>
      </c>
      <c r="D642" s="2">
        <f>A642</f>
        <v>0.35216225436534182</v>
      </c>
      <c r="F642" s="2">
        <v>2023</v>
      </c>
      <c r="G642" s="23" t="s">
        <v>902</v>
      </c>
      <c r="H642" s="2" t="s">
        <v>767</v>
      </c>
      <c r="I642" s="23" t="s">
        <v>188</v>
      </c>
      <c r="J642" s="23">
        <v>58.367860999999998</v>
      </c>
      <c r="K642" s="23">
        <v>11.600249</v>
      </c>
      <c r="L642" s="23" t="s">
        <v>819</v>
      </c>
      <c r="M642" s="2" t="s">
        <v>825</v>
      </c>
      <c r="N642" s="6" t="s">
        <v>828</v>
      </c>
    </row>
    <row r="643" spans="1:14" ht="15" customHeight="1" x14ac:dyDescent="0.2">
      <c r="A643" s="22">
        <v>0.35155906858771602</v>
      </c>
      <c r="B643" s="22"/>
      <c r="C643" s="2" t="s">
        <v>891</v>
      </c>
      <c r="D643" s="2">
        <f>A643</f>
        <v>0.35155906858771602</v>
      </c>
      <c r="F643" s="2">
        <v>2023</v>
      </c>
      <c r="G643" s="23" t="s">
        <v>902</v>
      </c>
      <c r="H643" s="2" t="s">
        <v>767</v>
      </c>
      <c r="I643" s="23" t="s">
        <v>188</v>
      </c>
      <c r="J643" s="23">
        <v>58.406764000000003</v>
      </c>
      <c r="K643" s="23">
        <v>11.593978999999999</v>
      </c>
      <c r="L643" s="23" t="s">
        <v>819</v>
      </c>
      <c r="M643" s="2" t="s">
        <v>825</v>
      </c>
      <c r="N643" s="6" t="s">
        <v>828</v>
      </c>
    </row>
    <row r="644" spans="1:14" ht="15" customHeight="1" x14ac:dyDescent="0.2">
      <c r="A644" s="22">
        <v>0.35151857398512226</v>
      </c>
      <c r="B644" s="22"/>
      <c r="C644" s="2" t="s">
        <v>891</v>
      </c>
      <c r="D644" s="2">
        <f>A644</f>
        <v>0.35151857398512226</v>
      </c>
      <c r="F644" s="2">
        <v>2023</v>
      </c>
      <c r="G644" s="23" t="s">
        <v>902</v>
      </c>
      <c r="H644" s="2" t="s">
        <v>771</v>
      </c>
      <c r="I644" s="23" t="s">
        <v>189</v>
      </c>
      <c r="J644" s="23">
        <v>58077399</v>
      </c>
      <c r="K644" s="23">
        <v>11813531</v>
      </c>
      <c r="L644" s="23" t="s">
        <v>819</v>
      </c>
      <c r="M644" s="2" t="s">
        <v>825</v>
      </c>
      <c r="N644" s="6" t="s">
        <v>828</v>
      </c>
    </row>
    <row r="645" spans="1:14" ht="15" customHeight="1" x14ac:dyDescent="0.2">
      <c r="A645" s="31">
        <v>1.792502906204448</v>
      </c>
      <c r="B645" s="31"/>
      <c r="C645" s="2" t="s">
        <v>855</v>
      </c>
      <c r="D645" s="31">
        <f xml:space="preserve"> A645 * 0.196</f>
        <v>0.35133056961607184</v>
      </c>
      <c r="F645" s="2" t="s">
        <v>822</v>
      </c>
      <c r="G645" s="23" t="s">
        <v>902</v>
      </c>
      <c r="H645" s="2" t="s">
        <v>822</v>
      </c>
      <c r="J645" s="31">
        <v>26.5625</v>
      </c>
      <c r="K645" s="31">
        <v>52.401798200000002</v>
      </c>
      <c r="L645" s="31"/>
      <c r="M645" s="31" t="s">
        <v>854</v>
      </c>
      <c r="N645" s="6" t="s">
        <v>856</v>
      </c>
    </row>
    <row r="646" spans="1:14" ht="15" customHeight="1" x14ac:dyDescent="0.2">
      <c r="A646" s="31">
        <v>1.787194196813392</v>
      </c>
      <c r="B646" s="31"/>
      <c r="C646" s="2" t="s">
        <v>855</v>
      </c>
      <c r="D646" s="31">
        <f xml:space="preserve"> A646 * 0.196</f>
        <v>0.35029006257542483</v>
      </c>
      <c r="F646" s="2" t="s">
        <v>822</v>
      </c>
      <c r="G646" s="23" t="s">
        <v>902</v>
      </c>
      <c r="H646" s="2" t="s">
        <v>822</v>
      </c>
      <c r="J646" s="31">
        <v>57.714900999999998</v>
      </c>
      <c r="K646" s="31">
        <v>23.379800800000002</v>
      </c>
      <c r="L646" s="31"/>
      <c r="M646" s="31" t="s">
        <v>854</v>
      </c>
      <c r="N646" s="6" t="s">
        <v>856</v>
      </c>
    </row>
    <row r="647" spans="1:14" ht="15" customHeight="1" x14ac:dyDescent="0.2">
      <c r="A647" s="22">
        <v>0.34859920482412604</v>
      </c>
      <c r="B647" s="22"/>
      <c r="C647" s="2" t="s">
        <v>891</v>
      </c>
      <c r="D647" s="2">
        <f>A647</f>
        <v>0.34859920482412604</v>
      </c>
      <c r="F647" s="2">
        <v>2023</v>
      </c>
      <c r="G647" s="23" t="s">
        <v>902</v>
      </c>
      <c r="H647" s="2" t="s">
        <v>766</v>
      </c>
      <c r="I647" s="23" t="s">
        <v>188</v>
      </c>
      <c r="J647" s="23">
        <v>58.28087</v>
      </c>
      <c r="K647" s="23">
        <v>11.483789</v>
      </c>
      <c r="L647" s="23" t="s">
        <v>819</v>
      </c>
      <c r="M647" s="2" t="s">
        <v>825</v>
      </c>
      <c r="N647" s="6" t="s">
        <v>828</v>
      </c>
    </row>
    <row r="648" spans="1:14" ht="15" customHeight="1" x14ac:dyDescent="0.2">
      <c r="A648" s="31">
        <v>1.777229138982299</v>
      </c>
      <c r="B648" s="31"/>
      <c r="C648" s="2" t="s">
        <v>855</v>
      </c>
      <c r="D648" s="31">
        <f t="shared" ref="D648:D654" si="12" xml:space="preserve"> A648 * 0.196</f>
        <v>0.34833691124053062</v>
      </c>
      <c r="F648" s="2" t="s">
        <v>822</v>
      </c>
      <c r="G648" s="23" t="s">
        <v>902</v>
      </c>
      <c r="H648" s="2" t="s">
        <v>822</v>
      </c>
      <c r="J648" s="31">
        <v>57.392398800000002</v>
      </c>
      <c r="K648" s="31">
        <v>23.477899600000001</v>
      </c>
      <c r="L648" s="31"/>
      <c r="M648" s="31" t="s">
        <v>854</v>
      </c>
      <c r="N648" s="6" t="s">
        <v>856</v>
      </c>
    </row>
    <row r="649" spans="1:14" ht="15" customHeight="1" x14ac:dyDescent="0.2">
      <c r="A649" s="31">
        <v>1.7757799519459929</v>
      </c>
      <c r="B649" s="31"/>
      <c r="C649" s="2" t="s">
        <v>855</v>
      </c>
      <c r="D649" s="31">
        <f t="shared" si="12"/>
        <v>0.34805287058141465</v>
      </c>
      <c r="F649" s="2" t="s">
        <v>822</v>
      </c>
      <c r="G649" s="23" t="s">
        <v>902</v>
      </c>
      <c r="H649" s="2" t="s">
        <v>822</v>
      </c>
      <c r="J649" s="31">
        <v>41.507999400000003</v>
      </c>
      <c r="K649" s="31">
        <v>-9.2077998999999995</v>
      </c>
      <c r="L649" s="31"/>
      <c r="M649" s="31" t="s">
        <v>854</v>
      </c>
      <c r="N649" s="6" t="s">
        <v>856</v>
      </c>
    </row>
    <row r="650" spans="1:14" ht="15" customHeight="1" x14ac:dyDescent="0.2">
      <c r="A650" s="31">
        <v>1.775192309611729</v>
      </c>
      <c r="B650" s="31"/>
      <c r="C650" s="2" t="s">
        <v>855</v>
      </c>
      <c r="D650" s="31">
        <f t="shared" si="12"/>
        <v>0.3479376926838989</v>
      </c>
      <c r="F650" s="2" t="s">
        <v>822</v>
      </c>
      <c r="G650" s="23" t="s">
        <v>902</v>
      </c>
      <c r="H650" s="2" t="s">
        <v>822</v>
      </c>
      <c r="J650" s="31">
        <v>58.881301899999997</v>
      </c>
      <c r="K650" s="31">
        <v>21.4640007</v>
      </c>
      <c r="L650" s="31"/>
      <c r="M650" s="31" t="s">
        <v>854</v>
      </c>
      <c r="N650" s="6" t="s">
        <v>856</v>
      </c>
    </row>
    <row r="651" spans="1:14" ht="15" customHeight="1" x14ac:dyDescent="0.2">
      <c r="A651" s="31">
        <v>1.771729774134698</v>
      </c>
      <c r="B651" s="31"/>
      <c r="C651" s="2" t="s">
        <v>855</v>
      </c>
      <c r="D651" s="31">
        <f t="shared" si="12"/>
        <v>0.34725903573040084</v>
      </c>
      <c r="F651" s="2" t="s">
        <v>822</v>
      </c>
      <c r="G651" s="23" t="s">
        <v>902</v>
      </c>
      <c r="H651" s="2" t="s">
        <v>822</v>
      </c>
      <c r="J651" s="31">
        <v>38.7256012</v>
      </c>
      <c r="K651" s="31">
        <v>-9.8196496999999994</v>
      </c>
      <c r="L651" s="31"/>
      <c r="M651" s="31" t="s">
        <v>854</v>
      </c>
      <c r="N651" s="6" t="s">
        <v>856</v>
      </c>
    </row>
    <row r="652" spans="1:14" ht="15" customHeight="1" x14ac:dyDescent="0.2">
      <c r="A652" s="31">
        <v>1.771391638160704</v>
      </c>
      <c r="B652" s="31"/>
      <c r="C652" s="2" t="s">
        <v>855</v>
      </c>
      <c r="D652" s="31">
        <f t="shared" si="12"/>
        <v>0.34719276107949798</v>
      </c>
      <c r="F652" s="2" t="s">
        <v>822</v>
      </c>
      <c r="G652" s="23" t="s">
        <v>902</v>
      </c>
      <c r="H652" s="2" t="s">
        <v>822</v>
      </c>
      <c r="J652" s="31">
        <v>27.335399599999999</v>
      </c>
      <c r="K652" s="31">
        <v>-18.338199599999999</v>
      </c>
      <c r="L652" s="31"/>
      <c r="M652" s="31" t="s">
        <v>854</v>
      </c>
      <c r="N652" s="6" t="s">
        <v>856</v>
      </c>
    </row>
    <row r="653" spans="1:14" ht="15" customHeight="1" x14ac:dyDescent="0.2">
      <c r="A653" s="31">
        <v>1.769350802729492</v>
      </c>
      <c r="B653" s="31"/>
      <c r="C653" s="2" t="s">
        <v>855</v>
      </c>
      <c r="D653" s="31">
        <f t="shared" si="12"/>
        <v>0.34679275733498044</v>
      </c>
      <c r="F653" s="2" t="s">
        <v>822</v>
      </c>
      <c r="G653" s="23" t="s">
        <v>902</v>
      </c>
      <c r="H653" s="2" t="s">
        <v>822</v>
      </c>
      <c r="J653" s="31">
        <v>58.430900600000001</v>
      </c>
      <c r="K653" s="31">
        <v>22.085500700000001</v>
      </c>
      <c r="L653" s="31"/>
      <c r="M653" s="31" t="s">
        <v>854</v>
      </c>
      <c r="N653" s="6" t="s">
        <v>856</v>
      </c>
    </row>
    <row r="654" spans="1:14" ht="15" customHeight="1" x14ac:dyDescent="0.2">
      <c r="A654" s="31">
        <v>1.769304565454199</v>
      </c>
      <c r="B654" s="31"/>
      <c r="C654" s="2" t="s">
        <v>855</v>
      </c>
      <c r="D654" s="31">
        <f t="shared" si="12"/>
        <v>0.34678369482902299</v>
      </c>
      <c r="F654" s="2" t="s">
        <v>822</v>
      </c>
      <c r="G654" s="23" t="s">
        <v>902</v>
      </c>
      <c r="H654" s="2" t="s">
        <v>822</v>
      </c>
      <c r="J654" s="31">
        <v>25.023199099999999</v>
      </c>
      <c r="K654" s="31">
        <v>62.234798400000003</v>
      </c>
      <c r="L654" s="31"/>
      <c r="M654" s="31" t="s">
        <v>854</v>
      </c>
      <c r="N654" s="6" t="s">
        <v>856</v>
      </c>
    </row>
    <row r="655" spans="1:14" ht="15" customHeight="1" x14ac:dyDescent="0.2">
      <c r="A655" s="22">
        <v>0.34604390857352446</v>
      </c>
      <c r="B655" s="22"/>
      <c r="C655" s="2" t="s">
        <v>891</v>
      </c>
      <c r="D655" s="2">
        <f>A655</f>
        <v>0.34604390857352446</v>
      </c>
      <c r="F655" s="2">
        <v>2023</v>
      </c>
      <c r="G655" s="23" t="s">
        <v>902</v>
      </c>
      <c r="H655" s="2" t="s">
        <v>767</v>
      </c>
      <c r="I655" s="23" t="s">
        <v>188</v>
      </c>
      <c r="J655" s="23">
        <v>58.250118000000001</v>
      </c>
      <c r="K655" s="23">
        <v>11.445413</v>
      </c>
      <c r="L655" s="23" t="s">
        <v>819</v>
      </c>
      <c r="M655" s="2" t="s">
        <v>825</v>
      </c>
      <c r="N655" s="6" t="s">
        <v>828</v>
      </c>
    </row>
    <row r="656" spans="1:14" ht="15" customHeight="1" x14ac:dyDescent="0.2">
      <c r="A656" s="31">
        <v>1.764956944616477</v>
      </c>
      <c r="B656" s="31"/>
      <c r="C656" s="2" t="s">
        <v>855</v>
      </c>
      <c r="D656" s="31">
        <f xml:space="preserve"> A656 * 0.196</f>
        <v>0.34593156114482948</v>
      </c>
      <c r="F656" s="2" t="s">
        <v>822</v>
      </c>
      <c r="G656" s="23" t="s">
        <v>902</v>
      </c>
      <c r="H656" s="2" t="s">
        <v>822</v>
      </c>
      <c r="J656" s="31">
        <v>39.694698299999999</v>
      </c>
      <c r="K656" s="31">
        <v>-9.1608695999999998</v>
      </c>
      <c r="L656" s="31"/>
      <c r="M656" s="31" t="s">
        <v>854</v>
      </c>
      <c r="N656" s="6" t="s">
        <v>856</v>
      </c>
    </row>
    <row r="657" spans="1:14" ht="15" customHeight="1" x14ac:dyDescent="0.2">
      <c r="A657" s="31">
        <v>1.764697483695437</v>
      </c>
      <c r="B657" s="31"/>
      <c r="C657" s="2" t="s">
        <v>855</v>
      </c>
      <c r="D657" s="31">
        <f xml:space="preserve"> A657 * 0.196</f>
        <v>0.34588070680430566</v>
      </c>
      <c r="F657" s="2" t="s">
        <v>822</v>
      </c>
      <c r="G657" s="23" t="s">
        <v>902</v>
      </c>
      <c r="H657" s="2" t="s">
        <v>822</v>
      </c>
      <c r="J657" s="31">
        <v>31.578699100000001</v>
      </c>
      <c r="K657" s="31">
        <v>-9.8713502999999996</v>
      </c>
      <c r="L657" s="31"/>
      <c r="M657" s="31" t="s">
        <v>854</v>
      </c>
      <c r="N657" s="6" t="s">
        <v>856</v>
      </c>
    </row>
    <row r="658" spans="1:14" ht="15" customHeight="1" x14ac:dyDescent="0.2">
      <c r="A658" s="22">
        <v>0.34550512174545744</v>
      </c>
      <c r="B658" s="22"/>
      <c r="C658" s="2" t="s">
        <v>891</v>
      </c>
      <c r="D658" s="2">
        <f>A658</f>
        <v>0.34550512174545744</v>
      </c>
      <c r="F658" s="2">
        <v>2023</v>
      </c>
      <c r="G658" s="23" t="s">
        <v>902</v>
      </c>
      <c r="H658" s="2" t="s">
        <v>767</v>
      </c>
      <c r="I658" s="23" t="s">
        <v>188</v>
      </c>
      <c r="J658" s="23">
        <v>58.250123000000002</v>
      </c>
      <c r="K658" s="23">
        <v>11.445416</v>
      </c>
      <c r="L658" s="23" t="s">
        <v>819</v>
      </c>
      <c r="M658" s="2" t="s">
        <v>825</v>
      </c>
      <c r="N658" s="6" t="s">
        <v>828</v>
      </c>
    </row>
    <row r="659" spans="1:14" ht="15" customHeight="1" x14ac:dyDescent="0.2">
      <c r="A659" s="31">
        <v>1.760957116028494</v>
      </c>
      <c r="B659" s="31"/>
      <c r="C659" s="2" t="s">
        <v>855</v>
      </c>
      <c r="D659" s="31">
        <f t="shared" ref="D659:D666" si="13" xml:space="preserve"> A659 * 0.196</f>
        <v>0.34514759474158485</v>
      </c>
      <c r="F659" s="2" t="s">
        <v>822</v>
      </c>
      <c r="G659" s="23" t="s">
        <v>902</v>
      </c>
      <c r="H659" s="2" t="s">
        <v>822</v>
      </c>
      <c r="J659" s="31">
        <v>59.838600200000002</v>
      </c>
      <c r="K659" s="31">
        <v>20.899999600000001</v>
      </c>
      <c r="L659" s="31"/>
      <c r="M659" s="31" t="s">
        <v>854</v>
      </c>
      <c r="N659" s="6" t="s">
        <v>856</v>
      </c>
    </row>
    <row r="660" spans="1:14" ht="15" customHeight="1" x14ac:dyDescent="0.2">
      <c r="A660" s="31">
        <v>1.758431352228049</v>
      </c>
      <c r="B660" s="31"/>
      <c r="C660" s="2" t="s">
        <v>855</v>
      </c>
      <c r="D660" s="31">
        <f t="shared" si="13"/>
        <v>0.34465254503669762</v>
      </c>
      <c r="F660" s="2" t="s">
        <v>822</v>
      </c>
      <c r="G660" s="23" t="s">
        <v>902</v>
      </c>
      <c r="H660" s="2" t="s">
        <v>822</v>
      </c>
      <c r="J660" s="31">
        <v>31.341199899999999</v>
      </c>
      <c r="K660" s="31">
        <v>33.8103981</v>
      </c>
      <c r="L660" s="31"/>
      <c r="M660" s="31" t="s">
        <v>854</v>
      </c>
      <c r="N660" s="6" t="s">
        <v>856</v>
      </c>
    </row>
    <row r="661" spans="1:14" ht="15" customHeight="1" x14ac:dyDescent="0.2">
      <c r="A661" s="31">
        <v>1.756809196988081</v>
      </c>
      <c r="B661" s="31"/>
      <c r="C661" s="2" t="s">
        <v>855</v>
      </c>
      <c r="D661" s="31">
        <f t="shared" si="13"/>
        <v>0.34433460260966392</v>
      </c>
      <c r="F661" s="2" t="s">
        <v>822</v>
      </c>
      <c r="G661" s="23" t="s">
        <v>902</v>
      </c>
      <c r="H661" s="2" t="s">
        <v>822</v>
      </c>
      <c r="J661" s="31">
        <v>28.530000699999999</v>
      </c>
      <c r="K661" s="31">
        <v>-11.3577995</v>
      </c>
      <c r="L661" s="31"/>
      <c r="M661" s="31" t="s">
        <v>854</v>
      </c>
      <c r="N661" s="6" t="s">
        <v>856</v>
      </c>
    </row>
    <row r="662" spans="1:14" ht="15" customHeight="1" x14ac:dyDescent="0.2">
      <c r="A662" s="31">
        <v>1.7556371780112301</v>
      </c>
      <c r="B662" s="31"/>
      <c r="C662" s="2" t="s">
        <v>855</v>
      </c>
      <c r="D662" s="31">
        <f t="shared" si="13"/>
        <v>0.34410488689020113</v>
      </c>
      <c r="F662" s="2" t="s">
        <v>822</v>
      </c>
      <c r="G662" s="23" t="s">
        <v>902</v>
      </c>
      <c r="H662" s="2" t="s">
        <v>822</v>
      </c>
      <c r="J662" s="31">
        <v>57.712398499999999</v>
      </c>
      <c r="K662" s="31">
        <v>23.0177002</v>
      </c>
      <c r="L662" s="31"/>
      <c r="M662" s="31" t="s">
        <v>854</v>
      </c>
      <c r="N662" s="6" t="s">
        <v>856</v>
      </c>
    </row>
    <row r="663" spans="1:14" ht="15" customHeight="1" x14ac:dyDescent="0.2">
      <c r="A663" s="31">
        <v>1.7549337617117819</v>
      </c>
      <c r="B663" s="31"/>
      <c r="C663" s="2" t="s">
        <v>855</v>
      </c>
      <c r="D663" s="31">
        <f t="shared" si="13"/>
        <v>0.34396701729550927</v>
      </c>
      <c r="F663" s="2" t="s">
        <v>822</v>
      </c>
      <c r="G663" s="23" t="s">
        <v>902</v>
      </c>
      <c r="H663" s="2" t="s">
        <v>822</v>
      </c>
      <c r="J663" s="31">
        <v>25.527799600000002</v>
      </c>
      <c r="K663" s="31">
        <v>-16.902799600000002</v>
      </c>
      <c r="L663" s="31"/>
      <c r="M663" s="31" t="s">
        <v>854</v>
      </c>
      <c r="N663" s="6" t="s">
        <v>856</v>
      </c>
    </row>
    <row r="664" spans="1:14" ht="15" customHeight="1" x14ac:dyDescent="0.2">
      <c r="A664" s="31">
        <v>1.7543286815669461</v>
      </c>
      <c r="B664" s="31"/>
      <c r="C664" s="2" t="s">
        <v>855</v>
      </c>
      <c r="D664" s="31">
        <f t="shared" si="13"/>
        <v>0.34384842158712142</v>
      </c>
      <c r="F664" s="2" t="s">
        <v>822</v>
      </c>
      <c r="G664" s="23" t="s">
        <v>902</v>
      </c>
      <c r="H664" s="2" t="s">
        <v>822</v>
      </c>
      <c r="J664" s="31">
        <v>25.0909996</v>
      </c>
      <c r="K664" s="31">
        <v>59.862701399999999</v>
      </c>
      <c r="L664" s="31"/>
      <c r="M664" s="31" t="s">
        <v>854</v>
      </c>
      <c r="N664" s="6" t="s">
        <v>856</v>
      </c>
    </row>
    <row r="665" spans="1:14" ht="15" customHeight="1" x14ac:dyDescent="0.2">
      <c r="A665" s="31">
        <v>1.750155396432431</v>
      </c>
      <c r="B665" s="31"/>
      <c r="C665" s="2" t="s">
        <v>855</v>
      </c>
      <c r="D665" s="31">
        <f t="shared" si="13"/>
        <v>0.34303045770075646</v>
      </c>
      <c r="F665" s="2" t="s">
        <v>822</v>
      </c>
      <c r="G665" s="23" t="s">
        <v>902</v>
      </c>
      <c r="H665" s="2" t="s">
        <v>822</v>
      </c>
      <c r="J665" s="31">
        <v>27.954599399999999</v>
      </c>
      <c r="K665" s="31">
        <v>50.759899099999998</v>
      </c>
      <c r="L665" s="31"/>
      <c r="M665" s="31" t="s">
        <v>854</v>
      </c>
      <c r="N665" s="6" t="s">
        <v>856</v>
      </c>
    </row>
    <row r="666" spans="1:14" ht="15" customHeight="1" x14ac:dyDescent="0.2">
      <c r="A666" s="31">
        <v>1.7489009455686539</v>
      </c>
      <c r="B666" s="31"/>
      <c r="C666" s="2" t="s">
        <v>855</v>
      </c>
      <c r="D666" s="31">
        <f t="shared" si="13"/>
        <v>0.34278458533145617</v>
      </c>
      <c r="F666" s="2" t="s">
        <v>822</v>
      </c>
      <c r="G666" s="23" t="s">
        <v>902</v>
      </c>
      <c r="H666" s="2" t="s">
        <v>822</v>
      </c>
      <c r="J666" s="31">
        <v>58.739200599999997</v>
      </c>
      <c r="K666" s="31">
        <v>21.739299800000001</v>
      </c>
      <c r="L666" s="31"/>
      <c r="M666" s="31" t="s">
        <v>854</v>
      </c>
      <c r="N666" s="6" t="s">
        <v>856</v>
      </c>
    </row>
    <row r="667" spans="1:14" ht="15" customHeight="1" x14ac:dyDescent="0.2">
      <c r="A667" s="22">
        <v>0.34274900101410327</v>
      </c>
      <c r="B667" s="22"/>
      <c r="C667" s="2" t="s">
        <v>891</v>
      </c>
      <c r="D667" s="2">
        <f>A667</f>
        <v>0.34274900101410327</v>
      </c>
      <c r="F667" s="2">
        <v>2023</v>
      </c>
      <c r="G667" s="23" t="s">
        <v>902</v>
      </c>
      <c r="H667" s="2" t="s">
        <v>768</v>
      </c>
      <c r="I667" s="23" t="s">
        <v>188</v>
      </c>
      <c r="J667" s="23">
        <v>58.250115999999998</v>
      </c>
      <c r="K667" s="23">
        <v>11.445423</v>
      </c>
      <c r="L667" s="23" t="s">
        <v>819</v>
      </c>
      <c r="M667" s="2" t="s">
        <v>825</v>
      </c>
      <c r="N667" s="6" t="s">
        <v>828</v>
      </c>
    </row>
    <row r="668" spans="1:14" ht="15" customHeight="1" x14ac:dyDescent="0.2">
      <c r="A668" s="22">
        <v>0.34240220786508541</v>
      </c>
      <c r="B668" s="22"/>
      <c r="C668" s="2" t="s">
        <v>891</v>
      </c>
      <c r="D668" s="2">
        <f>A668</f>
        <v>0.34240220786508541</v>
      </c>
      <c r="F668" s="2">
        <v>2023</v>
      </c>
      <c r="G668" s="23" t="s">
        <v>902</v>
      </c>
      <c r="H668" s="2" t="s">
        <v>768</v>
      </c>
      <c r="I668" s="23" t="s">
        <v>188</v>
      </c>
      <c r="J668" s="23">
        <v>58.250124</v>
      </c>
      <c r="K668" s="23">
        <v>11.445434000000001</v>
      </c>
      <c r="L668" s="23" t="s">
        <v>819</v>
      </c>
      <c r="M668" s="2" t="s">
        <v>825</v>
      </c>
      <c r="N668" s="6" t="s">
        <v>828</v>
      </c>
    </row>
    <row r="669" spans="1:14" ht="15" customHeight="1" x14ac:dyDescent="0.2">
      <c r="A669" s="22">
        <v>0.34206848305807636</v>
      </c>
      <c r="B669" s="22"/>
      <c r="C669" s="2" t="s">
        <v>891</v>
      </c>
      <c r="D669" s="2">
        <f>A669</f>
        <v>0.34206848305807636</v>
      </c>
      <c r="F669" s="2">
        <v>2023</v>
      </c>
      <c r="G669" s="23" t="s">
        <v>902</v>
      </c>
      <c r="H669" s="2" t="s">
        <v>767</v>
      </c>
      <c r="I669" s="23" t="s">
        <v>188</v>
      </c>
      <c r="J669" s="23">
        <v>58.263170000000002</v>
      </c>
      <c r="K669" s="23">
        <v>11.437412999999999</v>
      </c>
      <c r="L669" s="23" t="s">
        <v>819</v>
      </c>
      <c r="M669" s="2" t="s">
        <v>825</v>
      </c>
      <c r="N669" s="6" t="s">
        <v>828</v>
      </c>
    </row>
    <row r="670" spans="1:14" ht="15" customHeight="1" x14ac:dyDescent="0.2">
      <c r="A670" s="22">
        <v>0.34157117774947021</v>
      </c>
      <c r="B670" s="22"/>
      <c r="C670" s="2" t="s">
        <v>891</v>
      </c>
      <c r="D670" s="2">
        <f>A670</f>
        <v>0.34157117774947021</v>
      </c>
      <c r="F670" s="2">
        <v>2023</v>
      </c>
      <c r="G670" s="23" t="s">
        <v>902</v>
      </c>
      <c r="H670" s="2" t="s">
        <v>766</v>
      </c>
      <c r="I670" s="23" t="s">
        <v>188</v>
      </c>
      <c r="J670" s="23">
        <v>58.322648999999998</v>
      </c>
      <c r="K670" s="23">
        <v>11.545614</v>
      </c>
      <c r="L670" s="23" t="s">
        <v>819</v>
      </c>
      <c r="M670" s="2" t="s">
        <v>825</v>
      </c>
      <c r="N670" s="6" t="s">
        <v>828</v>
      </c>
    </row>
    <row r="671" spans="1:14" ht="15" customHeight="1" x14ac:dyDescent="0.2">
      <c r="A671" s="31">
        <v>1.7426902895337411</v>
      </c>
      <c r="B671" s="31"/>
      <c r="C671" s="2" t="s">
        <v>855</v>
      </c>
      <c r="D671" s="31">
        <f xml:space="preserve"> A671 * 0.196</f>
        <v>0.34156729674861325</v>
      </c>
      <c r="F671" s="2" t="s">
        <v>822</v>
      </c>
      <c r="G671" s="23" t="s">
        <v>902</v>
      </c>
      <c r="H671" s="2" t="s">
        <v>822</v>
      </c>
      <c r="J671" s="31">
        <v>59.129600500000002</v>
      </c>
      <c r="K671" s="31">
        <v>23.3628006</v>
      </c>
      <c r="L671" s="31"/>
      <c r="M671" s="31" t="s">
        <v>854</v>
      </c>
      <c r="N671" s="6" t="s">
        <v>856</v>
      </c>
    </row>
    <row r="672" spans="1:14" ht="15" customHeight="1" x14ac:dyDescent="0.2">
      <c r="A672" s="22">
        <v>0.33945994009959601</v>
      </c>
      <c r="B672" s="22"/>
      <c r="C672" s="2" t="s">
        <v>891</v>
      </c>
      <c r="D672" s="2">
        <f>A672</f>
        <v>0.33945994009959601</v>
      </c>
      <c r="F672" s="2">
        <v>2023</v>
      </c>
      <c r="G672" s="23" t="s">
        <v>902</v>
      </c>
      <c r="H672" s="2" t="s">
        <v>767</v>
      </c>
      <c r="I672" s="23" t="s">
        <v>188</v>
      </c>
      <c r="J672" s="23">
        <v>58.243738</v>
      </c>
      <c r="K672" s="23">
        <v>11.42164</v>
      </c>
      <c r="L672" s="23" t="s">
        <v>819</v>
      </c>
      <c r="M672" s="2" t="s">
        <v>825</v>
      </c>
      <c r="N672" s="6" t="s">
        <v>828</v>
      </c>
    </row>
    <row r="673" spans="1:14" ht="15" customHeight="1" x14ac:dyDescent="0.2">
      <c r="A673" s="31">
        <v>1.7304435063058889</v>
      </c>
      <c r="B673" s="31"/>
      <c r="C673" s="2" t="s">
        <v>855</v>
      </c>
      <c r="D673" s="31">
        <f t="shared" ref="D673:D678" si="14" xml:space="preserve"> A673 * 0.196</f>
        <v>0.33916692723595426</v>
      </c>
      <c r="F673" s="2" t="s">
        <v>822</v>
      </c>
      <c r="G673" s="23" t="s">
        <v>902</v>
      </c>
      <c r="H673" s="2" t="s">
        <v>822</v>
      </c>
      <c r="J673" s="31">
        <v>26.708000200000001</v>
      </c>
      <c r="K673" s="31">
        <v>-17.176000599999998</v>
      </c>
      <c r="L673" s="31"/>
      <c r="M673" s="31" t="s">
        <v>854</v>
      </c>
      <c r="N673" s="6" t="s">
        <v>856</v>
      </c>
    </row>
    <row r="674" spans="1:14" ht="15" customHeight="1" x14ac:dyDescent="0.2">
      <c r="A674" s="31">
        <v>1.7281557004698851</v>
      </c>
      <c r="B674" s="31"/>
      <c r="C674" s="2" t="s">
        <v>855</v>
      </c>
      <c r="D674" s="31">
        <f t="shared" si="14"/>
        <v>0.33871851729209751</v>
      </c>
      <c r="F674" s="2" t="s">
        <v>822</v>
      </c>
      <c r="G674" s="23" t="s">
        <v>902</v>
      </c>
      <c r="H674" s="2" t="s">
        <v>822</v>
      </c>
      <c r="J674" s="31">
        <v>26.2511005</v>
      </c>
      <c r="K674" s="31">
        <v>52.117500300000003</v>
      </c>
      <c r="L674" s="31"/>
      <c r="M674" s="31" t="s">
        <v>854</v>
      </c>
      <c r="N674" s="6" t="s">
        <v>856</v>
      </c>
    </row>
    <row r="675" spans="1:14" ht="15" customHeight="1" x14ac:dyDescent="0.2">
      <c r="A675" s="31">
        <v>1.7281259863246481</v>
      </c>
      <c r="B675" s="31"/>
      <c r="C675" s="2" t="s">
        <v>855</v>
      </c>
      <c r="D675" s="31">
        <f t="shared" si="14"/>
        <v>0.33871269331963105</v>
      </c>
      <c r="F675" s="2" t="s">
        <v>822</v>
      </c>
      <c r="G675" s="23" t="s">
        <v>902</v>
      </c>
      <c r="H675" s="2" t="s">
        <v>822</v>
      </c>
      <c r="J675" s="31">
        <v>26.575300200000001</v>
      </c>
      <c r="K675" s="31">
        <v>54.467300399999999</v>
      </c>
      <c r="L675" s="31"/>
      <c r="M675" s="31" t="s">
        <v>854</v>
      </c>
      <c r="N675" s="6" t="s">
        <v>856</v>
      </c>
    </row>
    <row r="676" spans="1:14" ht="15" customHeight="1" x14ac:dyDescent="0.2">
      <c r="A676" s="31">
        <v>1.721411457875857</v>
      </c>
      <c r="B676" s="31"/>
      <c r="C676" s="2" t="s">
        <v>855</v>
      </c>
      <c r="D676" s="31">
        <f t="shared" si="14"/>
        <v>0.33739664574366801</v>
      </c>
      <c r="F676" s="2" t="s">
        <v>822</v>
      </c>
      <c r="G676" s="23" t="s">
        <v>902</v>
      </c>
      <c r="H676" s="2" t="s">
        <v>822</v>
      </c>
      <c r="J676" s="31">
        <v>27.684000000000001</v>
      </c>
      <c r="K676" s="31">
        <v>-13.210699999999999</v>
      </c>
      <c r="L676" s="31"/>
      <c r="M676" s="31" t="s">
        <v>854</v>
      </c>
      <c r="N676" s="6" t="s">
        <v>856</v>
      </c>
    </row>
    <row r="677" spans="1:14" ht="15" customHeight="1" x14ac:dyDescent="0.2">
      <c r="A677" s="31">
        <v>1.716043058239255</v>
      </c>
      <c r="B677" s="31"/>
      <c r="C677" s="2" t="s">
        <v>855</v>
      </c>
      <c r="D677" s="31">
        <f t="shared" si="14"/>
        <v>0.336344439414894</v>
      </c>
      <c r="F677" s="2" t="s">
        <v>822</v>
      </c>
      <c r="G677" s="23" t="s">
        <v>902</v>
      </c>
      <c r="H677" s="2" t="s">
        <v>822</v>
      </c>
      <c r="J677" s="31">
        <v>25.301399199999999</v>
      </c>
      <c r="K677" s="31">
        <v>57.0923996</v>
      </c>
      <c r="L677" s="31"/>
      <c r="M677" s="31" t="s">
        <v>854</v>
      </c>
      <c r="N677" s="6" t="s">
        <v>856</v>
      </c>
    </row>
    <row r="678" spans="1:14" ht="15" customHeight="1" x14ac:dyDescent="0.2">
      <c r="A678" s="31">
        <v>1.7102113380102071</v>
      </c>
      <c r="B678" s="31"/>
      <c r="C678" s="2" t="s">
        <v>855</v>
      </c>
      <c r="D678" s="31">
        <f t="shared" si="14"/>
        <v>0.3352014222500006</v>
      </c>
      <c r="F678" s="2" t="s">
        <v>822</v>
      </c>
      <c r="G678" s="23" t="s">
        <v>902</v>
      </c>
      <c r="H678" s="2" t="s">
        <v>822</v>
      </c>
      <c r="J678" s="31">
        <v>25.8836002</v>
      </c>
      <c r="K678" s="31">
        <v>53.875301399999998</v>
      </c>
      <c r="L678" s="31"/>
      <c r="M678" s="31" t="s">
        <v>854</v>
      </c>
      <c r="N678" s="6" t="s">
        <v>856</v>
      </c>
    </row>
    <row r="679" spans="1:14" ht="15" customHeight="1" x14ac:dyDescent="0.2">
      <c r="A679" s="22">
        <v>0.33475588929108341</v>
      </c>
      <c r="B679" s="22"/>
      <c r="C679" s="2" t="s">
        <v>891</v>
      </c>
      <c r="D679" s="2">
        <f>A679</f>
        <v>0.33475588929108341</v>
      </c>
      <c r="F679" s="2">
        <v>2023</v>
      </c>
      <c r="G679" s="23" t="s">
        <v>902</v>
      </c>
      <c r="H679" s="2" t="s">
        <v>766</v>
      </c>
      <c r="I679" s="23" t="s">
        <v>188</v>
      </c>
      <c r="J679" s="23">
        <v>58.322645999999999</v>
      </c>
      <c r="K679" s="23">
        <v>11.545615</v>
      </c>
      <c r="L679" s="23" t="s">
        <v>819</v>
      </c>
      <c r="M679" s="2" t="s">
        <v>825</v>
      </c>
      <c r="N679" s="6" t="s">
        <v>828</v>
      </c>
    </row>
    <row r="680" spans="1:14" ht="15" customHeight="1" x14ac:dyDescent="0.2">
      <c r="A680" s="31">
        <v>1.706533927968038</v>
      </c>
      <c r="B680" s="31"/>
      <c r="C680" s="2" t="s">
        <v>855</v>
      </c>
      <c r="D680" s="31">
        <f xml:space="preserve"> A680 * 0.196</f>
        <v>0.33448064988173548</v>
      </c>
      <c r="F680" s="2" t="s">
        <v>822</v>
      </c>
      <c r="G680" s="23" t="s">
        <v>902</v>
      </c>
      <c r="H680" s="2" t="s">
        <v>822</v>
      </c>
      <c r="J680" s="31">
        <v>27.002399400000002</v>
      </c>
      <c r="K680" s="31">
        <v>-14.7172003</v>
      </c>
      <c r="L680" s="31"/>
      <c r="M680" s="31" t="s">
        <v>854</v>
      </c>
      <c r="N680" s="6" t="s">
        <v>856</v>
      </c>
    </row>
    <row r="681" spans="1:14" ht="15" customHeight="1" x14ac:dyDescent="0.2">
      <c r="A681" s="31">
        <v>1.7043429247186901</v>
      </c>
      <c r="B681" s="31"/>
      <c r="C681" s="2" t="s">
        <v>855</v>
      </c>
      <c r="D681" s="31">
        <f xml:space="preserve"> A681 * 0.196</f>
        <v>0.33405121324486325</v>
      </c>
      <c r="F681" s="2" t="s">
        <v>822</v>
      </c>
      <c r="G681" s="23" t="s">
        <v>902</v>
      </c>
      <c r="H681" s="2" t="s">
        <v>822</v>
      </c>
      <c r="J681" s="31">
        <v>25.055099500000001</v>
      </c>
      <c r="K681" s="31">
        <v>-15.5091</v>
      </c>
      <c r="L681" s="31"/>
      <c r="M681" s="31" t="s">
        <v>854</v>
      </c>
      <c r="N681" s="6" t="s">
        <v>856</v>
      </c>
    </row>
    <row r="682" spans="1:14" ht="15" customHeight="1" x14ac:dyDescent="0.2">
      <c r="A682" s="31">
        <v>1.702575567523213</v>
      </c>
      <c r="B682" s="31"/>
      <c r="C682" s="2" t="s">
        <v>855</v>
      </c>
      <c r="D682" s="31">
        <f xml:space="preserve"> A682 * 0.196</f>
        <v>0.33370481123454976</v>
      </c>
      <c r="F682" s="2" t="s">
        <v>822</v>
      </c>
      <c r="G682" s="23" t="s">
        <v>902</v>
      </c>
      <c r="H682" s="2" t="s">
        <v>822</v>
      </c>
      <c r="J682" s="31">
        <v>59.509899099999998</v>
      </c>
      <c r="K682" s="31">
        <v>22.655899000000002</v>
      </c>
      <c r="L682" s="31"/>
      <c r="M682" s="31" t="s">
        <v>854</v>
      </c>
      <c r="N682" s="6" t="s">
        <v>856</v>
      </c>
    </row>
    <row r="683" spans="1:14" ht="15" customHeight="1" x14ac:dyDescent="0.2">
      <c r="A683" s="22">
        <v>0.33308808211793539</v>
      </c>
      <c r="B683" s="22"/>
      <c r="C683" s="2" t="s">
        <v>891</v>
      </c>
      <c r="D683" s="2">
        <f>A683</f>
        <v>0.33308808211793539</v>
      </c>
      <c r="F683" s="2">
        <v>2023</v>
      </c>
      <c r="G683" s="23" t="s">
        <v>902</v>
      </c>
      <c r="H683" s="2" t="s">
        <v>768</v>
      </c>
      <c r="I683" s="23" t="s">
        <v>188</v>
      </c>
      <c r="J683" s="23">
        <v>58.250118999999998</v>
      </c>
      <c r="K683" s="23">
        <v>11.445418999999999</v>
      </c>
      <c r="L683" s="23" t="s">
        <v>819</v>
      </c>
      <c r="M683" s="2" t="s">
        <v>825</v>
      </c>
      <c r="N683" s="6" t="s">
        <v>828</v>
      </c>
    </row>
    <row r="684" spans="1:14" ht="15" customHeight="1" x14ac:dyDescent="0.2">
      <c r="A684" s="22">
        <v>0.33229248935594369</v>
      </c>
      <c r="B684" s="22"/>
      <c r="C684" s="2" t="s">
        <v>891</v>
      </c>
      <c r="D684" s="2">
        <f>A684</f>
        <v>0.33229248935594369</v>
      </c>
      <c r="F684" s="2">
        <v>2023</v>
      </c>
      <c r="G684" s="23" t="s">
        <v>902</v>
      </c>
      <c r="H684" s="2" t="s">
        <v>768</v>
      </c>
      <c r="I684" s="23" t="s">
        <v>188</v>
      </c>
      <c r="J684" s="23">
        <v>58.250118999999998</v>
      </c>
      <c r="K684" s="23">
        <v>11.445433</v>
      </c>
      <c r="L684" s="23" t="s">
        <v>819</v>
      </c>
      <c r="M684" s="2" t="s">
        <v>825</v>
      </c>
      <c r="N684" s="6" t="s">
        <v>828</v>
      </c>
    </row>
    <row r="685" spans="1:14" ht="15" customHeight="1" x14ac:dyDescent="0.2">
      <c r="A685" s="31">
        <v>1.69159659039122</v>
      </c>
      <c r="B685" s="31"/>
      <c r="C685" s="2" t="s">
        <v>855</v>
      </c>
      <c r="D685" s="31">
        <f xml:space="preserve"> A685 * 0.196</f>
        <v>0.33155293171667916</v>
      </c>
      <c r="F685" s="2" t="s">
        <v>822</v>
      </c>
      <c r="G685" s="23" t="s">
        <v>902</v>
      </c>
      <c r="H685" s="2" t="s">
        <v>822</v>
      </c>
      <c r="J685" s="31">
        <v>57.621898700000003</v>
      </c>
      <c r="K685" s="31">
        <v>22.456499099999998</v>
      </c>
      <c r="L685" s="31"/>
      <c r="M685" s="31" t="s">
        <v>854</v>
      </c>
      <c r="N685" s="6" t="s">
        <v>856</v>
      </c>
    </row>
    <row r="686" spans="1:14" ht="15" customHeight="1" x14ac:dyDescent="0.2">
      <c r="A686" s="31">
        <v>1.6911761333113871</v>
      </c>
      <c r="B686" s="31"/>
      <c r="C686" s="2" t="s">
        <v>855</v>
      </c>
      <c r="D686" s="31">
        <f xml:space="preserve"> A686 * 0.196</f>
        <v>0.33147052212903189</v>
      </c>
      <c r="F686" s="2" t="s">
        <v>822</v>
      </c>
      <c r="G686" s="23" t="s">
        <v>902</v>
      </c>
      <c r="H686" s="2" t="s">
        <v>822</v>
      </c>
      <c r="J686" s="31">
        <v>57.715599099999999</v>
      </c>
      <c r="K686" s="31">
        <v>22.242099799999998</v>
      </c>
      <c r="L686" s="31"/>
      <c r="M686" s="31" t="s">
        <v>854</v>
      </c>
      <c r="N686" s="6" t="s">
        <v>856</v>
      </c>
    </row>
    <row r="687" spans="1:14" ht="15" customHeight="1" x14ac:dyDescent="0.2">
      <c r="A687" s="31">
        <v>1.689791173349988</v>
      </c>
      <c r="B687" s="31"/>
      <c r="C687" s="2" t="s">
        <v>855</v>
      </c>
      <c r="D687" s="31">
        <f xml:space="preserve"> A687 * 0.196</f>
        <v>0.33119906997659765</v>
      </c>
      <c r="F687" s="2" t="s">
        <v>822</v>
      </c>
      <c r="G687" s="23" t="s">
        <v>902</v>
      </c>
      <c r="H687" s="2" t="s">
        <v>822</v>
      </c>
      <c r="J687" s="31">
        <v>25.023199099999999</v>
      </c>
      <c r="K687" s="31">
        <v>64.319999699999997</v>
      </c>
      <c r="L687" s="31"/>
      <c r="M687" s="31" t="s">
        <v>854</v>
      </c>
      <c r="N687" s="6" t="s">
        <v>856</v>
      </c>
    </row>
    <row r="688" spans="1:14" ht="15" customHeight="1" x14ac:dyDescent="0.2">
      <c r="A688" s="22">
        <v>0.3298378767600777</v>
      </c>
      <c r="B688" s="22"/>
      <c r="C688" s="2" t="s">
        <v>891</v>
      </c>
      <c r="D688" s="2">
        <f>A688</f>
        <v>0.3298378767600777</v>
      </c>
      <c r="F688" s="2">
        <v>2023</v>
      </c>
      <c r="G688" s="23" t="s">
        <v>902</v>
      </c>
      <c r="H688" s="2" t="s">
        <v>767</v>
      </c>
      <c r="I688" s="23" t="s">
        <v>188</v>
      </c>
      <c r="J688" s="23">
        <v>58.326774</v>
      </c>
      <c r="K688" s="23">
        <v>11.559163</v>
      </c>
      <c r="L688" s="23" t="s">
        <v>819</v>
      </c>
      <c r="M688" s="2" t="s">
        <v>825</v>
      </c>
      <c r="N688" s="6" t="s">
        <v>828</v>
      </c>
    </row>
    <row r="689" spans="1:14" ht="15" customHeight="1" x14ac:dyDescent="0.2">
      <c r="A689" s="31">
        <v>1.6804795259277741</v>
      </c>
      <c r="B689" s="31"/>
      <c r="C689" s="2" t="s">
        <v>855</v>
      </c>
      <c r="D689" s="31">
        <f xml:space="preserve"> A689 * 0.196</f>
        <v>0.32937398708184373</v>
      </c>
      <c r="F689" s="2" t="s">
        <v>822</v>
      </c>
      <c r="G689" s="23" t="s">
        <v>902</v>
      </c>
      <c r="H689" s="2" t="s">
        <v>822</v>
      </c>
      <c r="J689" s="31">
        <v>27.3476009</v>
      </c>
      <c r="K689" s="31">
        <v>-14.800200500000001</v>
      </c>
      <c r="L689" s="31"/>
      <c r="M689" s="31" t="s">
        <v>854</v>
      </c>
      <c r="N689" s="6" t="s">
        <v>856</v>
      </c>
    </row>
    <row r="690" spans="1:14" ht="15" customHeight="1" x14ac:dyDescent="0.2">
      <c r="A690" s="22">
        <v>0.32932807386892671</v>
      </c>
      <c r="B690" s="22"/>
      <c r="C690" s="2" t="s">
        <v>891</v>
      </c>
      <c r="D690" s="2">
        <f>A690</f>
        <v>0.32932807386892671</v>
      </c>
      <c r="F690" s="2">
        <v>2023</v>
      </c>
      <c r="G690" s="23" t="s">
        <v>902</v>
      </c>
      <c r="H690" s="2" t="s">
        <v>767</v>
      </c>
      <c r="I690" s="23" t="s">
        <v>188</v>
      </c>
      <c r="J690" s="23">
        <v>58.250124999999997</v>
      </c>
      <c r="K690" s="23">
        <v>11.445425999999999</v>
      </c>
      <c r="L690" s="23" t="s">
        <v>819</v>
      </c>
      <c r="M690" s="2" t="s">
        <v>825</v>
      </c>
      <c r="N690" s="6" t="s">
        <v>828</v>
      </c>
    </row>
    <row r="691" spans="1:14" ht="15" customHeight="1" x14ac:dyDescent="0.2">
      <c r="A691" s="31">
        <v>1.679890007703456</v>
      </c>
      <c r="B691" s="31"/>
      <c r="C691" s="2" t="s">
        <v>855</v>
      </c>
      <c r="D691" s="31">
        <f xml:space="preserve"> A691 * 0.196</f>
        <v>0.32925844150987738</v>
      </c>
      <c r="F691" s="2" t="s">
        <v>822</v>
      </c>
      <c r="G691" s="23" t="s">
        <v>902</v>
      </c>
      <c r="H691" s="2" t="s">
        <v>822</v>
      </c>
      <c r="J691" s="31">
        <v>57.296298999999998</v>
      </c>
      <c r="K691" s="31">
        <v>23.7112999</v>
      </c>
      <c r="L691" s="31"/>
      <c r="M691" s="31" t="s">
        <v>854</v>
      </c>
      <c r="N691" s="6" t="s">
        <v>856</v>
      </c>
    </row>
    <row r="692" spans="1:14" ht="15" customHeight="1" x14ac:dyDescent="0.2">
      <c r="A692" s="31">
        <v>1.6797451562683541</v>
      </c>
      <c r="B692" s="31"/>
      <c r="C692" s="2" t="s">
        <v>855</v>
      </c>
      <c r="D692" s="31">
        <f xml:space="preserve"> A692 * 0.196</f>
        <v>0.32923005062859739</v>
      </c>
      <c r="F692" s="2" t="s">
        <v>822</v>
      </c>
      <c r="G692" s="23" t="s">
        <v>902</v>
      </c>
      <c r="H692" s="2" t="s">
        <v>822</v>
      </c>
      <c r="J692" s="31">
        <v>27.398899100000001</v>
      </c>
      <c r="K692" s="31">
        <v>-14.6382999</v>
      </c>
      <c r="L692" s="31"/>
      <c r="M692" s="31" t="s">
        <v>854</v>
      </c>
      <c r="N692" s="6" t="s">
        <v>856</v>
      </c>
    </row>
    <row r="693" spans="1:14" ht="15" customHeight="1" x14ac:dyDescent="0.2">
      <c r="A693" s="31">
        <v>1.6795200256749081</v>
      </c>
      <c r="B693" s="31"/>
      <c r="C693" s="2" t="s">
        <v>855</v>
      </c>
      <c r="D693" s="31">
        <f xml:space="preserve"> A693 * 0.196</f>
        <v>0.329185925032282</v>
      </c>
      <c r="F693" s="2" t="s">
        <v>822</v>
      </c>
      <c r="G693" s="23" t="s">
        <v>902</v>
      </c>
      <c r="H693" s="2" t="s">
        <v>822</v>
      </c>
      <c r="J693" s="31">
        <v>28.149299599999999</v>
      </c>
      <c r="K693" s="31">
        <v>-12.669199900000001</v>
      </c>
      <c r="L693" s="31"/>
      <c r="M693" s="31" t="s">
        <v>854</v>
      </c>
      <c r="N693" s="6" t="s">
        <v>856</v>
      </c>
    </row>
    <row r="694" spans="1:14" ht="15" customHeight="1" x14ac:dyDescent="0.2">
      <c r="A694" s="31">
        <v>1.6760189776779271</v>
      </c>
      <c r="B694" s="31"/>
      <c r="C694" s="2" t="s">
        <v>855</v>
      </c>
      <c r="D694" s="31">
        <f xml:space="preserve"> A694 * 0.196</f>
        <v>0.32849971962487373</v>
      </c>
      <c r="F694" s="2" t="s">
        <v>822</v>
      </c>
      <c r="G694" s="23" t="s">
        <v>902</v>
      </c>
      <c r="H694" s="2" t="s">
        <v>822</v>
      </c>
      <c r="J694" s="31">
        <v>25.065700499999998</v>
      </c>
      <c r="K694" s="31">
        <v>56.542701700000002</v>
      </c>
      <c r="L694" s="31"/>
      <c r="M694" s="31" t="s">
        <v>854</v>
      </c>
      <c r="N694" s="6" t="s">
        <v>856</v>
      </c>
    </row>
    <row r="695" spans="1:14" ht="15" customHeight="1" x14ac:dyDescent="0.2">
      <c r="A695" s="2">
        <v>3.8E-3</v>
      </c>
      <c r="C695" s="2" t="s">
        <v>59</v>
      </c>
      <c r="D695" s="2">
        <f>A695 * 86.4</f>
        <v>0.32832</v>
      </c>
      <c r="F695" s="2">
        <v>1993</v>
      </c>
      <c r="G695" s="2" t="s">
        <v>902</v>
      </c>
      <c r="H695" s="2" t="s">
        <v>48</v>
      </c>
      <c r="I695" s="2" t="s">
        <v>73</v>
      </c>
      <c r="J695" s="2">
        <v>38.824530000000003</v>
      </c>
      <c r="K695" s="2">
        <v>25.722719999999999</v>
      </c>
      <c r="L695" s="2" t="s">
        <v>50</v>
      </c>
      <c r="N695" s="6" t="s">
        <v>195</v>
      </c>
    </row>
    <row r="696" spans="1:14" ht="15" customHeight="1" x14ac:dyDescent="0.2">
      <c r="A696" s="31">
        <v>1.6737125838558</v>
      </c>
      <c r="B696" s="31"/>
      <c r="C696" s="2" t="s">
        <v>855</v>
      </c>
      <c r="D696" s="31">
        <f xml:space="preserve"> A696 * 0.196</f>
        <v>0.3280476664357368</v>
      </c>
      <c r="F696" s="2" t="s">
        <v>822</v>
      </c>
      <c r="G696" s="23" t="s">
        <v>902</v>
      </c>
      <c r="H696" s="2" t="s">
        <v>822</v>
      </c>
      <c r="J696" s="31">
        <v>25.4955997</v>
      </c>
      <c r="K696" s="31">
        <v>35.161098500000001</v>
      </c>
      <c r="L696" s="31"/>
      <c r="M696" s="31" t="s">
        <v>854</v>
      </c>
      <c r="N696" s="6" t="s">
        <v>856</v>
      </c>
    </row>
    <row r="697" spans="1:14" ht="15" customHeight="1" x14ac:dyDescent="0.2">
      <c r="A697" s="22">
        <v>0.32794927371213656</v>
      </c>
      <c r="B697" s="22"/>
      <c r="C697" s="2" t="s">
        <v>891</v>
      </c>
      <c r="D697" s="2">
        <f>A697</f>
        <v>0.32794927371213656</v>
      </c>
      <c r="F697" s="2">
        <v>2023</v>
      </c>
      <c r="G697" s="23" t="s">
        <v>902</v>
      </c>
      <c r="H697" s="2" t="s">
        <v>767</v>
      </c>
      <c r="I697" s="23" t="s">
        <v>188</v>
      </c>
      <c r="J697" s="23">
        <v>58.250124999999997</v>
      </c>
      <c r="K697" s="23">
        <v>11.445436000000001</v>
      </c>
      <c r="L697" s="23" t="s">
        <v>819</v>
      </c>
      <c r="M697" s="2" t="s">
        <v>825</v>
      </c>
      <c r="N697" s="6" t="s">
        <v>828</v>
      </c>
    </row>
    <row r="698" spans="1:14" ht="15" customHeight="1" x14ac:dyDescent="0.2">
      <c r="A698" s="31">
        <v>1.6698871652364531</v>
      </c>
      <c r="B698" s="31"/>
      <c r="C698" s="2" t="s">
        <v>855</v>
      </c>
      <c r="D698" s="31">
        <f t="shared" ref="D698:D706" si="15" xml:space="preserve"> A698 * 0.196</f>
        <v>0.32729788438634483</v>
      </c>
      <c r="F698" s="2" t="s">
        <v>822</v>
      </c>
      <c r="G698" s="23" t="s">
        <v>902</v>
      </c>
      <c r="H698" s="2" t="s">
        <v>822</v>
      </c>
      <c r="J698" s="31">
        <v>26.8141994</v>
      </c>
      <c r="K698" s="31">
        <v>51.788200400000001</v>
      </c>
      <c r="L698" s="31"/>
      <c r="M698" s="31" t="s">
        <v>854</v>
      </c>
      <c r="N698" s="6" t="s">
        <v>856</v>
      </c>
    </row>
    <row r="699" spans="1:14" ht="15" customHeight="1" x14ac:dyDescent="0.2">
      <c r="A699" s="31">
        <v>1.66787596188067</v>
      </c>
      <c r="B699" s="31"/>
      <c r="C699" s="2" t="s">
        <v>855</v>
      </c>
      <c r="D699" s="31">
        <f t="shared" si="15"/>
        <v>0.32690368852861135</v>
      </c>
      <c r="F699" s="2" t="s">
        <v>822</v>
      </c>
      <c r="G699" s="23" t="s">
        <v>902</v>
      </c>
      <c r="H699" s="2" t="s">
        <v>822</v>
      </c>
      <c r="J699" s="31">
        <v>34.672798200000003</v>
      </c>
      <c r="K699" s="31">
        <v>33.426898999999999</v>
      </c>
      <c r="L699" s="31"/>
      <c r="M699" s="31" t="s">
        <v>854</v>
      </c>
      <c r="N699" s="6" t="s">
        <v>856</v>
      </c>
    </row>
    <row r="700" spans="1:14" ht="15" customHeight="1" x14ac:dyDescent="0.2">
      <c r="A700" s="31">
        <v>1.6637839908581029</v>
      </c>
      <c r="B700" s="31"/>
      <c r="C700" s="2" t="s">
        <v>855</v>
      </c>
      <c r="D700" s="31">
        <f t="shared" si="15"/>
        <v>0.3261016622081882</v>
      </c>
      <c r="F700" s="2" t="s">
        <v>822</v>
      </c>
      <c r="G700" s="23" t="s">
        <v>902</v>
      </c>
      <c r="H700" s="2" t="s">
        <v>822</v>
      </c>
      <c r="J700" s="31">
        <v>29.0995998</v>
      </c>
      <c r="K700" s="31">
        <v>48.612701399999999</v>
      </c>
      <c r="L700" s="31"/>
      <c r="M700" s="31" t="s">
        <v>854</v>
      </c>
      <c r="N700" s="6" t="s">
        <v>856</v>
      </c>
    </row>
    <row r="701" spans="1:14" ht="15" customHeight="1" x14ac:dyDescent="0.2">
      <c r="A701" s="31">
        <v>1.6621175306140279</v>
      </c>
      <c r="B701" s="31"/>
      <c r="C701" s="2" t="s">
        <v>855</v>
      </c>
      <c r="D701" s="31">
        <f t="shared" si="15"/>
        <v>0.32577503600034946</v>
      </c>
      <c r="F701" s="2" t="s">
        <v>822</v>
      </c>
      <c r="G701" s="23" t="s">
        <v>902</v>
      </c>
      <c r="H701" s="2" t="s">
        <v>822</v>
      </c>
      <c r="J701" s="31">
        <v>28.3841</v>
      </c>
      <c r="K701" s="31">
        <v>34.448398599999997</v>
      </c>
      <c r="L701" s="31"/>
      <c r="M701" s="31" t="s">
        <v>854</v>
      </c>
      <c r="N701" s="6" t="s">
        <v>856</v>
      </c>
    </row>
    <row r="702" spans="1:14" ht="15" customHeight="1" x14ac:dyDescent="0.2">
      <c r="A702" s="31">
        <v>1.661023881124192</v>
      </c>
      <c r="B702" s="31"/>
      <c r="C702" s="2" t="s">
        <v>855</v>
      </c>
      <c r="D702" s="31">
        <f t="shared" si="15"/>
        <v>0.32556068070034166</v>
      </c>
      <c r="F702" s="2" t="s">
        <v>822</v>
      </c>
      <c r="G702" s="23" t="s">
        <v>902</v>
      </c>
      <c r="H702" s="2" t="s">
        <v>822</v>
      </c>
      <c r="J702" s="31">
        <v>26.0422993</v>
      </c>
      <c r="K702" s="31">
        <v>-17.178499200000001</v>
      </c>
      <c r="L702" s="31"/>
      <c r="M702" s="31" t="s">
        <v>854</v>
      </c>
      <c r="N702" s="6" t="s">
        <v>856</v>
      </c>
    </row>
    <row r="703" spans="1:14" ht="15" customHeight="1" x14ac:dyDescent="0.2">
      <c r="A703" s="31">
        <v>1.6610118017333959</v>
      </c>
      <c r="B703" s="31"/>
      <c r="C703" s="2" t="s">
        <v>855</v>
      </c>
      <c r="D703" s="31">
        <f t="shared" si="15"/>
        <v>0.32555831313974559</v>
      </c>
      <c r="F703" s="2" t="s">
        <v>822</v>
      </c>
      <c r="G703" s="23" t="s">
        <v>902</v>
      </c>
      <c r="H703" s="2" t="s">
        <v>822</v>
      </c>
      <c r="J703" s="31">
        <v>55.998500800000002</v>
      </c>
      <c r="K703" s="31">
        <v>15.6273003</v>
      </c>
      <c r="L703" s="31"/>
      <c r="M703" s="31" t="s">
        <v>854</v>
      </c>
      <c r="N703" s="6" t="s">
        <v>856</v>
      </c>
    </row>
    <row r="704" spans="1:14" ht="15" customHeight="1" x14ac:dyDescent="0.2">
      <c r="A704" s="31">
        <v>1.6605333862231739</v>
      </c>
      <c r="B704" s="31"/>
      <c r="C704" s="2" t="s">
        <v>855</v>
      </c>
      <c r="D704" s="31">
        <f t="shared" si="15"/>
        <v>0.32546454369974209</v>
      </c>
      <c r="F704" s="2" t="s">
        <v>822</v>
      </c>
      <c r="G704" s="23" t="s">
        <v>902</v>
      </c>
      <c r="H704" s="2" t="s">
        <v>822</v>
      </c>
      <c r="J704" s="31">
        <v>29.8085995</v>
      </c>
      <c r="K704" s="31">
        <v>49.847801199999999</v>
      </c>
      <c r="L704" s="31"/>
      <c r="M704" s="31" t="s">
        <v>854</v>
      </c>
      <c r="N704" s="6" t="s">
        <v>856</v>
      </c>
    </row>
    <row r="705" spans="1:14" ht="15" customHeight="1" x14ac:dyDescent="0.2">
      <c r="A705" s="31">
        <v>1.6601161648270111</v>
      </c>
      <c r="B705" s="31"/>
      <c r="C705" s="2" t="s">
        <v>855</v>
      </c>
      <c r="D705" s="31">
        <f t="shared" si="15"/>
        <v>0.32538276830609419</v>
      </c>
      <c r="F705" s="2" t="s">
        <v>822</v>
      </c>
      <c r="G705" s="23" t="s">
        <v>902</v>
      </c>
      <c r="H705" s="2" t="s">
        <v>822</v>
      </c>
      <c r="J705" s="31">
        <v>58.805099499999997</v>
      </c>
      <c r="K705" s="31">
        <v>22.267499900000001</v>
      </c>
      <c r="L705" s="31"/>
      <c r="M705" s="31" t="s">
        <v>854</v>
      </c>
      <c r="N705" s="6" t="s">
        <v>856</v>
      </c>
    </row>
    <row r="706" spans="1:14" ht="15" customHeight="1" x14ac:dyDescent="0.2">
      <c r="A706" s="31">
        <v>1.659972171731499</v>
      </c>
      <c r="B706" s="31"/>
      <c r="C706" s="2" t="s">
        <v>855</v>
      </c>
      <c r="D706" s="31">
        <f t="shared" si="15"/>
        <v>0.32535454565937383</v>
      </c>
      <c r="F706" s="2" t="s">
        <v>822</v>
      </c>
      <c r="G706" s="23" t="s">
        <v>902</v>
      </c>
      <c r="H706" s="2" t="s">
        <v>822</v>
      </c>
      <c r="J706" s="31">
        <v>28.0282993</v>
      </c>
      <c r="K706" s="31">
        <v>-13.637299499999999</v>
      </c>
      <c r="L706" s="31"/>
      <c r="M706" s="31" t="s">
        <v>854</v>
      </c>
      <c r="N706" s="6" t="s">
        <v>856</v>
      </c>
    </row>
    <row r="707" spans="1:14" ht="15" customHeight="1" x14ac:dyDescent="0.2">
      <c r="A707" s="22">
        <v>0.32440783872967099</v>
      </c>
      <c r="B707" s="22"/>
      <c r="C707" s="2" t="s">
        <v>891</v>
      </c>
      <c r="D707" s="2">
        <f>A707</f>
        <v>0.32440783872967099</v>
      </c>
      <c r="F707" s="2">
        <v>2023</v>
      </c>
      <c r="G707" s="23" t="s">
        <v>902</v>
      </c>
      <c r="H707" s="2" t="s">
        <v>770</v>
      </c>
      <c r="I707" s="23" t="s">
        <v>189</v>
      </c>
      <c r="J707" s="23">
        <v>58077389</v>
      </c>
      <c r="K707" s="23">
        <v>11813554</v>
      </c>
      <c r="L707" s="23" t="s">
        <v>819</v>
      </c>
      <c r="M707" s="2" t="s">
        <v>825</v>
      </c>
      <c r="N707" s="6" t="s">
        <v>828</v>
      </c>
    </row>
    <row r="708" spans="1:14" ht="15" customHeight="1" x14ac:dyDescent="0.2">
      <c r="A708" s="31">
        <v>1.6551242059160589</v>
      </c>
      <c r="B708" s="31"/>
      <c r="C708" s="2" t="s">
        <v>855</v>
      </c>
      <c r="D708" s="31">
        <f t="shared" ref="D708:D713" si="16" xml:space="preserve"> A708 * 0.196</f>
        <v>0.32440434435954757</v>
      </c>
      <c r="F708" s="2" t="s">
        <v>822</v>
      </c>
      <c r="G708" s="23" t="s">
        <v>902</v>
      </c>
      <c r="H708" s="2" t="s">
        <v>822</v>
      </c>
      <c r="J708" s="31">
        <v>58.075000799999998</v>
      </c>
      <c r="K708" s="31">
        <v>21.6728992</v>
      </c>
      <c r="L708" s="31"/>
      <c r="M708" s="31" t="s">
        <v>854</v>
      </c>
      <c r="N708" s="6" t="s">
        <v>856</v>
      </c>
    </row>
    <row r="709" spans="1:14" ht="15" customHeight="1" x14ac:dyDescent="0.2">
      <c r="A709" s="31">
        <v>1.654912725555139</v>
      </c>
      <c r="B709" s="31"/>
      <c r="C709" s="2" t="s">
        <v>855</v>
      </c>
      <c r="D709" s="31">
        <f t="shared" si="16"/>
        <v>0.32436289420880726</v>
      </c>
      <c r="F709" s="2" t="s">
        <v>822</v>
      </c>
      <c r="G709" s="23" t="s">
        <v>902</v>
      </c>
      <c r="H709" s="2" t="s">
        <v>822</v>
      </c>
      <c r="J709" s="31">
        <v>27.2751999</v>
      </c>
      <c r="K709" s="31">
        <v>-13.5052004</v>
      </c>
      <c r="L709" s="31"/>
      <c r="M709" s="31" t="s">
        <v>854</v>
      </c>
      <c r="N709" s="6" t="s">
        <v>856</v>
      </c>
    </row>
    <row r="710" spans="1:14" ht="15" customHeight="1" x14ac:dyDescent="0.2">
      <c r="A710" s="31">
        <v>1.6547785247644109</v>
      </c>
      <c r="B710" s="31"/>
      <c r="C710" s="2" t="s">
        <v>855</v>
      </c>
      <c r="D710" s="31">
        <f t="shared" si="16"/>
        <v>0.32433659085382455</v>
      </c>
      <c r="F710" s="2" t="s">
        <v>822</v>
      </c>
      <c r="G710" s="23" t="s">
        <v>902</v>
      </c>
      <c r="H710" s="2" t="s">
        <v>822</v>
      </c>
      <c r="J710" s="31">
        <v>26.1615009</v>
      </c>
      <c r="K710" s="31">
        <v>51.594699900000002</v>
      </c>
      <c r="L710" s="31"/>
      <c r="M710" s="31" t="s">
        <v>854</v>
      </c>
      <c r="N710" s="6" t="s">
        <v>856</v>
      </c>
    </row>
    <row r="711" spans="1:14" ht="15" customHeight="1" x14ac:dyDescent="0.2">
      <c r="A711" s="31">
        <v>1.654465606578386</v>
      </c>
      <c r="B711" s="31"/>
      <c r="C711" s="2" t="s">
        <v>855</v>
      </c>
      <c r="D711" s="31">
        <f t="shared" si="16"/>
        <v>0.32427525888936365</v>
      </c>
      <c r="F711" s="2" t="s">
        <v>822</v>
      </c>
      <c r="G711" s="23" t="s">
        <v>902</v>
      </c>
      <c r="H711" s="2" t="s">
        <v>822</v>
      </c>
      <c r="J711" s="31">
        <v>25.023000700000001</v>
      </c>
      <c r="K711" s="31">
        <v>61.522098499999998</v>
      </c>
      <c r="L711" s="31"/>
      <c r="M711" s="31" t="s">
        <v>854</v>
      </c>
      <c r="N711" s="6" t="s">
        <v>856</v>
      </c>
    </row>
    <row r="712" spans="1:14" ht="15" customHeight="1" x14ac:dyDescent="0.2">
      <c r="A712" s="31">
        <v>1.651593330859908</v>
      </c>
      <c r="B712" s="31"/>
      <c r="C712" s="2" t="s">
        <v>855</v>
      </c>
      <c r="D712" s="31">
        <f t="shared" si="16"/>
        <v>0.32371229284854197</v>
      </c>
      <c r="F712" s="2" t="s">
        <v>822</v>
      </c>
      <c r="G712" s="23" t="s">
        <v>902</v>
      </c>
      <c r="H712" s="2" t="s">
        <v>822</v>
      </c>
      <c r="J712" s="31">
        <v>31.9228001</v>
      </c>
      <c r="K712" s="31">
        <v>-9.6571198000000003</v>
      </c>
      <c r="L712" s="31"/>
      <c r="M712" s="31" t="s">
        <v>854</v>
      </c>
      <c r="N712" s="6" t="s">
        <v>856</v>
      </c>
    </row>
    <row r="713" spans="1:14" ht="15" customHeight="1" x14ac:dyDescent="0.2">
      <c r="A713" s="31">
        <v>1.649099205396042</v>
      </c>
      <c r="B713" s="31"/>
      <c r="C713" s="2" t="s">
        <v>855</v>
      </c>
      <c r="D713" s="31">
        <f t="shared" si="16"/>
        <v>0.32322344425762423</v>
      </c>
      <c r="F713" s="2" t="s">
        <v>822</v>
      </c>
      <c r="G713" s="23" t="s">
        <v>902</v>
      </c>
      <c r="H713" s="2" t="s">
        <v>822</v>
      </c>
      <c r="J713" s="31">
        <v>28.7245998</v>
      </c>
      <c r="K713" s="31">
        <v>49.847801199999999</v>
      </c>
      <c r="L713" s="31"/>
      <c r="M713" s="31" t="s">
        <v>854</v>
      </c>
      <c r="N713" s="6" t="s">
        <v>856</v>
      </c>
    </row>
    <row r="714" spans="1:14" ht="15" customHeight="1" x14ac:dyDescent="0.2">
      <c r="A714" s="22">
        <v>0.32312592818992947</v>
      </c>
      <c r="B714" s="22"/>
      <c r="C714" s="2" t="s">
        <v>891</v>
      </c>
      <c r="D714" s="2">
        <f>A714</f>
        <v>0.32312592818992947</v>
      </c>
      <c r="F714" s="2">
        <v>2023</v>
      </c>
      <c r="G714" s="23" t="s">
        <v>902</v>
      </c>
      <c r="H714" s="2" t="s">
        <v>766</v>
      </c>
      <c r="I714" s="23" t="s">
        <v>188</v>
      </c>
      <c r="J714" s="23">
        <v>58.252302</v>
      </c>
      <c r="K714" s="23">
        <v>11.451231999999999</v>
      </c>
      <c r="L714" s="23" t="s">
        <v>819</v>
      </c>
      <c r="M714" s="2" t="s">
        <v>825</v>
      </c>
      <c r="N714" s="6" t="s">
        <v>828</v>
      </c>
    </row>
    <row r="715" spans="1:14" ht="15" customHeight="1" x14ac:dyDescent="0.2">
      <c r="A715" s="31">
        <v>1.6474760446972201</v>
      </c>
      <c r="B715" s="31"/>
      <c r="C715" s="2" t="s">
        <v>855</v>
      </c>
      <c r="D715" s="31">
        <f xml:space="preserve"> A715 * 0.196</f>
        <v>0.32290530476065515</v>
      </c>
      <c r="F715" s="2" t="s">
        <v>822</v>
      </c>
      <c r="G715" s="23" t="s">
        <v>902</v>
      </c>
      <c r="H715" s="2" t="s">
        <v>822</v>
      </c>
      <c r="J715" s="31">
        <v>25.914499299999999</v>
      </c>
      <c r="K715" s="31">
        <v>54.5834999</v>
      </c>
      <c r="L715" s="31"/>
      <c r="M715" s="31" t="s">
        <v>854</v>
      </c>
      <c r="N715" s="6" t="s">
        <v>856</v>
      </c>
    </row>
    <row r="716" spans="1:14" ht="15" customHeight="1" x14ac:dyDescent="0.2">
      <c r="A716" s="22">
        <v>0.32226816759623667</v>
      </c>
      <c r="B716" s="22"/>
      <c r="C716" s="2" t="s">
        <v>891</v>
      </c>
      <c r="D716" s="2">
        <f>A716</f>
        <v>0.32226816759623667</v>
      </c>
      <c r="F716" s="2">
        <v>2023</v>
      </c>
      <c r="G716" s="23" t="s">
        <v>902</v>
      </c>
      <c r="H716" s="2" t="s">
        <v>768</v>
      </c>
      <c r="I716" s="23" t="s">
        <v>188</v>
      </c>
      <c r="J716" s="23">
        <v>58.250121</v>
      </c>
      <c r="K716" s="23">
        <v>11.445427</v>
      </c>
      <c r="L716" s="23" t="s">
        <v>819</v>
      </c>
      <c r="M716" s="2" t="s">
        <v>825</v>
      </c>
      <c r="N716" s="6" t="s">
        <v>828</v>
      </c>
    </row>
    <row r="717" spans="1:14" ht="15" customHeight="1" x14ac:dyDescent="0.2">
      <c r="A717" s="31">
        <v>1.6419183113753411</v>
      </c>
      <c r="B717" s="31"/>
      <c r="C717" s="2" t="s">
        <v>855</v>
      </c>
      <c r="D717" s="31">
        <f xml:space="preserve"> A717 * 0.196</f>
        <v>0.32181598902956687</v>
      </c>
      <c r="F717" s="2" t="s">
        <v>822</v>
      </c>
      <c r="G717" s="23" t="s">
        <v>902</v>
      </c>
      <c r="H717" s="2" t="s">
        <v>822</v>
      </c>
      <c r="J717" s="31">
        <v>57.887298600000001</v>
      </c>
      <c r="K717" s="31">
        <v>17.268899900000001</v>
      </c>
      <c r="L717" s="31"/>
      <c r="M717" s="31" t="s">
        <v>854</v>
      </c>
      <c r="N717" s="6" t="s">
        <v>856</v>
      </c>
    </row>
    <row r="718" spans="1:14" ht="15" customHeight="1" x14ac:dyDescent="0.2">
      <c r="A718" s="31">
        <v>1.6386824866793051</v>
      </c>
      <c r="B718" s="31"/>
      <c r="C718" s="2" t="s">
        <v>855</v>
      </c>
      <c r="D718" s="31">
        <f xml:space="preserve"> A718 * 0.196</f>
        <v>0.32118176738914378</v>
      </c>
      <c r="F718" s="2" t="s">
        <v>822</v>
      </c>
      <c r="G718" s="23" t="s">
        <v>902</v>
      </c>
      <c r="H718" s="2" t="s">
        <v>822</v>
      </c>
      <c r="J718" s="31">
        <v>25.783100099999999</v>
      </c>
      <c r="K718" s="31">
        <v>-15.1420002</v>
      </c>
      <c r="L718" s="31"/>
      <c r="M718" s="31" t="s">
        <v>854</v>
      </c>
      <c r="N718" s="6" t="s">
        <v>856</v>
      </c>
    </row>
    <row r="719" spans="1:14" ht="15" customHeight="1" x14ac:dyDescent="0.2">
      <c r="A719" s="31">
        <v>1.638588896847784</v>
      </c>
      <c r="B719" s="31"/>
      <c r="C719" s="2" t="s">
        <v>855</v>
      </c>
      <c r="D719" s="31">
        <f xml:space="preserve"> A719 * 0.196</f>
        <v>0.32116342378216567</v>
      </c>
      <c r="F719" s="2" t="s">
        <v>822</v>
      </c>
      <c r="G719" s="23" t="s">
        <v>902</v>
      </c>
      <c r="H719" s="2" t="s">
        <v>822</v>
      </c>
      <c r="J719" s="31">
        <v>26.444799400000001</v>
      </c>
      <c r="K719" s="31">
        <v>-15.0865002</v>
      </c>
      <c r="L719" s="31"/>
      <c r="M719" s="31" t="s">
        <v>854</v>
      </c>
      <c r="N719" s="6" t="s">
        <v>856</v>
      </c>
    </row>
    <row r="720" spans="1:14" ht="15" customHeight="1" x14ac:dyDescent="0.2">
      <c r="A720" s="31">
        <v>1.637520434871794</v>
      </c>
      <c r="B720" s="31"/>
      <c r="C720" s="2" t="s">
        <v>855</v>
      </c>
      <c r="D720" s="31">
        <f xml:space="preserve"> A720 * 0.196</f>
        <v>0.32095400523487161</v>
      </c>
      <c r="F720" s="2" t="s">
        <v>822</v>
      </c>
      <c r="G720" s="23" t="s">
        <v>902</v>
      </c>
      <c r="H720" s="2" t="s">
        <v>822</v>
      </c>
      <c r="J720" s="31">
        <v>59.596900900000001</v>
      </c>
      <c r="K720" s="31">
        <v>22.276599900000001</v>
      </c>
      <c r="L720" s="31"/>
      <c r="M720" s="31" t="s">
        <v>854</v>
      </c>
      <c r="N720" s="6" t="s">
        <v>856</v>
      </c>
    </row>
    <row r="721" spans="1:14" ht="15" customHeight="1" x14ac:dyDescent="0.2">
      <c r="A721" s="22">
        <v>0.32057488423675984</v>
      </c>
      <c r="B721" s="22"/>
      <c r="C721" s="2" t="s">
        <v>891</v>
      </c>
      <c r="D721" s="2">
        <f>A721</f>
        <v>0.32057488423675984</v>
      </c>
      <c r="F721" s="2">
        <v>2023</v>
      </c>
      <c r="G721" s="23" t="s">
        <v>902</v>
      </c>
      <c r="H721" s="2" t="s">
        <v>768</v>
      </c>
      <c r="I721" s="23" t="s">
        <v>188</v>
      </c>
      <c r="J721" s="23">
        <v>58.250118000000001</v>
      </c>
      <c r="K721" s="23">
        <v>11.445429000000001</v>
      </c>
      <c r="L721" s="23" t="s">
        <v>819</v>
      </c>
      <c r="M721" s="2" t="s">
        <v>825</v>
      </c>
      <c r="N721" s="6" t="s">
        <v>828</v>
      </c>
    </row>
    <row r="722" spans="1:14" ht="15" customHeight="1" x14ac:dyDescent="0.2">
      <c r="A722" s="31">
        <v>1.6332163997926079</v>
      </c>
      <c r="B722" s="31"/>
      <c r="C722" s="2" t="s">
        <v>855</v>
      </c>
      <c r="D722" s="31">
        <f t="shared" ref="D722:D727" si="17" xml:space="preserve"> A722 * 0.196</f>
        <v>0.32011041435935117</v>
      </c>
      <c r="F722" s="2" t="s">
        <v>822</v>
      </c>
      <c r="G722" s="23" t="s">
        <v>902</v>
      </c>
      <c r="H722" s="2" t="s">
        <v>822</v>
      </c>
      <c r="J722" s="31">
        <v>27.090599099999999</v>
      </c>
      <c r="K722" s="31">
        <v>50.771400499999999</v>
      </c>
      <c r="L722" s="31"/>
      <c r="M722" s="31" t="s">
        <v>854</v>
      </c>
      <c r="N722" s="6" t="s">
        <v>856</v>
      </c>
    </row>
    <row r="723" spans="1:14" ht="15" customHeight="1" x14ac:dyDescent="0.2">
      <c r="A723" s="31">
        <v>1.6314095894188769</v>
      </c>
      <c r="B723" s="31"/>
      <c r="C723" s="2" t="s">
        <v>855</v>
      </c>
      <c r="D723" s="31">
        <f t="shared" si="17"/>
        <v>0.31975627952609986</v>
      </c>
      <c r="F723" s="2" t="s">
        <v>822</v>
      </c>
      <c r="G723" s="23" t="s">
        <v>902</v>
      </c>
      <c r="H723" s="2" t="s">
        <v>822</v>
      </c>
      <c r="J723" s="31">
        <v>59.128501900000003</v>
      </c>
      <c r="K723" s="31">
        <v>22.300199500000002</v>
      </c>
      <c r="L723" s="31"/>
      <c r="M723" s="31" t="s">
        <v>854</v>
      </c>
      <c r="N723" s="6" t="s">
        <v>856</v>
      </c>
    </row>
    <row r="724" spans="1:14" ht="15" customHeight="1" x14ac:dyDescent="0.2">
      <c r="A724" s="31">
        <v>1.6259586085293709</v>
      </c>
      <c r="B724" s="31"/>
      <c r="C724" s="2" t="s">
        <v>855</v>
      </c>
      <c r="D724" s="31">
        <f t="shared" si="17"/>
        <v>0.31868788727175673</v>
      </c>
      <c r="F724" s="2" t="s">
        <v>822</v>
      </c>
      <c r="G724" s="23" t="s">
        <v>902</v>
      </c>
      <c r="H724" s="2" t="s">
        <v>822</v>
      </c>
      <c r="J724" s="31">
        <v>55.718601200000002</v>
      </c>
      <c r="K724" s="31">
        <v>16.3581009</v>
      </c>
      <c r="L724" s="31"/>
      <c r="M724" s="31" t="s">
        <v>854</v>
      </c>
      <c r="N724" s="6" t="s">
        <v>856</v>
      </c>
    </row>
    <row r="725" spans="1:14" ht="15" customHeight="1" x14ac:dyDescent="0.2">
      <c r="A725" s="31">
        <v>1.6258063717471649</v>
      </c>
      <c r="B725" s="31"/>
      <c r="C725" s="2" t="s">
        <v>855</v>
      </c>
      <c r="D725" s="31">
        <f t="shared" si="17"/>
        <v>0.31865804886244431</v>
      </c>
      <c r="F725" s="2" t="s">
        <v>822</v>
      </c>
      <c r="G725" s="23" t="s">
        <v>902</v>
      </c>
      <c r="H725" s="2" t="s">
        <v>822</v>
      </c>
      <c r="J725" s="31">
        <v>60.798999799999997</v>
      </c>
      <c r="K725" s="31">
        <v>20.8022995</v>
      </c>
      <c r="L725" s="31"/>
      <c r="M725" s="31" t="s">
        <v>854</v>
      </c>
      <c r="N725" s="6" t="s">
        <v>856</v>
      </c>
    </row>
    <row r="726" spans="1:14" ht="15" customHeight="1" x14ac:dyDescent="0.2">
      <c r="A726" s="40">
        <v>1.623111346801039</v>
      </c>
      <c r="B726" s="31"/>
      <c r="C726" s="2" t="s">
        <v>855</v>
      </c>
      <c r="D726" s="31">
        <f t="shared" si="17"/>
        <v>0.31812982397300366</v>
      </c>
      <c r="F726" s="2" t="s">
        <v>822</v>
      </c>
      <c r="G726" s="23" t="s">
        <v>902</v>
      </c>
      <c r="H726" s="2" t="s">
        <v>822</v>
      </c>
      <c r="I726" s="41"/>
      <c r="J726" s="40">
        <v>40.080600699999998</v>
      </c>
      <c r="K726" s="40">
        <v>-17.192800500000001</v>
      </c>
      <c r="L726" s="31"/>
      <c r="M726" s="31" t="s">
        <v>854</v>
      </c>
      <c r="N726" s="6" t="s">
        <v>856</v>
      </c>
    </row>
    <row r="727" spans="1:14" ht="15" customHeight="1" x14ac:dyDescent="0.2">
      <c r="A727" s="31">
        <v>1.622924340090391</v>
      </c>
      <c r="B727" s="31"/>
      <c r="C727" s="2" t="s">
        <v>855</v>
      </c>
      <c r="D727" s="31">
        <f t="shared" si="17"/>
        <v>0.31809317065771664</v>
      </c>
      <c r="F727" s="2" t="s">
        <v>822</v>
      </c>
      <c r="G727" s="23" t="s">
        <v>902</v>
      </c>
      <c r="H727" s="2" t="s">
        <v>822</v>
      </c>
      <c r="J727" s="31">
        <v>26.3307991</v>
      </c>
      <c r="K727" s="31">
        <v>54.612701399999999</v>
      </c>
      <c r="L727" s="31"/>
      <c r="M727" s="31" t="s">
        <v>854</v>
      </c>
      <c r="N727" s="6" t="s">
        <v>856</v>
      </c>
    </row>
    <row r="728" spans="1:14" ht="15" customHeight="1" x14ac:dyDescent="0.2">
      <c r="A728" s="22">
        <v>0.31806252373607058</v>
      </c>
      <c r="B728" s="22"/>
      <c r="C728" s="2" t="s">
        <v>891</v>
      </c>
      <c r="D728" s="2">
        <f>A728</f>
        <v>0.31806252373607058</v>
      </c>
      <c r="F728" s="2">
        <v>2023</v>
      </c>
      <c r="G728" s="23" t="s">
        <v>902</v>
      </c>
      <c r="H728" s="2" t="s">
        <v>767</v>
      </c>
      <c r="I728" s="23" t="s">
        <v>188</v>
      </c>
      <c r="J728" s="23">
        <v>58.353346999999999</v>
      </c>
      <c r="K728" s="23">
        <v>11.580651</v>
      </c>
      <c r="L728" s="23" t="s">
        <v>819</v>
      </c>
      <c r="M728" s="2" t="s">
        <v>825</v>
      </c>
      <c r="N728" s="6" t="s">
        <v>828</v>
      </c>
    </row>
    <row r="729" spans="1:14" ht="15" customHeight="1" x14ac:dyDescent="0.2">
      <c r="A729" s="31">
        <v>1.6208610753904631</v>
      </c>
      <c r="B729" s="31"/>
      <c r="C729" s="2" t="s">
        <v>855</v>
      </c>
      <c r="D729" s="31">
        <f xml:space="preserve"> A729 * 0.196</f>
        <v>0.31768877077653079</v>
      </c>
      <c r="F729" s="2" t="s">
        <v>822</v>
      </c>
      <c r="G729" s="23" t="s">
        <v>902</v>
      </c>
      <c r="H729" s="2" t="s">
        <v>822</v>
      </c>
      <c r="J729" s="31">
        <v>59.111400600000003</v>
      </c>
      <c r="K729" s="31">
        <v>21.962600699999999</v>
      </c>
      <c r="L729" s="31"/>
      <c r="M729" s="31" t="s">
        <v>854</v>
      </c>
      <c r="N729" s="6" t="s">
        <v>856</v>
      </c>
    </row>
    <row r="730" spans="1:14" ht="15" customHeight="1" x14ac:dyDescent="0.2">
      <c r="A730" s="31">
        <v>1.620582865402814</v>
      </c>
      <c r="B730" s="31"/>
      <c r="C730" s="2" t="s">
        <v>855</v>
      </c>
      <c r="D730" s="31">
        <f xml:space="preserve"> A730 * 0.196</f>
        <v>0.31763424161895154</v>
      </c>
      <c r="F730" s="2" t="s">
        <v>822</v>
      </c>
      <c r="G730" s="23" t="s">
        <v>902</v>
      </c>
      <c r="H730" s="2" t="s">
        <v>822</v>
      </c>
      <c r="J730" s="31">
        <v>60.184200300000001</v>
      </c>
      <c r="K730" s="31">
        <v>20.526599900000001</v>
      </c>
      <c r="L730" s="31"/>
      <c r="M730" s="31" t="s">
        <v>854</v>
      </c>
      <c r="N730" s="6" t="s">
        <v>856</v>
      </c>
    </row>
    <row r="731" spans="1:14" ht="15" customHeight="1" x14ac:dyDescent="0.2">
      <c r="A731" s="31">
        <v>1.6204455968386491</v>
      </c>
      <c r="B731" s="31"/>
      <c r="C731" s="2" t="s">
        <v>855</v>
      </c>
      <c r="D731" s="31">
        <f xml:space="preserve"> A731 * 0.196</f>
        <v>0.31760733698037524</v>
      </c>
      <c r="F731" s="2" t="s">
        <v>822</v>
      </c>
      <c r="G731" s="23" t="s">
        <v>902</v>
      </c>
      <c r="H731" s="2" t="s">
        <v>822</v>
      </c>
      <c r="J731" s="31">
        <v>60.5475998</v>
      </c>
      <c r="K731" s="31">
        <v>20.192800500000001</v>
      </c>
      <c r="L731" s="31"/>
      <c r="M731" s="31" t="s">
        <v>854</v>
      </c>
      <c r="N731" s="6" t="s">
        <v>856</v>
      </c>
    </row>
    <row r="732" spans="1:14" ht="15" customHeight="1" x14ac:dyDescent="0.2">
      <c r="A732" s="31">
        <v>1.617372542867251</v>
      </c>
      <c r="B732" s="31"/>
      <c r="C732" s="2" t="s">
        <v>855</v>
      </c>
      <c r="D732" s="31">
        <f xml:space="preserve"> A732 * 0.196</f>
        <v>0.3170050184019812</v>
      </c>
      <c r="F732" s="2" t="s">
        <v>822</v>
      </c>
      <c r="G732" s="23" t="s">
        <v>902</v>
      </c>
      <c r="H732" s="2" t="s">
        <v>822</v>
      </c>
      <c r="J732" s="31">
        <v>60.173801400000002</v>
      </c>
      <c r="K732" s="31">
        <v>20.9046001</v>
      </c>
      <c r="L732" s="31"/>
      <c r="M732" s="31" t="s">
        <v>854</v>
      </c>
      <c r="N732" s="6" t="s">
        <v>856</v>
      </c>
    </row>
    <row r="733" spans="1:14" ht="15" customHeight="1" x14ac:dyDescent="0.2">
      <c r="A733" s="22">
        <v>0.31685388666466219</v>
      </c>
      <c r="B733" s="22"/>
      <c r="C733" s="2" t="s">
        <v>891</v>
      </c>
      <c r="D733" s="2">
        <f>A733</f>
        <v>0.31685388666466219</v>
      </c>
      <c r="F733" s="2">
        <v>2023</v>
      </c>
      <c r="G733" s="23" t="s">
        <v>902</v>
      </c>
      <c r="H733" s="2" t="s">
        <v>766</v>
      </c>
      <c r="I733" s="23" t="s">
        <v>188</v>
      </c>
      <c r="J733" s="23">
        <v>58.250124</v>
      </c>
      <c r="K733" s="23">
        <v>11.445410000000001</v>
      </c>
      <c r="L733" s="23" t="s">
        <v>819</v>
      </c>
      <c r="M733" s="2" t="s">
        <v>825</v>
      </c>
      <c r="N733" s="6" t="s">
        <v>828</v>
      </c>
    </row>
    <row r="734" spans="1:14" ht="15" customHeight="1" x14ac:dyDescent="0.2">
      <c r="A734" s="31">
        <v>1.616559259141954</v>
      </c>
      <c r="B734" s="31"/>
      <c r="C734" s="2" t="s">
        <v>855</v>
      </c>
      <c r="D734" s="31">
        <f xml:space="preserve"> A734 * 0.196</f>
        <v>0.31684561479182299</v>
      </c>
      <c r="F734" s="2" t="s">
        <v>822</v>
      </c>
      <c r="G734" s="23" t="s">
        <v>902</v>
      </c>
      <c r="H734" s="2" t="s">
        <v>822</v>
      </c>
      <c r="J734" s="31">
        <v>40.141799900000002</v>
      </c>
      <c r="K734" s="31">
        <v>22.561300299999999</v>
      </c>
      <c r="L734" s="31"/>
      <c r="M734" s="31" t="s">
        <v>854</v>
      </c>
      <c r="N734" s="6" t="s">
        <v>856</v>
      </c>
    </row>
    <row r="735" spans="1:14" ht="15" customHeight="1" x14ac:dyDescent="0.2">
      <c r="A735" s="31">
        <v>1.6160535070000701</v>
      </c>
      <c r="B735" s="31"/>
      <c r="C735" s="2" t="s">
        <v>855</v>
      </c>
      <c r="D735" s="31">
        <f xml:space="preserve"> A735 * 0.196</f>
        <v>0.31674648737201377</v>
      </c>
      <c r="F735" s="2" t="s">
        <v>822</v>
      </c>
      <c r="G735" s="23" t="s">
        <v>902</v>
      </c>
      <c r="H735" s="2" t="s">
        <v>822</v>
      </c>
      <c r="J735" s="31">
        <v>25.674400299999999</v>
      </c>
      <c r="K735" s="31">
        <v>55.226100899999999</v>
      </c>
      <c r="L735" s="31"/>
      <c r="M735" s="31" t="s">
        <v>854</v>
      </c>
      <c r="N735" s="6" t="s">
        <v>856</v>
      </c>
    </row>
    <row r="736" spans="1:14" ht="15" customHeight="1" x14ac:dyDescent="0.2">
      <c r="A736" s="22">
        <v>0.31657024370285974</v>
      </c>
      <c r="B736" s="22"/>
      <c r="C736" s="2" t="s">
        <v>891</v>
      </c>
      <c r="D736" s="2">
        <f>A736</f>
        <v>0.31657024370285974</v>
      </c>
      <c r="F736" s="2">
        <v>2023</v>
      </c>
      <c r="G736" s="23" t="s">
        <v>902</v>
      </c>
      <c r="H736" s="2" t="s">
        <v>767</v>
      </c>
      <c r="I736" s="23" t="s">
        <v>188</v>
      </c>
      <c r="J736" s="23">
        <v>58.250126000000002</v>
      </c>
      <c r="K736" s="23">
        <v>11.445430999999999</v>
      </c>
      <c r="L736" s="23" t="s">
        <v>819</v>
      </c>
      <c r="M736" s="2" t="s">
        <v>825</v>
      </c>
      <c r="N736" s="6" t="s">
        <v>828</v>
      </c>
    </row>
    <row r="737" spans="1:14" ht="15" customHeight="1" x14ac:dyDescent="0.2">
      <c r="A737" s="31">
        <v>1.60964111523484</v>
      </c>
      <c r="B737" s="31"/>
      <c r="C737" s="2" t="s">
        <v>855</v>
      </c>
      <c r="D737" s="31">
        <f t="shared" ref="D737:D743" si="18" xml:space="preserve"> A737 * 0.196</f>
        <v>0.31548965858602868</v>
      </c>
      <c r="F737" s="2" t="s">
        <v>822</v>
      </c>
      <c r="G737" s="23" t="s">
        <v>902</v>
      </c>
      <c r="H737" s="2" t="s">
        <v>822</v>
      </c>
      <c r="J737" s="31">
        <v>26.4895</v>
      </c>
      <c r="K737" s="31">
        <v>51.974498699999998</v>
      </c>
      <c r="L737" s="31"/>
      <c r="M737" s="31" t="s">
        <v>854</v>
      </c>
      <c r="N737" s="6" t="s">
        <v>856</v>
      </c>
    </row>
    <row r="738" spans="1:14" ht="15" customHeight="1" x14ac:dyDescent="0.2">
      <c r="A738" s="31">
        <v>1.60720862594951</v>
      </c>
      <c r="B738" s="31"/>
      <c r="C738" s="2" t="s">
        <v>855</v>
      </c>
      <c r="D738" s="31">
        <f t="shared" si="18"/>
        <v>0.31501289068610394</v>
      </c>
      <c r="F738" s="2" t="s">
        <v>822</v>
      </c>
      <c r="G738" s="23" t="s">
        <v>902</v>
      </c>
      <c r="H738" s="2" t="s">
        <v>822</v>
      </c>
      <c r="J738" s="31">
        <v>59.456901600000002</v>
      </c>
      <c r="K738" s="31">
        <v>19.110599499999999</v>
      </c>
      <c r="L738" s="31"/>
      <c r="M738" s="31" t="s">
        <v>854</v>
      </c>
      <c r="N738" s="6" t="s">
        <v>856</v>
      </c>
    </row>
    <row r="739" spans="1:14" ht="15" customHeight="1" x14ac:dyDescent="0.2">
      <c r="A739" s="31">
        <v>1.602576878209768</v>
      </c>
      <c r="B739" s="31"/>
      <c r="C739" s="2" t="s">
        <v>855</v>
      </c>
      <c r="D739" s="31">
        <f t="shared" si="18"/>
        <v>0.31410506812911454</v>
      </c>
      <c r="F739" s="2" t="s">
        <v>822</v>
      </c>
      <c r="G739" s="23" t="s">
        <v>902</v>
      </c>
      <c r="H739" s="2" t="s">
        <v>822</v>
      </c>
      <c r="J739" s="31">
        <v>26.622100799999998</v>
      </c>
      <c r="K739" s="31">
        <v>54.103000600000001</v>
      </c>
      <c r="L739" s="31"/>
      <c r="M739" s="31" t="s">
        <v>854</v>
      </c>
      <c r="N739" s="6" t="s">
        <v>856</v>
      </c>
    </row>
    <row r="740" spans="1:14" ht="15" customHeight="1" x14ac:dyDescent="0.2">
      <c r="A740" s="31">
        <v>1.601567830923279</v>
      </c>
      <c r="B740" s="31"/>
      <c r="C740" s="2" t="s">
        <v>855</v>
      </c>
      <c r="D740" s="31">
        <f t="shared" si="18"/>
        <v>0.31390729486096269</v>
      </c>
      <c r="F740" s="2" t="s">
        <v>822</v>
      </c>
      <c r="G740" s="23" t="s">
        <v>902</v>
      </c>
      <c r="H740" s="2" t="s">
        <v>822</v>
      </c>
      <c r="J740" s="31">
        <v>25.220600099999999</v>
      </c>
      <c r="K740" s="31">
        <v>-17.261199999999999</v>
      </c>
      <c r="L740" s="31"/>
      <c r="M740" s="31" t="s">
        <v>854</v>
      </c>
      <c r="N740" s="6" t="s">
        <v>856</v>
      </c>
    </row>
    <row r="741" spans="1:14" ht="15" customHeight="1" x14ac:dyDescent="0.2">
      <c r="A741" s="31">
        <v>1.5993446919249421</v>
      </c>
      <c r="B741" s="31"/>
      <c r="C741" s="2" t="s">
        <v>855</v>
      </c>
      <c r="D741" s="31">
        <f t="shared" si="18"/>
        <v>0.31347155961728868</v>
      </c>
      <c r="F741" s="2" t="s">
        <v>822</v>
      </c>
      <c r="G741" s="23" t="s">
        <v>902</v>
      </c>
      <c r="H741" s="2" t="s">
        <v>822</v>
      </c>
      <c r="J741" s="31">
        <v>25.092699100000001</v>
      </c>
      <c r="K741" s="31">
        <v>-15.9565001</v>
      </c>
      <c r="L741" s="31"/>
      <c r="M741" s="31" t="s">
        <v>854</v>
      </c>
      <c r="N741" s="6" t="s">
        <v>856</v>
      </c>
    </row>
    <row r="742" spans="1:14" ht="15" customHeight="1" x14ac:dyDescent="0.2">
      <c r="A742" s="31">
        <v>1.5986933256503759</v>
      </c>
      <c r="B742" s="31"/>
      <c r="C742" s="2" t="s">
        <v>855</v>
      </c>
      <c r="D742" s="31">
        <f t="shared" si="18"/>
        <v>0.31334389182747369</v>
      </c>
      <c r="F742" s="2" t="s">
        <v>822</v>
      </c>
      <c r="G742" s="23" t="s">
        <v>902</v>
      </c>
      <c r="H742" s="2" t="s">
        <v>822</v>
      </c>
      <c r="J742" s="31">
        <v>31.593700399999999</v>
      </c>
      <c r="K742" s="31">
        <v>31.016700700000001</v>
      </c>
      <c r="L742" s="31"/>
      <c r="M742" s="31" t="s">
        <v>854</v>
      </c>
      <c r="N742" s="6" t="s">
        <v>856</v>
      </c>
    </row>
    <row r="743" spans="1:14" ht="15" customHeight="1" x14ac:dyDescent="0.2">
      <c r="A743" s="31">
        <v>1.5982955361521729</v>
      </c>
      <c r="B743" s="31"/>
      <c r="C743" s="2" t="s">
        <v>855</v>
      </c>
      <c r="D743" s="31">
        <f t="shared" si="18"/>
        <v>0.3132659250858259</v>
      </c>
      <c r="F743" s="2" t="s">
        <v>822</v>
      </c>
      <c r="G743" s="23" t="s">
        <v>902</v>
      </c>
      <c r="H743" s="2" t="s">
        <v>822</v>
      </c>
      <c r="J743" s="31">
        <v>25.5771999</v>
      </c>
      <c r="K743" s="31">
        <v>-16.697399099999998</v>
      </c>
      <c r="L743" s="31"/>
      <c r="M743" s="31" t="s">
        <v>854</v>
      </c>
      <c r="N743" s="6" t="s">
        <v>856</v>
      </c>
    </row>
    <row r="744" spans="1:14" ht="15" customHeight="1" x14ac:dyDescent="0.2">
      <c r="A744" s="22">
        <v>0.31299412465960108</v>
      </c>
      <c r="B744" s="22"/>
      <c r="C744" s="2" t="s">
        <v>891</v>
      </c>
      <c r="D744" s="2">
        <f>A744</f>
        <v>0.31299412465960108</v>
      </c>
      <c r="F744" s="2">
        <v>2023</v>
      </c>
      <c r="G744" s="23" t="s">
        <v>902</v>
      </c>
      <c r="H744" s="2" t="s">
        <v>770</v>
      </c>
      <c r="I744" s="23" t="s">
        <v>189</v>
      </c>
      <c r="J744" s="23">
        <v>58077384</v>
      </c>
      <c r="K744" s="23">
        <v>11813552</v>
      </c>
      <c r="L744" s="23" t="s">
        <v>819</v>
      </c>
      <c r="M744" s="2" t="s">
        <v>825</v>
      </c>
      <c r="N744" s="6" t="s">
        <v>828</v>
      </c>
    </row>
    <row r="745" spans="1:14" ht="15" customHeight="1" x14ac:dyDescent="0.2">
      <c r="A745" s="31">
        <v>1.596838696554014</v>
      </c>
      <c r="B745" s="31"/>
      <c r="C745" s="2" t="s">
        <v>855</v>
      </c>
      <c r="D745" s="31">
        <f xml:space="preserve"> A745 * 0.196</f>
        <v>0.31298038452458676</v>
      </c>
      <c r="F745" s="2" t="s">
        <v>822</v>
      </c>
      <c r="G745" s="23" t="s">
        <v>902</v>
      </c>
      <c r="H745" s="2" t="s">
        <v>822</v>
      </c>
      <c r="J745" s="31">
        <v>37.244098700000002</v>
      </c>
      <c r="K745" s="31">
        <v>-8.9517403000000009</v>
      </c>
      <c r="L745" s="31"/>
      <c r="M745" s="31" t="s">
        <v>854</v>
      </c>
      <c r="N745" s="6" t="s">
        <v>856</v>
      </c>
    </row>
    <row r="746" spans="1:14" ht="15" customHeight="1" x14ac:dyDescent="0.2">
      <c r="A746" s="31">
        <v>1.594607846047301</v>
      </c>
      <c r="B746" s="31"/>
      <c r="C746" s="2" t="s">
        <v>855</v>
      </c>
      <c r="D746" s="31">
        <f xml:space="preserve"> A746 * 0.196</f>
        <v>0.31254313782527099</v>
      </c>
      <c r="F746" s="2" t="s">
        <v>822</v>
      </c>
      <c r="G746" s="23" t="s">
        <v>902</v>
      </c>
      <c r="H746" s="2" t="s">
        <v>822</v>
      </c>
      <c r="J746" s="31">
        <v>25.220600099999999</v>
      </c>
      <c r="K746" s="31">
        <v>54.101799</v>
      </c>
      <c r="L746" s="31"/>
      <c r="M746" s="31" t="s">
        <v>854</v>
      </c>
      <c r="N746" s="6" t="s">
        <v>856</v>
      </c>
    </row>
    <row r="747" spans="1:14" ht="15" customHeight="1" x14ac:dyDescent="0.2">
      <c r="A747" s="31">
        <v>1.5943115607881599</v>
      </c>
      <c r="B747" s="31"/>
      <c r="C747" s="2" t="s">
        <v>855</v>
      </c>
      <c r="D747" s="31">
        <f xml:space="preserve"> A747 * 0.196</f>
        <v>0.31248506591447939</v>
      </c>
      <c r="F747" s="2" t="s">
        <v>822</v>
      </c>
      <c r="G747" s="23" t="s">
        <v>902</v>
      </c>
      <c r="H747" s="2" t="s">
        <v>822</v>
      </c>
      <c r="J747" s="31">
        <v>26.414899800000001</v>
      </c>
      <c r="K747" s="31">
        <v>52.064701100000001</v>
      </c>
      <c r="L747" s="31"/>
      <c r="M747" s="31" t="s">
        <v>854</v>
      </c>
      <c r="N747" s="6" t="s">
        <v>856</v>
      </c>
    </row>
    <row r="748" spans="1:14" ht="15" customHeight="1" x14ac:dyDescent="0.2">
      <c r="A748" s="22">
        <v>0.312318526957027</v>
      </c>
      <c r="B748" s="22"/>
      <c r="C748" s="2" t="s">
        <v>891</v>
      </c>
      <c r="D748" s="2">
        <f>A748</f>
        <v>0.312318526957027</v>
      </c>
      <c r="F748" s="2">
        <v>2023</v>
      </c>
      <c r="G748" s="23" t="s">
        <v>902</v>
      </c>
      <c r="H748" s="2" t="s">
        <v>766</v>
      </c>
      <c r="I748" s="23" t="s">
        <v>188</v>
      </c>
      <c r="J748" s="23">
        <v>58.250126999999999</v>
      </c>
      <c r="K748" s="23">
        <v>11.445410000000001</v>
      </c>
      <c r="L748" s="23" t="s">
        <v>819</v>
      </c>
      <c r="M748" s="2" t="s">
        <v>825</v>
      </c>
      <c r="N748" s="6" t="s">
        <v>828</v>
      </c>
    </row>
    <row r="749" spans="1:14" ht="15" customHeight="1" x14ac:dyDescent="0.2">
      <c r="A749" s="31">
        <v>1.592895066056663</v>
      </c>
      <c r="B749" s="31"/>
      <c r="C749" s="2" t="s">
        <v>855</v>
      </c>
      <c r="D749" s="31">
        <f xml:space="preserve"> A749 * 0.196</f>
        <v>0.31220743294710596</v>
      </c>
      <c r="F749" s="2" t="s">
        <v>822</v>
      </c>
      <c r="G749" s="23" t="s">
        <v>902</v>
      </c>
      <c r="H749" s="2" t="s">
        <v>822</v>
      </c>
      <c r="J749" s="31">
        <v>37.407299000000002</v>
      </c>
      <c r="K749" s="31">
        <v>-41.878601099999997</v>
      </c>
      <c r="L749" s="31"/>
      <c r="M749" s="31" t="s">
        <v>854</v>
      </c>
      <c r="N749" s="6" t="s">
        <v>856</v>
      </c>
    </row>
    <row r="750" spans="1:14" ht="15" customHeight="1" x14ac:dyDescent="0.2">
      <c r="A750" s="31">
        <v>1.5903210274472359</v>
      </c>
      <c r="B750" s="31"/>
      <c r="C750" s="2" t="s">
        <v>855</v>
      </c>
      <c r="D750" s="31">
        <f xml:space="preserve"> A750 * 0.196</f>
        <v>0.31170292137965827</v>
      </c>
      <c r="F750" s="2" t="s">
        <v>822</v>
      </c>
      <c r="G750" s="23" t="s">
        <v>902</v>
      </c>
      <c r="H750" s="2" t="s">
        <v>822</v>
      </c>
      <c r="J750" s="31">
        <v>41.110599499999999</v>
      </c>
      <c r="K750" s="31">
        <v>-8.9431495999999999</v>
      </c>
      <c r="L750" s="31"/>
      <c r="M750" s="31" t="s">
        <v>854</v>
      </c>
      <c r="N750" s="6" t="s">
        <v>856</v>
      </c>
    </row>
    <row r="751" spans="1:14" ht="15" customHeight="1" x14ac:dyDescent="0.2">
      <c r="A751" s="22">
        <v>0.31126122945994272</v>
      </c>
      <c r="B751" s="22"/>
      <c r="C751" s="2" t="s">
        <v>891</v>
      </c>
      <c r="D751" s="2">
        <f>A751</f>
        <v>0.31126122945994272</v>
      </c>
      <c r="F751" s="2">
        <v>2023</v>
      </c>
      <c r="G751" s="23" t="s">
        <v>902</v>
      </c>
      <c r="H751" s="2" t="s">
        <v>768</v>
      </c>
      <c r="I751" s="23" t="s">
        <v>188</v>
      </c>
      <c r="J751" s="23">
        <v>58.250117000000003</v>
      </c>
      <c r="K751" s="23">
        <v>11.445423999999999</v>
      </c>
      <c r="L751" s="23" t="s">
        <v>819</v>
      </c>
      <c r="M751" s="2" t="s">
        <v>825</v>
      </c>
      <c r="N751" s="6" t="s">
        <v>828</v>
      </c>
    </row>
    <row r="752" spans="1:14" ht="15" customHeight="1" x14ac:dyDescent="0.2">
      <c r="A752" s="31">
        <v>1.5872347689653259</v>
      </c>
      <c r="B752" s="31"/>
      <c r="C752" s="2" t="s">
        <v>855</v>
      </c>
      <c r="D752" s="31">
        <f xml:space="preserve"> A752 * 0.196</f>
        <v>0.31109801471720389</v>
      </c>
      <c r="F752" s="2" t="s">
        <v>822</v>
      </c>
      <c r="G752" s="23" t="s">
        <v>902</v>
      </c>
      <c r="H752" s="2" t="s">
        <v>822</v>
      </c>
      <c r="J752" s="31">
        <v>26.8309994</v>
      </c>
      <c r="K752" s="31">
        <v>53.395900699999999</v>
      </c>
      <c r="L752" s="31"/>
      <c r="M752" s="31" t="s">
        <v>854</v>
      </c>
      <c r="N752" s="6" t="s">
        <v>856</v>
      </c>
    </row>
    <row r="753" spans="1:14" ht="15" customHeight="1" x14ac:dyDescent="0.2">
      <c r="A753" s="31">
        <v>1.58692802266642</v>
      </c>
      <c r="B753" s="31"/>
      <c r="C753" s="2" t="s">
        <v>855</v>
      </c>
      <c r="D753" s="31">
        <f xml:space="preserve"> A753 * 0.196</f>
        <v>0.31103789244261831</v>
      </c>
      <c r="F753" s="2" t="s">
        <v>822</v>
      </c>
      <c r="G753" s="23" t="s">
        <v>902</v>
      </c>
      <c r="H753" s="2" t="s">
        <v>822</v>
      </c>
      <c r="J753" s="31">
        <v>29.419900899999998</v>
      </c>
      <c r="K753" s="31">
        <v>48.120300299999997</v>
      </c>
      <c r="L753" s="31"/>
      <c r="M753" s="31" t="s">
        <v>854</v>
      </c>
      <c r="N753" s="6" t="s">
        <v>856</v>
      </c>
    </row>
    <row r="754" spans="1:14" ht="15" customHeight="1" x14ac:dyDescent="0.2">
      <c r="A754" s="22">
        <v>0.31058071648433683</v>
      </c>
      <c r="B754" s="22"/>
      <c r="C754" s="2" t="s">
        <v>891</v>
      </c>
      <c r="D754" s="2">
        <f>A754</f>
        <v>0.31058071648433683</v>
      </c>
      <c r="F754" s="2">
        <v>2023</v>
      </c>
      <c r="G754" s="23" t="s">
        <v>902</v>
      </c>
      <c r="H754" s="2" t="s">
        <v>766</v>
      </c>
      <c r="I754" s="23" t="s">
        <v>188</v>
      </c>
      <c r="J754" s="23">
        <v>58.250118000000001</v>
      </c>
      <c r="K754" s="23">
        <v>11.445398000000001</v>
      </c>
      <c r="L754" s="23" t="s">
        <v>819</v>
      </c>
      <c r="M754" s="2" t="s">
        <v>825</v>
      </c>
      <c r="N754" s="6" t="s">
        <v>828</v>
      </c>
    </row>
    <row r="755" spans="1:14" ht="15" customHeight="1" x14ac:dyDescent="0.2">
      <c r="A755" s="31">
        <v>1.583592148736306</v>
      </c>
      <c r="B755" s="31"/>
      <c r="C755" s="2" t="s">
        <v>855</v>
      </c>
      <c r="D755" s="31">
        <f xml:space="preserve"> A755 * 0.196</f>
        <v>0.31038406115231598</v>
      </c>
      <c r="F755" s="2" t="s">
        <v>822</v>
      </c>
      <c r="G755" s="23" t="s">
        <v>902</v>
      </c>
      <c r="H755" s="2" t="s">
        <v>822</v>
      </c>
      <c r="J755" s="31">
        <v>27.0522995</v>
      </c>
      <c r="K755" s="31">
        <v>34.630699200000002</v>
      </c>
      <c r="L755" s="31"/>
      <c r="M755" s="31" t="s">
        <v>854</v>
      </c>
      <c r="N755" s="6" t="s">
        <v>856</v>
      </c>
    </row>
    <row r="756" spans="1:14" ht="15" customHeight="1" x14ac:dyDescent="0.2">
      <c r="A756" s="31">
        <v>1.5834222800474129</v>
      </c>
      <c r="B756" s="31"/>
      <c r="C756" s="2" t="s">
        <v>855</v>
      </c>
      <c r="D756" s="31">
        <f xml:space="preserve"> A756 * 0.196</f>
        <v>0.31035076688929292</v>
      </c>
      <c r="F756" s="2" t="s">
        <v>822</v>
      </c>
      <c r="G756" s="23" t="s">
        <v>902</v>
      </c>
      <c r="H756" s="2" t="s">
        <v>822</v>
      </c>
      <c r="J756" s="31">
        <v>25.013900799999998</v>
      </c>
      <c r="K756" s="31">
        <v>64.609100299999994</v>
      </c>
      <c r="L756" s="31"/>
      <c r="M756" s="31" t="s">
        <v>854</v>
      </c>
      <c r="N756" s="6" t="s">
        <v>856</v>
      </c>
    </row>
    <row r="757" spans="1:14" ht="15" customHeight="1" x14ac:dyDescent="0.2">
      <c r="A757" s="31">
        <v>1.581725299773987</v>
      </c>
      <c r="B757" s="31"/>
      <c r="C757" s="2" t="s">
        <v>855</v>
      </c>
      <c r="D757" s="31">
        <f xml:space="preserve"> A757 * 0.196</f>
        <v>0.31001815875570149</v>
      </c>
      <c r="F757" s="2" t="s">
        <v>822</v>
      </c>
      <c r="G757" s="23" t="s">
        <v>902</v>
      </c>
      <c r="H757" s="2" t="s">
        <v>822</v>
      </c>
      <c r="J757" s="31">
        <v>27.905799900000002</v>
      </c>
      <c r="K757" s="31">
        <v>-17.2201004</v>
      </c>
      <c r="L757" s="31"/>
      <c r="M757" s="31" t="s">
        <v>854</v>
      </c>
      <c r="N757" s="6" t="s">
        <v>856</v>
      </c>
    </row>
    <row r="758" spans="1:14" ht="15" customHeight="1" x14ac:dyDescent="0.2">
      <c r="A758" s="22">
        <v>0.31001594337641331</v>
      </c>
      <c r="B758" s="22"/>
      <c r="C758" s="2" t="s">
        <v>891</v>
      </c>
      <c r="D758" s="2">
        <f>A758</f>
        <v>0.31001594337641331</v>
      </c>
      <c r="F758" s="2">
        <v>2023</v>
      </c>
      <c r="G758" s="23" t="s">
        <v>902</v>
      </c>
      <c r="H758" s="2" t="s">
        <v>768</v>
      </c>
      <c r="I758" s="23" t="s">
        <v>188</v>
      </c>
      <c r="J758" s="23">
        <v>58.250121</v>
      </c>
      <c r="K758" s="23">
        <v>11.445425</v>
      </c>
      <c r="L758" s="23" t="s">
        <v>819</v>
      </c>
      <c r="M758" s="2" t="s">
        <v>825</v>
      </c>
      <c r="N758" s="6" t="s">
        <v>828</v>
      </c>
    </row>
    <row r="759" spans="1:14" ht="15" customHeight="1" x14ac:dyDescent="0.2">
      <c r="A759" s="31">
        <v>1.581473128706504</v>
      </c>
      <c r="B759" s="31"/>
      <c r="C759" s="2" t="s">
        <v>855</v>
      </c>
      <c r="D759" s="31">
        <f xml:space="preserve"> A759 * 0.196</f>
        <v>0.30996873322647478</v>
      </c>
      <c r="F759" s="2" t="s">
        <v>822</v>
      </c>
      <c r="G759" s="23" t="s">
        <v>902</v>
      </c>
      <c r="H759" s="2" t="s">
        <v>822</v>
      </c>
      <c r="J759" s="31">
        <v>25.3307991</v>
      </c>
      <c r="K759" s="31">
        <v>59.3987999</v>
      </c>
      <c r="L759" s="31"/>
      <c r="M759" s="31" t="s">
        <v>854</v>
      </c>
      <c r="N759" s="6" t="s">
        <v>856</v>
      </c>
    </row>
    <row r="760" spans="1:14" ht="15" customHeight="1" x14ac:dyDescent="0.2">
      <c r="A760" s="31">
        <v>1.581219093778474</v>
      </c>
      <c r="B760" s="31"/>
      <c r="C760" s="2" t="s">
        <v>855</v>
      </c>
      <c r="D760" s="31">
        <f xml:space="preserve"> A760 * 0.196</f>
        <v>0.30991894238058093</v>
      </c>
      <c r="F760" s="2" t="s">
        <v>822</v>
      </c>
      <c r="G760" s="23" t="s">
        <v>902</v>
      </c>
      <c r="H760" s="2" t="s">
        <v>822</v>
      </c>
      <c r="J760" s="31">
        <v>25.5235004</v>
      </c>
      <c r="K760" s="31">
        <v>-16.452499400000001</v>
      </c>
      <c r="L760" s="31"/>
      <c r="M760" s="31" t="s">
        <v>854</v>
      </c>
      <c r="N760" s="6" t="s">
        <v>856</v>
      </c>
    </row>
    <row r="761" spans="1:14" ht="15" customHeight="1" x14ac:dyDescent="0.2">
      <c r="A761" s="22">
        <v>0.30965192440492778</v>
      </c>
      <c r="B761" s="22"/>
      <c r="C761" s="2" t="s">
        <v>891</v>
      </c>
      <c r="D761" s="2">
        <f>A761</f>
        <v>0.30965192440492778</v>
      </c>
      <c r="F761" s="2">
        <v>2023</v>
      </c>
      <c r="G761" s="23" t="s">
        <v>902</v>
      </c>
      <c r="H761" s="2" t="s">
        <v>768</v>
      </c>
      <c r="I761" s="23" t="s">
        <v>188</v>
      </c>
      <c r="J761" s="23">
        <v>58.250117000000003</v>
      </c>
      <c r="K761" s="23">
        <v>11.445430999999999</v>
      </c>
      <c r="L761" s="23" t="s">
        <v>819</v>
      </c>
      <c r="M761" s="2" t="s">
        <v>825</v>
      </c>
      <c r="N761" s="6" t="s">
        <v>828</v>
      </c>
    </row>
    <row r="762" spans="1:14" ht="15" customHeight="1" x14ac:dyDescent="0.2">
      <c r="A762" s="31">
        <v>1.577473505682194</v>
      </c>
      <c r="B762" s="31"/>
      <c r="C762" s="2" t="s">
        <v>855</v>
      </c>
      <c r="D762" s="31">
        <f t="shared" ref="D762:D771" si="19" xml:space="preserve"> A762 * 0.196</f>
        <v>0.30918480711371005</v>
      </c>
      <c r="F762" s="2" t="s">
        <v>822</v>
      </c>
      <c r="G762" s="23" t="s">
        <v>902</v>
      </c>
      <c r="H762" s="2" t="s">
        <v>822</v>
      </c>
      <c r="J762" s="31">
        <v>38.0807991</v>
      </c>
      <c r="K762" s="31">
        <v>-9.5103302000000003</v>
      </c>
      <c r="L762" s="31"/>
      <c r="M762" s="31" t="s">
        <v>854</v>
      </c>
      <c r="N762" s="6" t="s">
        <v>856</v>
      </c>
    </row>
    <row r="763" spans="1:14" ht="15" customHeight="1" x14ac:dyDescent="0.2">
      <c r="A763" s="31">
        <v>1.572921033535049</v>
      </c>
      <c r="B763" s="31"/>
      <c r="C763" s="2" t="s">
        <v>855</v>
      </c>
      <c r="D763" s="31">
        <f t="shared" si="19"/>
        <v>0.3082925225728696</v>
      </c>
      <c r="F763" s="2" t="s">
        <v>822</v>
      </c>
      <c r="G763" s="23" t="s">
        <v>902</v>
      </c>
      <c r="H763" s="2" t="s">
        <v>822</v>
      </c>
      <c r="J763" s="31">
        <v>27.920799299999999</v>
      </c>
      <c r="K763" s="31">
        <v>-13.0661001</v>
      </c>
      <c r="L763" s="31"/>
      <c r="M763" s="31" t="s">
        <v>854</v>
      </c>
      <c r="N763" s="6" t="s">
        <v>856</v>
      </c>
    </row>
    <row r="764" spans="1:14" ht="15" customHeight="1" x14ac:dyDescent="0.2">
      <c r="A764" s="31">
        <v>1.5695682006960969</v>
      </c>
      <c r="B764" s="31"/>
      <c r="C764" s="2" t="s">
        <v>855</v>
      </c>
      <c r="D764" s="31">
        <f t="shared" si="19"/>
        <v>0.30763536733643498</v>
      </c>
      <c r="F764" s="2" t="s">
        <v>822</v>
      </c>
      <c r="G764" s="23" t="s">
        <v>902</v>
      </c>
      <c r="H764" s="2" t="s">
        <v>822</v>
      </c>
      <c r="J764" s="31">
        <v>28.761499400000002</v>
      </c>
      <c r="K764" s="31">
        <v>32.963699300000002</v>
      </c>
      <c r="L764" s="31"/>
      <c r="M764" s="31" t="s">
        <v>854</v>
      </c>
      <c r="N764" s="6" t="s">
        <v>856</v>
      </c>
    </row>
    <row r="765" spans="1:14" ht="15" customHeight="1" x14ac:dyDescent="0.2">
      <c r="A765" s="31">
        <v>1.5660029950186789</v>
      </c>
      <c r="B765" s="31"/>
      <c r="C765" s="2" t="s">
        <v>855</v>
      </c>
      <c r="D765" s="31">
        <f t="shared" si="19"/>
        <v>0.30693658702366106</v>
      </c>
      <c r="F765" s="2" t="s">
        <v>822</v>
      </c>
      <c r="G765" s="23" t="s">
        <v>902</v>
      </c>
      <c r="H765" s="2" t="s">
        <v>822</v>
      </c>
      <c r="J765" s="31">
        <v>29.811300299999999</v>
      </c>
      <c r="K765" s="31">
        <v>48.6537018</v>
      </c>
      <c r="L765" s="31"/>
      <c r="M765" s="31" t="s">
        <v>854</v>
      </c>
      <c r="N765" s="6" t="s">
        <v>856</v>
      </c>
    </row>
    <row r="766" spans="1:14" ht="15" customHeight="1" x14ac:dyDescent="0.2">
      <c r="A766" s="31">
        <v>1.5649461338889381</v>
      </c>
      <c r="B766" s="31"/>
      <c r="C766" s="2" t="s">
        <v>855</v>
      </c>
      <c r="D766" s="31">
        <f t="shared" si="19"/>
        <v>0.30672944224223186</v>
      </c>
      <c r="F766" s="2" t="s">
        <v>822</v>
      </c>
      <c r="G766" s="23" t="s">
        <v>902</v>
      </c>
      <c r="H766" s="2" t="s">
        <v>822</v>
      </c>
      <c r="J766" s="31">
        <v>29.8085995</v>
      </c>
      <c r="K766" s="31">
        <v>49.513801600000001</v>
      </c>
      <c r="L766" s="31"/>
      <c r="M766" s="31" t="s">
        <v>854</v>
      </c>
      <c r="N766" s="6" t="s">
        <v>856</v>
      </c>
    </row>
    <row r="767" spans="1:14" ht="15" customHeight="1" x14ac:dyDescent="0.2">
      <c r="A767" s="31">
        <v>1.560877152477262</v>
      </c>
      <c r="B767" s="31"/>
      <c r="C767" s="2" t="s">
        <v>855</v>
      </c>
      <c r="D767" s="31">
        <f t="shared" si="19"/>
        <v>0.30593192188554336</v>
      </c>
      <c r="F767" s="2" t="s">
        <v>822</v>
      </c>
      <c r="G767" s="23" t="s">
        <v>902</v>
      </c>
      <c r="H767" s="2" t="s">
        <v>822</v>
      </c>
      <c r="J767" s="31">
        <v>58.005401599999999</v>
      </c>
      <c r="K767" s="31">
        <v>22.653200099999999</v>
      </c>
      <c r="L767" s="31"/>
      <c r="M767" s="31" t="s">
        <v>854</v>
      </c>
      <c r="N767" s="6" t="s">
        <v>856</v>
      </c>
    </row>
    <row r="768" spans="1:14" ht="15" customHeight="1" x14ac:dyDescent="0.2">
      <c r="A768" s="31">
        <v>1.5593665897864011</v>
      </c>
      <c r="B768" s="31"/>
      <c r="C768" s="2" t="s">
        <v>855</v>
      </c>
      <c r="D768" s="31">
        <f t="shared" si="19"/>
        <v>0.30563585159813461</v>
      </c>
      <c r="F768" s="2" t="s">
        <v>822</v>
      </c>
      <c r="G768" s="23" t="s">
        <v>902</v>
      </c>
      <c r="H768" s="2" t="s">
        <v>822</v>
      </c>
      <c r="J768" s="31">
        <v>26.615100900000002</v>
      </c>
      <c r="K768" s="31">
        <v>53.856399500000002</v>
      </c>
      <c r="L768" s="31"/>
      <c r="M768" s="31" t="s">
        <v>854</v>
      </c>
      <c r="N768" s="6" t="s">
        <v>856</v>
      </c>
    </row>
    <row r="769" spans="1:14" ht="15" customHeight="1" x14ac:dyDescent="0.2">
      <c r="A769" s="31">
        <v>1.556870416410171</v>
      </c>
      <c r="B769" s="31"/>
      <c r="C769" s="2" t="s">
        <v>855</v>
      </c>
      <c r="D769" s="31">
        <f t="shared" si="19"/>
        <v>0.30514660161639351</v>
      </c>
      <c r="F769" s="2" t="s">
        <v>822</v>
      </c>
      <c r="G769" s="23" t="s">
        <v>902</v>
      </c>
      <c r="H769" s="2" t="s">
        <v>822</v>
      </c>
      <c r="J769" s="31">
        <v>28.357700300000001</v>
      </c>
      <c r="K769" s="31">
        <v>49.0884018</v>
      </c>
      <c r="L769" s="31"/>
      <c r="M769" s="31" t="s">
        <v>854</v>
      </c>
      <c r="N769" s="6" t="s">
        <v>856</v>
      </c>
    </row>
    <row r="770" spans="1:14" ht="15" customHeight="1" x14ac:dyDescent="0.2">
      <c r="A770" s="31">
        <v>1.556137055708148</v>
      </c>
      <c r="B770" s="31"/>
      <c r="C770" s="2" t="s">
        <v>855</v>
      </c>
      <c r="D770" s="31">
        <f t="shared" si="19"/>
        <v>0.30500286291879702</v>
      </c>
      <c r="F770" s="2" t="s">
        <v>822</v>
      </c>
      <c r="G770" s="23" t="s">
        <v>902</v>
      </c>
      <c r="H770" s="2" t="s">
        <v>822</v>
      </c>
      <c r="J770" s="31">
        <v>59.142898600000002</v>
      </c>
      <c r="K770" s="31">
        <v>22.035499600000001</v>
      </c>
      <c r="L770" s="31"/>
      <c r="M770" s="31" t="s">
        <v>854</v>
      </c>
      <c r="N770" s="6" t="s">
        <v>856</v>
      </c>
    </row>
    <row r="771" spans="1:14" ht="15" customHeight="1" x14ac:dyDescent="0.2">
      <c r="A771" s="31">
        <v>1.5521374086279209</v>
      </c>
      <c r="B771" s="31"/>
      <c r="C771" s="2" t="s">
        <v>855</v>
      </c>
      <c r="D771" s="31">
        <f t="shared" si="19"/>
        <v>0.30421893209107254</v>
      </c>
      <c r="F771" s="2" t="s">
        <v>822</v>
      </c>
      <c r="G771" s="23" t="s">
        <v>902</v>
      </c>
      <c r="H771" s="2" t="s">
        <v>822</v>
      </c>
      <c r="J771" s="31">
        <v>59.625198400000002</v>
      </c>
      <c r="K771" s="31">
        <v>25.6310997</v>
      </c>
      <c r="L771" s="31"/>
      <c r="M771" s="31" t="s">
        <v>854</v>
      </c>
      <c r="N771" s="6" t="s">
        <v>856</v>
      </c>
    </row>
    <row r="772" spans="1:14" ht="15" customHeight="1" x14ac:dyDescent="0.2">
      <c r="A772" s="22">
        <v>0.30412394904977297</v>
      </c>
      <c r="B772" s="22"/>
      <c r="C772" s="2" t="s">
        <v>891</v>
      </c>
      <c r="D772" s="2">
        <f>A772</f>
        <v>0.30412394904977297</v>
      </c>
      <c r="F772" s="2">
        <v>2023</v>
      </c>
      <c r="G772" s="23" t="s">
        <v>902</v>
      </c>
      <c r="H772" s="2" t="s">
        <v>767</v>
      </c>
      <c r="I772" s="23" t="s">
        <v>188</v>
      </c>
      <c r="J772" s="23">
        <v>58.250619999999998</v>
      </c>
      <c r="K772" s="23">
        <v>11.445157</v>
      </c>
      <c r="L772" s="23" t="s">
        <v>819</v>
      </c>
      <c r="M772" s="2" t="s">
        <v>825</v>
      </c>
      <c r="N772" s="6" t="s">
        <v>828</v>
      </c>
    </row>
    <row r="773" spans="1:14" ht="15" customHeight="1" x14ac:dyDescent="0.2">
      <c r="A773" s="31">
        <v>1.5507952657542401</v>
      </c>
      <c r="B773" s="31"/>
      <c r="C773" s="2" t="s">
        <v>855</v>
      </c>
      <c r="D773" s="31">
        <f t="shared" ref="D773:D779" si="20" xml:space="preserve"> A773 * 0.196</f>
        <v>0.30395587208783109</v>
      </c>
      <c r="F773" s="2" t="s">
        <v>822</v>
      </c>
      <c r="G773" s="23" t="s">
        <v>902</v>
      </c>
      <c r="H773" s="2" t="s">
        <v>822</v>
      </c>
      <c r="J773" s="31">
        <v>57.3042984</v>
      </c>
      <c r="K773" s="31">
        <v>17.771999399999999</v>
      </c>
      <c r="L773" s="31"/>
      <c r="M773" s="31" t="s">
        <v>854</v>
      </c>
      <c r="N773" s="6" t="s">
        <v>856</v>
      </c>
    </row>
    <row r="774" spans="1:14" ht="15" customHeight="1" x14ac:dyDescent="0.2">
      <c r="A774" s="31">
        <v>1.5460768335760171</v>
      </c>
      <c r="B774" s="31"/>
      <c r="C774" s="2" t="s">
        <v>855</v>
      </c>
      <c r="D774" s="31">
        <f t="shared" si="20"/>
        <v>0.30303105938089936</v>
      </c>
      <c r="F774" s="2" t="s">
        <v>822</v>
      </c>
      <c r="G774" s="23" t="s">
        <v>902</v>
      </c>
      <c r="H774" s="2" t="s">
        <v>822</v>
      </c>
      <c r="J774" s="31">
        <v>39.6935997</v>
      </c>
      <c r="K774" s="31">
        <v>-15.8431997</v>
      </c>
      <c r="L774" s="31"/>
      <c r="M774" s="31" t="s">
        <v>854</v>
      </c>
      <c r="N774" s="6" t="s">
        <v>856</v>
      </c>
    </row>
    <row r="775" spans="1:14" ht="15" customHeight="1" x14ac:dyDescent="0.2">
      <c r="A775" s="31">
        <v>1.54297460088173</v>
      </c>
      <c r="B775" s="31"/>
      <c r="C775" s="2" t="s">
        <v>855</v>
      </c>
      <c r="D775" s="31">
        <f t="shared" si="20"/>
        <v>0.3024230217728191</v>
      </c>
      <c r="F775" s="2" t="s">
        <v>822</v>
      </c>
      <c r="G775" s="23" t="s">
        <v>902</v>
      </c>
      <c r="H775" s="2" t="s">
        <v>822</v>
      </c>
      <c r="J775" s="31">
        <v>25.1338005</v>
      </c>
      <c r="K775" s="31">
        <v>63.276901199999998</v>
      </c>
      <c r="L775" s="31"/>
      <c r="M775" s="31" t="s">
        <v>854</v>
      </c>
      <c r="N775" s="6" t="s">
        <v>856</v>
      </c>
    </row>
    <row r="776" spans="1:14" ht="15" customHeight="1" x14ac:dyDescent="0.2">
      <c r="A776" s="31">
        <v>1.5427432639138341</v>
      </c>
      <c r="B776" s="31"/>
      <c r="C776" s="2" t="s">
        <v>855</v>
      </c>
      <c r="D776" s="31">
        <f t="shared" si="20"/>
        <v>0.30237767972711149</v>
      </c>
      <c r="F776" s="2" t="s">
        <v>822</v>
      </c>
      <c r="G776" s="23" t="s">
        <v>902</v>
      </c>
      <c r="H776" s="2" t="s">
        <v>822</v>
      </c>
      <c r="J776" s="31">
        <v>30.9736996</v>
      </c>
      <c r="K776" s="31">
        <v>29.464500399999999</v>
      </c>
      <c r="L776" s="31"/>
      <c r="M776" s="31" t="s">
        <v>854</v>
      </c>
      <c r="N776" s="6" t="s">
        <v>856</v>
      </c>
    </row>
    <row r="777" spans="1:14" ht="15" customHeight="1" x14ac:dyDescent="0.2">
      <c r="A777" s="31">
        <v>1.54261754500191</v>
      </c>
      <c r="B777" s="31"/>
      <c r="C777" s="2" t="s">
        <v>855</v>
      </c>
      <c r="D777" s="31">
        <f t="shared" si="20"/>
        <v>0.30235303882037434</v>
      </c>
      <c r="F777" s="2" t="s">
        <v>822</v>
      </c>
      <c r="G777" s="23" t="s">
        <v>902</v>
      </c>
      <c r="H777" s="2" t="s">
        <v>822</v>
      </c>
      <c r="J777" s="31">
        <v>57.781799300000003</v>
      </c>
      <c r="K777" s="31">
        <v>21.338199599999999</v>
      </c>
      <c r="L777" s="31"/>
      <c r="M777" s="31" t="s">
        <v>854</v>
      </c>
      <c r="N777" s="6" t="s">
        <v>856</v>
      </c>
    </row>
    <row r="778" spans="1:14" ht="15" customHeight="1" x14ac:dyDescent="0.2">
      <c r="A778" s="31">
        <v>1.542372247006115</v>
      </c>
      <c r="B778" s="31"/>
      <c r="C778" s="2" t="s">
        <v>855</v>
      </c>
      <c r="D778" s="31">
        <f t="shared" si="20"/>
        <v>0.30230496041319854</v>
      </c>
      <c r="F778" s="2" t="s">
        <v>822</v>
      </c>
      <c r="G778" s="23" t="s">
        <v>902</v>
      </c>
      <c r="H778" s="2" t="s">
        <v>822</v>
      </c>
      <c r="J778" s="31">
        <v>34.640598300000001</v>
      </c>
      <c r="K778" s="31">
        <v>32.782901799999998</v>
      </c>
      <c r="L778" s="31"/>
      <c r="M778" s="31" t="s">
        <v>854</v>
      </c>
      <c r="N778" s="6" t="s">
        <v>856</v>
      </c>
    </row>
    <row r="779" spans="1:14" ht="15" customHeight="1" x14ac:dyDescent="0.2">
      <c r="A779" s="31">
        <v>1.541713919531053</v>
      </c>
      <c r="B779" s="31"/>
      <c r="C779" s="2" t="s">
        <v>855</v>
      </c>
      <c r="D779" s="31">
        <f t="shared" si="20"/>
        <v>0.30217592822808637</v>
      </c>
      <c r="F779" s="2" t="s">
        <v>822</v>
      </c>
      <c r="G779" s="23" t="s">
        <v>902</v>
      </c>
      <c r="H779" s="2" t="s">
        <v>822</v>
      </c>
      <c r="J779" s="31">
        <v>27.317899700000002</v>
      </c>
      <c r="K779" s="31">
        <v>33.989700300000003</v>
      </c>
      <c r="L779" s="31"/>
      <c r="M779" s="31" t="s">
        <v>854</v>
      </c>
      <c r="N779" s="6" t="s">
        <v>856</v>
      </c>
    </row>
    <row r="780" spans="1:14" ht="15" customHeight="1" x14ac:dyDescent="0.2">
      <c r="A780" s="22">
        <v>0.3020482597286811</v>
      </c>
      <c r="B780" s="22"/>
      <c r="C780" s="2" t="s">
        <v>891</v>
      </c>
      <c r="D780" s="2">
        <f>A780</f>
        <v>0.3020482597286811</v>
      </c>
      <c r="F780" s="2">
        <v>2023</v>
      </c>
      <c r="G780" s="23" t="s">
        <v>902</v>
      </c>
      <c r="H780" s="2" t="s">
        <v>768</v>
      </c>
      <c r="I780" s="23" t="s">
        <v>188</v>
      </c>
      <c r="J780" s="23">
        <v>58.250118000000001</v>
      </c>
      <c r="K780" s="23">
        <v>11.445437</v>
      </c>
      <c r="L780" s="23" t="s">
        <v>819</v>
      </c>
      <c r="M780" s="2" t="s">
        <v>825</v>
      </c>
      <c r="N780" s="6" t="s">
        <v>828</v>
      </c>
    </row>
    <row r="781" spans="1:14" ht="15" customHeight="1" x14ac:dyDescent="0.2">
      <c r="A781" s="22">
        <v>0.3019062899362519</v>
      </c>
      <c r="B781" s="22"/>
      <c r="C781" s="2" t="s">
        <v>891</v>
      </c>
      <c r="D781" s="2">
        <f>A781</f>
        <v>0.3019062899362519</v>
      </c>
      <c r="F781" s="2">
        <v>2023</v>
      </c>
      <c r="G781" s="23" t="s">
        <v>902</v>
      </c>
      <c r="H781" s="2" t="s">
        <v>767</v>
      </c>
      <c r="I781" s="23" t="s">
        <v>188</v>
      </c>
      <c r="J781" s="23">
        <v>58.360281000000001</v>
      </c>
      <c r="K781" s="23">
        <v>11.587393</v>
      </c>
      <c r="L781" s="23" t="s">
        <v>819</v>
      </c>
      <c r="M781" s="2" t="s">
        <v>825</v>
      </c>
      <c r="N781" s="6" t="s">
        <v>828</v>
      </c>
    </row>
    <row r="782" spans="1:14" ht="15" customHeight="1" x14ac:dyDescent="0.2">
      <c r="A782" s="31">
        <v>1.539593076071448</v>
      </c>
      <c r="B782" s="31"/>
      <c r="C782" s="2" t="s">
        <v>855</v>
      </c>
      <c r="D782" s="31">
        <f xml:space="preserve"> A782 * 0.196</f>
        <v>0.30176024291000381</v>
      </c>
      <c r="F782" s="2" t="s">
        <v>822</v>
      </c>
      <c r="G782" s="23" t="s">
        <v>902</v>
      </c>
      <c r="H782" s="2" t="s">
        <v>822</v>
      </c>
      <c r="J782" s="31">
        <v>26.442699399999999</v>
      </c>
      <c r="K782" s="31">
        <v>-14.3443003</v>
      </c>
      <c r="L782" s="31"/>
      <c r="M782" s="31" t="s">
        <v>854</v>
      </c>
      <c r="N782" s="6" t="s">
        <v>856</v>
      </c>
    </row>
    <row r="783" spans="1:14" ht="15" customHeight="1" x14ac:dyDescent="0.2">
      <c r="A783" s="31">
        <v>1.5374599008088441</v>
      </c>
      <c r="B783" s="31"/>
      <c r="C783" s="2" t="s">
        <v>855</v>
      </c>
      <c r="D783" s="31">
        <f xml:space="preserve"> A783 * 0.196</f>
        <v>0.30134214055853348</v>
      </c>
      <c r="F783" s="2" t="s">
        <v>822</v>
      </c>
      <c r="G783" s="23" t="s">
        <v>902</v>
      </c>
      <c r="H783" s="2" t="s">
        <v>822</v>
      </c>
      <c r="J783" s="31">
        <v>25.1180992</v>
      </c>
      <c r="K783" s="31">
        <v>62.254699700000003</v>
      </c>
      <c r="L783" s="31"/>
      <c r="M783" s="31" t="s">
        <v>854</v>
      </c>
      <c r="N783" s="6" t="s">
        <v>856</v>
      </c>
    </row>
    <row r="784" spans="1:14" ht="15" customHeight="1" x14ac:dyDescent="0.2">
      <c r="A784" s="31">
        <v>5.5099102546333004E-4</v>
      </c>
      <c r="B784" s="31"/>
      <c r="C784" s="2" t="s">
        <v>892</v>
      </c>
      <c r="D784" s="2">
        <f>A784 * 545.45</f>
        <v>0.30053805483897339</v>
      </c>
      <c r="F784" s="2">
        <v>2020</v>
      </c>
      <c r="G784" s="38" t="s">
        <v>901</v>
      </c>
      <c r="H784" s="2" t="s">
        <v>758</v>
      </c>
      <c r="I784" s="31" t="s">
        <v>260</v>
      </c>
      <c r="J784" s="31">
        <v>54.372</v>
      </c>
      <c r="K784" s="31">
        <v>13.241300000000001</v>
      </c>
      <c r="L784" s="2" t="s">
        <v>28</v>
      </c>
      <c r="M784" s="2" t="s">
        <v>824</v>
      </c>
      <c r="N784" s="17" t="s">
        <v>906</v>
      </c>
    </row>
    <row r="785" spans="1:14" ht="15" customHeight="1" x14ac:dyDescent="0.2">
      <c r="A785" s="40">
        <v>1.533158048576192</v>
      </c>
      <c r="B785" s="31"/>
      <c r="C785" s="2" t="s">
        <v>855</v>
      </c>
      <c r="D785" s="31">
        <f xml:space="preserve"> A785 * 0.196</f>
        <v>0.30049897752093363</v>
      </c>
      <c r="F785" s="2" t="s">
        <v>822</v>
      </c>
      <c r="G785" s="23" t="s">
        <v>902</v>
      </c>
      <c r="H785" s="2" t="s">
        <v>822</v>
      </c>
      <c r="I785" s="41"/>
      <c r="J785" s="40">
        <v>40.0680008</v>
      </c>
      <c r="K785" s="40">
        <v>-21.851999299999999</v>
      </c>
      <c r="L785" s="31"/>
      <c r="M785" s="31" t="s">
        <v>854</v>
      </c>
      <c r="N785" s="6" t="s">
        <v>856</v>
      </c>
    </row>
    <row r="786" spans="1:14" ht="15" customHeight="1" x14ac:dyDescent="0.2">
      <c r="A786" s="31">
        <v>1.5326245616111791</v>
      </c>
      <c r="B786" s="31"/>
      <c r="C786" s="2" t="s">
        <v>855</v>
      </c>
      <c r="D786" s="31">
        <f xml:space="preserve"> A786 * 0.196</f>
        <v>0.30039441407579109</v>
      </c>
      <c r="F786" s="2" t="s">
        <v>822</v>
      </c>
      <c r="G786" s="23" t="s">
        <v>902</v>
      </c>
      <c r="H786" s="2" t="s">
        <v>822</v>
      </c>
      <c r="J786" s="31">
        <v>25.220600099999999</v>
      </c>
      <c r="K786" s="31">
        <v>-17.8439999</v>
      </c>
      <c r="L786" s="31"/>
      <c r="M786" s="31" t="s">
        <v>854</v>
      </c>
      <c r="N786" s="6" t="s">
        <v>856</v>
      </c>
    </row>
    <row r="787" spans="1:14" ht="15" customHeight="1" x14ac:dyDescent="0.2">
      <c r="A787" s="31">
        <v>1.5324035597767789</v>
      </c>
      <c r="B787" s="31"/>
      <c r="C787" s="2" t="s">
        <v>855</v>
      </c>
      <c r="D787" s="31">
        <f xml:space="preserve"> A787 * 0.196</f>
        <v>0.30035109771624868</v>
      </c>
      <c r="F787" s="2" t="s">
        <v>822</v>
      </c>
      <c r="G787" s="23" t="s">
        <v>902</v>
      </c>
      <c r="H787" s="2" t="s">
        <v>822</v>
      </c>
      <c r="J787" s="31">
        <v>26.9726009</v>
      </c>
      <c r="K787" s="31">
        <v>-15.8400002</v>
      </c>
      <c r="L787" s="31"/>
      <c r="M787" s="31" t="s">
        <v>854</v>
      </c>
      <c r="N787" s="6" t="s">
        <v>856</v>
      </c>
    </row>
    <row r="788" spans="1:14" ht="15" customHeight="1" x14ac:dyDescent="0.2">
      <c r="A788" s="31">
        <v>1.531832288229692</v>
      </c>
      <c r="B788" s="31"/>
      <c r="C788" s="2" t="s">
        <v>855</v>
      </c>
      <c r="D788" s="31">
        <f xml:space="preserve"> A788 * 0.196</f>
        <v>0.30023912849301965</v>
      </c>
      <c r="F788" s="2" t="s">
        <v>822</v>
      </c>
      <c r="G788" s="23" t="s">
        <v>902</v>
      </c>
      <c r="H788" s="2" t="s">
        <v>822</v>
      </c>
      <c r="J788" s="31">
        <v>56.9590988</v>
      </c>
      <c r="K788" s="31">
        <v>20.893100700000002</v>
      </c>
      <c r="L788" s="31"/>
      <c r="M788" s="31" t="s">
        <v>854</v>
      </c>
      <c r="N788" s="6" t="s">
        <v>856</v>
      </c>
    </row>
    <row r="789" spans="1:14" ht="15" customHeight="1" x14ac:dyDescent="0.2">
      <c r="A789" s="31">
        <v>1.531361273925953</v>
      </c>
      <c r="B789" s="31"/>
      <c r="C789" s="2" t="s">
        <v>855</v>
      </c>
      <c r="D789" s="31">
        <f xml:space="preserve"> A789 * 0.196</f>
        <v>0.30014680968948682</v>
      </c>
      <c r="F789" s="2" t="s">
        <v>822</v>
      </c>
      <c r="G789" s="23" t="s">
        <v>902</v>
      </c>
      <c r="H789" s="2" t="s">
        <v>822</v>
      </c>
      <c r="J789" s="31">
        <v>59.481300400000002</v>
      </c>
      <c r="K789" s="31">
        <v>24.688199999999998</v>
      </c>
      <c r="L789" s="31"/>
      <c r="M789" s="31" t="s">
        <v>854</v>
      </c>
      <c r="N789" s="6" t="s">
        <v>856</v>
      </c>
    </row>
    <row r="790" spans="1:14" ht="15" customHeight="1" x14ac:dyDescent="0.2">
      <c r="A790" s="20">
        <v>1.3199999999999998E-2</v>
      </c>
      <c r="B790" s="20"/>
      <c r="C790" s="2" t="s">
        <v>98</v>
      </c>
      <c r="D790" s="2">
        <f>A790 * 22.727</f>
        <v>0.29999639999999994</v>
      </c>
      <c r="F790" s="2" t="s">
        <v>822</v>
      </c>
      <c r="G790" s="2" t="s">
        <v>901</v>
      </c>
      <c r="H790" s="2" t="s">
        <v>822</v>
      </c>
      <c r="I790" s="14" t="s">
        <v>242</v>
      </c>
      <c r="J790" s="16">
        <v>37.270833000000003</v>
      </c>
      <c r="K790" s="16">
        <v>-6.9647220000000001</v>
      </c>
      <c r="L790" s="16"/>
      <c r="M790" s="33" t="s">
        <v>821</v>
      </c>
      <c r="N790" s="17" t="s">
        <v>883</v>
      </c>
    </row>
    <row r="791" spans="1:14" ht="15" customHeight="1" x14ac:dyDescent="0.2">
      <c r="A791" s="31">
        <v>1.5288551296106689</v>
      </c>
      <c r="B791" s="31"/>
      <c r="C791" s="2" t="s">
        <v>855</v>
      </c>
      <c r="D791" s="31">
        <f t="shared" ref="D791:D797" si="21" xml:space="preserve"> A791 * 0.196</f>
        <v>0.29965560540369113</v>
      </c>
      <c r="F791" s="2" t="s">
        <v>822</v>
      </c>
      <c r="G791" s="23" t="s">
        <v>902</v>
      </c>
      <c r="H791" s="2" t="s">
        <v>822</v>
      </c>
      <c r="J791" s="31">
        <v>25.554599799999998</v>
      </c>
      <c r="K791" s="31">
        <v>51.974800100000003</v>
      </c>
      <c r="L791" s="31"/>
      <c r="M791" s="31" t="s">
        <v>854</v>
      </c>
      <c r="N791" s="6" t="s">
        <v>856</v>
      </c>
    </row>
    <row r="792" spans="1:14" ht="15" customHeight="1" x14ac:dyDescent="0.2">
      <c r="A792" s="31">
        <v>1.527804725651188</v>
      </c>
      <c r="B792" s="31"/>
      <c r="C792" s="2" t="s">
        <v>855</v>
      </c>
      <c r="D792" s="31">
        <f t="shared" si="21"/>
        <v>0.29944972622763283</v>
      </c>
      <c r="F792" s="2" t="s">
        <v>822</v>
      </c>
      <c r="G792" s="23" t="s">
        <v>902</v>
      </c>
      <c r="H792" s="2" t="s">
        <v>822</v>
      </c>
      <c r="J792" s="31">
        <v>25.5506992</v>
      </c>
      <c r="K792" s="31">
        <v>51.7383995</v>
      </c>
      <c r="L792" s="31"/>
      <c r="M792" s="31" t="s">
        <v>854</v>
      </c>
      <c r="N792" s="6" t="s">
        <v>856</v>
      </c>
    </row>
    <row r="793" spans="1:14" ht="15" customHeight="1" x14ac:dyDescent="0.2">
      <c r="A793" s="31">
        <v>1.526202551278826</v>
      </c>
      <c r="B793" s="31"/>
      <c r="C793" s="2" t="s">
        <v>855</v>
      </c>
      <c r="D793" s="31">
        <f t="shared" si="21"/>
        <v>0.29913570005064988</v>
      </c>
      <c r="F793" s="2" t="s">
        <v>822</v>
      </c>
      <c r="G793" s="23" t="s">
        <v>902</v>
      </c>
      <c r="H793" s="2" t="s">
        <v>822</v>
      </c>
      <c r="J793" s="31">
        <v>25.554599799999998</v>
      </c>
      <c r="K793" s="31">
        <v>52.308799700000002</v>
      </c>
      <c r="L793" s="31"/>
      <c r="M793" s="31" t="s">
        <v>854</v>
      </c>
      <c r="N793" s="6" t="s">
        <v>856</v>
      </c>
    </row>
    <row r="794" spans="1:14" ht="15" customHeight="1" x14ac:dyDescent="0.2">
      <c r="A794" s="31">
        <v>1.520928026786003</v>
      </c>
      <c r="B794" s="31"/>
      <c r="C794" s="2" t="s">
        <v>855</v>
      </c>
      <c r="D794" s="31">
        <f t="shared" si="21"/>
        <v>0.29810189325005659</v>
      </c>
      <c r="F794" s="2" t="s">
        <v>822</v>
      </c>
      <c r="G794" s="23" t="s">
        <v>902</v>
      </c>
      <c r="H794" s="2" t="s">
        <v>822</v>
      </c>
      <c r="J794" s="31">
        <v>33.037899000000003</v>
      </c>
      <c r="K794" s="31">
        <v>-8.7418899999999997</v>
      </c>
      <c r="L794" s="31"/>
      <c r="M794" s="31" t="s">
        <v>854</v>
      </c>
      <c r="N794" s="6" t="s">
        <v>856</v>
      </c>
    </row>
    <row r="795" spans="1:14" ht="15" customHeight="1" x14ac:dyDescent="0.2">
      <c r="A795" s="31">
        <v>1.519333432902801</v>
      </c>
      <c r="B795" s="31"/>
      <c r="C795" s="2" t="s">
        <v>855</v>
      </c>
      <c r="D795" s="31">
        <f t="shared" si="21"/>
        <v>0.29778935284894903</v>
      </c>
      <c r="F795" s="2" t="s">
        <v>822</v>
      </c>
      <c r="G795" s="23" t="s">
        <v>902</v>
      </c>
      <c r="H795" s="2" t="s">
        <v>822</v>
      </c>
      <c r="J795" s="31">
        <v>40.446998600000001</v>
      </c>
      <c r="K795" s="31">
        <v>-9.7073096999999997</v>
      </c>
      <c r="L795" s="31"/>
      <c r="M795" s="31" t="s">
        <v>854</v>
      </c>
      <c r="N795" s="6" t="s">
        <v>856</v>
      </c>
    </row>
    <row r="796" spans="1:14" ht="15" customHeight="1" x14ac:dyDescent="0.2">
      <c r="A796" s="31">
        <v>1.518688154703707</v>
      </c>
      <c r="B796" s="31"/>
      <c r="C796" s="2" t="s">
        <v>855</v>
      </c>
      <c r="D796" s="31">
        <f t="shared" si="21"/>
        <v>0.29766287832192656</v>
      </c>
      <c r="F796" s="2" t="s">
        <v>822</v>
      </c>
      <c r="G796" s="23" t="s">
        <v>902</v>
      </c>
      <c r="H796" s="2" t="s">
        <v>822</v>
      </c>
      <c r="J796" s="31">
        <v>25.719999300000001</v>
      </c>
      <c r="K796" s="31">
        <v>53.3213005</v>
      </c>
      <c r="L796" s="31"/>
      <c r="M796" s="31" t="s">
        <v>854</v>
      </c>
      <c r="N796" s="6" t="s">
        <v>856</v>
      </c>
    </row>
    <row r="797" spans="1:14" ht="15" customHeight="1" x14ac:dyDescent="0.2">
      <c r="A797" s="31">
        <v>1.510821507239331</v>
      </c>
      <c r="B797" s="31"/>
      <c r="C797" s="2" t="s">
        <v>855</v>
      </c>
      <c r="D797" s="31">
        <f t="shared" si="21"/>
        <v>0.2961210154189089</v>
      </c>
      <c r="F797" s="2" t="s">
        <v>822</v>
      </c>
      <c r="G797" s="23" t="s">
        <v>902</v>
      </c>
      <c r="H797" s="2" t="s">
        <v>822</v>
      </c>
      <c r="J797" s="31">
        <v>26.017299699999999</v>
      </c>
      <c r="K797" s="31">
        <v>55.321998600000001</v>
      </c>
      <c r="L797" s="31"/>
      <c r="M797" s="31" t="s">
        <v>854</v>
      </c>
      <c r="N797" s="6" t="s">
        <v>856</v>
      </c>
    </row>
    <row r="798" spans="1:14" ht="15" customHeight="1" x14ac:dyDescent="0.2">
      <c r="A798" s="22">
        <v>0.29606944370612143</v>
      </c>
      <c r="B798" s="22"/>
      <c r="C798" s="2" t="s">
        <v>891</v>
      </c>
      <c r="D798" s="2">
        <f>A798</f>
        <v>0.29606944370612143</v>
      </c>
      <c r="F798" s="2">
        <v>2023</v>
      </c>
      <c r="G798" s="23" t="s">
        <v>902</v>
      </c>
      <c r="H798" s="2" t="s">
        <v>768</v>
      </c>
      <c r="I798" s="23" t="s">
        <v>188</v>
      </c>
      <c r="J798" s="23">
        <v>58.250115999999998</v>
      </c>
      <c r="K798" s="23">
        <v>11.445425</v>
      </c>
      <c r="L798" s="23" t="s">
        <v>819</v>
      </c>
      <c r="M798" s="2" t="s">
        <v>825</v>
      </c>
      <c r="N798" s="6" t="s">
        <v>828</v>
      </c>
    </row>
    <row r="799" spans="1:14" ht="15" customHeight="1" x14ac:dyDescent="0.2">
      <c r="A799" s="22">
        <v>0.2960192872385366</v>
      </c>
      <c r="B799" s="22"/>
      <c r="C799" s="2" t="s">
        <v>891</v>
      </c>
      <c r="D799" s="2">
        <f>A799</f>
        <v>0.2960192872385366</v>
      </c>
      <c r="F799" s="2">
        <v>2023</v>
      </c>
      <c r="G799" s="23" t="s">
        <v>902</v>
      </c>
      <c r="H799" s="2" t="s">
        <v>766</v>
      </c>
      <c r="I799" s="23" t="s">
        <v>188</v>
      </c>
      <c r="J799" s="23">
        <v>58.250121</v>
      </c>
      <c r="K799" s="23">
        <v>11.445404</v>
      </c>
      <c r="L799" s="23" t="s">
        <v>819</v>
      </c>
      <c r="M799" s="2" t="s">
        <v>825</v>
      </c>
      <c r="N799" s="6" t="s">
        <v>828</v>
      </c>
    </row>
    <row r="800" spans="1:14" ht="15" customHeight="1" x14ac:dyDescent="0.2">
      <c r="A800" s="31">
        <v>1.5096446001500159</v>
      </c>
      <c r="B800" s="31"/>
      <c r="C800" s="2" t="s">
        <v>855</v>
      </c>
      <c r="D800" s="31">
        <f t="shared" ref="D800:D816" si="22" xml:space="preserve"> A800 * 0.196</f>
        <v>0.29589034162940314</v>
      </c>
      <c r="F800" s="2" t="s">
        <v>822</v>
      </c>
      <c r="G800" s="23" t="s">
        <v>902</v>
      </c>
      <c r="H800" s="2" t="s">
        <v>822</v>
      </c>
      <c r="J800" s="31">
        <v>31.554000899999998</v>
      </c>
      <c r="K800" s="31">
        <v>32.247100799999998</v>
      </c>
      <c r="L800" s="31"/>
      <c r="M800" s="31" t="s">
        <v>854</v>
      </c>
      <c r="N800" s="6" t="s">
        <v>856</v>
      </c>
    </row>
    <row r="801" spans="1:14" ht="15" customHeight="1" x14ac:dyDescent="0.2">
      <c r="A801" s="31">
        <v>1.505537676517424</v>
      </c>
      <c r="B801" s="31"/>
      <c r="C801" s="2" t="s">
        <v>855</v>
      </c>
      <c r="D801" s="31">
        <f t="shared" si="22"/>
        <v>0.29508538459741512</v>
      </c>
      <c r="F801" s="2" t="s">
        <v>822</v>
      </c>
      <c r="G801" s="23" t="s">
        <v>902</v>
      </c>
      <c r="H801" s="2" t="s">
        <v>822</v>
      </c>
      <c r="J801" s="31">
        <v>30.6900005</v>
      </c>
      <c r="K801" s="31">
        <v>-10.8197002</v>
      </c>
      <c r="L801" s="31"/>
      <c r="M801" s="31" t="s">
        <v>854</v>
      </c>
      <c r="N801" s="6" t="s">
        <v>856</v>
      </c>
    </row>
    <row r="802" spans="1:14" ht="15" customHeight="1" x14ac:dyDescent="0.2">
      <c r="A802" s="31">
        <v>1.5054064898785799</v>
      </c>
      <c r="B802" s="31"/>
      <c r="C802" s="2" t="s">
        <v>855</v>
      </c>
      <c r="D802" s="31">
        <f t="shared" si="22"/>
        <v>0.2950596720162017</v>
      </c>
      <c r="F802" s="2" t="s">
        <v>822</v>
      </c>
      <c r="G802" s="23" t="s">
        <v>902</v>
      </c>
      <c r="H802" s="2" t="s">
        <v>822</v>
      </c>
      <c r="J802" s="31">
        <v>28.032100700000001</v>
      </c>
      <c r="K802" s="31">
        <v>48.847099299999996</v>
      </c>
      <c r="L802" s="31"/>
      <c r="M802" s="31" t="s">
        <v>854</v>
      </c>
      <c r="N802" s="6" t="s">
        <v>856</v>
      </c>
    </row>
    <row r="803" spans="1:14" ht="15" customHeight="1" x14ac:dyDescent="0.2">
      <c r="A803" s="31">
        <v>1.5036968085803211</v>
      </c>
      <c r="B803" s="31"/>
      <c r="C803" s="2" t="s">
        <v>855</v>
      </c>
      <c r="D803" s="31">
        <f t="shared" si="22"/>
        <v>0.29472457448174294</v>
      </c>
      <c r="F803" s="2" t="s">
        <v>822</v>
      </c>
      <c r="G803" s="23" t="s">
        <v>902</v>
      </c>
      <c r="H803" s="2" t="s">
        <v>822</v>
      </c>
      <c r="J803" s="31">
        <v>57.706401800000002</v>
      </c>
      <c r="K803" s="31">
        <v>16.8705006</v>
      </c>
      <c r="L803" s="31"/>
      <c r="M803" s="31" t="s">
        <v>854</v>
      </c>
      <c r="N803" s="6" t="s">
        <v>856</v>
      </c>
    </row>
    <row r="804" spans="1:14" ht="15" customHeight="1" x14ac:dyDescent="0.2">
      <c r="A804" s="31">
        <v>1.5022545955528961</v>
      </c>
      <c r="B804" s="31"/>
      <c r="C804" s="2" t="s">
        <v>855</v>
      </c>
      <c r="D804" s="31">
        <f t="shared" si="22"/>
        <v>0.29444190072836762</v>
      </c>
      <c r="F804" s="2" t="s">
        <v>822</v>
      </c>
      <c r="G804" s="23" t="s">
        <v>902</v>
      </c>
      <c r="H804" s="2" t="s">
        <v>822</v>
      </c>
      <c r="J804" s="31">
        <v>59.838600200000002</v>
      </c>
      <c r="K804" s="31">
        <v>21.569799400000001</v>
      </c>
      <c r="L804" s="31"/>
      <c r="M804" s="31" t="s">
        <v>854</v>
      </c>
      <c r="N804" s="6" t="s">
        <v>856</v>
      </c>
    </row>
    <row r="805" spans="1:14" ht="15" customHeight="1" x14ac:dyDescent="0.2">
      <c r="A805" s="31">
        <v>1.5015450383768569</v>
      </c>
      <c r="B805" s="31"/>
      <c r="C805" s="2" t="s">
        <v>855</v>
      </c>
      <c r="D805" s="31">
        <f t="shared" si="22"/>
        <v>0.29430282752186399</v>
      </c>
      <c r="F805" s="2" t="s">
        <v>822</v>
      </c>
      <c r="G805" s="23" t="s">
        <v>902</v>
      </c>
      <c r="H805" s="2" t="s">
        <v>822</v>
      </c>
      <c r="J805" s="31">
        <v>37.985900899999997</v>
      </c>
      <c r="K805" s="31">
        <v>-9.9200000999999993</v>
      </c>
      <c r="L805" s="31"/>
      <c r="M805" s="31" t="s">
        <v>854</v>
      </c>
      <c r="N805" s="6" t="s">
        <v>856</v>
      </c>
    </row>
    <row r="806" spans="1:14" ht="15" customHeight="1" x14ac:dyDescent="0.2">
      <c r="A806" s="31">
        <v>1.5001414386753711</v>
      </c>
      <c r="B806" s="31"/>
      <c r="C806" s="2" t="s">
        <v>855</v>
      </c>
      <c r="D806" s="31">
        <f t="shared" si="22"/>
        <v>0.29402772198037275</v>
      </c>
      <c r="F806" s="2" t="s">
        <v>822</v>
      </c>
      <c r="G806" s="23" t="s">
        <v>902</v>
      </c>
      <c r="H806" s="2" t="s">
        <v>822</v>
      </c>
      <c r="J806" s="31">
        <v>58.3838005</v>
      </c>
      <c r="K806" s="31">
        <v>23.141199100000001</v>
      </c>
      <c r="L806" s="31"/>
      <c r="M806" s="31" t="s">
        <v>854</v>
      </c>
      <c r="N806" s="6" t="s">
        <v>856</v>
      </c>
    </row>
    <row r="807" spans="1:14" ht="15" customHeight="1" x14ac:dyDescent="0.2">
      <c r="A807" s="40">
        <v>1.496259624016901</v>
      </c>
      <c r="B807" s="31"/>
      <c r="C807" s="2" t="s">
        <v>855</v>
      </c>
      <c r="D807" s="31">
        <f t="shared" si="22"/>
        <v>0.29326688630731262</v>
      </c>
      <c r="F807" s="2" t="s">
        <v>822</v>
      </c>
      <c r="G807" s="23" t="s">
        <v>902</v>
      </c>
      <c r="H807" s="2" t="s">
        <v>822</v>
      </c>
      <c r="I807" s="41"/>
      <c r="J807" s="40">
        <v>57.715499899999998</v>
      </c>
      <c r="K807" s="40">
        <v>19.263099700000001</v>
      </c>
      <c r="L807" s="31"/>
      <c r="M807" s="31" t="s">
        <v>854</v>
      </c>
      <c r="N807" s="6" t="s">
        <v>856</v>
      </c>
    </row>
    <row r="808" spans="1:14" ht="15" customHeight="1" x14ac:dyDescent="0.2">
      <c r="A808" s="31">
        <v>1.4931001012290359</v>
      </c>
      <c r="B808" s="31"/>
      <c r="C808" s="2" t="s">
        <v>855</v>
      </c>
      <c r="D808" s="31">
        <f t="shared" si="22"/>
        <v>0.29264761984089105</v>
      </c>
      <c r="F808" s="2" t="s">
        <v>822</v>
      </c>
      <c r="G808" s="23" t="s">
        <v>902</v>
      </c>
      <c r="H808" s="2" t="s">
        <v>822</v>
      </c>
      <c r="J808" s="31">
        <v>40.775501300000002</v>
      </c>
      <c r="K808" s="31">
        <v>-9.2581997000000005</v>
      </c>
      <c r="L808" s="31"/>
      <c r="M808" s="31" t="s">
        <v>854</v>
      </c>
      <c r="N808" s="6" t="s">
        <v>856</v>
      </c>
    </row>
    <row r="809" spans="1:14" ht="15" customHeight="1" x14ac:dyDescent="0.2">
      <c r="A809" s="31">
        <v>1.4923328699411631</v>
      </c>
      <c r="B809" s="31"/>
      <c r="C809" s="2" t="s">
        <v>855</v>
      </c>
      <c r="D809" s="31">
        <f t="shared" si="22"/>
        <v>0.29249724250846798</v>
      </c>
      <c r="F809" s="2" t="s">
        <v>822</v>
      </c>
      <c r="G809" s="23" t="s">
        <v>902</v>
      </c>
      <c r="H809" s="2" t="s">
        <v>822</v>
      </c>
      <c r="J809" s="31">
        <v>28.103200900000001</v>
      </c>
      <c r="K809" s="31">
        <v>34.471099899999999</v>
      </c>
      <c r="L809" s="31"/>
      <c r="M809" s="31" t="s">
        <v>854</v>
      </c>
      <c r="N809" s="6" t="s">
        <v>856</v>
      </c>
    </row>
    <row r="810" spans="1:14" ht="15" customHeight="1" x14ac:dyDescent="0.2">
      <c r="A810" s="31">
        <v>1.491601846257151</v>
      </c>
      <c r="B810" s="31"/>
      <c r="C810" s="2" t="s">
        <v>855</v>
      </c>
      <c r="D810" s="31">
        <f t="shared" si="22"/>
        <v>0.29235396186640161</v>
      </c>
      <c r="F810" s="2" t="s">
        <v>822</v>
      </c>
      <c r="G810" s="23" t="s">
        <v>902</v>
      </c>
      <c r="H810" s="2" t="s">
        <v>822</v>
      </c>
      <c r="J810" s="31">
        <v>35.4115982</v>
      </c>
      <c r="K810" s="31">
        <v>-42.539901700000001</v>
      </c>
      <c r="L810" s="31"/>
      <c r="M810" s="31" t="s">
        <v>854</v>
      </c>
      <c r="N810" s="6" t="s">
        <v>856</v>
      </c>
    </row>
    <row r="811" spans="1:14" ht="15" customHeight="1" x14ac:dyDescent="0.2">
      <c r="A811" s="31">
        <v>1.490328984265521</v>
      </c>
      <c r="B811" s="31"/>
      <c r="C811" s="2" t="s">
        <v>855</v>
      </c>
      <c r="D811" s="31">
        <f t="shared" si="22"/>
        <v>0.29210448091604213</v>
      </c>
      <c r="F811" s="2" t="s">
        <v>822</v>
      </c>
      <c r="G811" s="23" t="s">
        <v>902</v>
      </c>
      <c r="H811" s="2" t="s">
        <v>822</v>
      </c>
      <c r="J811" s="31">
        <v>28.390600200000002</v>
      </c>
      <c r="K811" s="31">
        <v>49.138801600000001</v>
      </c>
      <c r="L811" s="31"/>
      <c r="M811" s="31" t="s">
        <v>854</v>
      </c>
      <c r="N811" s="6" t="s">
        <v>856</v>
      </c>
    </row>
    <row r="812" spans="1:14" ht="15" customHeight="1" x14ac:dyDescent="0.2">
      <c r="A812" s="31">
        <v>1.4894302438714251</v>
      </c>
      <c r="B812" s="31"/>
      <c r="C812" s="2" t="s">
        <v>855</v>
      </c>
      <c r="D812" s="31">
        <f t="shared" si="22"/>
        <v>0.29192832779879935</v>
      </c>
      <c r="F812" s="2" t="s">
        <v>822</v>
      </c>
      <c r="G812" s="23" t="s">
        <v>902</v>
      </c>
      <c r="H812" s="2" t="s">
        <v>822</v>
      </c>
      <c r="J812" s="31">
        <v>25.170299499999999</v>
      </c>
      <c r="K812" s="31">
        <v>-15.0648003</v>
      </c>
      <c r="L812" s="31"/>
      <c r="M812" s="31" t="s">
        <v>854</v>
      </c>
      <c r="N812" s="6" t="s">
        <v>856</v>
      </c>
    </row>
    <row r="813" spans="1:14" ht="15" customHeight="1" x14ac:dyDescent="0.2">
      <c r="A813" s="31">
        <v>1.48913594072359</v>
      </c>
      <c r="B813" s="31"/>
      <c r="C813" s="2" t="s">
        <v>855</v>
      </c>
      <c r="D813" s="31">
        <f t="shared" si="22"/>
        <v>0.29187064438182364</v>
      </c>
      <c r="F813" s="2" t="s">
        <v>822</v>
      </c>
      <c r="G813" s="23" t="s">
        <v>902</v>
      </c>
      <c r="H813" s="2" t="s">
        <v>822</v>
      </c>
      <c r="J813" s="31">
        <v>29.3799992</v>
      </c>
      <c r="K813" s="31">
        <v>48.803299000000003</v>
      </c>
      <c r="L813" s="31"/>
      <c r="M813" s="31" t="s">
        <v>854</v>
      </c>
      <c r="N813" s="6" t="s">
        <v>856</v>
      </c>
    </row>
    <row r="814" spans="1:14" ht="15" customHeight="1" x14ac:dyDescent="0.2">
      <c r="A814" s="31">
        <v>1.487180900774917</v>
      </c>
      <c r="B814" s="31"/>
      <c r="C814" s="2" t="s">
        <v>855</v>
      </c>
      <c r="D814" s="31">
        <f t="shared" si="22"/>
        <v>0.29148745655188374</v>
      </c>
      <c r="F814" s="2" t="s">
        <v>822</v>
      </c>
      <c r="G814" s="23" t="s">
        <v>902</v>
      </c>
      <c r="H814" s="2" t="s">
        <v>822</v>
      </c>
      <c r="J814" s="31">
        <v>26.972400700000001</v>
      </c>
      <c r="K814" s="31">
        <v>50.824199700000001</v>
      </c>
      <c r="L814" s="31"/>
      <c r="M814" s="31" t="s">
        <v>854</v>
      </c>
      <c r="N814" s="6" t="s">
        <v>856</v>
      </c>
    </row>
    <row r="815" spans="1:14" ht="15" customHeight="1" x14ac:dyDescent="0.2">
      <c r="A815" s="31">
        <v>1.486450167519987</v>
      </c>
      <c r="B815" s="31"/>
      <c r="C815" s="2" t="s">
        <v>855</v>
      </c>
      <c r="D815" s="31">
        <f t="shared" si="22"/>
        <v>0.29134423283391747</v>
      </c>
      <c r="F815" s="2" t="s">
        <v>822</v>
      </c>
      <c r="G815" s="23" t="s">
        <v>902</v>
      </c>
      <c r="H815" s="2" t="s">
        <v>822</v>
      </c>
      <c r="J815" s="31">
        <v>26.4839001</v>
      </c>
      <c r="K815" s="31">
        <v>53.094101000000002</v>
      </c>
      <c r="L815" s="31"/>
      <c r="M815" s="31" t="s">
        <v>854</v>
      </c>
      <c r="N815" s="6" t="s">
        <v>856</v>
      </c>
    </row>
    <row r="816" spans="1:14" ht="15" customHeight="1" x14ac:dyDescent="0.2">
      <c r="A816" s="31">
        <v>1.478353378145933</v>
      </c>
      <c r="B816" s="31"/>
      <c r="C816" s="2" t="s">
        <v>855</v>
      </c>
      <c r="D816" s="31">
        <f t="shared" si="22"/>
        <v>0.28975726211660291</v>
      </c>
      <c r="F816" s="2" t="s">
        <v>822</v>
      </c>
      <c r="G816" s="23" t="s">
        <v>902</v>
      </c>
      <c r="H816" s="2" t="s">
        <v>822</v>
      </c>
      <c r="J816" s="31">
        <v>26.428600299999999</v>
      </c>
      <c r="K816" s="31">
        <v>56.095901499999997</v>
      </c>
      <c r="L816" s="31"/>
      <c r="M816" s="31" t="s">
        <v>854</v>
      </c>
      <c r="N816" s="6" t="s">
        <v>856</v>
      </c>
    </row>
    <row r="817" spans="1:14" ht="15" customHeight="1" x14ac:dyDescent="0.2">
      <c r="A817" s="22">
        <v>0.28971632964192107</v>
      </c>
      <c r="B817" s="22"/>
      <c r="C817" s="2" t="s">
        <v>891</v>
      </c>
      <c r="D817" s="2">
        <f>A817</f>
        <v>0.28971632964192107</v>
      </c>
      <c r="F817" s="2">
        <v>2023</v>
      </c>
      <c r="G817" s="23" t="s">
        <v>902</v>
      </c>
      <c r="H817" s="2" t="s">
        <v>766</v>
      </c>
      <c r="I817" s="23" t="s">
        <v>188</v>
      </c>
      <c r="J817" s="23">
        <v>58.250115999999998</v>
      </c>
      <c r="K817" s="23">
        <v>11.445401</v>
      </c>
      <c r="L817" s="23" t="s">
        <v>819</v>
      </c>
      <c r="M817" s="2" t="s">
        <v>825</v>
      </c>
      <c r="N817" s="6" t="s">
        <v>828</v>
      </c>
    </row>
    <row r="818" spans="1:14" ht="15" customHeight="1" x14ac:dyDescent="0.2">
      <c r="A818" s="31">
        <v>1.4776850140978921</v>
      </c>
      <c r="B818" s="31"/>
      <c r="C818" s="2" t="s">
        <v>855</v>
      </c>
      <c r="D818" s="31">
        <f xml:space="preserve"> A818 * 0.196</f>
        <v>0.28962626276318687</v>
      </c>
      <c r="F818" s="2" t="s">
        <v>822</v>
      </c>
      <c r="G818" s="23" t="s">
        <v>902</v>
      </c>
      <c r="H818" s="2" t="s">
        <v>822</v>
      </c>
      <c r="J818" s="31">
        <v>26.898399399999999</v>
      </c>
      <c r="K818" s="31">
        <v>-14.829999900000001</v>
      </c>
      <c r="L818" s="31"/>
      <c r="M818" s="31" t="s">
        <v>854</v>
      </c>
      <c r="N818" s="6" t="s">
        <v>856</v>
      </c>
    </row>
    <row r="819" spans="1:14" ht="15" customHeight="1" x14ac:dyDescent="0.2">
      <c r="A819" s="31">
        <v>1.4765711967070241</v>
      </c>
      <c r="B819" s="31"/>
      <c r="C819" s="2" t="s">
        <v>855</v>
      </c>
      <c r="D819" s="31">
        <f xml:space="preserve"> A819 * 0.196</f>
        <v>0.28940795455457674</v>
      </c>
      <c r="F819" s="2" t="s">
        <v>822</v>
      </c>
      <c r="G819" s="23" t="s">
        <v>902</v>
      </c>
      <c r="H819" s="2" t="s">
        <v>822</v>
      </c>
      <c r="J819" s="31">
        <v>25.330099100000002</v>
      </c>
      <c r="K819" s="31">
        <v>59.151401499999999</v>
      </c>
      <c r="L819" s="31"/>
      <c r="M819" s="31" t="s">
        <v>854</v>
      </c>
      <c r="N819" s="6" t="s">
        <v>856</v>
      </c>
    </row>
    <row r="820" spans="1:14" ht="15" customHeight="1" x14ac:dyDescent="0.2">
      <c r="A820" s="22">
        <v>0.2887878547206405</v>
      </c>
      <c r="B820" s="22"/>
      <c r="C820" s="2" t="s">
        <v>891</v>
      </c>
      <c r="D820" s="2">
        <f>A820</f>
        <v>0.2887878547206405</v>
      </c>
      <c r="F820" s="2">
        <v>2023</v>
      </c>
      <c r="G820" s="23" t="s">
        <v>902</v>
      </c>
      <c r="H820" s="2" t="s">
        <v>767</v>
      </c>
      <c r="I820" s="23" t="s">
        <v>188</v>
      </c>
      <c r="J820" s="23">
        <v>58.304760000000002</v>
      </c>
      <c r="K820" s="23">
        <v>11.527682</v>
      </c>
      <c r="L820" s="23" t="s">
        <v>819</v>
      </c>
      <c r="M820" s="2" t="s">
        <v>825</v>
      </c>
      <c r="N820" s="6" t="s">
        <v>828</v>
      </c>
    </row>
    <row r="821" spans="1:14" ht="15" customHeight="1" x14ac:dyDescent="0.2">
      <c r="A821" s="31">
        <v>1.4692889976508861</v>
      </c>
      <c r="B821" s="31"/>
      <c r="C821" s="2" t="s">
        <v>855</v>
      </c>
      <c r="D821" s="31">
        <f t="shared" ref="D821:D843" si="23" xml:space="preserve"> A821 * 0.196</f>
        <v>0.2879806435395737</v>
      </c>
      <c r="F821" s="2" t="s">
        <v>822</v>
      </c>
      <c r="G821" s="23" t="s">
        <v>902</v>
      </c>
      <c r="H821" s="2" t="s">
        <v>822</v>
      </c>
      <c r="J821" s="31">
        <v>26.376300799999999</v>
      </c>
      <c r="K821" s="31">
        <v>51.986301400000002</v>
      </c>
      <c r="L821" s="31"/>
      <c r="M821" s="31" t="s">
        <v>854</v>
      </c>
      <c r="N821" s="6" t="s">
        <v>856</v>
      </c>
    </row>
    <row r="822" spans="1:14" ht="15" customHeight="1" x14ac:dyDescent="0.2">
      <c r="A822" s="31">
        <v>1.4677698738615761</v>
      </c>
      <c r="B822" s="31"/>
      <c r="C822" s="2" t="s">
        <v>855</v>
      </c>
      <c r="D822" s="31">
        <f t="shared" si="23"/>
        <v>0.28768289527686891</v>
      </c>
      <c r="F822" s="2" t="s">
        <v>822</v>
      </c>
      <c r="G822" s="23" t="s">
        <v>902</v>
      </c>
      <c r="H822" s="2" t="s">
        <v>822</v>
      </c>
      <c r="J822" s="31">
        <v>43.207901</v>
      </c>
      <c r="K822" s="31">
        <v>3.5024799999999998</v>
      </c>
      <c r="L822" s="31"/>
      <c r="M822" s="31" t="s">
        <v>854</v>
      </c>
      <c r="N822" s="6" t="s">
        <v>856</v>
      </c>
    </row>
    <row r="823" spans="1:14" ht="15" customHeight="1" x14ac:dyDescent="0.2">
      <c r="A823" s="31">
        <v>1.4668994235755171</v>
      </c>
      <c r="B823" s="31"/>
      <c r="C823" s="2" t="s">
        <v>855</v>
      </c>
      <c r="D823" s="31">
        <f t="shared" si="23"/>
        <v>0.28751228702080134</v>
      </c>
      <c r="F823" s="2" t="s">
        <v>822</v>
      </c>
      <c r="G823" s="23" t="s">
        <v>902</v>
      </c>
      <c r="H823" s="2" t="s">
        <v>822</v>
      </c>
      <c r="J823" s="31">
        <v>28.2541008</v>
      </c>
      <c r="K823" s="31">
        <v>-11.9862003</v>
      </c>
      <c r="L823" s="31"/>
      <c r="M823" s="31" t="s">
        <v>854</v>
      </c>
      <c r="N823" s="6" t="s">
        <v>856</v>
      </c>
    </row>
    <row r="824" spans="1:14" ht="15" customHeight="1" x14ac:dyDescent="0.2">
      <c r="A824" s="31">
        <v>1.4633155302000129</v>
      </c>
      <c r="B824" s="31"/>
      <c r="C824" s="2" t="s">
        <v>855</v>
      </c>
      <c r="D824" s="31">
        <f t="shared" si="23"/>
        <v>0.28680984391920256</v>
      </c>
      <c r="F824" s="2" t="s">
        <v>822</v>
      </c>
      <c r="G824" s="23" t="s">
        <v>902</v>
      </c>
      <c r="H824" s="2" t="s">
        <v>822</v>
      </c>
      <c r="J824" s="31">
        <v>31.806100799999999</v>
      </c>
      <c r="K824" s="31">
        <v>31.106300399999999</v>
      </c>
      <c r="L824" s="31"/>
      <c r="M824" s="31" t="s">
        <v>854</v>
      </c>
      <c r="N824" s="6" t="s">
        <v>856</v>
      </c>
    </row>
    <row r="825" spans="1:14" ht="15" customHeight="1" x14ac:dyDescent="0.2">
      <c r="A825" s="31">
        <v>1.46131693195407</v>
      </c>
      <c r="B825" s="31"/>
      <c r="C825" s="2" t="s">
        <v>855</v>
      </c>
      <c r="D825" s="31">
        <f t="shared" si="23"/>
        <v>0.28641811866299771</v>
      </c>
      <c r="F825" s="2" t="s">
        <v>822</v>
      </c>
      <c r="G825" s="23" t="s">
        <v>902</v>
      </c>
      <c r="H825" s="2" t="s">
        <v>822</v>
      </c>
      <c r="J825" s="31">
        <v>37.3959999</v>
      </c>
      <c r="K825" s="31">
        <v>-40.555999800000002</v>
      </c>
      <c r="L825" s="31"/>
      <c r="M825" s="31" t="s">
        <v>854</v>
      </c>
      <c r="N825" s="6" t="s">
        <v>856</v>
      </c>
    </row>
    <row r="826" spans="1:14" ht="15" customHeight="1" x14ac:dyDescent="0.2">
      <c r="A826" s="31">
        <v>1.460782901316209</v>
      </c>
      <c r="B826" s="31"/>
      <c r="C826" s="2" t="s">
        <v>855</v>
      </c>
      <c r="D826" s="31">
        <f t="shared" si="23"/>
        <v>0.28631344865797698</v>
      </c>
      <c r="F826" s="2" t="s">
        <v>822</v>
      </c>
      <c r="G826" s="23" t="s">
        <v>902</v>
      </c>
      <c r="H826" s="2" t="s">
        <v>822</v>
      </c>
      <c r="J826" s="31">
        <v>59.676200899999998</v>
      </c>
      <c r="K826" s="31">
        <v>21.235799799999999</v>
      </c>
      <c r="L826" s="31"/>
      <c r="M826" s="31" t="s">
        <v>854</v>
      </c>
      <c r="N826" s="6" t="s">
        <v>856</v>
      </c>
    </row>
    <row r="827" spans="1:14" ht="15" customHeight="1" x14ac:dyDescent="0.2">
      <c r="A827" s="31">
        <v>1.4599545790525239</v>
      </c>
      <c r="B827" s="31"/>
      <c r="C827" s="2" t="s">
        <v>855</v>
      </c>
      <c r="D827" s="31">
        <f t="shared" si="23"/>
        <v>0.28615109749429468</v>
      </c>
      <c r="F827" s="2" t="s">
        <v>822</v>
      </c>
      <c r="G827" s="23" t="s">
        <v>902</v>
      </c>
      <c r="H827" s="2" t="s">
        <v>822</v>
      </c>
      <c r="J827" s="31">
        <v>57.590000199999999</v>
      </c>
      <c r="K827" s="31">
        <v>19.0580006</v>
      </c>
      <c r="L827" s="31"/>
      <c r="M827" s="31" t="s">
        <v>854</v>
      </c>
      <c r="N827" s="6" t="s">
        <v>856</v>
      </c>
    </row>
    <row r="828" spans="1:14" ht="15" customHeight="1" x14ac:dyDescent="0.2">
      <c r="A828" s="31">
        <v>1.4547296129691221</v>
      </c>
      <c r="B828" s="31"/>
      <c r="C828" s="2" t="s">
        <v>855</v>
      </c>
      <c r="D828" s="31">
        <f t="shared" si="23"/>
        <v>0.28512700414194792</v>
      </c>
      <c r="F828" s="2" t="s">
        <v>822</v>
      </c>
      <c r="G828" s="23" t="s">
        <v>902</v>
      </c>
      <c r="H828" s="2" t="s">
        <v>822</v>
      </c>
      <c r="J828" s="31">
        <v>59.808101700000002</v>
      </c>
      <c r="K828" s="31">
        <v>26.627399400000002</v>
      </c>
      <c r="L828" s="31"/>
      <c r="M828" s="31" t="s">
        <v>854</v>
      </c>
      <c r="N828" s="6" t="s">
        <v>856</v>
      </c>
    </row>
    <row r="829" spans="1:14" ht="15" customHeight="1" x14ac:dyDescent="0.2">
      <c r="A829" s="31">
        <v>1.4546935436047641</v>
      </c>
      <c r="B829" s="31"/>
      <c r="C829" s="2" t="s">
        <v>855</v>
      </c>
      <c r="D829" s="31">
        <f t="shared" si="23"/>
        <v>0.28511993454653378</v>
      </c>
      <c r="F829" s="2" t="s">
        <v>822</v>
      </c>
      <c r="G829" s="23" t="s">
        <v>902</v>
      </c>
      <c r="H829" s="2" t="s">
        <v>822</v>
      </c>
      <c r="J829" s="31">
        <v>60.757099199999999</v>
      </c>
      <c r="K829" s="31">
        <v>18.2770996</v>
      </c>
      <c r="L829" s="31"/>
      <c r="M829" s="31" t="s">
        <v>854</v>
      </c>
      <c r="N829" s="6" t="s">
        <v>856</v>
      </c>
    </row>
    <row r="830" spans="1:14" ht="15" customHeight="1" x14ac:dyDescent="0.2">
      <c r="A830" s="31">
        <v>1.4537320021787741</v>
      </c>
      <c r="B830" s="31"/>
      <c r="C830" s="2" t="s">
        <v>855</v>
      </c>
      <c r="D830" s="31">
        <f t="shared" si="23"/>
        <v>0.28493147242703976</v>
      </c>
      <c r="F830" s="2" t="s">
        <v>822</v>
      </c>
      <c r="G830" s="23" t="s">
        <v>902</v>
      </c>
      <c r="H830" s="2" t="s">
        <v>822</v>
      </c>
      <c r="J830" s="31">
        <v>56.480499299999998</v>
      </c>
      <c r="K830" s="31">
        <v>20.148099899999998</v>
      </c>
      <c r="L830" s="31"/>
      <c r="M830" s="31" t="s">
        <v>854</v>
      </c>
      <c r="N830" s="6" t="s">
        <v>856</v>
      </c>
    </row>
    <row r="831" spans="1:14" ht="15" customHeight="1" x14ac:dyDescent="0.2">
      <c r="A831" s="31">
        <v>1.450304329081626</v>
      </c>
      <c r="B831" s="31"/>
      <c r="C831" s="2" t="s">
        <v>855</v>
      </c>
      <c r="D831" s="31">
        <f t="shared" si="23"/>
        <v>0.28425964849999869</v>
      </c>
      <c r="F831" s="2" t="s">
        <v>822</v>
      </c>
      <c r="G831" s="23" t="s">
        <v>902</v>
      </c>
      <c r="H831" s="2" t="s">
        <v>822</v>
      </c>
      <c r="J831" s="31">
        <v>58.483200099999998</v>
      </c>
      <c r="K831" s="31">
        <v>21.424400299999999</v>
      </c>
      <c r="L831" s="31"/>
      <c r="M831" s="31" t="s">
        <v>854</v>
      </c>
      <c r="N831" s="6" t="s">
        <v>856</v>
      </c>
    </row>
    <row r="832" spans="1:14" ht="15" customHeight="1" x14ac:dyDescent="0.2">
      <c r="A832" s="31">
        <v>1.4495086698339821</v>
      </c>
      <c r="B832" s="31"/>
      <c r="C832" s="2" t="s">
        <v>855</v>
      </c>
      <c r="D832" s="31">
        <f t="shared" si="23"/>
        <v>0.28410369928746049</v>
      </c>
      <c r="F832" s="2" t="s">
        <v>822</v>
      </c>
      <c r="G832" s="23" t="s">
        <v>902</v>
      </c>
      <c r="H832" s="2" t="s">
        <v>822</v>
      </c>
      <c r="J832" s="31">
        <v>25.137599900000001</v>
      </c>
      <c r="K832" s="31">
        <v>-15.874799700000001</v>
      </c>
      <c r="L832" s="31"/>
      <c r="M832" s="31" t="s">
        <v>854</v>
      </c>
      <c r="N832" s="6" t="s">
        <v>856</v>
      </c>
    </row>
    <row r="833" spans="1:14" ht="15" customHeight="1" x14ac:dyDescent="0.2">
      <c r="A833" s="31">
        <v>1.44676193954298</v>
      </c>
      <c r="B833" s="31"/>
      <c r="C833" s="2" t="s">
        <v>855</v>
      </c>
      <c r="D833" s="31">
        <f t="shared" si="23"/>
        <v>0.28356534015042412</v>
      </c>
      <c r="F833" s="2" t="s">
        <v>822</v>
      </c>
      <c r="G833" s="23" t="s">
        <v>902</v>
      </c>
      <c r="H833" s="2" t="s">
        <v>822</v>
      </c>
      <c r="J833" s="31">
        <v>25.2521992</v>
      </c>
      <c r="K833" s="31">
        <v>-16.936800000000002</v>
      </c>
      <c r="L833" s="31"/>
      <c r="M833" s="31" t="s">
        <v>854</v>
      </c>
      <c r="N833" s="6" t="s">
        <v>856</v>
      </c>
    </row>
    <row r="834" spans="1:14" ht="15" customHeight="1" x14ac:dyDescent="0.2">
      <c r="A834" s="31">
        <v>1.445232050709421</v>
      </c>
      <c r="B834" s="31"/>
      <c r="C834" s="2" t="s">
        <v>855</v>
      </c>
      <c r="D834" s="31">
        <f t="shared" si="23"/>
        <v>0.28326548193904649</v>
      </c>
      <c r="F834" s="2" t="s">
        <v>822</v>
      </c>
      <c r="G834" s="23" t="s">
        <v>902</v>
      </c>
      <c r="H834" s="2" t="s">
        <v>822</v>
      </c>
      <c r="J834" s="31">
        <v>56.404201499999999</v>
      </c>
      <c r="K834" s="31">
        <v>18.383199699999999</v>
      </c>
      <c r="L834" s="31"/>
      <c r="M834" s="31" t="s">
        <v>854</v>
      </c>
      <c r="N834" s="6" t="s">
        <v>856</v>
      </c>
    </row>
    <row r="835" spans="1:14" ht="15" customHeight="1" x14ac:dyDescent="0.2">
      <c r="A835" s="31">
        <v>1.444961411458376</v>
      </c>
      <c r="B835" s="31"/>
      <c r="C835" s="2" t="s">
        <v>855</v>
      </c>
      <c r="D835" s="31">
        <f t="shared" si="23"/>
        <v>0.28321243664584173</v>
      </c>
      <c r="F835" s="2" t="s">
        <v>822</v>
      </c>
      <c r="G835" s="23" t="s">
        <v>902</v>
      </c>
      <c r="H835" s="2" t="s">
        <v>822</v>
      </c>
      <c r="J835" s="31">
        <v>27.375999499999999</v>
      </c>
      <c r="K835" s="31">
        <v>-20.516000699999999</v>
      </c>
      <c r="L835" s="31"/>
      <c r="M835" s="31" t="s">
        <v>854</v>
      </c>
      <c r="N835" s="6" t="s">
        <v>856</v>
      </c>
    </row>
    <row r="836" spans="1:14" ht="15" customHeight="1" x14ac:dyDescent="0.2">
      <c r="A836" s="31">
        <v>1.444238584068479</v>
      </c>
      <c r="B836" s="31"/>
      <c r="C836" s="2" t="s">
        <v>855</v>
      </c>
      <c r="D836" s="31">
        <f t="shared" si="23"/>
        <v>0.28307076247742191</v>
      </c>
      <c r="F836" s="2" t="s">
        <v>822</v>
      </c>
      <c r="G836" s="23" t="s">
        <v>902</v>
      </c>
      <c r="H836" s="2" t="s">
        <v>822</v>
      </c>
      <c r="J836" s="31">
        <v>34.701499900000002</v>
      </c>
      <c r="K836" s="31">
        <v>23.5403004</v>
      </c>
      <c r="L836" s="31"/>
      <c r="M836" s="31" t="s">
        <v>854</v>
      </c>
      <c r="N836" s="6" t="s">
        <v>856</v>
      </c>
    </row>
    <row r="837" spans="1:14" ht="15" customHeight="1" x14ac:dyDescent="0.2">
      <c r="A837" s="31">
        <v>1.4426139317022959</v>
      </c>
      <c r="B837" s="31"/>
      <c r="C837" s="2" t="s">
        <v>855</v>
      </c>
      <c r="D837" s="31">
        <f t="shared" si="23"/>
        <v>0.28275233061365002</v>
      </c>
      <c r="F837" s="2" t="s">
        <v>822</v>
      </c>
      <c r="G837" s="23" t="s">
        <v>902</v>
      </c>
      <c r="H837" s="2" t="s">
        <v>822</v>
      </c>
      <c r="J837" s="31">
        <v>26.9726009</v>
      </c>
      <c r="K837" s="31">
        <v>-15.171999899999999</v>
      </c>
      <c r="L837" s="31"/>
      <c r="M837" s="31" t="s">
        <v>854</v>
      </c>
      <c r="N837" s="6" t="s">
        <v>856</v>
      </c>
    </row>
    <row r="838" spans="1:14" ht="15" customHeight="1" x14ac:dyDescent="0.2">
      <c r="A838" s="31">
        <v>1.4413736195072531</v>
      </c>
      <c r="B838" s="31"/>
      <c r="C838" s="2" t="s">
        <v>855</v>
      </c>
      <c r="D838" s="31">
        <f t="shared" si="23"/>
        <v>0.2825092294234216</v>
      </c>
      <c r="F838" s="2" t="s">
        <v>822</v>
      </c>
      <c r="G838" s="23" t="s">
        <v>902</v>
      </c>
      <c r="H838" s="2" t="s">
        <v>822</v>
      </c>
      <c r="J838" s="31">
        <v>29.564599999999999</v>
      </c>
      <c r="K838" s="31">
        <v>-10.683699600000001</v>
      </c>
      <c r="L838" s="31"/>
      <c r="M838" s="31" t="s">
        <v>854</v>
      </c>
      <c r="N838" s="6" t="s">
        <v>856</v>
      </c>
    </row>
    <row r="839" spans="1:14" ht="15" customHeight="1" x14ac:dyDescent="0.2">
      <c r="A839" s="31">
        <v>1.4388508034106791</v>
      </c>
      <c r="B839" s="31"/>
      <c r="C839" s="2" t="s">
        <v>855</v>
      </c>
      <c r="D839" s="31">
        <f t="shared" si="23"/>
        <v>0.28201475746849308</v>
      </c>
      <c r="F839" s="2" t="s">
        <v>822</v>
      </c>
      <c r="G839" s="23" t="s">
        <v>902</v>
      </c>
      <c r="H839" s="2" t="s">
        <v>822</v>
      </c>
      <c r="J839" s="31">
        <v>25.340900399999999</v>
      </c>
      <c r="K839" s="31">
        <v>-16.791999799999999</v>
      </c>
      <c r="L839" s="31"/>
      <c r="M839" s="31" t="s">
        <v>854</v>
      </c>
      <c r="N839" s="6" t="s">
        <v>856</v>
      </c>
    </row>
    <row r="840" spans="1:14" ht="15" customHeight="1" x14ac:dyDescent="0.2">
      <c r="A840" s="31">
        <v>1.4383096312869079</v>
      </c>
      <c r="B840" s="31"/>
      <c r="C840" s="2" t="s">
        <v>855</v>
      </c>
      <c r="D840" s="31">
        <f t="shared" si="23"/>
        <v>0.28190868773223399</v>
      </c>
      <c r="F840" s="2" t="s">
        <v>822</v>
      </c>
      <c r="G840" s="23" t="s">
        <v>902</v>
      </c>
      <c r="H840" s="2" t="s">
        <v>822</v>
      </c>
      <c r="J840" s="31">
        <v>35.729801199999997</v>
      </c>
      <c r="K840" s="31">
        <v>-5.1909399000000001</v>
      </c>
      <c r="L840" s="31"/>
      <c r="M840" s="31" t="s">
        <v>854</v>
      </c>
      <c r="N840" s="6" t="s">
        <v>856</v>
      </c>
    </row>
    <row r="841" spans="1:14" ht="15" customHeight="1" x14ac:dyDescent="0.2">
      <c r="A841" s="31">
        <v>1.437324623713935</v>
      </c>
      <c r="B841" s="31"/>
      <c r="C841" s="2" t="s">
        <v>855</v>
      </c>
      <c r="D841" s="31">
        <f t="shared" si="23"/>
        <v>0.28171562624793128</v>
      </c>
      <c r="F841" s="2" t="s">
        <v>822</v>
      </c>
      <c r="G841" s="23" t="s">
        <v>902</v>
      </c>
      <c r="H841" s="2" t="s">
        <v>822</v>
      </c>
      <c r="J841" s="31">
        <v>28.436500500000001</v>
      </c>
      <c r="K841" s="31">
        <v>-18.057899500000001</v>
      </c>
      <c r="L841" s="31"/>
      <c r="M841" s="31" t="s">
        <v>854</v>
      </c>
      <c r="N841" s="6" t="s">
        <v>856</v>
      </c>
    </row>
    <row r="842" spans="1:14" ht="15" customHeight="1" x14ac:dyDescent="0.2">
      <c r="A842" s="31">
        <v>1.436052582021021</v>
      </c>
      <c r="B842" s="31"/>
      <c r="C842" s="2" t="s">
        <v>855</v>
      </c>
      <c r="D842" s="31">
        <f t="shared" si="23"/>
        <v>0.28146630607612011</v>
      </c>
      <c r="F842" s="2" t="s">
        <v>822</v>
      </c>
      <c r="G842" s="23" t="s">
        <v>902</v>
      </c>
      <c r="H842" s="2" t="s">
        <v>822</v>
      </c>
      <c r="J842" s="31">
        <v>27.416599300000001</v>
      </c>
      <c r="K842" s="31">
        <v>51.691200299999998</v>
      </c>
      <c r="L842" s="31"/>
      <c r="M842" s="31" t="s">
        <v>854</v>
      </c>
      <c r="N842" s="6" t="s">
        <v>856</v>
      </c>
    </row>
    <row r="843" spans="1:14" ht="15" customHeight="1" x14ac:dyDescent="0.2">
      <c r="A843" s="31">
        <v>1.435403165970637</v>
      </c>
      <c r="B843" s="31"/>
      <c r="C843" s="2" t="s">
        <v>855</v>
      </c>
      <c r="D843" s="31">
        <f t="shared" si="23"/>
        <v>0.28133902053024484</v>
      </c>
      <c r="F843" s="2" t="s">
        <v>822</v>
      </c>
      <c r="G843" s="23" t="s">
        <v>902</v>
      </c>
      <c r="H843" s="2" t="s">
        <v>822</v>
      </c>
      <c r="J843" s="31">
        <v>55.661498999999999</v>
      </c>
      <c r="K843" s="31">
        <v>15.5819998</v>
      </c>
      <c r="L843" s="31"/>
      <c r="M843" s="31" t="s">
        <v>854</v>
      </c>
      <c r="N843" s="6" t="s">
        <v>856</v>
      </c>
    </row>
    <row r="844" spans="1:14" ht="15" customHeight="1" x14ac:dyDescent="0.2">
      <c r="A844" s="22">
        <v>0.28098592245067938</v>
      </c>
      <c r="B844" s="22"/>
      <c r="C844" s="2" t="s">
        <v>891</v>
      </c>
      <c r="D844" s="2">
        <f>A844</f>
        <v>0.28098592245067938</v>
      </c>
      <c r="F844" s="2">
        <v>2023</v>
      </c>
      <c r="G844" s="23" t="s">
        <v>902</v>
      </c>
      <c r="H844" s="2" t="s">
        <v>766</v>
      </c>
      <c r="I844" s="23" t="s">
        <v>188</v>
      </c>
      <c r="J844" s="23">
        <v>58.250118999999998</v>
      </c>
      <c r="K844" s="23">
        <v>11.445403000000001</v>
      </c>
      <c r="L844" s="23" t="s">
        <v>819</v>
      </c>
      <c r="M844" s="2" t="s">
        <v>825</v>
      </c>
      <c r="N844" s="6" t="s">
        <v>828</v>
      </c>
    </row>
    <row r="845" spans="1:14" ht="15" customHeight="1" x14ac:dyDescent="0.2">
      <c r="A845" s="22">
        <v>0.27903718789295961</v>
      </c>
      <c r="B845" s="22"/>
      <c r="C845" s="2" t="s">
        <v>891</v>
      </c>
      <c r="D845" s="2">
        <f>A845</f>
        <v>0.27903718789295961</v>
      </c>
      <c r="F845" s="2">
        <v>2023</v>
      </c>
      <c r="G845" s="23" t="s">
        <v>902</v>
      </c>
      <c r="H845" s="2" t="s">
        <v>766</v>
      </c>
      <c r="I845" s="23" t="s">
        <v>188</v>
      </c>
      <c r="J845" s="23">
        <v>58.250118000000001</v>
      </c>
      <c r="K845" s="23">
        <v>11.445403000000001</v>
      </c>
      <c r="L845" s="23" t="s">
        <v>819</v>
      </c>
      <c r="M845" s="2" t="s">
        <v>825</v>
      </c>
      <c r="N845" s="6" t="s">
        <v>828</v>
      </c>
    </row>
    <row r="846" spans="1:14" ht="15" customHeight="1" x14ac:dyDescent="0.2">
      <c r="A846" s="31">
        <v>1.4225762259205881</v>
      </c>
      <c r="B846" s="31"/>
      <c r="C846" s="2" t="s">
        <v>855</v>
      </c>
      <c r="D846" s="31">
        <f t="shared" ref="D846:D870" si="24" xml:space="preserve"> A846 * 0.196</f>
        <v>0.27882494028043525</v>
      </c>
      <c r="F846" s="2" t="s">
        <v>822</v>
      </c>
      <c r="G846" s="23" t="s">
        <v>902</v>
      </c>
      <c r="H846" s="2" t="s">
        <v>822</v>
      </c>
      <c r="J846" s="31">
        <v>29.8085995</v>
      </c>
      <c r="K846" s="31">
        <v>49.138801600000001</v>
      </c>
      <c r="L846" s="31"/>
      <c r="M846" s="31" t="s">
        <v>854</v>
      </c>
      <c r="N846" s="6" t="s">
        <v>856</v>
      </c>
    </row>
    <row r="847" spans="1:14" ht="15" customHeight="1" x14ac:dyDescent="0.2">
      <c r="A847" s="31">
        <v>1.420446797687732</v>
      </c>
      <c r="B847" s="31"/>
      <c r="C847" s="2" t="s">
        <v>855</v>
      </c>
      <c r="D847" s="31">
        <f t="shared" si="24"/>
        <v>0.27840757234679547</v>
      </c>
      <c r="F847" s="2" t="s">
        <v>822</v>
      </c>
      <c r="G847" s="23" t="s">
        <v>902</v>
      </c>
      <c r="H847" s="2" t="s">
        <v>822</v>
      </c>
      <c r="J847" s="31">
        <v>25.3719997</v>
      </c>
      <c r="K847" s="31">
        <v>-21.851999299999999</v>
      </c>
      <c r="L847" s="31"/>
      <c r="M847" s="31" t="s">
        <v>854</v>
      </c>
      <c r="N847" s="6" t="s">
        <v>856</v>
      </c>
    </row>
    <row r="848" spans="1:14" ht="15" customHeight="1" x14ac:dyDescent="0.2">
      <c r="A848" s="31">
        <v>1.420326676923271</v>
      </c>
      <c r="B848" s="31"/>
      <c r="C848" s="2" t="s">
        <v>855</v>
      </c>
      <c r="D848" s="31">
        <f t="shared" si="24"/>
        <v>0.2783840286769611</v>
      </c>
      <c r="F848" s="2" t="s">
        <v>822</v>
      </c>
      <c r="G848" s="23" t="s">
        <v>902</v>
      </c>
      <c r="H848" s="2" t="s">
        <v>822</v>
      </c>
      <c r="J848" s="31">
        <v>59.132701900000001</v>
      </c>
      <c r="K848" s="31">
        <v>19.0680008</v>
      </c>
      <c r="L848" s="31"/>
      <c r="M848" s="31" t="s">
        <v>854</v>
      </c>
      <c r="N848" s="6" t="s">
        <v>856</v>
      </c>
    </row>
    <row r="849" spans="1:14" ht="15" customHeight="1" x14ac:dyDescent="0.2">
      <c r="A849" s="31">
        <v>1.4196448957502621</v>
      </c>
      <c r="B849" s="31"/>
      <c r="C849" s="2" t="s">
        <v>855</v>
      </c>
      <c r="D849" s="31">
        <f t="shared" si="24"/>
        <v>0.27825039956705139</v>
      </c>
      <c r="F849" s="2" t="s">
        <v>822</v>
      </c>
      <c r="G849" s="23" t="s">
        <v>902</v>
      </c>
      <c r="H849" s="2" t="s">
        <v>822</v>
      </c>
      <c r="J849" s="31">
        <v>57.849700900000002</v>
      </c>
      <c r="K849" s="31">
        <v>18.475000399999999</v>
      </c>
      <c r="L849" s="31"/>
      <c r="M849" s="31" t="s">
        <v>854</v>
      </c>
      <c r="N849" s="6" t="s">
        <v>856</v>
      </c>
    </row>
    <row r="850" spans="1:14" ht="15" customHeight="1" x14ac:dyDescent="0.2">
      <c r="A850" s="31">
        <v>1.4181071321360179</v>
      </c>
      <c r="B850" s="31"/>
      <c r="C850" s="2" t="s">
        <v>855</v>
      </c>
      <c r="D850" s="31">
        <f t="shared" si="24"/>
        <v>0.27794899789865951</v>
      </c>
      <c r="F850" s="2" t="s">
        <v>822</v>
      </c>
      <c r="G850" s="23" t="s">
        <v>902</v>
      </c>
      <c r="H850" s="2" t="s">
        <v>822</v>
      </c>
      <c r="J850" s="31">
        <v>27.5804996</v>
      </c>
      <c r="K850" s="31">
        <v>35.374298099999997</v>
      </c>
      <c r="L850" s="31"/>
      <c r="M850" s="31" t="s">
        <v>854</v>
      </c>
      <c r="N850" s="6" t="s">
        <v>856</v>
      </c>
    </row>
    <row r="851" spans="1:14" ht="15" customHeight="1" x14ac:dyDescent="0.2">
      <c r="A851" s="31">
        <v>1.4171896353755009</v>
      </c>
      <c r="B851" s="31"/>
      <c r="C851" s="2" t="s">
        <v>855</v>
      </c>
      <c r="D851" s="31">
        <f t="shared" si="24"/>
        <v>0.27776916853359818</v>
      </c>
      <c r="F851" s="2" t="s">
        <v>822</v>
      </c>
      <c r="G851" s="23" t="s">
        <v>902</v>
      </c>
      <c r="H851" s="2" t="s">
        <v>822</v>
      </c>
      <c r="J851" s="31">
        <v>37.975799600000002</v>
      </c>
      <c r="K851" s="31">
        <v>-41.867500300000003</v>
      </c>
      <c r="L851" s="31"/>
      <c r="M851" s="31" t="s">
        <v>854</v>
      </c>
      <c r="N851" s="6" t="s">
        <v>856</v>
      </c>
    </row>
    <row r="852" spans="1:14" ht="15" customHeight="1" x14ac:dyDescent="0.2">
      <c r="A852" s="31">
        <v>1.4141304829233421</v>
      </c>
      <c r="B852" s="31"/>
      <c r="C852" s="2" t="s">
        <v>855</v>
      </c>
      <c r="D852" s="31">
        <f t="shared" si="24"/>
        <v>0.27716957465297504</v>
      </c>
      <c r="F852" s="2" t="s">
        <v>822</v>
      </c>
      <c r="G852" s="23" t="s">
        <v>902</v>
      </c>
      <c r="H852" s="2" t="s">
        <v>822</v>
      </c>
      <c r="J852" s="31">
        <v>42.926998099999999</v>
      </c>
      <c r="K852" s="31">
        <v>3.6540799000000002</v>
      </c>
      <c r="L852" s="31"/>
      <c r="M852" s="31" t="s">
        <v>854</v>
      </c>
      <c r="N852" s="6" t="s">
        <v>856</v>
      </c>
    </row>
    <row r="853" spans="1:14" ht="15" customHeight="1" x14ac:dyDescent="0.2">
      <c r="A853" s="31">
        <v>1.4094107329142791</v>
      </c>
      <c r="B853" s="31"/>
      <c r="C853" s="2" t="s">
        <v>855</v>
      </c>
      <c r="D853" s="31">
        <f t="shared" si="24"/>
        <v>0.27624450365119874</v>
      </c>
      <c r="F853" s="2" t="s">
        <v>822</v>
      </c>
      <c r="G853" s="23" t="s">
        <v>902</v>
      </c>
      <c r="H853" s="2" t="s">
        <v>822</v>
      </c>
      <c r="J853" s="31">
        <v>40.027000399999999</v>
      </c>
      <c r="K853" s="31">
        <v>-19.1720009</v>
      </c>
      <c r="L853" s="31"/>
      <c r="M853" s="31" t="s">
        <v>854</v>
      </c>
      <c r="N853" s="6" t="s">
        <v>856</v>
      </c>
    </row>
    <row r="854" spans="1:14" ht="15" customHeight="1" x14ac:dyDescent="0.2">
      <c r="A854" s="31">
        <v>1.4090562011887999</v>
      </c>
      <c r="B854" s="31"/>
      <c r="C854" s="2" t="s">
        <v>855</v>
      </c>
      <c r="D854" s="31">
        <f t="shared" si="24"/>
        <v>0.27617501543300482</v>
      </c>
      <c r="F854" s="2" t="s">
        <v>822</v>
      </c>
      <c r="G854" s="23" t="s">
        <v>902</v>
      </c>
      <c r="H854" s="2" t="s">
        <v>822</v>
      </c>
      <c r="J854" s="31">
        <v>38.333301499999997</v>
      </c>
      <c r="K854" s="31">
        <v>-42.9281006</v>
      </c>
      <c r="L854" s="31"/>
      <c r="M854" s="31" t="s">
        <v>854</v>
      </c>
      <c r="N854" s="6" t="s">
        <v>856</v>
      </c>
    </row>
    <row r="855" spans="1:14" ht="15" customHeight="1" x14ac:dyDescent="0.2">
      <c r="A855" s="31">
        <v>1.406366714934546</v>
      </c>
      <c r="B855" s="31"/>
      <c r="C855" s="2" t="s">
        <v>855</v>
      </c>
      <c r="D855" s="31">
        <f t="shared" si="24"/>
        <v>0.27564787612717101</v>
      </c>
      <c r="F855" s="2" t="s">
        <v>822</v>
      </c>
      <c r="G855" s="23" t="s">
        <v>902</v>
      </c>
      <c r="H855" s="2" t="s">
        <v>822</v>
      </c>
      <c r="J855" s="31">
        <v>26.6341</v>
      </c>
      <c r="K855" s="31">
        <v>55.620498699999999</v>
      </c>
      <c r="L855" s="31"/>
      <c r="M855" s="31" t="s">
        <v>854</v>
      </c>
      <c r="N855" s="6" t="s">
        <v>856</v>
      </c>
    </row>
    <row r="856" spans="1:14" ht="15" customHeight="1" x14ac:dyDescent="0.2">
      <c r="A856" s="31">
        <v>1.405290104959021</v>
      </c>
      <c r="B856" s="31"/>
      <c r="C856" s="2" t="s">
        <v>855</v>
      </c>
      <c r="D856" s="31">
        <f t="shared" si="24"/>
        <v>0.27543686057196815</v>
      </c>
      <c r="F856" s="2" t="s">
        <v>822</v>
      </c>
      <c r="G856" s="23" t="s">
        <v>902</v>
      </c>
      <c r="H856" s="2" t="s">
        <v>822</v>
      </c>
      <c r="J856" s="31">
        <v>40.787601500000001</v>
      </c>
      <c r="K856" s="31">
        <v>-23.010400799999999</v>
      </c>
      <c r="L856" s="31"/>
      <c r="M856" s="31" t="s">
        <v>854</v>
      </c>
      <c r="N856" s="6" t="s">
        <v>856</v>
      </c>
    </row>
    <row r="857" spans="1:14" ht="15" customHeight="1" x14ac:dyDescent="0.2">
      <c r="A857" s="31">
        <v>1.402205037708566</v>
      </c>
      <c r="B857" s="31"/>
      <c r="C857" s="2" t="s">
        <v>855</v>
      </c>
      <c r="D857" s="31">
        <f t="shared" si="24"/>
        <v>0.27483218739087895</v>
      </c>
      <c r="F857" s="2" t="s">
        <v>822</v>
      </c>
      <c r="G857" s="23" t="s">
        <v>902</v>
      </c>
      <c r="H857" s="2" t="s">
        <v>822</v>
      </c>
      <c r="J857" s="31">
        <v>41.405799899999998</v>
      </c>
      <c r="K857" s="31">
        <v>4.3245601999999996</v>
      </c>
      <c r="L857" s="31"/>
      <c r="M857" s="31" t="s">
        <v>854</v>
      </c>
      <c r="N857" s="6" t="s">
        <v>856</v>
      </c>
    </row>
    <row r="858" spans="1:14" ht="15" customHeight="1" x14ac:dyDescent="0.2">
      <c r="A858" s="31">
        <v>1.401784141653347</v>
      </c>
      <c r="B858" s="31"/>
      <c r="C858" s="2" t="s">
        <v>855</v>
      </c>
      <c r="D858" s="31">
        <f t="shared" si="24"/>
        <v>0.274749691764056</v>
      </c>
      <c r="F858" s="2" t="s">
        <v>822</v>
      </c>
      <c r="G858" s="23" t="s">
        <v>902</v>
      </c>
      <c r="H858" s="2" t="s">
        <v>822</v>
      </c>
      <c r="J858" s="31">
        <v>28.193300199999999</v>
      </c>
      <c r="K858" s="31">
        <v>-12.9956999</v>
      </c>
      <c r="L858" s="31"/>
      <c r="M858" s="31" t="s">
        <v>854</v>
      </c>
      <c r="N858" s="6" t="s">
        <v>856</v>
      </c>
    </row>
    <row r="859" spans="1:14" ht="15" customHeight="1" x14ac:dyDescent="0.2">
      <c r="A859" s="31">
        <v>1.3990880436860651</v>
      </c>
      <c r="B859" s="31"/>
      <c r="C859" s="2" t="s">
        <v>855</v>
      </c>
      <c r="D859" s="31">
        <f t="shared" si="24"/>
        <v>0.27422125656246876</v>
      </c>
      <c r="F859" s="2" t="s">
        <v>822</v>
      </c>
      <c r="G859" s="23" t="s">
        <v>902</v>
      </c>
      <c r="H859" s="2" t="s">
        <v>822</v>
      </c>
      <c r="J859" s="31">
        <v>37.5536995</v>
      </c>
      <c r="K859" s="31">
        <v>-9.9432802000000002</v>
      </c>
      <c r="L859" s="31"/>
      <c r="M859" s="31" t="s">
        <v>854</v>
      </c>
      <c r="N859" s="6" t="s">
        <v>856</v>
      </c>
    </row>
    <row r="860" spans="1:14" ht="15" customHeight="1" x14ac:dyDescent="0.2">
      <c r="A860" s="31">
        <v>1.398960884077437</v>
      </c>
      <c r="B860" s="31"/>
      <c r="C860" s="2" t="s">
        <v>855</v>
      </c>
      <c r="D860" s="31">
        <f t="shared" si="24"/>
        <v>0.27419633327917764</v>
      </c>
      <c r="F860" s="2" t="s">
        <v>822</v>
      </c>
      <c r="G860" s="23" t="s">
        <v>902</v>
      </c>
      <c r="H860" s="2" t="s">
        <v>822</v>
      </c>
      <c r="J860" s="31">
        <v>54.874298099999997</v>
      </c>
      <c r="K860" s="31">
        <v>18.3990002</v>
      </c>
      <c r="L860" s="31"/>
      <c r="M860" s="31" t="s">
        <v>854</v>
      </c>
      <c r="N860" s="6" t="s">
        <v>856</v>
      </c>
    </row>
    <row r="861" spans="1:14" ht="15" customHeight="1" x14ac:dyDescent="0.2">
      <c r="A861" s="31">
        <v>1.396748379919835</v>
      </c>
      <c r="B861" s="31"/>
      <c r="C861" s="2" t="s">
        <v>855</v>
      </c>
      <c r="D861" s="31">
        <f t="shared" si="24"/>
        <v>0.2737626824642877</v>
      </c>
      <c r="F861" s="2" t="s">
        <v>822</v>
      </c>
      <c r="G861" s="23" t="s">
        <v>902</v>
      </c>
      <c r="H861" s="2" t="s">
        <v>822</v>
      </c>
      <c r="J861" s="31">
        <v>39.403099099999999</v>
      </c>
      <c r="K861" s="31">
        <v>-39.222999600000001</v>
      </c>
      <c r="L861" s="31"/>
      <c r="M861" s="31" t="s">
        <v>854</v>
      </c>
      <c r="N861" s="6" t="s">
        <v>856</v>
      </c>
    </row>
    <row r="862" spans="1:14" ht="15" customHeight="1" x14ac:dyDescent="0.2">
      <c r="A862" s="31">
        <v>1.395820651497061</v>
      </c>
      <c r="B862" s="31"/>
      <c r="C862" s="2" t="s">
        <v>855</v>
      </c>
      <c r="D862" s="31">
        <f t="shared" si="24"/>
        <v>0.27358084769342395</v>
      </c>
      <c r="F862" s="2" t="s">
        <v>822</v>
      </c>
      <c r="G862" s="23" t="s">
        <v>902</v>
      </c>
      <c r="H862" s="2" t="s">
        <v>822</v>
      </c>
      <c r="J862" s="31">
        <v>50.449199700000001</v>
      </c>
      <c r="K862" s="31">
        <v>-7.6238899</v>
      </c>
      <c r="L862" s="31"/>
      <c r="M862" s="31" t="s">
        <v>854</v>
      </c>
      <c r="N862" s="6" t="s">
        <v>856</v>
      </c>
    </row>
    <row r="863" spans="1:14" ht="15" customHeight="1" x14ac:dyDescent="0.2">
      <c r="A863" s="31">
        <v>1.3931129708199139</v>
      </c>
      <c r="B863" s="31"/>
      <c r="C863" s="2" t="s">
        <v>855</v>
      </c>
      <c r="D863" s="31">
        <f t="shared" si="24"/>
        <v>0.27305014228070312</v>
      </c>
      <c r="F863" s="2" t="s">
        <v>822</v>
      </c>
      <c r="G863" s="23" t="s">
        <v>902</v>
      </c>
      <c r="H863" s="2" t="s">
        <v>822</v>
      </c>
      <c r="J863" s="31">
        <v>28.468700399999999</v>
      </c>
      <c r="K863" s="31">
        <v>50.361099199999998</v>
      </c>
      <c r="L863" s="31"/>
      <c r="M863" s="31" t="s">
        <v>854</v>
      </c>
      <c r="N863" s="6" t="s">
        <v>856</v>
      </c>
    </row>
    <row r="864" spans="1:14" ht="15" customHeight="1" x14ac:dyDescent="0.2">
      <c r="A864" s="31">
        <v>1.3919381990262669</v>
      </c>
      <c r="B864" s="31"/>
      <c r="C864" s="2" t="s">
        <v>855</v>
      </c>
      <c r="D864" s="31">
        <f t="shared" si="24"/>
        <v>0.27281988700914833</v>
      </c>
      <c r="F864" s="2" t="s">
        <v>822</v>
      </c>
      <c r="G864" s="23" t="s">
        <v>902</v>
      </c>
      <c r="H864" s="2" t="s">
        <v>822</v>
      </c>
      <c r="J864" s="31">
        <v>30.947599400000001</v>
      </c>
      <c r="K864" s="31">
        <v>29.335599899999998</v>
      </c>
      <c r="L864" s="31"/>
      <c r="M864" s="31" t="s">
        <v>854</v>
      </c>
      <c r="N864" s="6" t="s">
        <v>856</v>
      </c>
    </row>
    <row r="865" spans="1:14" ht="15" customHeight="1" x14ac:dyDescent="0.2">
      <c r="A865" s="31">
        <v>1.391228176575324</v>
      </c>
      <c r="B865" s="31"/>
      <c r="C865" s="2" t="s">
        <v>855</v>
      </c>
      <c r="D865" s="31">
        <f t="shared" si="24"/>
        <v>0.27268072260876353</v>
      </c>
      <c r="F865" s="2" t="s">
        <v>822</v>
      </c>
      <c r="G865" s="23" t="s">
        <v>902</v>
      </c>
      <c r="H865" s="2" t="s">
        <v>822</v>
      </c>
      <c r="J865" s="31">
        <v>32.2671013</v>
      </c>
      <c r="K865" s="31">
        <v>-9.6901797999999992</v>
      </c>
      <c r="L865" s="31"/>
      <c r="M865" s="31" t="s">
        <v>854</v>
      </c>
      <c r="N865" s="6" t="s">
        <v>856</v>
      </c>
    </row>
    <row r="866" spans="1:14" ht="15" customHeight="1" x14ac:dyDescent="0.2">
      <c r="A866" s="31">
        <v>1.390144103183472</v>
      </c>
      <c r="B866" s="31"/>
      <c r="C866" s="2" t="s">
        <v>855</v>
      </c>
      <c r="D866" s="31">
        <f t="shared" si="24"/>
        <v>0.27246824422396054</v>
      </c>
      <c r="F866" s="2" t="s">
        <v>822</v>
      </c>
      <c r="G866" s="23" t="s">
        <v>902</v>
      </c>
      <c r="H866" s="2" t="s">
        <v>822</v>
      </c>
      <c r="J866" s="31">
        <v>32.528301200000001</v>
      </c>
      <c r="K866" s="31">
        <v>34.362701399999999</v>
      </c>
      <c r="L866" s="31"/>
      <c r="M866" s="31" t="s">
        <v>854</v>
      </c>
      <c r="N866" s="6" t="s">
        <v>856</v>
      </c>
    </row>
    <row r="867" spans="1:14" ht="15" customHeight="1" x14ac:dyDescent="0.2">
      <c r="A867" s="31">
        <v>1.3886454316506001</v>
      </c>
      <c r="B867" s="31"/>
      <c r="C867" s="2" t="s">
        <v>855</v>
      </c>
      <c r="D867" s="31">
        <f t="shared" si="24"/>
        <v>0.27217450460351761</v>
      </c>
      <c r="F867" s="2" t="s">
        <v>822</v>
      </c>
      <c r="G867" s="23" t="s">
        <v>902</v>
      </c>
      <c r="H867" s="2" t="s">
        <v>822</v>
      </c>
      <c r="J867" s="31">
        <v>57.577800799999999</v>
      </c>
      <c r="K867" s="31">
        <v>23.602100400000001</v>
      </c>
      <c r="L867" s="31"/>
      <c r="M867" s="31" t="s">
        <v>854</v>
      </c>
      <c r="N867" s="6" t="s">
        <v>856</v>
      </c>
    </row>
    <row r="868" spans="1:14" ht="15" customHeight="1" x14ac:dyDescent="0.2">
      <c r="A868" s="31">
        <v>1.3884452461699019</v>
      </c>
      <c r="B868" s="31"/>
      <c r="C868" s="2" t="s">
        <v>855</v>
      </c>
      <c r="D868" s="31">
        <f t="shared" si="24"/>
        <v>0.27213526824930079</v>
      </c>
      <c r="F868" s="2" t="s">
        <v>822</v>
      </c>
      <c r="G868" s="23" t="s">
        <v>902</v>
      </c>
      <c r="H868" s="2" t="s">
        <v>822</v>
      </c>
      <c r="J868" s="31">
        <v>43.213600200000002</v>
      </c>
      <c r="K868" s="31">
        <v>7.0145898000000004</v>
      </c>
      <c r="L868" s="31"/>
      <c r="M868" s="31" t="s">
        <v>854</v>
      </c>
      <c r="N868" s="6" t="s">
        <v>856</v>
      </c>
    </row>
    <row r="869" spans="1:14" ht="15" customHeight="1" x14ac:dyDescent="0.2">
      <c r="A869" s="31">
        <v>1.388197162688211</v>
      </c>
      <c r="B869" s="31"/>
      <c r="C869" s="2" t="s">
        <v>855</v>
      </c>
      <c r="D869" s="31">
        <f t="shared" si="24"/>
        <v>0.27208664388688936</v>
      </c>
      <c r="F869" s="2" t="s">
        <v>822</v>
      </c>
      <c r="G869" s="23" t="s">
        <v>902</v>
      </c>
      <c r="H869" s="2" t="s">
        <v>822</v>
      </c>
      <c r="J869" s="31">
        <v>28.446500799999999</v>
      </c>
      <c r="K869" s="31">
        <v>-11.618300400000001</v>
      </c>
      <c r="L869" s="31"/>
      <c r="M869" s="31" t="s">
        <v>854</v>
      </c>
      <c r="N869" s="6" t="s">
        <v>856</v>
      </c>
    </row>
    <row r="870" spans="1:14" ht="15" customHeight="1" x14ac:dyDescent="0.2">
      <c r="A870" s="31">
        <v>1.385155838837629</v>
      </c>
      <c r="B870" s="31"/>
      <c r="C870" s="2" t="s">
        <v>855</v>
      </c>
      <c r="D870" s="31">
        <f t="shared" si="24"/>
        <v>0.27149054441217529</v>
      </c>
      <c r="F870" s="2" t="s">
        <v>822</v>
      </c>
      <c r="G870" s="23" t="s">
        <v>902</v>
      </c>
      <c r="H870" s="2" t="s">
        <v>822</v>
      </c>
      <c r="J870" s="31">
        <v>25.364700299999999</v>
      </c>
      <c r="K870" s="31">
        <v>53.391700700000001</v>
      </c>
      <c r="L870" s="31"/>
      <c r="M870" s="31" t="s">
        <v>854</v>
      </c>
      <c r="N870" s="6" t="s">
        <v>856</v>
      </c>
    </row>
    <row r="871" spans="1:14" ht="15" customHeight="1" x14ac:dyDescent="0.2">
      <c r="A871" s="22">
        <v>0.27147032590613979</v>
      </c>
      <c r="B871" s="22"/>
      <c r="C871" s="2" t="s">
        <v>891</v>
      </c>
      <c r="D871" s="2">
        <f>A871</f>
        <v>0.27147032590613979</v>
      </c>
      <c r="F871" s="2">
        <v>2023</v>
      </c>
      <c r="G871" s="23" t="s">
        <v>902</v>
      </c>
      <c r="H871" s="2" t="s">
        <v>766</v>
      </c>
      <c r="I871" s="23" t="s">
        <v>188</v>
      </c>
      <c r="J871" s="23">
        <v>58.250118000000001</v>
      </c>
      <c r="K871" s="23">
        <v>11.445406</v>
      </c>
      <c r="L871" s="23" t="s">
        <v>819</v>
      </c>
      <c r="M871" s="2" t="s">
        <v>825</v>
      </c>
      <c r="N871" s="6" t="s">
        <v>828</v>
      </c>
    </row>
    <row r="872" spans="1:14" ht="15" customHeight="1" x14ac:dyDescent="0.2">
      <c r="A872" s="31">
        <v>1.384302352105613</v>
      </c>
      <c r="B872" s="31"/>
      <c r="C872" s="2" t="s">
        <v>855</v>
      </c>
      <c r="D872" s="31">
        <f t="shared" ref="D872:D883" si="25" xml:space="preserve"> A872 * 0.196</f>
        <v>0.27132326101270016</v>
      </c>
      <c r="F872" s="2" t="s">
        <v>822</v>
      </c>
      <c r="G872" s="23" t="s">
        <v>902</v>
      </c>
      <c r="H872" s="2" t="s">
        <v>822</v>
      </c>
      <c r="J872" s="31">
        <v>59.462898299999999</v>
      </c>
      <c r="K872" s="31">
        <v>23.3617001</v>
      </c>
      <c r="L872" s="31"/>
      <c r="M872" s="31" t="s">
        <v>854</v>
      </c>
      <c r="N872" s="6" t="s">
        <v>856</v>
      </c>
    </row>
    <row r="873" spans="1:14" ht="15" customHeight="1" x14ac:dyDescent="0.2">
      <c r="A873" s="31">
        <v>1.3836976007274151</v>
      </c>
      <c r="B873" s="31"/>
      <c r="C873" s="2" t="s">
        <v>855</v>
      </c>
      <c r="D873" s="31">
        <f t="shared" si="25"/>
        <v>0.27120472974257337</v>
      </c>
      <c r="F873" s="2" t="s">
        <v>822</v>
      </c>
      <c r="G873" s="23" t="s">
        <v>902</v>
      </c>
      <c r="H873" s="2" t="s">
        <v>822</v>
      </c>
      <c r="J873" s="31">
        <v>59.128101299999997</v>
      </c>
      <c r="K873" s="31">
        <v>18.4410992</v>
      </c>
      <c r="L873" s="31"/>
      <c r="M873" s="31" t="s">
        <v>854</v>
      </c>
      <c r="N873" s="6" t="s">
        <v>856</v>
      </c>
    </row>
    <row r="874" spans="1:14" ht="15" customHeight="1" x14ac:dyDescent="0.2">
      <c r="A874" s="31">
        <v>1.382995012732255</v>
      </c>
      <c r="B874" s="31"/>
      <c r="C874" s="2" t="s">
        <v>855</v>
      </c>
      <c r="D874" s="31">
        <f t="shared" si="25"/>
        <v>0.271067022495522</v>
      </c>
      <c r="F874" s="2" t="s">
        <v>822</v>
      </c>
      <c r="G874" s="23" t="s">
        <v>902</v>
      </c>
      <c r="H874" s="2" t="s">
        <v>822</v>
      </c>
      <c r="J874" s="31">
        <v>42.507999400000003</v>
      </c>
      <c r="K874" s="31">
        <v>6.0963998000000004</v>
      </c>
      <c r="L874" s="31"/>
      <c r="M874" s="31" t="s">
        <v>854</v>
      </c>
      <c r="N874" s="6" t="s">
        <v>856</v>
      </c>
    </row>
    <row r="875" spans="1:14" ht="15" customHeight="1" x14ac:dyDescent="0.2">
      <c r="A875" s="31">
        <v>1.381872952028447</v>
      </c>
      <c r="B875" s="31"/>
      <c r="C875" s="2" t="s">
        <v>855</v>
      </c>
      <c r="D875" s="31">
        <f t="shared" si="25"/>
        <v>0.27084709859757561</v>
      </c>
      <c r="F875" s="2" t="s">
        <v>822</v>
      </c>
      <c r="G875" s="23" t="s">
        <v>902</v>
      </c>
      <c r="H875" s="2" t="s">
        <v>822</v>
      </c>
      <c r="J875" s="31">
        <v>40.0680008</v>
      </c>
      <c r="K875" s="31">
        <v>-23.856000900000002</v>
      </c>
      <c r="L875" s="31"/>
      <c r="M875" s="31" t="s">
        <v>854</v>
      </c>
      <c r="N875" s="6" t="s">
        <v>856</v>
      </c>
    </row>
    <row r="876" spans="1:14" ht="15" customHeight="1" x14ac:dyDescent="0.2">
      <c r="A876" s="31">
        <v>1.380747396551895</v>
      </c>
      <c r="B876" s="31"/>
      <c r="C876" s="2" t="s">
        <v>855</v>
      </c>
      <c r="D876" s="31">
        <f t="shared" si="25"/>
        <v>0.27062648972417142</v>
      </c>
      <c r="F876" s="2" t="s">
        <v>822</v>
      </c>
      <c r="G876" s="23" t="s">
        <v>902</v>
      </c>
      <c r="H876" s="2" t="s">
        <v>822</v>
      </c>
      <c r="J876" s="31">
        <v>34.458000200000001</v>
      </c>
      <c r="K876" s="31">
        <v>-6.6476898000000002</v>
      </c>
      <c r="L876" s="31"/>
      <c r="M876" s="31" t="s">
        <v>854</v>
      </c>
      <c r="N876" s="6" t="s">
        <v>856</v>
      </c>
    </row>
    <row r="877" spans="1:14" ht="15" customHeight="1" x14ac:dyDescent="0.2">
      <c r="A877" s="31">
        <v>1.3803862994239919</v>
      </c>
      <c r="B877" s="31"/>
      <c r="C877" s="2" t="s">
        <v>855</v>
      </c>
      <c r="D877" s="31">
        <f t="shared" si="25"/>
        <v>0.27055571468710243</v>
      </c>
      <c r="F877" s="2" t="s">
        <v>822</v>
      </c>
      <c r="G877" s="23" t="s">
        <v>902</v>
      </c>
      <c r="H877" s="2" t="s">
        <v>822</v>
      </c>
      <c r="J877" s="31">
        <v>25.220600099999999</v>
      </c>
      <c r="K877" s="31">
        <v>-20.097200399999998</v>
      </c>
      <c r="L877" s="31"/>
      <c r="M877" s="31" t="s">
        <v>854</v>
      </c>
      <c r="N877" s="6" t="s">
        <v>856</v>
      </c>
    </row>
    <row r="878" spans="1:14" ht="15" customHeight="1" x14ac:dyDescent="0.2">
      <c r="A878" s="31">
        <v>1.379456590787119</v>
      </c>
      <c r="B878" s="31"/>
      <c r="C878" s="2" t="s">
        <v>855</v>
      </c>
      <c r="D878" s="31">
        <f t="shared" si="25"/>
        <v>0.27037349179427533</v>
      </c>
      <c r="F878" s="2" t="s">
        <v>822</v>
      </c>
      <c r="G878" s="23" t="s">
        <v>902</v>
      </c>
      <c r="H878" s="2" t="s">
        <v>822</v>
      </c>
      <c r="J878" s="31">
        <v>57.148700699999999</v>
      </c>
      <c r="K878" s="31">
        <v>23.707000699999998</v>
      </c>
      <c r="L878" s="31"/>
      <c r="M878" s="31" t="s">
        <v>854</v>
      </c>
      <c r="N878" s="6" t="s">
        <v>856</v>
      </c>
    </row>
    <row r="879" spans="1:14" ht="15" customHeight="1" x14ac:dyDescent="0.2">
      <c r="A879" s="31">
        <v>1.378228661450791</v>
      </c>
      <c r="B879" s="31"/>
      <c r="C879" s="2" t="s">
        <v>855</v>
      </c>
      <c r="D879" s="31">
        <f t="shared" si="25"/>
        <v>0.27013281764435504</v>
      </c>
      <c r="F879" s="2" t="s">
        <v>822</v>
      </c>
      <c r="G879" s="23" t="s">
        <v>902</v>
      </c>
      <c r="H879" s="2" t="s">
        <v>822</v>
      </c>
      <c r="J879" s="31">
        <v>43.4557991</v>
      </c>
      <c r="K879" s="31">
        <v>-2.0791599999999999</v>
      </c>
      <c r="L879" s="31"/>
      <c r="M879" s="31" t="s">
        <v>854</v>
      </c>
      <c r="N879" s="6" t="s">
        <v>856</v>
      </c>
    </row>
    <row r="880" spans="1:14" ht="15" customHeight="1" x14ac:dyDescent="0.2">
      <c r="A880" s="31">
        <v>1.377644044278602</v>
      </c>
      <c r="B880" s="31"/>
      <c r="C880" s="2" t="s">
        <v>855</v>
      </c>
      <c r="D880" s="31">
        <f t="shared" si="25"/>
        <v>0.27001823267860597</v>
      </c>
      <c r="F880" s="2" t="s">
        <v>822</v>
      </c>
      <c r="G880" s="23" t="s">
        <v>902</v>
      </c>
      <c r="H880" s="2" t="s">
        <v>822</v>
      </c>
      <c r="J880" s="31">
        <v>26.0984993</v>
      </c>
      <c r="K880" s="31">
        <v>-33.201099399999997</v>
      </c>
      <c r="L880" s="31"/>
      <c r="M880" s="31" t="s">
        <v>854</v>
      </c>
      <c r="N880" s="6" t="s">
        <v>856</v>
      </c>
    </row>
    <row r="881" spans="1:14" ht="15" customHeight="1" x14ac:dyDescent="0.2">
      <c r="A881" s="31">
        <v>1.376099016502274</v>
      </c>
      <c r="B881" s="31"/>
      <c r="C881" s="2" t="s">
        <v>855</v>
      </c>
      <c r="D881" s="31">
        <f t="shared" si="25"/>
        <v>0.2697154072344457</v>
      </c>
      <c r="F881" s="2" t="s">
        <v>822</v>
      </c>
      <c r="G881" s="23" t="s">
        <v>902</v>
      </c>
      <c r="H881" s="2" t="s">
        <v>822</v>
      </c>
      <c r="J881" s="31">
        <v>38.986698199999999</v>
      </c>
      <c r="K881" s="31">
        <v>-19.783899300000002</v>
      </c>
      <c r="L881" s="31"/>
      <c r="M881" s="31" t="s">
        <v>854</v>
      </c>
      <c r="N881" s="6" t="s">
        <v>856</v>
      </c>
    </row>
    <row r="882" spans="1:14" ht="15" customHeight="1" x14ac:dyDescent="0.2">
      <c r="A882" s="31">
        <v>1.3743338155549569</v>
      </c>
      <c r="B882" s="31"/>
      <c r="C882" s="2" t="s">
        <v>855</v>
      </c>
      <c r="D882" s="31">
        <f t="shared" si="25"/>
        <v>0.26936942784877155</v>
      </c>
      <c r="F882" s="2" t="s">
        <v>822</v>
      </c>
      <c r="G882" s="23" t="s">
        <v>902</v>
      </c>
      <c r="H882" s="2" t="s">
        <v>822</v>
      </c>
      <c r="J882" s="31">
        <v>37.112598400000003</v>
      </c>
      <c r="K882" s="31">
        <v>13.675299600000001</v>
      </c>
      <c r="L882" s="31"/>
      <c r="M882" s="31" t="s">
        <v>854</v>
      </c>
      <c r="N882" s="6" t="s">
        <v>856</v>
      </c>
    </row>
    <row r="883" spans="1:14" ht="15" customHeight="1" x14ac:dyDescent="0.2">
      <c r="A883" s="31">
        <v>1.3727081464546149</v>
      </c>
      <c r="B883" s="31"/>
      <c r="C883" s="2" t="s">
        <v>855</v>
      </c>
      <c r="D883" s="31">
        <f t="shared" si="25"/>
        <v>0.26905079670510451</v>
      </c>
      <c r="F883" s="2" t="s">
        <v>822</v>
      </c>
      <c r="G883" s="23" t="s">
        <v>902</v>
      </c>
      <c r="H883" s="2" t="s">
        <v>822</v>
      </c>
      <c r="J883" s="31">
        <v>39.436401400000001</v>
      </c>
      <c r="K883" s="31">
        <v>-17.303499200000001</v>
      </c>
      <c r="L883" s="31"/>
      <c r="M883" s="31" t="s">
        <v>854</v>
      </c>
      <c r="N883" s="6" t="s">
        <v>856</v>
      </c>
    </row>
    <row r="884" spans="1:14" ht="15" customHeight="1" x14ac:dyDescent="0.2">
      <c r="A884" s="24">
        <v>0.26903527857710191</v>
      </c>
      <c r="B884" s="22"/>
      <c r="C884" s="2" t="s">
        <v>891</v>
      </c>
      <c r="D884" s="2">
        <f>A884</f>
        <v>0.26903527857710191</v>
      </c>
      <c r="F884" s="2">
        <v>2023</v>
      </c>
      <c r="G884" s="23" t="s">
        <v>902</v>
      </c>
      <c r="H884" s="2" t="s">
        <v>766</v>
      </c>
      <c r="I884" s="25" t="s">
        <v>188</v>
      </c>
      <c r="J884" s="25">
        <v>58.250115999999998</v>
      </c>
      <c r="K884" s="25">
        <v>11.445398000000001</v>
      </c>
      <c r="L884" s="23" t="s">
        <v>819</v>
      </c>
      <c r="M884" s="2" t="s">
        <v>825</v>
      </c>
      <c r="N884" s="6" t="s">
        <v>828</v>
      </c>
    </row>
    <row r="885" spans="1:14" ht="15" customHeight="1" x14ac:dyDescent="0.2">
      <c r="A885" s="31">
        <v>1.369886793244121</v>
      </c>
      <c r="B885" s="31"/>
      <c r="C885" s="2" t="s">
        <v>855</v>
      </c>
      <c r="D885" s="31">
        <f t="shared" ref="D885:D891" si="26" xml:space="preserve"> A885 * 0.196</f>
        <v>0.26849781147584773</v>
      </c>
      <c r="F885" s="2" t="s">
        <v>822</v>
      </c>
      <c r="G885" s="23" t="s">
        <v>902</v>
      </c>
      <c r="H885" s="2" t="s">
        <v>822</v>
      </c>
      <c r="J885" s="31">
        <v>32.981899300000002</v>
      </c>
      <c r="K885" s="31">
        <v>-8.8031901999999995</v>
      </c>
      <c r="L885" s="31"/>
      <c r="M885" s="31" t="s">
        <v>854</v>
      </c>
      <c r="N885" s="6" t="s">
        <v>856</v>
      </c>
    </row>
    <row r="886" spans="1:14" ht="15" customHeight="1" x14ac:dyDescent="0.2">
      <c r="A886" s="31">
        <v>1.3698195684382</v>
      </c>
      <c r="B886" s="31"/>
      <c r="C886" s="2" t="s">
        <v>855</v>
      </c>
      <c r="D886" s="31">
        <f t="shared" si="26"/>
        <v>0.26848463541388723</v>
      </c>
      <c r="F886" s="2" t="s">
        <v>822</v>
      </c>
      <c r="G886" s="23" t="s">
        <v>902</v>
      </c>
      <c r="H886" s="2" t="s">
        <v>822</v>
      </c>
      <c r="J886" s="31">
        <v>59.678398100000003</v>
      </c>
      <c r="K886" s="31">
        <v>26.149400700000001</v>
      </c>
      <c r="L886" s="31"/>
      <c r="M886" s="31" t="s">
        <v>854</v>
      </c>
      <c r="N886" s="6" t="s">
        <v>856</v>
      </c>
    </row>
    <row r="887" spans="1:14" ht="15" customHeight="1" x14ac:dyDescent="0.2">
      <c r="A887" s="31">
        <v>1.369359709075999</v>
      </c>
      <c r="B887" s="31"/>
      <c r="C887" s="2" t="s">
        <v>855</v>
      </c>
      <c r="D887" s="31">
        <f t="shared" si="26"/>
        <v>0.26839450297889583</v>
      </c>
      <c r="F887" s="2" t="s">
        <v>822</v>
      </c>
      <c r="G887" s="23" t="s">
        <v>902</v>
      </c>
      <c r="H887" s="2" t="s">
        <v>822</v>
      </c>
      <c r="J887" s="31">
        <v>58.4203987</v>
      </c>
      <c r="K887" s="31">
        <v>19.169700599999999</v>
      </c>
      <c r="L887" s="31"/>
      <c r="M887" s="31" t="s">
        <v>854</v>
      </c>
      <c r="N887" s="6" t="s">
        <v>856</v>
      </c>
    </row>
    <row r="888" spans="1:14" ht="15" customHeight="1" x14ac:dyDescent="0.2">
      <c r="A888" s="31">
        <v>1.366983477776587</v>
      </c>
      <c r="B888" s="31"/>
      <c r="C888" s="2" t="s">
        <v>855</v>
      </c>
      <c r="D888" s="31">
        <f t="shared" si="26"/>
        <v>0.26792876164421109</v>
      </c>
      <c r="F888" s="2" t="s">
        <v>822</v>
      </c>
      <c r="G888" s="23" t="s">
        <v>902</v>
      </c>
      <c r="H888" s="2" t="s">
        <v>822</v>
      </c>
      <c r="J888" s="31">
        <v>25.3575993</v>
      </c>
      <c r="K888" s="31">
        <v>52.986099199999998</v>
      </c>
      <c r="L888" s="31"/>
      <c r="M888" s="31" t="s">
        <v>854</v>
      </c>
      <c r="N888" s="6" t="s">
        <v>856</v>
      </c>
    </row>
    <row r="889" spans="1:14" ht="15" customHeight="1" x14ac:dyDescent="0.2">
      <c r="A889" s="31">
        <v>1.3668360529202119</v>
      </c>
      <c r="B889" s="31"/>
      <c r="C889" s="2" t="s">
        <v>855</v>
      </c>
      <c r="D889" s="31">
        <f t="shared" si="26"/>
        <v>0.26789986637236157</v>
      </c>
      <c r="F889" s="2" t="s">
        <v>822</v>
      </c>
      <c r="G889" s="23" t="s">
        <v>902</v>
      </c>
      <c r="H889" s="2" t="s">
        <v>822</v>
      </c>
      <c r="J889" s="31">
        <v>29.4335995</v>
      </c>
      <c r="K889" s="31">
        <v>49.847801199999999</v>
      </c>
      <c r="L889" s="31"/>
      <c r="M889" s="31" t="s">
        <v>854</v>
      </c>
      <c r="N889" s="6" t="s">
        <v>856</v>
      </c>
    </row>
    <row r="890" spans="1:14" ht="15" customHeight="1" x14ac:dyDescent="0.2">
      <c r="A890" s="31">
        <v>1.366217731815373</v>
      </c>
      <c r="B890" s="31"/>
      <c r="C890" s="2" t="s">
        <v>855</v>
      </c>
      <c r="D890" s="31">
        <f t="shared" si="26"/>
        <v>0.26777867543581313</v>
      </c>
      <c r="F890" s="2" t="s">
        <v>822</v>
      </c>
      <c r="G890" s="23" t="s">
        <v>902</v>
      </c>
      <c r="H890" s="2" t="s">
        <v>822</v>
      </c>
      <c r="J890" s="31">
        <v>27.296300899999999</v>
      </c>
      <c r="K890" s="31">
        <v>33.957500500000002</v>
      </c>
      <c r="L890" s="31"/>
      <c r="M890" s="31" t="s">
        <v>854</v>
      </c>
      <c r="N890" s="6" t="s">
        <v>856</v>
      </c>
    </row>
    <row r="891" spans="1:14" ht="15" customHeight="1" x14ac:dyDescent="0.2">
      <c r="A891" s="31">
        <v>1.365545988549048</v>
      </c>
      <c r="B891" s="31"/>
      <c r="C891" s="2" t="s">
        <v>855</v>
      </c>
      <c r="D891" s="31">
        <f t="shared" si="26"/>
        <v>0.26764701375561339</v>
      </c>
      <c r="F891" s="2" t="s">
        <v>822</v>
      </c>
      <c r="G891" s="23" t="s">
        <v>902</v>
      </c>
      <c r="H891" s="2" t="s">
        <v>822</v>
      </c>
      <c r="J891" s="31">
        <v>28.4239006</v>
      </c>
      <c r="K891" s="31">
        <v>-11.8837996</v>
      </c>
      <c r="L891" s="31"/>
      <c r="M891" s="31" t="s">
        <v>854</v>
      </c>
      <c r="N891" s="6" t="s">
        <v>856</v>
      </c>
    </row>
    <row r="892" spans="1:14" ht="15" customHeight="1" x14ac:dyDescent="0.2">
      <c r="A892" s="22">
        <v>0.26762948990465912</v>
      </c>
      <c r="B892" s="22"/>
      <c r="C892" s="2" t="s">
        <v>891</v>
      </c>
      <c r="D892" s="2">
        <f>A892</f>
        <v>0.26762948990465912</v>
      </c>
      <c r="F892" s="2">
        <v>2023</v>
      </c>
      <c r="G892" s="23" t="s">
        <v>902</v>
      </c>
      <c r="H892" s="2" t="s">
        <v>766</v>
      </c>
      <c r="I892" s="23" t="s">
        <v>188</v>
      </c>
      <c r="J892" s="23">
        <v>58.250121</v>
      </c>
      <c r="K892" s="23">
        <v>11.445408</v>
      </c>
      <c r="L892" s="23" t="s">
        <v>819</v>
      </c>
      <c r="M892" s="2" t="s">
        <v>825</v>
      </c>
      <c r="N892" s="6" t="s">
        <v>828</v>
      </c>
    </row>
    <row r="893" spans="1:14" ht="15" customHeight="1" x14ac:dyDescent="0.2">
      <c r="A893" s="31">
        <v>1.362704255903433</v>
      </c>
      <c r="B893" s="31"/>
      <c r="C893" s="2" t="s">
        <v>855</v>
      </c>
      <c r="D893" s="31">
        <f xml:space="preserve"> A893 * 0.196</f>
        <v>0.26709003415707289</v>
      </c>
      <c r="F893" s="2" t="s">
        <v>822</v>
      </c>
      <c r="G893" s="23" t="s">
        <v>902</v>
      </c>
      <c r="H893" s="2" t="s">
        <v>822</v>
      </c>
      <c r="J893" s="31">
        <v>58.418800400000002</v>
      </c>
      <c r="K893" s="31">
        <v>21.930499999999999</v>
      </c>
      <c r="L893" s="31"/>
      <c r="M893" s="31" t="s">
        <v>854</v>
      </c>
      <c r="N893" s="6" t="s">
        <v>856</v>
      </c>
    </row>
    <row r="894" spans="1:14" ht="15" customHeight="1" x14ac:dyDescent="0.2">
      <c r="A894" s="31">
        <v>1.362667642198977</v>
      </c>
      <c r="B894" s="31"/>
      <c r="C894" s="2" t="s">
        <v>855</v>
      </c>
      <c r="D894" s="31">
        <f xml:space="preserve"> A894 * 0.196</f>
        <v>0.2670828578709995</v>
      </c>
      <c r="F894" s="2" t="s">
        <v>822</v>
      </c>
      <c r="G894" s="23" t="s">
        <v>902</v>
      </c>
      <c r="H894" s="2" t="s">
        <v>822</v>
      </c>
      <c r="J894" s="31">
        <v>26.7005005</v>
      </c>
      <c r="K894" s="31">
        <v>-16.516199100000001</v>
      </c>
      <c r="L894" s="31"/>
      <c r="M894" s="31" t="s">
        <v>854</v>
      </c>
      <c r="N894" s="6" t="s">
        <v>856</v>
      </c>
    </row>
    <row r="895" spans="1:14" ht="15" customHeight="1" x14ac:dyDescent="0.2">
      <c r="A895" s="31">
        <v>1.3613612749539541</v>
      </c>
      <c r="B895" s="31"/>
      <c r="C895" s="2" t="s">
        <v>855</v>
      </c>
      <c r="D895" s="31">
        <f xml:space="preserve"> A895 * 0.196</f>
        <v>0.26682680989097501</v>
      </c>
      <c r="F895" s="2" t="s">
        <v>822</v>
      </c>
      <c r="G895" s="23" t="s">
        <v>902</v>
      </c>
      <c r="H895" s="2" t="s">
        <v>822</v>
      </c>
      <c r="J895" s="31">
        <v>36.571800199999998</v>
      </c>
      <c r="K895" s="31">
        <v>35.057399699999998</v>
      </c>
      <c r="L895" s="31"/>
      <c r="M895" s="31" t="s">
        <v>854</v>
      </c>
      <c r="N895" s="6" t="s">
        <v>856</v>
      </c>
    </row>
    <row r="896" spans="1:14" ht="15" customHeight="1" x14ac:dyDescent="0.2">
      <c r="A896" s="31">
        <v>1.3593284900656231</v>
      </c>
      <c r="B896" s="31"/>
      <c r="C896" s="2" t="s">
        <v>855</v>
      </c>
      <c r="D896" s="31">
        <f xml:space="preserve"> A896 * 0.196</f>
        <v>0.26642838405286212</v>
      </c>
      <c r="F896" s="2" t="s">
        <v>822</v>
      </c>
      <c r="G896" s="23" t="s">
        <v>902</v>
      </c>
      <c r="H896" s="2" t="s">
        <v>822</v>
      </c>
      <c r="J896" s="31">
        <v>35.741500899999998</v>
      </c>
      <c r="K896" s="31">
        <v>31.923799500000001</v>
      </c>
      <c r="L896" s="31"/>
      <c r="M896" s="31" t="s">
        <v>854</v>
      </c>
      <c r="N896" s="6" t="s">
        <v>856</v>
      </c>
    </row>
    <row r="897" spans="1:14" ht="15" customHeight="1" x14ac:dyDescent="0.2">
      <c r="A897" s="31">
        <v>1.356601105496485</v>
      </c>
      <c r="B897" s="31"/>
      <c r="C897" s="2" t="s">
        <v>855</v>
      </c>
      <c r="D897" s="31">
        <f xml:space="preserve"> A897 * 0.196</f>
        <v>0.2658938166773111</v>
      </c>
      <c r="F897" s="2" t="s">
        <v>822</v>
      </c>
      <c r="G897" s="23" t="s">
        <v>902</v>
      </c>
      <c r="H897" s="2" t="s">
        <v>822</v>
      </c>
      <c r="J897" s="31">
        <v>34.954799700000002</v>
      </c>
      <c r="K897" s="31">
        <v>33.701099399999997</v>
      </c>
      <c r="L897" s="31"/>
      <c r="M897" s="31" t="s">
        <v>854</v>
      </c>
      <c r="N897" s="6" t="s">
        <v>856</v>
      </c>
    </row>
    <row r="898" spans="1:14" ht="15" customHeight="1" x14ac:dyDescent="0.2">
      <c r="A898" s="22">
        <v>0.26560744851649987</v>
      </c>
      <c r="B898" s="22"/>
      <c r="C898" s="2" t="s">
        <v>891</v>
      </c>
      <c r="D898" s="2">
        <f>A898</f>
        <v>0.26560744851649987</v>
      </c>
      <c r="F898" s="2">
        <v>2023</v>
      </c>
      <c r="G898" s="23" t="s">
        <v>902</v>
      </c>
      <c r="H898" s="2" t="s">
        <v>767</v>
      </c>
      <c r="I898" s="23" t="s">
        <v>188</v>
      </c>
      <c r="J898" s="23">
        <v>58.250129999999999</v>
      </c>
      <c r="K898" s="23">
        <v>11.445423</v>
      </c>
      <c r="L898" s="23" t="s">
        <v>819</v>
      </c>
      <c r="M898" s="2" t="s">
        <v>825</v>
      </c>
      <c r="N898" s="6" t="s">
        <v>828</v>
      </c>
    </row>
    <row r="899" spans="1:14" ht="15" customHeight="1" x14ac:dyDescent="0.2">
      <c r="A899" s="31">
        <v>1.3550839597016751</v>
      </c>
      <c r="B899" s="31"/>
      <c r="C899" s="2" t="s">
        <v>855</v>
      </c>
      <c r="D899" s="31">
        <f t="shared" ref="D899:D908" si="27" xml:space="preserve"> A899 * 0.196</f>
        <v>0.26559645610152832</v>
      </c>
      <c r="F899" s="2" t="s">
        <v>822</v>
      </c>
      <c r="G899" s="23" t="s">
        <v>902</v>
      </c>
      <c r="H899" s="2" t="s">
        <v>822</v>
      </c>
      <c r="J899" s="31">
        <v>40.013900800000002</v>
      </c>
      <c r="K899" s="31">
        <v>-16.613500599999998</v>
      </c>
      <c r="L899" s="31"/>
      <c r="M899" s="31" t="s">
        <v>854</v>
      </c>
      <c r="N899" s="6" t="s">
        <v>856</v>
      </c>
    </row>
    <row r="900" spans="1:14" ht="15" customHeight="1" x14ac:dyDescent="0.2">
      <c r="A900" s="31">
        <v>1.354959675756491</v>
      </c>
      <c r="B900" s="31"/>
      <c r="C900" s="2" t="s">
        <v>855</v>
      </c>
      <c r="D900" s="31">
        <f t="shared" si="27"/>
        <v>0.26557209644827223</v>
      </c>
      <c r="F900" s="2" t="s">
        <v>822</v>
      </c>
      <c r="G900" s="23" t="s">
        <v>902</v>
      </c>
      <c r="H900" s="2" t="s">
        <v>822</v>
      </c>
      <c r="J900" s="31">
        <v>25.420700100000001</v>
      </c>
      <c r="K900" s="31">
        <v>-14.8643999</v>
      </c>
      <c r="L900" s="31"/>
      <c r="M900" s="31" t="s">
        <v>854</v>
      </c>
      <c r="N900" s="6" t="s">
        <v>856</v>
      </c>
    </row>
    <row r="901" spans="1:14" ht="15" customHeight="1" x14ac:dyDescent="0.2">
      <c r="A901" s="31">
        <v>1.354844256495167</v>
      </c>
      <c r="B901" s="31"/>
      <c r="C901" s="2" t="s">
        <v>855</v>
      </c>
      <c r="D901" s="31">
        <f t="shared" si="27"/>
        <v>0.26554947427305275</v>
      </c>
      <c r="F901" s="2" t="s">
        <v>822</v>
      </c>
      <c r="G901" s="23" t="s">
        <v>902</v>
      </c>
      <c r="H901" s="2" t="s">
        <v>822</v>
      </c>
      <c r="J901" s="31">
        <v>34.709999099999997</v>
      </c>
      <c r="K901" s="31">
        <v>11.592499699999999</v>
      </c>
      <c r="L901" s="31"/>
      <c r="M901" s="31" t="s">
        <v>854</v>
      </c>
      <c r="N901" s="6" t="s">
        <v>856</v>
      </c>
    </row>
    <row r="902" spans="1:14" ht="15" customHeight="1" x14ac:dyDescent="0.2">
      <c r="A902" s="31">
        <v>1.354433649085109</v>
      </c>
      <c r="B902" s="31"/>
      <c r="C902" s="2" t="s">
        <v>855</v>
      </c>
      <c r="D902" s="31">
        <f t="shared" si="27"/>
        <v>0.26546899522068135</v>
      </c>
      <c r="F902" s="2" t="s">
        <v>822</v>
      </c>
      <c r="G902" s="23" t="s">
        <v>902</v>
      </c>
      <c r="H902" s="2" t="s">
        <v>822</v>
      </c>
      <c r="J902" s="31">
        <v>58.419899000000001</v>
      </c>
      <c r="K902" s="31">
        <v>19.294300100000001</v>
      </c>
      <c r="L902" s="31"/>
      <c r="M902" s="31" t="s">
        <v>854</v>
      </c>
      <c r="N902" s="6" t="s">
        <v>856</v>
      </c>
    </row>
    <row r="903" spans="1:14" ht="15" customHeight="1" x14ac:dyDescent="0.2">
      <c r="A903" s="31">
        <v>1.3535790694225931</v>
      </c>
      <c r="B903" s="31"/>
      <c r="C903" s="2" t="s">
        <v>855</v>
      </c>
      <c r="D903" s="31">
        <f t="shared" si="27"/>
        <v>0.26530149760682825</v>
      </c>
      <c r="F903" s="2" t="s">
        <v>822</v>
      </c>
      <c r="G903" s="23" t="s">
        <v>902</v>
      </c>
      <c r="H903" s="2" t="s">
        <v>822</v>
      </c>
      <c r="J903" s="31">
        <v>29.801500300000001</v>
      </c>
      <c r="K903" s="31">
        <v>50.1228981</v>
      </c>
      <c r="L903" s="31"/>
      <c r="M903" s="31" t="s">
        <v>854</v>
      </c>
      <c r="N903" s="6" t="s">
        <v>856</v>
      </c>
    </row>
    <row r="904" spans="1:14" ht="15" customHeight="1" x14ac:dyDescent="0.2">
      <c r="A904" s="31">
        <v>1.353109318791089</v>
      </c>
      <c r="B904" s="31"/>
      <c r="C904" s="2" t="s">
        <v>855</v>
      </c>
      <c r="D904" s="31">
        <f t="shared" si="27"/>
        <v>0.26520942648305346</v>
      </c>
      <c r="F904" s="2" t="s">
        <v>822</v>
      </c>
      <c r="G904" s="23" t="s">
        <v>902</v>
      </c>
      <c r="H904" s="2" t="s">
        <v>822</v>
      </c>
      <c r="J904" s="31">
        <v>41.820598599999997</v>
      </c>
      <c r="K904" s="31">
        <v>6.3878398000000001</v>
      </c>
      <c r="L904" s="31"/>
      <c r="M904" s="31" t="s">
        <v>854</v>
      </c>
      <c r="N904" s="6" t="s">
        <v>856</v>
      </c>
    </row>
    <row r="905" spans="1:14" ht="15" customHeight="1" x14ac:dyDescent="0.2">
      <c r="A905" s="31">
        <v>1.3527943142333461</v>
      </c>
      <c r="B905" s="31"/>
      <c r="C905" s="2" t="s">
        <v>855</v>
      </c>
      <c r="D905" s="31">
        <f t="shared" si="27"/>
        <v>0.26514768558973584</v>
      </c>
      <c r="F905" s="2" t="s">
        <v>822</v>
      </c>
      <c r="G905" s="23" t="s">
        <v>902</v>
      </c>
      <c r="H905" s="2" t="s">
        <v>822</v>
      </c>
      <c r="J905" s="31">
        <v>27.304300300000001</v>
      </c>
      <c r="K905" s="31">
        <v>-13.7279997</v>
      </c>
      <c r="L905" s="31"/>
      <c r="M905" s="31" t="s">
        <v>854</v>
      </c>
      <c r="N905" s="6" t="s">
        <v>856</v>
      </c>
    </row>
    <row r="906" spans="1:14" ht="15" customHeight="1" x14ac:dyDescent="0.2">
      <c r="A906" s="31">
        <v>1.351553903638357</v>
      </c>
      <c r="B906" s="31"/>
      <c r="C906" s="2" t="s">
        <v>855</v>
      </c>
      <c r="D906" s="31">
        <f t="shared" si="27"/>
        <v>0.264904565113118</v>
      </c>
      <c r="F906" s="2" t="s">
        <v>822</v>
      </c>
      <c r="G906" s="23" t="s">
        <v>902</v>
      </c>
      <c r="H906" s="2" t="s">
        <v>822</v>
      </c>
      <c r="J906" s="31">
        <v>57.138000499999997</v>
      </c>
      <c r="K906" s="31">
        <v>18.494399999999999</v>
      </c>
      <c r="L906" s="31"/>
      <c r="M906" s="31" t="s">
        <v>854</v>
      </c>
      <c r="N906" s="6" t="s">
        <v>856</v>
      </c>
    </row>
    <row r="907" spans="1:14" ht="15" customHeight="1" x14ac:dyDescent="0.2">
      <c r="A907" s="31">
        <v>1.351196465772178</v>
      </c>
      <c r="B907" s="31"/>
      <c r="C907" s="2" t="s">
        <v>855</v>
      </c>
      <c r="D907" s="31">
        <f t="shared" si="27"/>
        <v>0.26483450729134689</v>
      </c>
      <c r="F907" s="2" t="s">
        <v>822</v>
      </c>
      <c r="G907" s="23" t="s">
        <v>902</v>
      </c>
      <c r="H907" s="2" t="s">
        <v>822</v>
      </c>
      <c r="J907" s="31">
        <v>57.290000900000003</v>
      </c>
      <c r="K907" s="31">
        <v>18.076000199999999</v>
      </c>
      <c r="L907" s="31"/>
      <c r="M907" s="31" t="s">
        <v>854</v>
      </c>
      <c r="N907" s="6" t="s">
        <v>856</v>
      </c>
    </row>
    <row r="908" spans="1:14" ht="15" customHeight="1" x14ac:dyDescent="0.2">
      <c r="A908" s="31">
        <v>1.350995225981154</v>
      </c>
      <c r="B908" s="31"/>
      <c r="C908" s="2" t="s">
        <v>855</v>
      </c>
      <c r="D908" s="31">
        <f t="shared" si="27"/>
        <v>0.2647950642923062</v>
      </c>
      <c r="F908" s="2" t="s">
        <v>822</v>
      </c>
      <c r="G908" s="23" t="s">
        <v>902</v>
      </c>
      <c r="H908" s="2" t="s">
        <v>822</v>
      </c>
      <c r="J908" s="31">
        <v>43.654201499999999</v>
      </c>
      <c r="K908" s="31">
        <v>-6.3858098999999999</v>
      </c>
      <c r="L908" s="31"/>
      <c r="M908" s="31" t="s">
        <v>854</v>
      </c>
      <c r="N908" s="6" t="s">
        <v>856</v>
      </c>
    </row>
    <row r="909" spans="1:14" ht="15" customHeight="1" x14ac:dyDescent="0.2">
      <c r="A909" s="22">
        <v>0.26442809983659005</v>
      </c>
      <c r="B909" s="22"/>
      <c r="C909" s="2" t="s">
        <v>891</v>
      </c>
      <c r="D909" s="2">
        <f>A909</f>
        <v>0.26442809983659005</v>
      </c>
      <c r="F909" s="2">
        <v>2023</v>
      </c>
      <c r="G909" s="23" t="s">
        <v>902</v>
      </c>
      <c r="H909" s="2" t="s">
        <v>770</v>
      </c>
      <c r="I909" s="23" t="s">
        <v>189</v>
      </c>
      <c r="J909" s="23">
        <v>58077380</v>
      </c>
      <c r="K909" s="23">
        <v>11813555</v>
      </c>
      <c r="L909" s="23" t="s">
        <v>819</v>
      </c>
      <c r="M909" s="2" t="s">
        <v>825</v>
      </c>
      <c r="N909" s="6" t="s">
        <v>828</v>
      </c>
    </row>
    <row r="910" spans="1:14" ht="15" customHeight="1" x14ac:dyDescent="0.2">
      <c r="A910" s="31">
        <v>1.3486075734588721</v>
      </c>
      <c r="B910" s="31"/>
      <c r="C910" s="2" t="s">
        <v>855</v>
      </c>
      <c r="D910" s="31">
        <f t="shared" ref="D910:D916" si="28" xml:space="preserve"> A910 * 0.196</f>
        <v>0.26432708439793895</v>
      </c>
      <c r="F910" s="2" t="s">
        <v>822</v>
      </c>
      <c r="G910" s="23" t="s">
        <v>902</v>
      </c>
      <c r="H910" s="2" t="s">
        <v>822</v>
      </c>
      <c r="J910" s="31">
        <v>28.159999800000001</v>
      </c>
      <c r="K910" s="31">
        <v>51.049499500000003</v>
      </c>
      <c r="L910" s="31"/>
      <c r="M910" s="31" t="s">
        <v>854</v>
      </c>
      <c r="N910" s="6" t="s">
        <v>856</v>
      </c>
    </row>
    <row r="911" spans="1:14" ht="15" customHeight="1" x14ac:dyDescent="0.2">
      <c r="A911" s="31">
        <v>1.3483757161331771</v>
      </c>
      <c r="B911" s="31"/>
      <c r="C911" s="2" t="s">
        <v>855</v>
      </c>
      <c r="D911" s="31">
        <f t="shared" si="28"/>
        <v>0.26428164036210272</v>
      </c>
      <c r="F911" s="2" t="s">
        <v>822</v>
      </c>
      <c r="G911" s="23" t="s">
        <v>902</v>
      </c>
      <c r="H911" s="2" t="s">
        <v>822</v>
      </c>
      <c r="J911" s="31">
        <v>41.996601099999999</v>
      </c>
      <c r="K911" s="31">
        <v>-9.9448004000000001</v>
      </c>
      <c r="L911" s="31"/>
      <c r="M911" s="31" t="s">
        <v>854</v>
      </c>
      <c r="N911" s="6" t="s">
        <v>856</v>
      </c>
    </row>
    <row r="912" spans="1:14" ht="15" customHeight="1" x14ac:dyDescent="0.2">
      <c r="A912" s="31">
        <v>1.348372987358271</v>
      </c>
      <c r="B912" s="31"/>
      <c r="C912" s="2" t="s">
        <v>855</v>
      </c>
      <c r="D912" s="31">
        <f t="shared" si="28"/>
        <v>0.26428110552222112</v>
      </c>
      <c r="F912" s="2" t="s">
        <v>822</v>
      </c>
      <c r="G912" s="23" t="s">
        <v>902</v>
      </c>
      <c r="H912" s="2" t="s">
        <v>822</v>
      </c>
      <c r="J912" s="31">
        <v>28.067600299999999</v>
      </c>
      <c r="K912" s="31">
        <v>-17.8136005</v>
      </c>
      <c r="L912" s="31"/>
      <c r="M912" s="31" t="s">
        <v>854</v>
      </c>
      <c r="N912" s="6" t="s">
        <v>856</v>
      </c>
    </row>
    <row r="913" spans="1:14" ht="15" customHeight="1" x14ac:dyDescent="0.2">
      <c r="A913" s="31">
        <v>1.348147799666527</v>
      </c>
      <c r="B913" s="31"/>
      <c r="C913" s="2" t="s">
        <v>855</v>
      </c>
      <c r="D913" s="31">
        <f t="shared" si="28"/>
        <v>0.26423696873463931</v>
      </c>
      <c r="F913" s="2" t="s">
        <v>822</v>
      </c>
      <c r="G913" s="23" t="s">
        <v>902</v>
      </c>
      <c r="H913" s="2" t="s">
        <v>822</v>
      </c>
      <c r="J913" s="31">
        <v>37.0331993</v>
      </c>
      <c r="K913" s="31">
        <v>13.6975002</v>
      </c>
      <c r="L913" s="31"/>
      <c r="M913" s="31" t="s">
        <v>854</v>
      </c>
      <c r="N913" s="6" t="s">
        <v>856</v>
      </c>
    </row>
    <row r="914" spans="1:14" ht="15" customHeight="1" x14ac:dyDescent="0.2">
      <c r="A914" s="31">
        <v>1.345415827001549</v>
      </c>
      <c r="B914" s="31"/>
      <c r="C914" s="2" t="s">
        <v>855</v>
      </c>
      <c r="D914" s="31">
        <f t="shared" si="28"/>
        <v>0.26370150209230364</v>
      </c>
      <c r="F914" s="2" t="s">
        <v>822</v>
      </c>
      <c r="G914" s="23" t="s">
        <v>902</v>
      </c>
      <c r="H914" s="2" t="s">
        <v>822</v>
      </c>
      <c r="J914" s="31">
        <v>26.5282993</v>
      </c>
      <c r="K914" s="31">
        <v>35.112701399999999</v>
      </c>
      <c r="L914" s="31"/>
      <c r="M914" s="31" t="s">
        <v>854</v>
      </c>
      <c r="N914" s="6" t="s">
        <v>856</v>
      </c>
    </row>
    <row r="915" spans="1:14" ht="15" customHeight="1" x14ac:dyDescent="0.2">
      <c r="A915" s="31">
        <v>1.344185220740292</v>
      </c>
      <c r="B915" s="31"/>
      <c r="C915" s="2" t="s">
        <v>855</v>
      </c>
      <c r="D915" s="31">
        <f t="shared" si="28"/>
        <v>0.26346030326509723</v>
      </c>
      <c r="F915" s="2" t="s">
        <v>822</v>
      </c>
      <c r="G915" s="23" t="s">
        <v>902</v>
      </c>
      <c r="H915" s="2" t="s">
        <v>822</v>
      </c>
      <c r="J915" s="31">
        <v>27.020599399999998</v>
      </c>
      <c r="K915" s="31">
        <v>33.912998199999997</v>
      </c>
      <c r="L915" s="31"/>
      <c r="M915" s="31" t="s">
        <v>854</v>
      </c>
      <c r="N915" s="6" t="s">
        <v>856</v>
      </c>
    </row>
    <row r="916" spans="1:14" ht="15" customHeight="1" x14ac:dyDescent="0.2">
      <c r="A916" s="31">
        <v>1.3434019082853641</v>
      </c>
      <c r="B916" s="31"/>
      <c r="C916" s="2" t="s">
        <v>855</v>
      </c>
      <c r="D916" s="31">
        <f t="shared" si="28"/>
        <v>0.26330677402393138</v>
      </c>
      <c r="F916" s="2" t="s">
        <v>822</v>
      </c>
      <c r="G916" s="23" t="s">
        <v>902</v>
      </c>
      <c r="H916" s="2" t="s">
        <v>822</v>
      </c>
      <c r="J916" s="31">
        <v>55.493000000000002</v>
      </c>
      <c r="K916" s="31">
        <v>17.0191002</v>
      </c>
      <c r="L916" s="31"/>
      <c r="M916" s="31" t="s">
        <v>854</v>
      </c>
      <c r="N916" s="6" t="s">
        <v>856</v>
      </c>
    </row>
    <row r="917" spans="1:14" ht="15" customHeight="1" x14ac:dyDescent="0.2">
      <c r="A917" s="22">
        <v>0.26320326159228069</v>
      </c>
      <c r="B917" s="22"/>
      <c r="C917" s="2" t="s">
        <v>891</v>
      </c>
      <c r="D917" s="2">
        <f>A917</f>
        <v>0.26320326159228069</v>
      </c>
      <c r="F917" s="2">
        <v>2023</v>
      </c>
      <c r="G917" s="23" t="s">
        <v>902</v>
      </c>
      <c r="H917" s="2" t="s">
        <v>767</v>
      </c>
      <c r="I917" s="23" t="s">
        <v>188</v>
      </c>
      <c r="J917" s="23">
        <v>58.250124</v>
      </c>
      <c r="K917" s="23">
        <v>11.445414</v>
      </c>
      <c r="L917" s="23" t="s">
        <v>819</v>
      </c>
      <c r="M917" s="2" t="s">
        <v>825</v>
      </c>
      <c r="N917" s="6" t="s">
        <v>828</v>
      </c>
    </row>
    <row r="918" spans="1:14" ht="15" customHeight="1" x14ac:dyDescent="0.2">
      <c r="A918" s="31">
        <v>1.342633925741769</v>
      </c>
      <c r="B918" s="31"/>
      <c r="C918" s="2" t="s">
        <v>855</v>
      </c>
      <c r="D918" s="31">
        <f t="shared" ref="D918:D927" si="29" xml:space="preserve"> A918 * 0.196</f>
        <v>0.26315624944538674</v>
      </c>
      <c r="F918" s="2" t="s">
        <v>822</v>
      </c>
      <c r="G918" s="23" t="s">
        <v>902</v>
      </c>
      <c r="H918" s="2" t="s">
        <v>822</v>
      </c>
      <c r="J918" s="31">
        <v>40.741699199999999</v>
      </c>
      <c r="K918" s="31">
        <v>-29.990400300000001</v>
      </c>
      <c r="L918" s="31"/>
      <c r="M918" s="31" t="s">
        <v>854</v>
      </c>
      <c r="N918" s="6" t="s">
        <v>856</v>
      </c>
    </row>
    <row r="919" spans="1:14" ht="15" customHeight="1" x14ac:dyDescent="0.2">
      <c r="A919" s="31">
        <v>1.3421875565171471</v>
      </c>
      <c r="B919" s="31"/>
      <c r="C919" s="2" t="s">
        <v>855</v>
      </c>
      <c r="D919" s="31">
        <f t="shared" si="29"/>
        <v>0.26306876107736082</v>
      </c>
      <c r="F919" s="2" t="s">
        <v>822</v>
      </c>
      <c r="G919" s="23" t="s">
        <v>902</v>
      </c>
      <c r="H919" s="2" t="s">
        <v>822</v>
      </c>
      <c r="J919" s="31">
        <v>39.359600100000002</v>
      </c>
      <c r="K919" s="31">
        <v>-16.507999399999999</v>
      </c>
      <c r="L919" s="31"/>
      <c r="M919" s="31" t="s">
        <v>854</v>
      </c>
      <c r="N919" s="6" t="s">
        <v>856</v>
      </c>
    </row>
    <row r="920" spans="1:14" ht="15" customHeight="1" x14ac:dyDescent="0.2">
      <c r="A920" s="31">
        <v>1.3411855000801141</v>
      </c>
      <c r="B920" s="31"/>
      <c r="C920" s="2" t="s">
        <v>855</v>
      </c>
      <c r="D920" s="31">
        <f t="shared" si="29"/>
        <v>0.26287235801570236</v>
      </c>
      <c r="F920" s="2" t="s">
        <v>822</v>
      </c>
      <c r="G920" s="23" t="s">
        <v>902</v>
      </c>
      <c r="H920" s="2" t="s">
        <v>822</v>
      </c>
      <c r="J920" s="31">
        <v>31.3556995</v>
      </c>
      <c r="K920" s="31">
        <v>32.555900600000001</v>
      </c>
      <c r="L920" s="31"/>
      <c r="M920" s="31" t="s">
        <v>854</v>
      </c>
      <c r="N920" s="6" t="s">
        <v>856</v>
      </c>
    </row>
    <row r="921" spans="1:14" ht="15" customHeight="1" x14ac:dyDescent="0.2">
      <c r="A921" s="31">
        <v>1.34076501835664</v>
      </c>
      <c r="B921" s="31"/>
      <c r="C921" s="2" t="s">
        <v>855</v>
      </c>
      <c r="D921" s="31">
        <f t="shared" si="29"/>
        <v>0.26278994359790142</v>
      </c>
      <c r="F921" s="2" t="s">
        <v>822</v>
      </c>
      <c r="G921" s="23" t="s">
        <v>902</v>
      </c>
      <c r="H921" s="2" t="s">
        <v>822</v>
      </c>
      <c r="J921" s="31">
        <v>57.993698100000003</v>
      </c>
      <c r="K921" s="31">
        <v>22.2458992</v>
      </c>
      <c r="L921" s="31"/>
      <c r="M921" s="31" t="s">
        <v>854</v>
      </c>
      <c r="N921" s="6" t="s">
        <v>856</v>
      </c>
    </row>
    <row r="922" spans="1:14" ht="15" customHeight="1" x14ac:dyDescent="0.2">
      <c r="A922" s="31">
        <v>1.340510985765617</v>
      </c>
      <c r="B922" s="31"/>
      <c r="C922" s="2" t="s">
        <v>855</v>
      </c>
      <c r="D922" s="31">
        <f t="shared" si="29"/>
        <v>0.26274015321006094</v>
      </c>
      <c r="F922" s="2" t="s">
        <v>822</v>
      </c>
      <c r="G922" s="23" t="s">
        <v>902</v>
      </c>
      <c r="H922" s="2" t="s">
        <v>822</v>
      </c>
      <c r="J922" s="31">
        <v>54.775199899999997</v>
      </c>
      <c r="K922" s="31">
        <v>19.823600800000001</v>
      </c>
      <c r="L922" s="31"/>
      <c r="M922" s="31" t="s">
        <v>854</v>
      </c>
      <c r="N922" s="6" t="s">
        <v>856</v>
      </c>
    </row>
    <row r="923" spans="1:14" ht="15" customHeight="1" x14ac:dyDescent="0.2">
      <c r="A923" s="31">
        <v>1.339896881019877</v>
      </c>
      <c r="B923" s="31"/>
      <c r="C923" s="2" t="s">
        <v>855</v>
      </c>
      <c r="D923" s="31">
        <f t="shared" si="29"/>
        <v>0.26261978867989588</v>
      </c>
      <c r="F923" s="2" t="s">
        <v>822</v>
      </c>
      <c r="G923" s="23" t="s">
        <v>902</v>
      </c>
      <c r="H923" s="2" t="s">
        <v>822</v>
      </c>
      <c r="J923" s="31">
        <v>59.683700600000002</v>
      </c>
      <c r="K923" s="31">
        <v>24.640399899999998</v>
      </c>
      <c r="L923" s="31"/>
      <c r="M923" s="31" t="s">
        <v>854</v>
      </c>
      <c r="N923" s="6" t="s">
        <v>856</v>
      </c>
    </row>
    <row r="924" spans="1:14" ht="15" customHeight="1" x14ac:dyDescent="0.2">
      <c r="A924" s="31">
        <v>1.338431162774907</v>
      </c>
      <c r="B924" s="31"/>
      <c r="C924" s="2" t="s">
        <v>855</v>
      </c>
      <c r="D924" s="31">
        <f t="shared" si="29"/>
        <v>0.2623325079038818</v>
      </c>
      <c r="F924" s="2" t="s">
        <v>822</v>
      </c>
      <c r="G924" s="23" t="s">
        <v>902</v>
      </c>
      <c r="H924" s="2" t="s">
        <v>822</v>
      </c>
      <c r="J924" s="31">
        <v>27.6042004</v>
      </c>
      <c r="K924" s="31">
        <v>-15.5237999</v>
      </c>
      <c r="L924" s="31"/>
      <c r="M924" s="31" t="s">
        <v>854</v>
      </c>
      <c r="N924" s="6" t="s">
        <v>856</v>
      </c>
    </row>
    <row r="925" spans="1:14" ht="15" customHeight="1" x14ac:dyDescent="0.2">
      <c r="A925" s="31">
        <v>1.3383269130573641</v>
      </c>
      <c r="B925" s="31"/>
      <c r="C925" s="2" t="s">
        <v>855</v>
      </c>
      <c r="D925" s="31">
        <f t="shared" si="29"/>
        <v>0.26231207495924336</v>
      </c>
      <c r="F925" s="2" t="s">
        <v>822</v>
      </c>
      <c r="G925" s="23" t="s">
        <v>902</v>
      </c>
      <c r="H925" s="2" t="s">
        <v>822</v>
      </c>
      <c r="J925" s="31">
        <v>58.523601499999998</v>
      </c>
      <c r="K925" s="31">
        <v>19.1758995</v>
      </c>
      <c r="L925" s="31"/>
      <c r="M925" s="31" t="s">
        <v>854</v>
      </c>
      <c r="N925" s="6" t="s">
        <v>856</v>
      </c>
    </row>
    <row r="926" spans="1:14" ht="15" customHeight="1" x14ac:dyDescent="0.2">
      <c r="A926" s="31">
        <v>1.3368100111047749</v>
      </c>
      <c r="B926" s="31"/>
      <c r="C926" s="2" t="s">
        <v>855</v>
      </c>
      <c r="D926" s="31">
        <f t="shared" si="29"/>
        <v>0.26201476217653591</v>
      </c>
      <c r="F926" s="2" t="s">
        <v>822</v>
      </c>
      <c r="G926" s="23" t="s">
        <v>902</v>
      </c>
      <c r="H926" s="2" t="s">
        <v>822</v>
      </c>
      <c r="J926" s="31">
        <v>55.5542984</v>
      </c>
      <c r="K926" s="31">
        <v>20.043600099999999</v>
      </c>
      <c r="L926" s="31"/>
      <c r="M926" s="31" t="s">
        <v>854</v>
      </c>
      <c r="N926" s="6" t="s">
        <v>856</v>
      </c>
    </row>
    <row r="927" spans="1:14" ht="15" customHeight="1" x14ac:dyDescent="0.2">
      <c r="A927" s="31">
        <v>1.3361874628316579</v>
      </c>
      <c r="B927" s="31"/>
      <c r="C927" s="2" t="s">
        <v>855</v>
      </c>
      <c r="D927" s="31">
        <f t="shared" si="29"/>
        <v>0.26189274271500496</v>
      </c>
      <c r="F927" s="2" t="s">
        <v>822</v>
      </c>
      <c r="G927" s="23" t="s">
        <v>902</v>
      </c>
      <c r="H927" s="2" t="s">
        <v>822</v>
      </c>
      <c r="J927" s="31">
        <v>54.976398500000002</v>
      </c>
      <c r="K927" s="31">
        <v>18.025699599999999</v>
      </c>
      <c r="L927" s="31"/>
      <c r="M927" s="31" t="s">
        <v>854</v>
      </c>
      <c r="N927" s="6" t="s">
        <v>856</v>
      </c>
    </row>
    <row r="928" spans="1:14" ht="15" customHeight="1" x14ac:dyDescent="0.2">
      <c r="A928" s="22">
        <v>0.26182762716253855</v>
      </c>
      <c r="B928" s="22"/>
      <c r="C928" s="2" t="s">
        <v>891</v>
      </c>
      <c r="D928" s="2">
        <f>A928</f>
        <v>0.26182762716253855</v>
      </c>
      <c r="F928" s="2">
        <v>2023</v>
      </c>
      <c r="G928" s="23" t="s">
        <v>902</v>
      </c>
      <c r="H928" s="2" t="s">
        <v>766</v>
      </c>
      <c r="I928" s="23" t="s">
        <v>188</v>
      </c>
      <c r="J928" s="23">
        <v>58.250118999999998</v>
      </c>
      <c r="K928" s="23">
        <v>11.445396000000001</v>
      </c>
      <c r="L928" s="23" t="s">
        <v>819</v>
      </c>
      <c r="M928" s="2" t="s">
        <v>825</v>
      </c>
      <c r="N928" s="6" t="s">
        <v>828</v>
      </c>
    </row>
    <row r="929" spans="1:14" ht="15" customHeight="1" x14ac:dyDescent="0.2">
      <c r="A929" s="31">
        <v>1.3357812787891239</v>
      </c>
      <c r="B929" s="31"/>
      <c r="C929" s="2" t="s">
        <v>855</v>
      </c>
      <c r="D929" s="31">
        <f t="shared" ref="D929:D943" si="30" xml:space="preserve"> A929 * 0.196</f>
        <v>0.26181313064266831</v>
      </c>
      <c r="F929" s="2" t="s">
        <v>822</v>
      </c>
      <c r="G929" s="23" t="s">
        <v>902</v>
      </c>
      <c r="H929" s="2" t="s">
        <v>822</v>
      </c>
      <c r="J929" s="31">
        <v>27.6410999</v>
      </c>
      <c r="K929" s="31">
        <v>51.284599299999996</v>
      </c>
      <c r="L929" s="31"/>
      <c r="M929" s="31" t="s">
        <v>854</v>
      </c>
      <c r="N929" s="6" t="s">
        <v>856</v>
      </c>
    </row>
    <row r="930" spans="1:14" ht="15" customHeight="1" x14ac:dyDescent="0.2">
      <c r="A930" s="31">
        <v>1.332607024970822</v>
      </c>
      <c r="B930" s="31"/>
      <c r="C930" s="2" t="s">
        <v>855</v>
      </c>
      <c r="D930" s="31">
        <f t="shared" si="30"/>
        <v>0.26119097689428111</v>
      </c>
      <c r="F930" s="2" t="s">
        <v>822</v>
      </c>
      <c r="G930" s="23" t="s">
        <v>902</v>
      </c>
      <c r="H930" s="2" t="s">
        <v>822</v>
      </c>
      <c r="J930" s="31">
        <v>26.240400300000001</v>
      </c>
      <c r="K930" s="31">
        <v>56.470798500000001</v>
      </c>
      <c r="L930" s="31"/>
      <c r="M930" s="31" t="s">
        <v>854</v>
      </c>
      <c r="N930" s="6" t="s">
        <v>856</v>
      </c>
    </row>
    <row r="931" spans="1:14" ht="15" customHeight="1" x14ac:dyDescent="0.2">
      <c r="A931" s="31">
        <v>1.3325060809082681</v>
      </c>
      <c r="B931" s="31"/>
      <c r="C931" s="2" t="s">
        <v>855</v>
      </c>
      <c r="D931" s="31">
        <f t="shared" si="30"/>
        <v>0.26117119185802057</v>
      </c>
      <c r="F931" s="2" t="s">
        <v>822</v>
      </c>
      <c r="G931" s="23" t="s">
        <v>902</v>
      </c>
      <c r="H931" s="2" t="s">
        <v>822</v>
      </c>
      <c r="J931" s="31">
        <v>25.004800800000002</v>
      </c>
      <c r="K931" s="31">
        <v>51.756801600000003</v>
      </c>
      <c r="L931" s="31"/>
      <c r="M931" s="31" t="s">
        <v>854</v>
      </c>
      <c r="N931" s="6" t="s">
        <v>856</v>
      </c>
    </row>
    <row r="932" spans="1:14" ht="15" customHeight="1" x14ac:dyDescent="0.2">
      <c r="A932" s="40">
        <v>1.3319900196946171</v>
      </c>
      <c r="B932" s="31"/>
      <c r="C932" s="2" t="s">
        <v>855</v>
      </c>
      <c r="D932" s="31">
        <f t="shared" si="30"/>
        <v>0.26107004386014493</v>
      </c>
      <c r="F932" s="2" t="s">
        <v>822</v>
      </c>
      <c r="G932" s="23" t="s">
        <v>902</v>
      </c>
      <c r="H932" s="2" t="s">
        <v>822</v>
      </c>
      <c r="I932" s="41"/>
      <c r="J932" s="40">
        <v>39.6935997</v>
      </c>
      <c r="K932" s="40">
        <v>-10.0852003</v>
      </c>
      <c r="L932" s="31"/>
      <c r="M932" s="31" t="s">
        <v>854</v>
      </c>
      <c r="N932" s="6" t="s">
        <v>856</v>
      </c>
    </row>
    <row r="933" spans="1:14" ht="15" customHeight="1" x14ac:dyDescent="0.2">
      <c r="A933" s="31">
        <v>1.3306013682511351</v>
      </c>
      <c r="B933" s="31"/>
      <c r="C933" s="2" t="s">
        <v>855</v>
      </c>
      <c r="D933" s="31">
        <f t="shared" si="30"/>
        <v>0.2607978681772225</v>
      </c>
      <c r="F933" s="2" t="s">
        <v>822</v>
      </c>
      <c r="G933" s="23" t="s">
        <v>902</v>
      </c>
      <c r="H933" s="2" t="s">
        <v>822</v>
      </c>
      <c r="J933" s="31">
        <v>26.592199300000001</v>
      </c>
      <c r="K933" s="31">
        <v>51.592201199999998</v>
      </c>
      <c r="L933" s="31"/>
      <c r="M933" s="31" t="s">
        <v>854</v>
      </c>
      <c r="N933" s="6" t="s">
        <v>856</v>
      </c>
    </row>
    <row r="934" spans="1:14" ht="15" customHeight="1" x14ac:dyDescent="0.2">
      <c r="A934" s="31">
        <v>1.330101530108647</v>
      </c>
      <c r="B934" s="31"/>
      <c r="C934" s="2" t="s">
        <v>855</v>
      </c>
      <c r="D934" s="31">
        <f t="shared" si="30"/>
        <v>0.26069989990129483</v>
      </c>
      <c r="F934" s="2" t="s">
        <v>822</v>
      </c>
      <c r="G934" s="23" t="s">
        <v>902</v>
      </c>
      <c r="H934" s="2" t="s">
        <v>822</v>
      </c>
      <c r="J934" s="31">
        <v>56.0093994</v>
      </c>
      <c r="K934" s="31">
        <v>20.354700099999999</v>
      </c>
      <c r="L934" s="31"/>
      <c r="M934" s="31" t="s">
        <v>854</v>
      </c>
      <c r="N934" s="6" t="s">
        <v>856</v>
      </c>
    </row>
    <row r="935" spans="1:14" ht="15" customHeight="1" x14ac:dyDescent="0.2">
      <c r="A935" s="31">
        <v>1.329862955389848</v>
      </c>
      <c r="B935" s="31"/>
      <c r="C935" s="2" t="s">
        <v>855</v>
      </c>
      <c r="D935" s="31">
        <f t="shared" si="30"/>
        <v>0.2606531392564102</v>
      </c>
      <c r="F935" s="2" t="s">
        <v>822</v>
      </c>
      <c r="G935" s="23" t="s">
        <v>902</v>
      </c>
      <c r="H935" s="2" t="s">
        <v>822</v>
      </c>
      <c r="J935" s="31">
        <v>25.220600099999999</v>
      </c>
      <c r="K935" s="31">
        <v>-18.511999100000001</v>
      </c>
      <c r="L935" s="31"/>
      <c r="M935" s="31" t="s">
        <v>854</v>
      </c>
      <c r="N935" s="6" t="s">
        <v>856</v>
      </c>
    </row>
    <row r="936" spans="1:14" ht="15" customHeight="1" x14ac:dyDescent="0.2">
      <c r="A936" s="31">
        <v>1.329719445259149</v>
      </c>
      <c r="B936" s="31"/>
      <c r="C936" s="2" t="s">
        <v>855</v>
      </c>
      <c r="D936" s="31">
        <f t="shared" si="30"/>
        <v>0.26062501127079318</v>
      </c>
      <c r="F936" s="2" t="s">
        <v>822</v>
      </c>
      <c r="G936" s="23" t="s">
        <v>902</v>
      </c>
      <c r="H936" s="2" t="s">
        <v>822</v>
      </c>
      <c r="J936" s="31">
        <v>32.720001199999999</v>
      </c>
      <c r="K936" s="31">
        <v>-13.1680002</v>
      </c>
      <c r="L936" s="31"/>
      <c r="M936" s="31" t="s">
        <v>854</v>
      </c>
      <c r="N936" s="6" t="s">
        <v>856</v>
      </c>
    </row>
    <row r="937" spans="1:14" ht="15" customHeight="1" x14ac:dyDescent="0.2">
      <c r="A937" s="31">
        <v>1.329002375724345</v>
      </c>
      <c r="B937" s="31"/>
      <c r="C937" s="2" t="s">
        <v>855</v>
      </c>
      <c r="D937" s="31">
        <f t="shared" si="30"/>
        <v>0.26048446564197164</v>
      </c>
      <c r="F937" s="2" t="s">
        <v>822</v>
      </c>
      <c r="G937" s="23" t="s">
        <v>902</v>
      </c>
      <c r="H937" s="2" t="s">
        <v>822</v>
      </c>
      <c r="J937" s="31">
        <v>27.104600900000001</v>
      </c>
      <c r="K937" s="31">
        <v>50.568401299999998</v>
      </c>
      <c r="L937" s="31"/>
      <c r="M937" s="31" t="s">
        <v>854</v>
      </c>
      <c r="N937" s="6" t="s">
        <v>856</v>
      </c>
    </row>
    <row r="938" spans="1:14" ht="15" customHeight="1" x14ac:dyDescent="0.2">
      <c r="A938" s="31">
        <v>1.324024500954178</v>
      </c>
      <c r="B938" s="31"/>
      <c r="C938" s="2" t="s">
        <v>855</v>
      </c>
      <c r="D938" s="31">
        <f t="shared" si="30"/>
        <v>0.25950880218701888</v>
      </c>
      <c r="F938" s="2" t="s">
        <v>822</v>
      </c>
      <c r="G938" s="23" t="s">
        <v>902</v>
      </c>
      <c r="H938" s="2" t="s">
        <v>822</v>
      </c>
      <c r="J938" s="31">
        <v>25.916999799999999</v>
      </c>
      <c r="K938" s="31">
        <v>51.834301000000004</v>
      </c>
      <c r="L938" s="31"/>
      <c r="M938" s="31" t="s">
        <v>854</v>
      </c>
      <c r="N938" s="6" t="s">
        <v>856</v>
      </c>
    </row>
    <row r="939" spans="1:14" ht="15" customHeight="1" x14ac:dyDescent="0.2">
      <c r="A939" s="31">
        <v>1.3210754458195011</v>
      </c>
      <c r="B939" s="31"/>
      <c r="C939" s="2" t="s">
        <v>855</v>
      </c>
      <c r="D939" s="31">
        <f t="shared" si="30"/>
        <v>0.25893078738062225</v>
      </c>
      <c r="F939" s="2" t="s">
        <v>822</v>
      </c>
      <c r="G939" s="23" t="s">
        <v>902</v>
      </c>
      <c r="H939" s="2" t="s">
        <v>822</v>
      </c>
      <c r="J939" s="31">
        <v>38.733501400000002</v>
      </c>
      <c r="K939" s="31">
        <v>-40.553299000000003</v>
      </c>
      <c r="L939" s="31"/>
      <c r="M939" s="31" t="s">
        <v>854</v>
      </c>
      <c r="N939" s="6" t="s">
        <v>856</v>
      </c>
    </row>
    <row r="940" spans="1:14" ht="15" customHeight="1" x14ac:dyDescent="0.2">
      <c r="A940" s="31">
        <v>1.3193736409706509</v>
      </c>
      <c r="B940" s="31"/>
      <c r="C940" s="2" t="s">
        <v>855</v>
      </c>
      <c r="D940" s="31">
        <f t="shared" si="30"/>
        <v>0.25859723363024761</v>
      </c>
      <c r="F940" s="2" t="s">
        <v>822</v>
      </c>
      <c r="G940" s="23" t="s">
        <v>902</v>
      </c>
      <c r="H940" s="2" t="s">
        <v>822</v>
      </c>
      <c r="J940" s="31">
        <v>40.052299499999997</v>
      </c>
      <c r="K940" s="31">
        <v>-9.2698096999999997</v>
      </c>
      <c r="L940" s="31"/>
      <c r="M940" s="31" t="s">
        <v>854</v>
      </c>
      <c r="N940" s="6" t="s">
        <v>856</v>
      </c>
    </row>
    <row r="941" spans="1:14" ht="15" customHeight="1" x14ac:dyDescent="0.2">
      <c r="A941" s="31">
        <v>1.3185118825532209</v>
      </c>
      <c r="B941" s="31"/>
      <c r="C941" s="2" t="s">
        <v>855</v>
      </c>
      <c r="D941" s="31">
        <f t="shared" si="30"/>
        <v>0.25842832898043133</v>
      </c>
      <c r="F941" s="2" t="s">
        <v>822</v>
      </c>
      <c r="G941" s="23" t="s">
        <v>902</v>
      </c>
      <c r="H941" s="2" t="s">
        <v>822</v>
      </c>
      <c r="J941" s="31">
        <v>25.220600099999999</v>
      </c>
      <c r="K941" s="31">
        <v>-19.054099999999998</v>
      </c>
      <c r="L941" s="31"/>
      <c r="M941" s="31" t="s">
        <v>854</v>
      </c>
      <c r="N941" s="6" t="s">
        <v>856</v>
      </c>
    </row>
    <row r="942" spans="1:14" ht="15" customHeight="1" x14ac:dyDescent="0.2">
      <c r="A942" s="31">
        <v>1.318398412296317</v>
      </c>
      <c r="B942" s="31"/>
      <c r="C942" s="2" t="s">
        <v>855</v>
      </c>
      <c r="D942" s="31">
        <f t="shared" si="30"/>
        <v>0.25840608881007815</v>
      </c>
      <c r="F942" s="2" t="s">
        <v>822</v>
      </c>
      <c r="G942" s="23" t="s">
        <v>902</v>
      </c>
      <c r="H942" s="2" t="s">
        <v>822</v>
      </c>
      <c r="J942" s="31">
        <v>29.837600699999999</v>
      </c>
      <c r="K942" s="31">
        <v>-27.271099100000001</v>
      </c>
      <c r="L942" s="31"/>
      <c r="M942" s="31" t="s">
        <v>854</v>
      </c>
      <c r="N942" s="6" t="s">
        <v>856</v>
      </c>
    </row>
    <row r="943" spans="1:14" ht="15" customHeight="1" x14ac:dyDescent="0.2">
      <c r="A943" s="31">
        <v>1.317959284805607</v>
      </c>
      <c r="B943" s="31"/>
      <c r="C943" s="2" t="s">
        <v>855</v>
      </c>
      <c r="D943" s="31">
        <f t="shared" si="30"/>
        <v>0.25832001982189901</v>
      </c>
      <c r="F943" s="2" t="s">
        <v>822</v>
      </c>
      <c r="G943" s="23" t="s">
        <v>902</v>
      </c>
      <c r="H943" s="2" t="s">
        <v>822</v>
      </c>
      <c r="J943" s="31">
        <v>25.0265007</v>
      </c>
      <c r="K943" s="31">
        <v>-17.0030994</v>
      </c>
      <c r="L943" s="31"/>
      <c r="M943" s="31" t="s">
        <v>854</v>
      </c>
      <c r="N943" s="6" t="s">
        <v>856</v>
      </c>
    </row>
    <row r="944" spans="1:14" ht="15" customHeight="1" x14ac:dyDescent="0.2">
      <c r="A944" s="22">
        <v>0.2581313341947965</v>
      </c>
      <c r="B944" s="22"/>
      <c r="C944" s="2" t="s">
        <v>891</v>
      </c>
      <c r="D944" s="2">
        <f>A944</f>
        <v>0.2581313341947965</v>
      </c>
      <c r="F944" s="2">
        <v>2023</v>
      </c>
      <c r="G944" s="23" t="s">
        <v>902</v>
      </c>
      <c r="H944" s="2" t="s">
        <v>767</v>
      </c>
      <c r="I944" s="23" t="s">
        <v>188</v>
      </c>
      <c r="J944" s="23">
        <v>58.250118999999998</v>
      </c>
      <c r="K944" s="23">
        <v>11.445399999999999</v>
      </c>
      <c r="L944" s="23" t="s">
        <v>819</v>
      </c>
      <c r="M944" s="2" t="s">
        <v>825</v>
      </c>
      <c r="N944" s="6" t="s">
        <v>828</v>
      </c>
    </row>
    <row r="945" spans="1:14" ht="15" customHeight="1" x14ac:dyDescent="0.2">
      <c r="A945" s="31">
        <v>1.316864865728909</v>
      </c>
      <c r="B945" s="31"/>
      <c r="C945" s="2" t="s">
        <v>855</v>
      </c>
      <c r="D945" s="31">
        <f t="shared" ref="D945:D952" si="31" xml:space="preserve"> A945 * 0.196</f>
        <v>0.25810551368286616</v>
      </c>
      <c r="F945" s="2" t="s">
        <v>822</v>
      </c>
      <c r="G945" s="23" t="s">
        <v>902</v>
      </c>
      <c r="H945" s="2" t="s">
        <v>822</v>
      </c>
      <c r="J945" s="31">
        <v>54.976398500000002</v>
      </c>
      <c r="K945" s="31">
        <v>20.216499299999999</v>
      </c>
      <c r="L945" s="31"/>
      <c r="M945" s="31" t="s">
        <v>854</v>
      </c>
      <c r="N945" s="6" t="s">
        <v>856</v>
      </c>
    </row>
    <row r="946" spans="1:14" ht="15" customHeight="1" x14ac:dyDescent="0.2">
      <c r="A946" s="31">
        <v>1.316693737115795</v>
      </c>
      <c r="B946" s="31"/>
      <c r="C946" s="2" t="s">
        <v>855</v>
      </c>
      <c r="D946" s="31">
        <f t="shared" si="31"/>
        <v>0.25807197247469582</v>
      </c>
      <c r="F946" s="2" t="s">
        <v>822</v>
      </c>
      <c r="G946" s="23" t="s">
        <v>902</v>
      </c>
      <c r="H946" s="2" t="s">
        <v>822</v>
      </c>
      <c r="J946" s="31">
        <v>28.381399200000001</v>
      </c>
      <c r="K946" s="31">
        <v>-12.3837996</v>
      </c>
      <c r="L946" s="31"/>
      <c r="M946" s="31" t="s">
        <v>854</v>
      </c>
      <c r="N946" s="6" t="s">
        <v>856</v>
      </c>
    </row>
    <row r="947" spans="1:14" ht="15" customHeight="1" x14ac:dyDescent="0.2">
      <c r="A947" s="31">
        <v>1.316654719773072</v>
      </c>
      <c r="B947" s="31"/>
      <c r="C947" s="2" t="s">
        <v>855</v>
      </c>
      <c r="D947" s="31">
        <f t="shared" si="31"/>
        <v>0.25806432507552213</v>
      </c>
      <c r="F947" s="2" t="s">
        <v>822</v>
      </c>
      <c r="G947" s="23" t="s">
        <v>902</v>
      </c>
      <c r="H947" s="2" t="s">
        <v>822</v>
      </c>
      <c r="J947" s="31">
        <v>59.622501399999997</v>
      </c>
      <c r="K947" s="31">
        <v>20.918800399999999</v>
      </c>
      <c r="L947" s="31"/>
      <c r="M947" s="31" t="s">
        <v>854</v>
      </c>
      <c r="N947" s="6" t="s">
        <v>856</v>
      </c>
    </row>
    <row r="948" spans="1:14" ht="15" customHeight="1" x14ac:dyDescent="0.2">
      <c r="A948" s="31">
        <v>1.3150047451346401</v>
      </c>
      <c r="B948" s="31"/>
      <c r="C948" s="2" t="s">
        <v>855</v>
      </c>
      <c r="D948" s="31">
        <f t="shared" si="31"/>
        <v>0.25774093004638948</v>
      </c>
      <c r="F948" s="2" t="s">
        <v>822</v>
      </c>
      <c r="G948" s="23" t="s">
        <v>902</v>
      </c>
      <c r="H948" s="2" t="s">
        <v>822</v>
      </c>
      <c r="J948" s="31">
        <v>25.5599995</v>
      </c>
      <c r="K948" s="31">
        <v>-17.2306004</v>
      </c>
      <c r="L948" s="31"/>
      <c r="M948" s="31" t="s">
        <v>854</v>
      </c>
      <c r="N948" s="6" t="s">
        <v>856</v>
      </c>
    </row>
    <row r="949" spans="1:14" ht="15" customHeight="1" x14ac:dyDescent="0.2">
      <c r="A949" s="31">
        <v>1.3132770967125349</v>
      </c>
      <c r="B949" s="31"/>
      <c r="C949" s="2" t="s">
        <v>855</v>
      </c>
      <c r="D949" s="31">
        <f t="shared" si="31"/>
        <v>0.25740231095565685</v>
      </c>
      <c r="F949" s="2" t="s">
        <v>822</v>
      </c>
      <c r="G949" s="23" t="s">
        <v>902</v>
      </c>
      <c r="H949" s="2" t="s">
        <v>822</v>
      </c>
      <c r="J949" s="31">
        <v>35.321700999999997</v>
      </c>
      <c r="K949" s="31">
        <v>-3.7378098999999998</v>
      </c>
      <c r="L949" s="31"/>
      <c r="M949" s="31" t="s">
        <v>854</v>
      </c>
      <c r="N949" s="6" t="s">
        <v>856</v>
      </c>
    </row>
    <row r="950" spans="1:14" ht="15" customHeight="1" x14ac:dyDescent="0.2">
      <c r="A950" s="31">
        <v>1.312974231311494</v>
      </c>
      <c r="B950" s="31"/>
      <c r="C950" s="2" t="s">
        <v>855</v>
      </c>
      <c r="D950" s="31">
        <f t="shared" si="31"/>
        <v>0.25734294933705282</v>
      </c>
      <c r="F950" s="2" t="s">
        <v>822</v>
      </c>
      <c r="G950" s="23" t="s">
        <v>902</v>
      </c>
      <c r="H950" s="2" t="s">
        <v>822</v>
      </c>
      <c r="J950" s="31">
        <v>41.445598599999997</v>
      </c>
      <c r="K950" s="31">
        <v>-15.8400002</v>
      </c>
      <c r="L950" s="31"/>
      <c r="M950" s="31" t="s">
        <v>854</v>
      </c>
      <c r="N950" s="6" t="s">
        <v>856</v>
      </c>
    </row>
    <row r="951" spans="1:14" ht="15" customHeight="1" x14ac:dyDescent="0.2">
      <c r="A951" s="31">
        <v>1.3116501297133809</v>
      </c>
      <c r="B951" s="31"/>
      <c r="C951" s="2" t="s">
        <v>855</v>
      </c>
      <c r="D951" s="31">
        <f t="shared" si="31"/>
        <v>0.25708342542382268</v>
      </c>
      <c r="F951" s="2" t="s">
        <v>822</v>
      </c>
      <c r="G951" s="23" t="s">
        <v>902</v>
      </c>
      <c r="H951" s="2" t="s">
        <v>822</v>
      </c>
      <c r="J951" s="31">
        <v>56.498199499999998</v>
      </c>
      <c r="K951" s="31">
        <v>20.4498997</v>
      </c>
      <c r="L951" s="31"/>
      <c r="M951" s="31" t="s">
        <v>854</v>
      </c>
      <c r="N951" s="6" t="s">
        <v>856</v>
      </c>
    </row>
    <row r="952" spans="1:14" ht="15" customHeight="1" x14ac:dyDescent="0.2">
      <c r="A952" s="31">
        <v>1.3111882341651779</v>
      </c>
      <c r="B952" s="31"/>
      <c r="C952" s="2" t="s">
        <v>855</v>
      </c>
      <c r="D952" s="31">
        <f t="shared" si="31"/>
        <v>0.25699289389637486</v>
      </c>
      <c r="F952" s="2" t="s">
        <v>822</v>
      </c>
      <c r="G952" s="23" t="s">
        <v>902</v>
      </c>
      <c r="H952" s="2" t="s">
        <v>822</v>
      </c>
      <c r="J952" s="31">
        <v>57.606098199999998</v>
      </c>
      <c r="K952" s="31">
        <v>23.4706993</v>
      </c>
      <c r="L952" s="31"/>
      <c r="M952" s="31" t="s">
        <v>854</v>
      </c>
      <c r="N952" s="6" t="s">
        <v>856</v>
      </c>
    </row>
    <row r="953" spans="1:14" ht="15" customHeight="1" x14ac:dyDescent="0.2">
      <c r="A953" s="31">
        <v>4.7100937170018999E-4</v>
      </c>
      <c r="B953" s="31"/>
      <c r="C953" s="2" t="s">
        <v>892</v>
      </c>
      <c r="D953" s="2">
        <f>A953 * 545.45</f>
        <v>0.25691206179386866</v>
      </c>
      <c r="F953" s="2">
        <v>2020</v>
      </c>
      <c r="G953" s="38" t="s">
        <v>901</v>
      </c>
      <c r="H953" s="2" t="s">
        <v>750</v>
      </c>
      <c r="I953" s="31" t="s">
        <v>257</v>
      </c>
      <c r="J953" s="31">
        <v>54.372</v>
      </c>
      <c r="K953" s="31">
        <v>13.241300000000001</v>
      </c>
      <c r="L953" s="2" t="s">
        <v>28</v>
      </c>
      <c r="M953" s="2" t="s">
        <v>824</v>
      </c>
      <c r="N953" s="17" t="s">
        <v>906</v>
      </c>
    </row>
    <row r="954" spans="1:14" ht="15" customHeight="1" x14ac:dyDescent="0.2">
      <c r="A954" s="31">
        <v>1.310645416020616</v>
      </c>
      <c r="B954" s="31"/>
      <c r="C954" s="2" t="s">
        <v>855</v>
      </c>
      <c r="D954" s="31">
        <f t="shared" ref="D954:D967" si="32" xml:space="preserve"> A954 * 0.196</f>
        <v>0.25688650154004072</v>
      </c>
      <c r="F954" s="2" t="s">
        <v>822</v>
      </c>
      <c r="G954" s="23" t="s">
        <v>902</v>
      </c>
      <c r="H954" s="2" t="s">
        <v>822</v>
      </c>
      <c r="J954" s="31">
        <v>56.025398299999999</v>
      </c>
      <c r="K954" s="31">
        <v>16.376199700000001</v>
      </c>
      <c r="L954" s="31"/>
      <c r="M954" s="31" t="s">
        <v>854</v>
      </c>
      <c r="N954" s="6" t="s">
        <v>856</v>
      </c>
    </row>
    <row r="955" spans="1:14" ht="15" customHeight="1" x14ac:dyDescent="0.2">
      <c r="A955" s="31">
        <v>1.3105720583514919</v>
      </c>
      <c r="B955" s="31"/>
      <c r="C955" s="2" t="s">
        <v>855</v>
      </c>
      <c r="D955" s="31">
        <f t="shared" si="32"/>
        <v>0.25687212343689242</v>
      </c>
      <c r="F955" s="2" t="s">
        <v>822</v>
      </c>
      <c r="G955" s="23" t="s">
        <v>902</v>
      </c>
      <c r="H955" s="2" t="s">
        <v>822</v>
      </c>
      <c r="J955" s="31">
        <v>41.043701200000001</v>
      </c>
      <c r="K955" s="31">
        <v>2.8755000000000002</v>
      </c>
      <c r="L955" s="31"/>
      <c r="M955" s="31" t="s">
        <v>854</v>
      </c>
      <c r="N955" s="6" t="s">
        <v>856</v>
      </c>
    </row>
    <row r="956" spans="1:14" ht="15" customHeight="1" x14ac:dyDescent="0.2">
      <c r="A956" s="31">
        <v>1.3104272453831289</v>
      </c>
      <c r="B956" s="31"/>
      <c r="C956" s="2" t="s">
        <v>855</v>
      </c>
      <c r="D956" s="31">
        <f t="shared" si="32"/>
        <v>0.25684374009509325</v>
      </c>
      <c r="F956" s="2" t="s">
        <v>822</v>
      </c>
      <c r="G956" s="23" t="s">
        <v>902</v>
      </c>
      <c r="H956" s="2" t="s">
        <v>822</v>
      </c>
      <c r="J956" s="31">
        <v>29.095199600000001</v>
      </c>
      <c r="K956" s="31">
        <v>50.271400499999999</v>
      </c>
      <c r="L956" s="31"/>
      <c r="M956" s="31" t="s">
        <v>854</v>
      </c>
      <c r="N956" s="6" t="s">
        <v>856</v>
      </c>
    </row>
    <row r="957" spans="1:14" ht="15" customHeight="1" x14ac:dyDescent="0.2">
      <c r="A957" s="31">
        <v>1.3095721848688771</v>
      </c>
      <c r="B957" s="31"/>
      <c r="C957" s="2" t="s">
        <v>855</v>
      </c>
      <c r="D957" s="31">
        <f t="shared" si="32"/>
        <v>0.25667614823429991</v>
      </c>
      <c r="F957" s="2" t="s">
        <v>822</v>
      </c>
      <c r="G957" s="23" t="s">
        <v>902</v>
      </c>
      <c r="H957" s="2" t="s">
        <v>822</v>
      </c>
      <c r="J957" s="31">
        <v>36.432201399999997</v>
      </c>
      <c r="K957" s="31">
        <v>-42.796901699999999</v>
      </c>
      <c r="L957" s="31"/>
      <c r="M957" s="31" t="s">
        <v>854</v>
      </c>
      <c r="N957" s="6" t="s">
        <v>856</v>
      </c>
    </row>
    <row r="958" spans="1:14" ht="15" customHeight="1" x14ac:dyDescent="0.2">
      <c r="A958" s="31">
        <v>1.3094990860115701</v>
      </c>
      <c r="B958" s="31"/>
      <c r="C958" s="2" t="s">
        <v>855</v>
      </c>
      <c r="D958" s="31">
        <f t="shared" si="32"/>
        <v>0.25666182085826772</v>
      </c>
      <c r="F958" s="2" t="s">
        <v>822</v>
      </c>
      <c r="G958" s="23" t="s">
        <v>902</v>
      </c>
      <c r="H958" s="2" t="s">
        <v>822</v>
      </c>
      <c r="J958" s="31">
        <v>42.811500500000001</v>
      </c>
      <c r="K958" s="31">
        <v>9.4173603000000004</v>
      </c>
      <c r="L958" s="31"/>
      <c r="M958" s="31" t="s">
        <v>854</v>
      </c>
      <c r="N958" s="6" t="s">
        <v>856</v>
      </c>
    </row>
    <row r="959" spans="1:14" ht="15" customHeight="1" x14ac:dyDescent="0.2">
      <c r="A959" s="31">
        <v>1.308775209204559</v>
      </c>
      <c r="B959" s="31"/>
      <c r="C959" s="2" t="s">
        <v>855</v>
      </c>
      <c r="D959" s="31">
        <f t="shared" si="32"/>
        <v>0.25651994100409359</v>
      </c>
      <c r="F959" s="2" t="s">
        <v>822</v>
      </c>
      <c r="G959" s="23" t="s">
        <v>902</v>
      </c>
      <c r="H959" s="2" t="s">
        <v>822</v>
      </c>
      <c r="J959" s="31">
        <v>26.531600999999998</v>
      </c>
      <c r="K959" s="31">
        <v>50.899700199999998</v>
      </c>
      <c r="L959" s="31"/>
      <c r="M959" s="31" t="s">
        <v>854</v>
      </c>
      <c r="N959" s="6" t="s">
        <v>856</v>
      </c>
    </row>
    <row r="960" spans="1:14" ht="15" customHeight="1" x14ac:dyDescent="0.2">
      <c r="A960" s="31">
        <v>1.3084213317367781</v>
      </c>
      <c r="B960" s="31"/>
      <c r="C960" s="2" t="s">
        <v>855</v>
      </c>
      <c r="D960" s="31">
        <f t="shared" si="32"/>
        <v>0.25645058102040852</v>
      </c>
      <c r="F960" s="2" t="s">
        <v>822</v>
      </c>
      <c r="G960" s="23" t="s">
        <v>902</v>
      </c>
      <c r="H960" s="2" t="s">
        <v>822</v>
      </c>
      <c r="J960" s="31">
        <v>34.722099299999996</v>
      </c>
      <c r="K960" s="31">
        <v>-42.4491005</v>
      </c>
      <c r="L960" s="31"/>
      <c r="M960" s="31" t="s">
        <v>854</v>
      </c>
      <c r="N960" s="6" t="s">
        <v>856</v>
      </c>
    </row>
    <row r="961" spans="1:14" ht="15" customHeight="1" x14ac:dyDescent="0.2">
      <c r="A961" s="31">
        <v>1.307509423867977</v>
      </c>
      <c r="B961" s="31"/>
      <c r="C961" s="2" t="s">
        <v>855</v>
      </c>
      <c r="D961" s="31">
        <f t="shared" si="32"/>
        <v>0.2562718470781235</v>
      </c>
      <c r="F961" s="2" t="s">
        <v>822</v>
      </c>
      <c r="G961" s="23" t="s">
        <v>902</v>
      </c>
      <c r="H961" s="2" t="s">
        <v>822</v>
      </c>
      <c r="J961" s="31">
        <v>41.111598999999998</v>
      </c>
      <c r="K961" s="31">
        <v>-14.091199899999999</v>
      </c>
      <c r="L961" s="31"/>
      <c r="M961" s="31" t="s">
        <v>854</v>
      </c>
      <c r="N961" s="6" t="s">
        <v>856</v>
      </c>
    </row>
    <row r="962" spans="1:14" ht="15" customHeight="1" x14ac:dyDescent="0.2">
      <c r="A962" s="31">
        <v>1.3071896547764521</v>
      </c>
      <c r="B962" s="31"/>
      <c r="C962" s="2" t="s">
        <v>855</v>
      </c>
      <c r="D962" s="31">
        <f t="shared" si="32"/>
        <v>0.25620917233618462</v>
      </c>
      <c r="F962" s="2" t="s">
        <v>822</v>
      </c>
      <c r="G962" s="23" t="s">
        <v>902</v>
      </c>
      <c r="H962" s="2" t="s">
        <v>822</v>
      </c>
      <c r="J962" s="31">
        <v>36.759200999999997</v>
      </c>
      <c r="K962" s="31">
        <v>15.044199900000001</v>
      </c>
      <c r="L962" s="31"/>
      <c r="M962" s="31" t="s">
        <v>854</v>
      </c>
      <c r="N962" s="6" t="s">
        <v>856</v>
      </c>
    </row>
    <row r="963" spans="1:14" ht="15" customHeight="1" x14ac:dyDescent="0.2">
      <c r="A963" s="31">
        <v>1.3063892251487079</v>
      </c>
      <c r="B963" s="31"/>
      <c r="C963" s="2" t="s">
        <v>855</v>
      </c>
      <c r="D963" s="31">
        <f t="shared" si="32"/>
        <v>0.25605228812914677</v>
      </c>
      <c r="F963" s="2" t="s">
        <v>822</v>
      </c>
      <c r="G963" s="23" t="s">
        <v>902</v>
      </c>
      <c r="H963" s="2" t="s">
        <v>822</v>
      </c>
      <c r="J963" s="31">
        <v>42.866699199999999</v>
      </c>
      <c r="K963" s="31">
        <v>-10.420999500000001</v>
      </c>
      <c r="L963" s="31"/>
      <c r="M963" s="31" t="s">
        <v>854</v>
      </c>
      <c r="N963" s="6" t="s">
        <v>856</v>
      </c>
    </row>
    <row r="964" spans="1:14" ht="15" customHeight="1" x14ac:dyDescent="0.2">
      <c r="A964" s="31">
        <v>1.303176201737116</v>
      </c>
      <c r="B964" s="31"/>
      <c r="C964" s="2" t="s">
        <v>855</v>
      </c>
      <c r="D964" s="31">
        <f t="shared" si="32"/>
        <v>0.25542253554047473</v>
      </c>
      <c r="F964" s="2" t="s">
        <v>822</v>
      </c>
      <c r="G964" s="23" t="s">
        <v>902</v>
      </c>
      <c r="H964" s="2" t="s">
        <v>822</v>
      </c>
      <c r="J964" s="31">
        <v>38.562599200000001</v>
      </c>
      <c r="K964" s="31">
        <v>-41.906799300000003</v>
      </c>
      <c r="L964" s="31"/>
      <c r="M964" s="31" t="s">
        <v>854</v>
      </c>
      <c r="N964" s="6" t="s">
        <v>856</v>
      </c>
    </row>
    <row r="965" spans="1:14" ht="15" customHeight="1" x14ac:dyDescent="0.2">
      <c r="A965" s="31">
        <v>1.302863058181718</v>
      </c>
      <c r="B965" s="31"/>
      <c r="C965" s="2" t="s">
        <v>855</v>
      </c>
      <c r="D965" s="31">
        <f t="shared" si="32"/>
        <v>0.25536115940361676</v>
      </c>
      <c r="F965" s="2" t="s">
        <v>822</v>
      </c>
      <c r="G965" s="23" t="s">
        <v>902</v>
      </c>
      <c r="H965" s="2" t="s">
        <v>822</v>
      </c>
      <c r="J965" s="31">
        <v>57.737400100000002</v>
      </c>
      <c r="K965" s="31">
        <v>18.375499699999999</v>
      </c>
      <c r="L965" s="31"/>
      <c r="M965" s="31" t="s">
        <v>854</v>
      </c>
      <c r="N965" s="6" t="s">
        <v>856</v>
      </c>
    </row>
    <row r="966" spans="1:14" ht="15" customHeight="1" x14ac:dyDescent="0.2">
      <c r="A966" s="31">
        <v>1.3027895235758491</v>
      </c>
      <c r="B966" s="31"/>
      <c r="C966" s="2" t="s">
        <v>855</v>
      </c>
      <c r="D966" s="31">
        <f t="shared" si="32"/>
        <v>0.25534674662086643</v>
      </c>
      <c r="F966" s="2" t="s">
        <v>822</v>
      </c>
      <c r="G966" s="23" t="s">
        <v>902</v>
      </c>
      <c r="H966" s="2" t="s">
        <v>822</v>
      </c>
      <c r="J966" s="31">
        <v>41.401699100000002</v>
      </c>
      <c r="K966" s="31">
        <v>-18.434000000000001</v>
      </c>
      <c r="L966" s="31"/>
      <c r="M966" s="31" t="s">
        <v>854</v>
      </c>
      <c r="N966" s="6" t="s">
        <v>856</v>
      </c>
    </row>
    <row r="967" spans="1:14" ht="15" customHeight="1" x14ac:dyDescent="0.2">
      <c r="A967" s="31">
        <v>1.302138473772678</v>
      </c>
      <c r="B967" s="31"/>
      <c r="C967" s="2" t="s">
        <v>855</v>
      </c>
      <c r="D967" s="31">
        <f t="shared" si="32"/>
        <v>0.25521914085944492</v>
      </c>
      <c r="F967" s="2" t="s">
        <v>822</v>
      </c>
      <c r="G967" s="23" t="s">
        <v>902</v>
      </c>
      <c r="H967" s="2" t="s">
        <v>822</v>
      </c>
      <c r="J967" s="31">
        <v>28.8271008</v>
      </c>
      <c r="K967" s="31">
        <v>-13.924699800000001</v>
      </c>
      <c r="L967" s="31"/>
      <c r="M967" s="31" t="s">
        <v>854</v>
      </c>
      <c r="N967" s="6" t="s">
        <v>856</v>
      </c>
    </row>
    <row r="968" spans="1:14" ht="15" customHeight="1" x14ac:dyDescent="0.2">
      <c r="A968" s="22">
        <v>0.25484322080573524</v>
      </c>
      <c r="B968" s="22"/>
      <c r="C968" s="2" t="s">
        <v>891</v>
      </c>
      <c r="D968" s="2">
        <f>A968</f>
        <v>0.25484322080573524</v>
      </c>
      <c r="F968" s="2">
        <v>2023</v>
      </c>
      <c r="G968" s="23" t="s">
        <v>902</v>
      </c>
      <c r="H968" s="2" t="s">
        <v>769</v>
      </c>
      <c r="I968" s="23" t="s">
        <v>189</v>
      </c>
      <c r="J968" s="23">
        <v>57964315</v>
      </c>
      <c r="K968" s="23">
        <v>11720453</v>
      </c>
      <c r="L968" s="23" t="s">
        <v>819</v>
      </c>
      <c r="M968" s="2" t="s">
        <v>825</v>
      </c>
      <c r="N968" s="6" t="s">
        <v>828</v>
      </c>
    </row>
    <row r="969" spans="1:14" ht="15" customHeight="1" x14ac:dyDescent="0.2">
      <c r="A969" s="31">
        <v>1.2993237150185859</v>
      </c>
      <c r="B969" s="31"/>
      <c r="C969" s="2" t="s">
        <v>855</v>
      </c>
      <c r="D969" s="31">
        <f xml:space="preserve"> A969 * 0.196</f>
        <v>0.25466744814364284</v>
      </c>
      <c r="F969" s="2" t="s">
        <v>822</v>
      </c>
      <c r="G969" s="23" t="s">
        <v>902</v>
      </c>
      <c r="H969" s="2" t="s">
        <v>822</v>
      </c>
      <c r="J969" s="31">
        <v>59.129600500000002</v>
      </c>
      <c r="K969" s="31">
        <v>18.774799300000002</v>
      </c>
      <c r="L969" s="31"/>
      <c r="M969" s="31" t="s">
        <v>854</v>
      </c>
      <c r="N969" s="6" t="s">
        <v>856</v>
      </c>
    </row>
    <row r="970" spans="1:14" ht="15" customHeight="1" x14ac:dyDescent="0.2">
      <c r="A970" s="22">
        <v>0.25440736044068085</v>
      </c>
      <c r="B970" s="22"/>
      <c r="C970" s="2" t="s">
        <v>891</v>
      </c>
      <c r="D970" s="2">
        <f>A970</f>
        <v>0.25440736044068085</v>
      </c>
      <c r="F970" s="2">
        <v>2023</v>
      </c>
      <c r="G970" s="23" t="s">
        <v>902</v>
      </c>
      <c r="H970" s="2" t="s">
        <v>766</v>
      </c>
      <c r="I970" s="23" t="s">
        <v>188</v>
      </c>
      <c r="J970" s="23">
        <v>58.250121999999998</v>
      </c>
      <c r="K970" s="23">
        <v>11.445409</v>
      </c>
      <c r="L970" s="23" t="s">
        <v>819</v>
      </c>
      <c r="M970" s="2" t="s">
        <v>825</v>
      </c>
      <c r="N970" s="6" t="s">
        <v>828</v>
      </c>
    </row>
    <row r="971" spans="1:14" ht="15" customHeight="1" x14ac:dyDescent="0.2">
      <c r="A971" s="31">
        <v>1.2962406234969031</v>
      </c>
      <c r="B971" s="31"/>
      <c r="C971" s="2" t="s">
        <v>855</v>
      </c>
      <c r="D971" s="31">
        <f t="shared" ref="D971:D982" si="33" xml:space="preserve"> A971 * 0.196</f>
        <v>0.25406316220539299</v>
      </c>
      <c r="F971" s="2" t="s">
        <v>822</v>
      </c>
      <c r="G971" s="23" t="s">
        <v>902</v>
      </c>
      <c r="H971" s="2" t="s">
        <v>822</v>
      </c>
      <c r="J971" s="31">
        <v>33.702201799999997</v>
      </c>
      <c r="K971" s="31">
        <v>-7.4614501000000004</v>
      </c>
      <c r="L971" s="31"/>
      <c r="M971" s="31" t="s">
        <v>854</v>
      </c>
      <c r="N971" s="6" t="s">
        <v>856</v>
      </c>
    </row>
    <row r="972" spans="1:14" ht="15" customHeight="1" x14ac:dyDescent="0.2">
      <c r="A972" s="31">
        <v>1.295973009633441</v>
      </c>
      <c r="B972" s="31"/>
      <c r="C972" s="2" t="s">
        <v>855</v>
      </c>
      <c r="D972" s="31">
        <f t="shared" si="33"/>
        <v>0.25401070988815444</v>
      </c>
      <c r="F972" s="2" t="s">
        <v>822</v>
      </c>
      <c r="G972" s="23" t="s">
        <v>902</v>
      </c>
      <c r="H972" s="2" t="s">
        <v>822</v>
      </c>
      <c r="J972" s="31">
        <v>43.4557991</v>
      </c>
      <c r="K972" s="31">
        <v>-8.7941599000000004</v>
      </c>
      <c r="L972" s="31"/>
      <c r="M972" s="31" t="s">
        <v>854</v>
      </c>
      <c r="N972" s="6" t="s">
        <v>856</v>
      </c>
    </row>
    <row r="973" spans="1:14" ht="15" customHeight="1" x14ac:dyDescent="0.2">
      <c r="A973" s="31">
        <v>1.295379103972204</v>
      </c>
      <c r="B973" s="31"/>
      <c r="C973" s="2" t="s">
        <v>855</v>
      </c>
      <c r="D973" s="31">
        <f t="shared" si="33"/>
        <v>0.25389430437855198</v>
      </c>
      <c r="F973" s="2" t="s">
        <v>822</v>
      </c>
      <c r="G973" s="23" t="s">
        <v>902</v>
      </c>
      <c r="H973" s="2" t="s">
        <v>822</v>
      </c>
      <c r="J973" s="31">
        <v>26.136400200000001</v>
      </c>
      <c r="K973" s="31">
        <v>52.535301199999999</v>
      </c>
      <c r="L973" s="31"/>
      <c r="M973" s="31" t="s">
        <v>854</v>
      </c>
      <c r="N973" s="6" t="s">
        <v>856</v>
      </c>
    </row>
    <row r="974" spans="1:14" ht="15" customHeight="1" x14ac:dyDescent="0.2">
      <c r="A974" s="31">
        <v>1.294570360525545</v>
      </c>
      <c r="B974" s="31"/>
      <c r="C974" s="2" t="s">
        <v>855</v>
      </c>
      <c r="D974" s="31">
        <f t="shared" si="33"/>
        <v>0.25373579066300683</v>
      </c>
      <c r="F974" s="2" t="s">
        <v>822</v>
      </c>
      <c r="G974" s="23" t="s">
        <v>902</v>
      </c>
      <c r="H974" s="2" t="s">
        <v>822</v>
      </c>
      <c r="J974" s="31">
        <v>33.388000499999997</v>
      </c>
      <c r="K974" s="31">
        <v>-15.171999899999999</v>
      </c>
      <c r="L974" s="31"/>
      <c r="M974" s="31" t="s">
        <v>854</v>
      </c>
      <c r="N974" s="6" t="s">
        <v>856</v>
      </c>
    </row>
    <row r="975" spans="1:14" ht="15" customHeight="1" x14ac:dyDescent="0.2">
      <c r="A975" s="31">
        <v>1.293978352361336</v>
      </c>
      <c r="B975" s="31"/>
      <c r="C975" s="2" t="s">
        <v>855</v>
      </c>
      <c r="D975" s="31">
        <f t="shared" si="33"/>
        <v>0.25361975706282186</v>
      </c>
      <c r="F975" s="2" t="s">
        <v>822</v>
      </c>
      <c r="G975" s="23" t="s">
        <v>902</v>
      </c>
      <c r="H975" s="2" t="s">
        <v>822</v>
      </c>
      <c r="J975" s="31">
        <v>59.838600200000002</v>
      </c>
      <c r="K975" s="31">
        <v>21.235799799999999</v>
      </c>
      <c r="L975" s="31"/>
      <c r="M975" s="31" t="s">
        <v>854</v>
      </c>
      <c r="N975" s="6" t="s">
        <v>856</v>
      </c>
    </row>
    <row r="976" spans="1:14" ht="15" customHeight="1" x14ac:dyDescent="0.2">
      <c r="A976" s="31">
        <v>1.2932963965068169</v>
      </c>
      <c r="B976" s="31"/>
      <c r="C976" s="2" t="s">
        <v>855</v>
      </c>
      <c r="D976" s="31">
        <f t="shared" si="33"/>
        <v>0.25348609371533615</v>
      </c>
      <c r="F976" s="2" t="s">
        <v>822</v>
      </c>
      <c r="G976" s="23" t="s">
        <v>902</v>
      </c>
      <c r="H976" s="2" t="s">
        <v>822</v>
      </c>
      <c r="J976" s="31">
        <v>40.402599299999999</v>
      </c>
      <c r="K976" s="31">
        <v>-8.9171695999999994</v>
      </c>
      <c r="L976" s="31"/>
      <c r="M976" s="31" t="s">
        <v>854</v>
      </c>
      <c r="N976" s="6" t="s">
        <v>856</v>
      </c>
    </row>
    <row r="977" spans="1:14" ht="15" customHeight="1" x14ac:dyDescent="0.2">
      <c r="A977" s="31">
        <v>1.2918801389330179</v>
      </c>
      <c r="B977" s="31"/>
      <c r="C977" s="2" t="s">
        <v>855</v>
      </c>
      <c r="D977" s="31">
        <f t="shared" si="33"/>
        <v>0.25320850723087152</v>
      </c>
      <c r="F977" s="2" t="s">
        <v>822</v>
      </c>
      <c r="G977" s="23" t="s">
        <v>902</v>
      </c>
      <c r="H977" s="2" t="s">
        <v>822</v>
      </c>
      <c r="J977" s="31">
        <v>30.602500899999999</v>
      </c>
      <c r="K977" s="31">
        <v>-10.913100200000001</v>
      </c>
      <c r="L977" s="31"/>
      <c r="M977" s="31" t="s">
        <v>854</v>
      </c>
      <c r="N977" s="6" t="s">
        <v>856</v>
      </c>
    </row>
    <row r="978" spans="1:14" ht="15" customHeight="1" x14ac:dyDescent="0.2">
      <c r="A978" s="31">
        <v>1.2914943752507331</v>
      </c>
      <c r="B978" s="31"/>
      <c r="C978" s="2" t="s">
        <v>855</v>
      </c>
      <c r="D978" s="31">
        <f t="shared" si="33"/>
        <v>0.2531328975491437</v>
      </c>
      <c r="F978" s="2" t="s">
        <v>822</v>
      </c>
      <c r="G978" s="23" t="s">
        <v>902</v>
      </c>
      <c r="H978" s="2" t="s">
        <v>822</v>
      </c>
      <c r="J978" s="31">
        <v>39.319900500000003</v>
      </c>
      <c r="K978" s="31">
        <v>-21.8738995</v>
      </c>
      <c r="L978" s="31"/>
      <c r="M978" s="31" t="s">
        <v>854</v>
      </c>
      <c r="N978" s="6" t="s">
        <v>856</v>
      </c>
    </row>
    <row r="979" spans="1:14" ht="15" customHeight="1" x14ac:dyDescent="0.2">
      <c r="A979" s="31">
        <v>1.289897713606373</v>
      </c>
      <c r="B979" s="31"/>
      <c r="C979" s="2" t="s">
        <v>855</v>
      </c>
      <c r="D979" s="31">
        <f t="shared" si="33"/>
        <v>0.25281995186684914</v>
      </c>
      <c r="F979" s="2" t="s">
        <v>822</v>
      </c>
      <c r="G979" s="23" t="s">
        <v>902</v>
      </c>
      <c r="H979" s="2" t="s">
        <v>822</v>
      </c>
      <c r="J979" s="31">
        <v>57.3689003</v>
      </c>
      <c r="K979" s="31">
        <v>23.193899200000001</v>
      </c>
      <c r="L979" s="31"/>
      <c r="M979" s="31" t="s">
        <v>854</v>
      </c>
      <c r="N979" s="6" t="s">
        <v>856</v>
      </c>
    </row>
    <row r="980" spans="1:14" ht="15" customHeight="1" x14ac:dyDescent="0.2">
      <c r="A980" s="40">
        <v>1.2882709491151041</v>
      </c>
      <c r="B980" s="31"/>
      <c r="C980" s="2" t="s">
        <v>855</v>
      </c>
      <c r="D980" s="31">
        <f t="shared" si="33"/>
        <v>0.2525011060265604</v>
      </c>
      <c r="F980" s="2" t="s">
        <v>822</v>
      </c>
      <c r="G980" s="23" t="s">
        <v>902</v>
      </c>
      <c r="H980" s="2" t="s">
        <v>822</v>
      </c>
      <c r="I980" s="41"/>
      <c r="J980" s="40">
        <v>35.427898399999997</v>
      </c>
      <c r="K980" s="40">
        <v>18.8456993</v>
      </c>
      <c r="L980" s="31"/>
      <c r="M980" s="31" t="s">
        <v>854</v>
      </c>
      <c r="N980" s="6" t="s">
        <v>856</v>
      </c>
    </row>
    <row r="981" spans="1:14" ht="15" customHeight="1" x14ac:dyDescent="0.2">
      <c r="A981" s="31">
        <v>1.287200441785463</v>
      </c>
      <c r="B981" s="31"/>
      <c r="C981" s="2" t="s">
        <v>855</v>
      </c>
      <c r="D981" s="31">
        <f t="shared" si="33"/>
        <v>0.25229128658995076</v>
      </c>
      <c r="F981" s="2" t="s">
        <v>822</v>
      </c>
      <c r="G981" s="23" t="s">
        <v>902</v>
      </c>
      <c r="H981" s="2" t="s">
        <v>822</v>
      </c>
      <c r="J981" s="31">
        <v>31.854999500000002</v>
      </c>
      <c r="K981" s="31">
        <v>34.276401499999999</v>
      </c>
      <c r="L981" s="31"/>
      <c r="M981" s="31" t="s">
        <v>854</v>
      </c>
      <c r="N981" s="6" t="s">
        <v>856</v>
      </c>
    </row>
    <row r="982" spans="1:14" ht="15" customHeight="1" x14ac:dyDescent="0.2">
      <c r="A982" s="31">
        <v>1.2871882828226551</v>
      </c>
      <c r="B982" s="31"/>
      <c r="C982" s="2" t="s">
        <v>855</v>
      </c>
      <c r="D982" s="31">
        <f t="shared" si="33"/>
        <v>0.2522889034332404</v>
      </c>
      <c r="F982" s="2" t="s">
        <v>822</v>
      </c>
      <c r="G982" s="23" t="s">
        <v>902</v>
      </c>
      <c r="H982" s="2" t="s">
        <v>822</v>
      </c>
      <c r="J982" s="31">
        <v>59.476699799999999</v>
      </c>
      <c r="K982" s="31">
        <v>23.0016003</v>
      </c>
      <c r="L982" s="31"/>
      <c r="M982" s="31" t="s">
        <v>854</v>
      </c>
      <c r="N982" s="6" t="s">
        <v>856</v>
      </c>
    </row>
    <row r="983" spans="1:14" ht="15" customHeight="1" x14ac:dyDescent="0.2">
      <c r="A983" s="22">
        <v>0.25178828024578265</v>
      </c>
      <c r="B983" s="22"/>
      <c r="C983" s="2" t="s">
        <v>891</v>
      </c>
      <c r="D983" s="2">
        <f>A983</f>
        <v>0.25178828024578265</v>
      </c>
      <c r="F983" s="2">
        <v>2023</v>
      </c>
      <c r="G983" s="23" t="s">
        <v>902</v>
      </c>
      <c r="H983" s="2" t="s">
        <v>767</v>
      </c>
      <c r="I983" s="23" t="s">
        <v>188</v>
      </c>
      <c r="J983" s="23">
        <v>58.250118999999998</v>
      </c>
      <c r="K983" s="23">
        <v>11.445399999999999</v>
      </c>
      <c r="L983" s="23" t="s">
        <v>819</v>
      </c>
      <c r="M983" s="2" t="s">
        <v>825</v>
      </c>
      <c r="N983" s="6" t="s">
        <v>828</v>
      </c>
    </row>
    <row r="984" spans="1:14" ht="15" customHeight="1" x14ac:dyDescent="0.2">
      <c r="A984" s="31">
        <v>1.2839702058229689</v>
      </c>
      <c r="B984" s="31"/>
      <c r="C984" s="2" t="s">
        <v>855</v>
      </c>
      <c r="D984" s="31">
        <f t="shared" ref="D984:D995" si="34" xml:space="preserve"> A984 * 0.196</f>
        <v>0.25165816034130195</v>
      </c>
      <c r="F984" s="2" t="s">
        <v>822</v>
      </c>
      <c r="G984" s="23" t="s">
        <v>902</v>
      </c>
      <c r="H984" s="2" t="s">
        <v>822</v>
      </c>
      <c r="J984" s="31">
        <v>44.743999500000001</v>
      </c>
      <c r="K984" s="31">
        <v>-11.8319998</v>
      </c>
      <c r="L984" s="31"/>
      <c r="M984" s="31" t="s">
        <v>854</v>
      </c>
      <c r="N984" s="6" t="s">
        <v>856</v>
      </c>
    </row>
    <row r="985" spans="1:14" ht="15" customHeight="1" x14ac:dyDescent="0.2">
      <c r="A985" s="31">
        <v>1.2829024950487331</v>
      </c>
      <c r="B985" s="31"/>
      <c r="C985" s="2" t="s">
        <v>855</v>
      </c>
      <c r="D985" s="31">
        <f t="shared" si="34"/>
        <v>0.2514488890295517</v>
      </c>
      <c r="F985" s="2" t="s">
        <v>822</v>
      </c>
      <c r="G985" s="23" t="s">
        <v>902</v>
      </c>
      <c r="H985" s="2" t="s">
        <v>822</v>
      </c>
      <c r="J985" s="31">
        <v>28.7245998</v>
      </c>
      <c r="K985" s="31">
        <v>48.804798099999999</v>
      </c>
      <c r="L985" s="31"/>
      <c r="M985" s="31" t="s">
        <v>854</v>
      </c>
      <c r="N985" s="6" t="s">
        <v>856</v>
      </c>
    </row>
    <row r="986" spans="1:14" ht="15" customHeight="1" x14ac:dyDescent="0.2">
      <c r="A986" s="31">
        <v>1.281057979391744</v>
      </c>
      <c r="B986" s="31"/>
      <c r="C986" s="2" t="s">
        <v>855</v>
      </c>
      <c r="D986" s="31">
        <f t="shared" si="34"/>
        <v>0.25108736396078185</v>
      </c>
      <c r="F986" s="2" t="s">
        <v>822</v>
      </c>
      <c r="G986" s="23" t="s">
        <v>902</v>
      </c>
      <c r="H986" s="2" t="s">
        <v>822</v>
      </c>
      <c r="J986" s="31">
        <v>39.2521019</v>
      </c>
      <c r="K986" s="31">
        <v>-26.594499599999999</v>
      </c>
      <c r="L986" s="31"/>
      <c r="M986" s="31" t="s">
        <v>854</v>
      </c>
      <c r="N986" s="6" t="s">
        <v>856</v>
      </c>
    </row>
    <row r="987" spans="1:14" ht="15" customHeight="1" x14ac:dyDescent="0.2">
      <c r="A987" s="31">
        <v>1.2797698219563609</v>
      </c>
      <c r="B987" s="31"/>
      <c r="C987" s="2" t="s">
        <v>855</v>
      </c>
      <c r="D987" s="31">
        <f t="shared" si="34"/>
        <v>0.25083488510344676</v>
      </c>
      <c r="F987" s="2" t="s">
        <v>822</v>
      </c>
      <c r="G987" s="23" t="s">
        <v>902</v>
      </c>
      <c r="H987" s="2" t="s">
        <v>822</v>
      </c>
      <c r="J987" s="31">
        <v>37.409900700000001</v>
      </c>
      <c r="K987" s="31">
        <v>18.239599200000001</v>
      </c>
      <c r="L987" s="31"/>
      <c r="M987" s="31" t="s">
        <v>854</v>
      </c>
      <c r="N987" s="6" t="s">
        <v>856</v>
      </c>
    </row>
    <row r="988" spans="1:14" ht="15" customHeight="1" x14ac:dyDescent="0.2">
      <c r="A988" s="31">
        <v>1.277426958941364</v>
      </c>
      <c r="B988" s="31"/>
      <c r="C988" s="2" t="s">
        <v>855</v>
      </c>
      <c r="D988" s="31">
        <f t="shared" si="34"/>
        <v>0.25037568395250737</v>
      </c>
      <c r="F988" s="2" t="s">
        <v>822</v>
      </c>
      <c r="G988" s="23" t="s">
        <v>902</v>
      </c>
      <c r="H988" s="2" t="s">
        <v>822</v>
      </c>
      <c r="J988" s="31">
        <v>27.375999499999999</v>
      </c>
      <c r="K988" s="31">
        <v>-17.176000599999998</v>
      </c>
      <c r="L988" s="31"/>
      <c r="M988" s="31" t="s">
        <v>854</v>
      </c>
      <c r="N988" s="6" t="s">
        <v>856</v>
      </c>
    </row>
    <row r="989" spans="1:14" ht="15" customHeight="1" x14ac:dyDescent="0.2">
      <c r="A989" s="31">
        <v>1.27393275669178</v>
      </c>
      <c r="B989" s="31"/>
      <c r="C989" s="2" t="s">
        <v>855</v>
      </c>
      <c r="D989" s="31">
        <f t="shared" si="34"/>
        <v>0.24969082031158887</v>
      </c>
      <c r="F989" s="2" t="s">
        <v>822</v>
      </c>
      <c r="G989" s="23" t="s">
        <v>902</v>
      </c>
      <c r="H989" s="2" t="s">
        <v>822</v>
      </c>
      <c r="J989" s="31">
        <v>42.947601300000002</v>
      </c>
      <c r="K989" s="31">
        <v>7.8072100000000004</v>
      </c>
      <c r="L989" s="31"/>
      <c r="M989" s="31" t="s">
        <v>854</v>
      </c>
      <c r="N989" s="6" t="s">
        <v>856</v>
      </c>
    </row>
    <row r="990" spans="1:14" ht="15" customHeight="1" x14ac:dyDescent="0.2">
      <c r="A990" s="31">
        <v>1.272500400547012</v>
      </c>
      <c r="B990" s="31"/>
      <c r="C990" s="2" t="s">
        <v>855</v>
      </c>
      <c r="D990" s="31">
        <f t="shared" si="34"/>
        <v>0.24941007850721436</v>
      </c>
      <c r="F990" s="2" t="s">
        <v>822</v>
      </c>
      <c r="G990" s="23" t="s">
        <v>902</v>
      </c>
      <c r="H990" s="2" t="s">
        <v>822</v>
      </c>
      <c r="J990" s="31">
        <v>25.233800899999999</v>
      </c>
      <c r="K990" s="31">
        <v>53.5796013</v>
      </c>
      <c r="L990" s="31"/>
      <c r="M990" s="31" t="s">
        <v>854</v>
      </c>
      <c r="N990" s="6" t="s">
        <v>856</v>
      </c>
    </row>
    <row r="991" spans="1:14" ht="15" customHeight="1" x14ac:dyDescent="0.2">
      <c r="A991" s="31">
        <v>1.270315102631995</v>
      </c>
      <c r="B991" s="31"/>
      <c r="C991" s="2" t="s">
        <v>855</v>
      </c>
      <c r="D991" s="31">
        <f t="shared" si="34"/>
        <v>0.24898176011587103</v>
      </c>
      <c r="F991" s="2" t="s">
        <v>822</v>
      </c>
      <c r="G991" s="23" t="s">
        <v>902</v>
      </c>
      <c r="H991" s="2" t="s">
        <v>822</v>
      </c>
      <c r="J991" s="31">
        <v>35.323299400000003</v>
      </c>
      <c r="K991" s="31">
        <v>-37.210098299999999</v>
      </c>
      <c r="L991" s="31"/>
      <c r="M991" s="31" t="s">
        <v>854</v>
      </c>
      <c r="N991" s="6" t="s">
        <v>856</v>
      </c>
    </row>
    <row r="992" spans="1:14" ht="15" customHeight="1" x14ac:dyDescent="0.2">
      <c r="A992" s="31">
        <v>1.2701957298470381</v>
      </c>
      <c r="B992" s="31"/>
      <c r="C992" s="2" t="s">
        <v>855</v>
      </c>
      <c r="D992" s="31">
        <f t="shared" si="34"/>
        <v>0.24895836305001948</v>
      </c>
      <c r="F992" s="2" t="s">
        <v>822</v>
      </c>
      <c r="G992" s="23" t="s">
        <v>902</v>
      </c>
      <c r="H992" s="2" t="s">
        <v>822</v>
      </c>
      <c r="J992" s="31">
        <v>27.025899899999999</v>
      </c>
      <c r="K992" s="31">
        <v>51.363300299999999</v>
      </c>
      <c r="L992" s="31"/>
      <c r="M992" s="31" t="s">
        <v>854</v>
      </c>
      <c r="N992" s="6" t="s">
        <v>856</v>
      </c>
    </row>
    <row r="993" spans="1:14" ht="15" customHeight="1" x14ac:dyDescent="0.2">
      <c r="A993" s="31">
        <v>1.269137934642476</v>
      </c>
      <c r="B993" s="31"/>
      <c r="C993" s="2" t="s">
        <v>855</v>
      </c>
      <c r="D993" s="31">
        <f t="shared" si="34"/>
        <v>0.24875103518992531</v>
      </c>
      <c r="F993" s="2" t="s">
        <v>822</v>
      </c>
      <c r="G993" s="23" t="s">
        <v>902</v>
      </c>
      <c r="H993" s="2" t="s">
        <v>822</v>
      </c>
      <c r="J993" s="31">
        <v>36.889099100000003</v>
      </c>
      <c r="K993" s="31">
        <v>5.5431398999999999</v>
      </c>
      <c r="L993" s="31"/>
      <c r="M993" s="31" t="s">
        <v>854</v>
      </c>
      <c r="N993" s="6" t="s">
        <v>856</v>
      </c>
    </row>
    <row r="994" spans="1:14" ht="15" customHeight="1" x14ac:dyDescent="0.2">
      <c r="A994" s="31">
        <v>1.2690273378161629</v>
      </c>
      <c r="B994" s="31"/>
      <c r="C994" s="2" t="s">
        <v>855</v>
      </c>
      <c r="D994" s="31">
        <f t="shared" si="34"/>
        <v>0.24872935821196795</v>
      </c>
      <c r="F994" s="2" t="s">
        <v>822</v>
      </c>
      <c r="G994" s="23" t="s">
        <v>902</v>
      </c>
      <c r="H994" s="2" t="s">
        <v>822</v>
      </c>
      <c r="J994" s="31">
        <v>54.7151985</v>
      </c>
      <c r="K994" s="31">
        <v>19.644800199999999</v>
      </c>
      <c r="L994" s="31"/>
      <c r="M994" s="31" t="s">
        <v>854</v>
      </c>
      <c r="N994" s="6" t="s">
        <v>856</v>
      </c>
    </row>
    <row r="995" spans="1:14" ht="15" customHeight="1" x14ac:dyDescent="0.2">
      <c r="A995" s="31">
        <v>1.2683556593040901</v>
      </c>
      <c r="B995" s="31"/>
      <c r="C995" s="2" t="s">
        <v>855</v>
      </c>
      <c r="D995" s="31">
        <f t="shared" si="34"/>
        <v>0.24859770922360167</v>
      </c>
      <c r="F995" s="2" t="s">
        <v>822</v>
      </c>
      <c r="G995" s="23" t="s">
        <v>902</v>
      </c>
      <c r="H995" s="2" t="s">
        <v>822</v>
      </c>
      <c r="J995" s="31">
        <v>27.320900000000002</v>
      </c>
      <c r="K995" s="31">
        <v>-15.8541002</v>
      </c>
      <c r="L995" s="31"/>
      <c r="M995" s="31" t="s">
        <v>854</v>
      </c>
      <c r="N995" s="6" t="s">
        <v>856</v>
      </c>
    </row>
    <row r="996" spans="1:14" ht="15" customHeight="1" x14ac:dyDescent="0.2">
      <c r="A996" s="22">
        <v>0.24859107457428181</v>
      </c>
      <c r="B996" s="22"/>
      <c r="C996" s="2" t="s">
        <v>891</v>
      </c>
      <c r="D996" s="2">
        <f>A996</f>
        <v>0.24859107457428181</v>
      </c>
      <c r="F996" s="2">
        <v>2023</v>
      </c>
      <c r="G996" s="23" t="s">
        <v>902</v>
      </c>
      <c r="H996" s="2" t="s">
        <v>771</v>
      </c>
      <c r="I996" s="23" t="s">
        <v>189</v>
      </c>
      <c r="J996" s="23">
        <v>58077390</v>
      </c>
      <c r="K996" s="23">
        <v>11813525</v>
      </c>
      <c r="L996" s="23" t="s">
        <v>819</v>
      </c>
      <c r="M996" s="2" t="s">
        <v>825</v>
      </c>
      <c r="N996" s="6" t="s">
        <v>828</v>
      </c>
    </row>
    <row r="997" spans="1:14" ht="15" customHeight="1" x14ac:dyDescent="0.2">
      <c r="A997" s="31">
        <v>1.268095927303152</v>
      </c>
      <c r="B997" s="31"/>
      <c r="C997" s="2" t="s">
        <v>855</v>
      </c>
      <c r="D997" s="31">
        <f t="shared" ref="D997:D1002" si="35" xml:space="preserve"> A997 * 0.196</f>
        <v>0.2485468017514178</v>
      </c>
      <c r="F997" s="2" t="s">
        <v>822</v>
      </c>
      <c r="G997" s="23" t="s">
        <v>902</v>
      </c>
      <c r="H997" s="2" t="s">
        <v>822</v>
      </c>
      <c r="J997" s="31">
        <v>37.471698799999999</v>
      </c>
      <c r="K997" s="31">
        <v>20.523199099999999</v>
      </c>
      <c r="L997" s="31"/>
      <c r="M997" s="31" t="s">
        <v>854</v>
      </c>
      <c r="N997" s="6" t="s">
        <v>856</v>
      </c>
    </row>
    <row r="998" spans="1:14" ht="15" customHeight="1" x14ac:dyDescent="0.2">
      <c r="A998" s="31">
        <v>1.2679132885591879</v>
      </c>
      <c r="B998" s="31"/>
      <c r="C998" s="2" t="s">
        <v>855</v>
      </c>
      <c r="D998" s="31">
        <f t="shared" si="35"/>
        <v>0.24851100455760083</v>
      </c>
      <c r="F998" s="2" t="s">
        <v>822</v>
      </c>
      <c r="G998" s="23" t="s">
        <v>902</v>
      </c>
      <c r="H998" s="2" t="s">
        <v>822</v>
      </c>
      <c r="J998" s="31">
        <v>25.220600099999999</v>
      </c>
      <c r="K998" s="31">
        <v>52.308799700000002</v>
      </c>
      <c r="L998" s="31"/>
      <c r="M998" s="31" t="s">
        <v>854</v>
      </c>
      <c r="N998" s="6" t="s">
        <v>856</v>
      </c>
    </row>
    <row r="999" spans="1:14" ht="15" customHeight="1" x14ac:dyDescent="0.2">
      <c r="A999" s="31">
        <v>1.2679069928396101</v>
      </c>
      <c r="B999" s="31"/>
      <c r="C999" s="2" t="s">
        <v>855</v>
      </c>
      <c r="D999" s="31">
        <f t="shared" si="35"/>
        <v>0.24850977059656357</v>
      </c>
      <c r="F999" s="2" t="s">
        <v>822</v>
      </c>
      <c r="G999" s="23" t="s">
        <v>902</v>
      </c>
      <c r="H999" s="2" t="s">
        <v>822</v>
      </c>
      <c r="J999" s="31">
        <v>56.616100299999999</v>
      </c>
      <c r="K999" s="31">
        <v>16.979900399999998</v>
      </c>
      <c r="L999" s="31"/>
      <c r="M999" s="31" t="s">
        <v>854</v>
      </c>
      <c r="N999" s="6" t="s">
        <v>856</v>
      </c>
    </row>
    <row r="1000" spans="1:14" ht="15" customHeight="1" x14ac:dyDescent="0.2">
      <c r="A1000" s="31">
        <v>1.266918380978032</v>
      </c>
      <c r="B1000" s="31"/>
      <c r="C1000" s="2" t="s">
        <v>855</v>
      </c>
      <c r="D1000" s="31">
        <f t="shared" si="35"/>
        <v>0.24831600267169429</v>
      </c>
      <c r="F1000" s="2" t="s">
        <v>822</v>
      </c>
      <c r="G1000" s="23" t="s">
        <v>902</v>
      </c>
      <c r="H1000" s="2" t="s">
        <v>822</v>
      </c>
      <c r="J1000" s="31">
        <v>41.111598999999998</v>
      </c>
      <c r="K1000" s="31">
        <v>-35.988201099999998</v>
      </c>
      <c r="L1000" s="31"/>
      <c r="M1000" s="31" t="s">
        <v>854</v>
      </c>
      <c r="N1000" s="6" t="s">
        <v>856</v>
      </c>
    </row>
    <row r="1001" spans="1:14" ht="15" customHeight="1" x14ac:dyDescent="0.2">
      <c r="A1001" s="31">
        <v>1.2662592071172249</v>
      </c>
      <c r="B1001" s="31"/>
      <c r="C1001" s="2" t="s">
        <v>855</v>
      </c>
      <c r="D1001" s="31">
        <f t="shared" si="35"/>
        <v>0.24818680459497611</v>
      </c>
      <c r="F1001" s="2" t="s">
        <v>822</v>
      </c>
      <c r="G1001" s="23" t="s">
        <v>902</v>
      </c>
      <c r="H1001" s="2" t="s">
        <v>822</v>
      </c>
      <c r="J1001" s="31">
        <v>43.903400400000002</v>
      </c>
      <c r="K1001" s="31">
        <v>-9.3755903000000007</v>
      </c>
      <c r="L1001" s="31"/>
      <c r="M1001" s="31" t="s">
        <v>854</v>
      </c>
      <c r="N1001" s="6" t="s">
        <v>856</v>
      </c>
    </row>
    <row r="1002" spans="1:14" ht="15" customHeight="1" x14ac:dyDescent="0.2">
      <c r="A1002" s="31">
        <v>1.2650683309906099</v>
      </c>
      <c r="B1002" s="31"/>
      <c r="C1002" s="2" t="s">
        <v>855</v>
      </c>
      <c r="D1002" s="31">
        <f t="shared" si="35"/>
        <v>0.24795339287415954</v>
      </c>
      <c r="F1002" s="2" t="s">
        <v>822</v>
      </c>
      <c r="G1002" s="23" t="s">
        <v>902</v>
      </c>
      <c r="H1002" s="2" t="s">
        <v>822</v>
      </c>
      <c r="J1002" s="31">
        <v>25.563299199999999</v>
      </c>
      <c r="K1002" s="31">
        <v>-19.162200899999998</v>
      </c>
      <c r="L1002" s="31"/>
      <c r="M1002" s="31" t="s">
        <v>854</v>
      </c>
      <c r="N1002" s="6" t="s">
        <v>856</v>
      </c>
    </row>
    <row r="1003" spans="1:14" ht="15" customHeight="1" x14ac:dyDescent="0.2">
      <c r="A1003" s="22">
        <v>0.24790361360166682</v>
      </c>
      <c r="B1003" s="22"/>
      <c r="C1003" s="2" t="s">
        <v>891</v>
      </c>
      <c r="D1003" s="2">
        <f>A1003</f>
        <v>0.24790361360166682</v>
      </c>
      <c r="F1003" s="2">
        <v>2023</v>
      </c>
      <c r="G1003" s="23" t="s">
        <v>902</v>
      </c>
      <c r="H1003" s="2" t="s">
        <v>769</v>
      </c>
      <c r="I1003" s="23" t="s">
        <v>189</v>
      </c>
      <c r="J1003" s="23">
        <v>57963959</v>
      </c>
      <c r="K1003" s="23">
        <v>11720452</v>
      </c>
      <c r="L1003" s="23" t="s">
        <v>819</v>
      </c>
      <c r="M1003" s="2" t="s">
        <v>825</v>
      </c>
      <c r="N1003" s="6" t="s">
        <v>828</v>
      </c>
    </row>
    <row r="1004" spans="1:14" ht="15" customHeight="1" x14ac:dyDescent="0.2">
      <c r="A1004" s="31">
        <v>1.2647152065036069</v>
      </c>
      <c r="B1004" s="31"/>
      <c r="C1004" s="2" t="s">
        <v>855</v>
      </c>
      <c r="D1004" s="31">
        <f xml:space="preserve"> A1004 * 0.196</f>
        <v>0.24788418047470698</v>
      </c>
      <c r="F1004" s="2" t="s">
        <v>822</v>
      </c>
      <c r="G1004" s="23" t="s">
        <v>902</v>
      </c>
      <c r="H1004" s="2" t="s">
        <v>822</v>
      </c>
      <c r="J1004" s="31">
        <v>30.027000399999999</v>
      </c>
      <c r="K1004" s="31">
        <v>-15.813500400000001</v>
      </c>
      <c r="L1004" s="31"/>
      <c r="M1004" s="31" t="s">
        <v>854</v>
      </c>
      <c r="N1004" s="6" t="s">
        <v>856</v>
      </c>
    </row>
    <row r="1005" spans="1:14" ht="15" customHeight="1" x14ac:dyDescent="0.2">
      <c r="A1005" s="31">
        <v>1.264602067211305</v>
      </c>
      <c r="B1005" s="31"/>
      <c r="C1005" s="2" t="s">
        <v>855</v>
      </c>
      <c r="D1005" s="31">
        <f xml:space="preserve"> A1005 * 0.196</f>
        <v>0.24786200517341578</v>
      </c>
      <c r="F1005" s="2" t="s">
        <v>822</v>
      </c>
      <c r="G1005" s="23" t="s">
        <v>902</v>
      </c>
      <c r="H1005" s="2" t="s">
        <v>822</v>
      </c>
      <c r="J1005" s="31">
        <v>37.0741005</v>
      </c>
      <c r="K1005" s="31">
        <v>-9.9097605000000009</v>
      </c>
      <c r="L1005" s="31"/>
      <c r="M1005" s="31" t="s">
        <v>854</v>
      </c>
      <c r="N1005" s="6" t="s">
        <v>856</v>
      </c>
    </row>
    <row r="1006" spans="1:14" ht="15" customHeight="1" x14ac:dyDescent="0.2">
      <c r="A1006" s="31">
        <v>1.263578312488483</v>
      </c>
      <c r="B1006" s="31"/>
      <c r="C1006" s="2" t="s">
        <v>855</v>
      </c>
      <c r="D1006" s="31">
        <f xml:space="preserve"> A1006 * 0.196</f>
        <v>0.24766134924774266</v>
      </c>
      <c r="F1006" s="2" t="s">
        <v>822</v>
      </c>
      <c r="G1006" s="23" t="s">
        <v>902</v>
      </c>
      <c r="H1006" s="2" t="s">
        <v>822</v>
      </c>
      <c r="J1006" s="31">
        <v>25.3719997</v>
      </c>
      <c r="K1006" s="31">
        <v>-23.856000900000002</v>
      </c>
      <c r="L1006" s="31"/>
      <c r="M1006" s="31" t="s">
        <v>854</v>
      </c>
      <c r="N1006" s="6" t="s">
        <v>856</v>
      </c>
    </row>
    <row r="1007" spans="1:14" ht="15" customHeight="1" x14ac:dyDescent="0.2">
      <c r="A1007" s="31">
        <v>1.2633218384567551</v>
      </c>
      <c r="B1007" s="31"/>
      <c r="C1007" s="2" t="s">
        <v>855</v>
      </c>
      <c r="D1007" s="31">
        <f xml:space="preserve"> A1007 * 0.196</f>
        <v>0.24761108033752399</v>
      </c>
      <c r="F1007" s="2" t="s">
        <v>822</v>
      </c>
      <c r="G1007" s="23" t="s">
        <v>902</v>
      </c>
      <c r="H1007" s="2" t="s">
        <v>822</v>
      </c>
      <c r="J1007" s="31">
        <v>39.320301100000002</v>
      </c>
      <c r="K1007" s="31">
        <v>-16.9922009</v>
      </c>
      <c r="L1007" s="31"/>
      <c r="M1007" s="31" t="s">
        <v>854</v>
      </c>
      <c r="N1007" s="6" t="s">
        <v>856</v>
      </c>
    </row>
    <row r="1008" spans="1:14" ht="15" customHeight="1" x14ac:dyDescent="0.2">
      <c r="A1008" s="31">
        <v>1.26324405206797</v>
      </c>
      <c r="B1008" s="31"/>
      <c r="C1008" s="2" t="s">
        <v>855</v>
      </c>
      <c r="D1008" s="31">
        <f xml:space="preserve"> A1008 * 0.196</f>
        <v>0.24759583420532214</v>
      </c>
      <c r="F1008" s="2" t="s">
        <v>822</v>
      </c>
      <c r="G1008" s="23" t="s">
        <v>902</v>
      </c>
      <c r="H1008" s="2" t="s">
        <v>822</v>
      </c>
      <c r="J1008" s="31">
        <v>38.067901599999999</v>
      </c>
      <c r="K1008" s="31">
        <v>15.556900000000001</v>
      </c>
      <c r="L1008" s="31"/>
      <c r="M1008" s="31" t="s">
        <v>854</v>
      </c>
      <c r="N1008" s="6" t="s">
        <v>856</v>
      </c>
    </row>
    <row r="1009" spans="1:14" ht="15" customHeight="1" x14ac:dyDescent="0.2">
      <c r="A1009" s="22">
        <v>0.24746676477617729</v>
      </c>
      <c r="B1009" s="22"/>
      <c r="C1009" s="2" t="s">
        <v>891</v>
      </c>
      <c r="D1009" s="2">
        <f>A1009</f>
        <v>0.24746676477617729</v>
      </c>
      <c r="F1009" s="2">
        <v>2023</v>
      </c>
      <c r="G1009" s="23" t="s">
        <v>902</v>
      </c>
      <c r="H1009" s="2" t="s">
        <v>767</v>
      </c>
      <c r="I1009" s="23" t="s">
        <v>188</v>
      </c>
      <c r="J1009" s="23">
        <v>58.250120000000003</v>
      </c>
      <c r="K1009" s="23">
        <v>11.445404</v>
      </c>
      <c r="L1009" s="23" t="s">
        <v>819</v>
      </c>
      <c r="M1009" s="2" t="s">
        <v>825</v>
      </c>
      <c r="N1009" s="6" t="s">
        <v>828</v>
      </c>
    </row>
    <row r="1010" spans="1:14" ht="15" customHeight="1" x14ac:dyDescent="0.2">
      <c r="A1010" s="31">
        <v>1.2608299150617051</v>
      </c>
      <c r="B1010" s="31"/>
      <c r="C1010" s="2" t="s">
        <v>855</v>
      </c>
      <c r="D1010" s="31">
        <f t="shared" ref="D1010:D1027" si="36" xml:space="preserve"> A1010 * 0.196</f>
        <v>0.24712266335209421</v>
      </c>
      <c r="F1010" s="2" t="s">
        <v>822</v>
      </c>
      <c r="G1010" s="23" t="s">
        <v>902</v>
      </c>
      <c r="H1010" s="2" t="s">
        <v>822</v>
      </c>
      <c r="J1010" s="31">
        <v>40.090400700000004</v>
      </c>
      <c r="K1010" s="31">
        <v>-15.9966002</v>
      </c>
      <c r="L1010" s="31"/>
      <c r="M1010" s="31" t="s">
        <v>854</v>
      </c>
      <c r="N1010" s="6" t="s">
        <v>856</v>
      </c>
    </row>
    <row r="1011" spans="1:14" ht="15" customHeight="1" x14ac:dyDescent="0.2">
      <c r="A1011" s="31">
        <v>1.260488510884191</v>
      </c>
      <c r="B1011" s="31"/>
      <c r="C1011" s="2" t="s">
        <v>855</v>
      </c>
      <c r="D1011" s="31">
        <f t="shared" si="36"/>
        <v>0.24705574813330144</v>
      </c>
      <c r="F1011" s="2" t="s">
        <v>822</v>
      </c>
      <c r="G1011" s="23" t="s">
        <v>902</v>
      </c>
      <c r="H1011" s="2" t="s">
        <v>822</v>
      </c>
      <c r="J1011" s="31">
        <v>27.373199499999998</v>
      </c>
      <c r="K1011" s="31">
        <v>-16.554199199999999</v>
      </c>
      <c r="L1011" s="31"/>
      <c r="M1011" s="31" t="s">
        <v>854</v>
      </c>
      <c r="N1011" s="6" t="s">
        <v>856</v>
      </c>
    </row>
    <row r="1012" spans="1:14" ht="15" customHeight="1" x14ac:dyDescent="0.2">
      <c r="A1012" s="31">
        <v>1.260272895942204</v>
      </c>
      <c r="B1012" s="31"/>
      <c r="C1012" s="2" t="s">
        <v>855</v>
      </c>
      <c r="D1012" s="31">
        <f t="shared" si="36"/>
        <v>0.24701348760467201</v>
      </c>
      <c r="F1012" s="2" t="s">
        <v>822</v>
      </c>
      <c r="G1012" s="23" t="s">
        <v>902</v>
      </c>
      <c r="H1012" s="2" t="s">
        <v>822</v>
      </c>
      <c r="J1012" s="31">
        <v>59.382900200000002</v>
      </c>
      <c r="K1012" s="31">
        <v>22.911300700000002</v>
      </c>
      <c r="L1012" s="31"/>
      <c r="M1012" s="31" t="s">
        <v>854</v>
      </c>
      <c r="N1012" s="6" t="s">
        <v>856</v>
      </c>
    </row>
    <row r="1013" spans="1:14" ht="15" customHeight="1" x14ac:dyDescent="0.2">
      <c r="A1013" s="40">
        <v>1.259518071122109</v>
      </c>
      <c r="B1013" s="31"/>
      <c r="C1013" s="2" t="s">
        <v>855</v>
      </c>
      <c r="D1013" s="31">
        <f t="shared" si="36"/>
        <v>0.24686554193993338</v>
      </c>
      <c r="F1013" s="2" t="s">
        <v>822</v>
      </c>
      <c r="G1013" s="23" t="s">
        <v>902</v>
      </c>
      <c r="H1013" s="2" t="s">
        <v>822</v>
      </c>
      <c r="I1013" s="41"/>
      <c r="J1013" s="40">
        <v>35.223300899999998</v>
      </c>
      <c r="K1013" s="40">
        <v>-3.17117</v>
      </c>
      <c r="L1013" s="31"/>
      <c r="M1013" s="31" t="s">
        <v>854</v>
      </c>
      <c r="N1013" s="6" t="s">
        <v>856</v>
      </c>
    </row>
    <row r="1014" spans="1:14" ht="15" customHeight="1" x14ac:dyDescent="0.2">
      <c r="A1014" s="31">
        <v>1.259162044704621</v>
      </c>
      <c r="B1014" s="31"/>
      <c r="C1014" s="2" t="s">
        <v>855</v>
      </c>
      <c r="D1014" s="31">
        <f t="shared" si="36"/>
        <v>0.24679576076210571</v>
      </c>
      <c r="F1014" s="2" t="s">
        <v>822</v>
      </c>
      <c r="G1014" s="23" t="s">
        <v>902</v>
      </c>
      <c r="H1014" s="2" t="s">
        <v>822</v>
      </c>
      <c r="J1014" s="31">
        <v>26.6742992</v>
      </c>
      <c r="K1014" s="31">
        <v>36.072700500000003</v>
      </c>
      <c r="L1014" s="31"/>
      <c r="M1014" s="31" t="s">
        <v>854</v>
      </c>
      <c r="N1014" s="6" t="s">
        <v>856</v>
      </c>
    </row>
    <row r="1015" spans="1:14" ht="15" customHeight="1" x14ac:dyDescent="0.2">
      <c r="A1015" s="31">
        <v>1.258367074368659</v>
      </c>
      <c r="B1015" s="31"/>
      <c r="C1015" s="2" t="s">
        <v>855</v>
      </c>
      <c r="D1015" s="31">
        <f t="shared" si="36"/>
        <v>0.24663994657625718</v>
      </c>
      <c r="F1015" s="2" t="s">
        <v>822</v>
      </c>
      <c r="G1015" s="23" t="s">
        <v>902</v>
      </c>
      <c r="H1015" s="2" t="s">
        <v>822</v>
      </c>
      <c r="J1015" s="31">
        <v>46.264701799999997</v>
      </c>
      <c r="K1015" s="31">
        <v>-2.0714800000000002</v>
      </c>
      <c r="L1015" s="31"/>
      <c r="M1015" s="31" t="s">
        <v>854</v>
      </c>
      <c r="N1015" s="6" t="s">
        <v>856</v>
      </c>
    </row>
    <row r="1016" spans="1:14" ht="15" customHeight="1" x14ac:dyDescent="0.2">
      <c r="A1016" s="31">
        <v>1.258105897526802</v>
      </c>
      <c r="B1016" s="31"/>
      <c r="C1016" s="2" t="s">
        <v>855</v>
      </c>
      <c r="D1016" s="31">
        <f t="shared" si="36"/>
        <v>0.2465887559152532</v>
      </c>
      <c r="F1016" s="2" t="s">
        <v>822</v>
      </c>
      <c r="G1016" s="23" t="s">
        <v>902</v>
      </c>
      <c r="H1016" s="2" t="s">
        <v>822</v>
      </c>
      <c r="J1016" s="31">
        <v>28.7560997</v>
      </c>
      <c r="K1016" s="31">
        <v>50.2057991</v>
      </c>
      <c r="L1016" s="31"/>
      <c r="M1016" s="31" t="s">
        <v>854</v>
      </c>
      <c r="N1016" s="6" t="s">
        <v>856</v>
      </c>
    </row>
    <row r="1017" spans="1:14" ht="15" customHeight="1" x14ac:dyDescent="0.2">
      <c r="A1017" s="31">
        <v>1.257745228494688</v>
      </c>
      <c r="B1017" s="31"/>
      <c r="C1017" s="2" t="s">
        <v>855</v>
      </c>
      <c r="D1017" s="31">
        <f t="shared" si="36"/>
        <v>0.24651806478495886</v>
      </c>
      <c r="F1017" s="2" t="s">
        <v>822</v>
      </c>
      <c r="G1017" s="23" t="s">
        <v>902</v>
      </c>
      <c r="H1017" s="2" t="s">
        <v>822</v>
      </c>
      <c r="J1017" s="31">
        <v>59.594001800000001</v>
      </c>
      <c r="K1017" s="31">
        <v>26.8334999</v>
      </c>
      <c r="L1017" s="31"/>
      <c r="M1017" s="31" t="s">
        <v>854</v>
      </c>
      <c r="N1017" s="6" t="s">
        <v>856</v>
      </c>
    </row>
    <row r="1018" spans="1:14" ht="15" customHeight="1" x14ac:dyDescent="0.2">
      <c r="A1018" s="31">
        <v>1.2575667445695971</v>
      </c>
      <c r="B1018" s="31"/>
      <c r="C1018" s="2" t="s">
        <v>855</v>
      </c>
      <c r="D1018" s="31">
        <f t="shared" si="36"/>
        <v>0.24648308193564103</v>
      </c>
      <c r="F1018" s="2" t="s">
        <v>822</v>
      </c>
      <c r="G1018" s="23" t="s">
        <v>902</v>
      </c>
      <c r="H1018" s="2" t="s">
        <v>822</v>
      </c>
      <c r="J1018" s="31">
        <v>39.338501000000001</v>
      </c>
      <c r="K1018" s="31">
        <v>-17.908700899999999</v>
      </c>
      <c r="L1018" s="31"/>
      <c r="M1018" s="31" t="s">
        <v>854</v>
      </c>
      <c r="N1018" s="6" t="s">
        <v>856</v>
      </c>
    </row>
    <row r="1019" spans="1:14" ht="15" customHeight="1" x14ac:dyDescent="0.2">
      <c r="A1019" s="31">
        <v>1.257056385591685</v>
      </c>
      <c r="B1019" s="31"/>
      <c r="C1019" s="2" t="s">
        <v>855</v>
      </c>
      <c r="D1019" s="31">
        <f t="shared" si="36"/>
        <v>0.24638305157597026</v>
      </c>
      <c r="F1019" s="2" t="s">
        <v>822</v>
      </c>
      <c r="G1019" s="23" t="s">
        <v>902</v>
      </c>
      <c r="H1019" s="2" t="s">
        <v>822</v>
      </c>
      <c r="J1019" s="31">
        <v>44.965698199999999</v>
      </c>
      <c r="K1019" s="31">
        <v>-8.4144696999999997</v>
      </c>
      <c r="L1019" s="31"/>
      <c r="M1019" s="31" t="s">
        <v>854</v>
      </c>
      <c r="N1019" s="6" t="s">
        <v>856</v>
      </c>
    </row>
    <row r="1020" spans="1:14" ht="15" customHeight="1" x14ac:dyDescent="0.2">
      <c r="A1020" s="31">
        <v>1.256303545653938</v>
      </c>
      <c r="B1020" s="31"/>
      <c r="C1020" s="2" t="s">
        <v>855</v>
      </c>
      <c r="D1020" s="31">
        <f t="shared" si="36"/>
        <v>0.24623549494817185</v>
      </c>
      <c r="F1020" s="2" t="s">
        <v>822</v>
      </c>
      <c r="G1020" s="23" t="s">
        <v>902</v>
      </c>
      <c r="H1020" s="2" t="s">
        <v>822</v>
      </c>
      <c r="J1020" s="31">
        <v>33.687599200000001</v>
      </c>
      <c r="K1020" s="31">
        <v>-7.6242298999999996</v>
      </c>
      <c r="L1020" s="31"/>
      <c r="M1020" s="31" t="s">
        <v>854</v>
      </c>
      <c r="N1020" s="6" t="s">
        <v>856</v>
      </c>
    </row>
    <row r="1021" spans="1:14" ht="15" customHeight="1" x14ac:dyDescent="0.2">
      <c r="A1021" s="31">
        <v>1.255910640792852</v>
      </c>
      <c r="B1021" s="31"/>
      <c r="C1021" s="2" t="s">
        <v>855</v>
      </c>
      <c r="D1021" s="31">
        <f t="shared" si="36"/>
        <v>0.24615848559539899</v>
      </c>
      <c r="F1021" s="2" t="s">
        <v>822</v>
      </c>
      <c r="G1021" s="23" t="s">
        <v>902</v>
      </c>
      <c r="H1021" s="2" t="s">
        <v>822</v>
      </c>
      <c r="J1021" s="31">
        <v>40.058200800000002</v>
      </c>
      <c r="K1021" s="31">
        <v>-18.677400599999999</v>
      </c>
      <c r="L1021" s="31"/>
      <c r="M1021" s="31" t="s">
        <v>854</v>
      </c>
      <c r="N1021" s="6" t="s">
        <v>856</v>
      </c>
    </row>
    <row r="1022" spans="1:14" ht="15" customHeight="1" x14ac:dyDescent="0.2">
      <c r="A1022" s="31">
        <v>1.2558702860790449</v>
      </c>
      <c r="B1022" s="31"/>
      <c r="C1022" s="2" t="s">
        <v>855</v>
      </c>
      <c r="D1022" s="31">
        <f t="shared" si="36"/>
        <v>0.24615057607149282</v>
      </c>
      <c r="F1022" s="2" t="s">
        <v>822</v>
      </c>
      <c r="G1022" s="23" t="s">
        <v>902</v>
      </c>
      <c r="H1022" s="2" t="s">
        <v>822</v>
      </c>
      <c r="J1022" s="31">
        <v>39.400001500000002</v>
      </c>
      <c r="K1022" s="31">
        <v>-25.769199400000002</v>
      </c>
      <c r="L1022" s="31"/>
      <c r="M1022" s="31" t="s">
        <v>854</v>
      </c>
      <c r="N1022" s="6" t="s">
        <v>856</v>
      </c>
    </row>
    <row r="1023" spans="1:14" ht="15" customHeight="1" x14ac:dyDescent="0.2">
      <c r="A1023" s="31">
        <v>1.255603731265978</v>
      </c>
      <c r="B1023" s="31"/>
      <c r="C1023" s="2" t="s">
        <v>855</v>
      </c>
      <c r="D1023" s="31">
        <f t="shared" si="36"/>
        <v>0.24609833132813169</v>
      </c>
      <c r="F1023" s="2" t="s">
        <v>822</v>
      </c>
      <c r="G1023" s="23" t="s">
        <v>902</v>
      </c>
      <c r="H1023" s="2" t="s">
        <v>822</v>
      </c>
      <c r="J1023" s="31">
        <v>39.096900900000001</v>
      </c>
      <c r="K1023" s="31">
        <v>-38.917999299999998</v>
      </c>
      <c r="L1023" s="31"/>
      <c r="M1023" s="31" t="s">
        <v>854</v>
      </c>
      <c r="N1023" s="6" t="s">
        <v>856</v>
      </c>
    </row>
    <row r="1024" spans="1:14" ht="15" customHeight="1" x14ac:dyDescent="0.2">
      <c r="A1024" s="31">
        <v>1.254929249062988</v>
      </c>
      <c r="B1024" s="31"/>
      <c r="C1024" s="2" t="s">
        <v>855</v>
      </c>
      <c r="D1024" s="31">
        <f t="shared" si="36"/>
        <v>0.24596613281634566</v>
      </c>
      <c r="F1024" s="2" t="s">
        <v>822</v>
      </c>
      <c r="G1024" s="23" t="s">
        <v>902</v>
      </c>
      <c r="H1024" s="2" t="s">
        <v>822</v>
      </c>
      <c r="J1024" s="31">
        <v>35.808799700000002</v>
      </c>
      <c r="K1024" s="31">
        <v>22.7842007</v>
      </c>
      <c r="L1024" s="31"/>
      <c r="M1024" s="31" t="s">
        <v>854</v>
      </c>
      <c r="N1024" s="6" t="s">
        <v>856</v>
      </c>
    </row>
    <row r="1025" spans="1:14" ht="15" customHeight="1" x14ac:dyDescent="0.2">
      <c r="A1025" s="31">
        <v>1.254091561818905</v>
      </c>
      <c r="B1025" s="31"/>
      <c r="C1025" s="2" t="s">
        <v>855</v>
      </c>
      <c r="D1025" s="31">
        <f t="shared" si="36"/>
        <v>0.24580194611650538</v>
      </c>
      <c r="F1025" s="2" t="s">
        <v>822</v>
      </c>
      <c r="G1025" s="23" t="s">
        <v>902</v>
      </c>
      <c r="H1025" s="2" t="s">
        <v>822</v>
      </c>
      <c r="J1025" s="31">
        <v>28.1678009</v>
      </c>
      <c r="K1025" s="31">
        <v>-15.807600000000001</v>
      </c>
      <c r="L1025" s="31"/>
      <c r="M1025" s="31" t="s">
        <v>854</v>
      </c>
      <c r="N1025" s="6" t="s">
        <v>856</v>
      </c>
    </row>
    <row r="1026" spans="1:14" ht="15" customHeight="1" x14ac:dyDescent="0.2">
      <c r="A1026" s="31">
        <v>1.25354140269118</v>
      </c>
      <c r="B1026" s="31"/>
      <c r="C1026" s="2" t="s">
        <v>855</v>
      </c>
      <c r="D1026" s="31">
        <f t="shared" si="36"/>
        <v>0.24569411492747129</v>
      </c>
      <c r="F1026" s="2" t="s">
        <v>822</v>
      </c>
      <c r="G1026" s="23" t="s">
        <v>902</v>
      </c>
      <c r="H1026" s="2" t="s">
        <v>822</v>
      </c>
      <c r="J1026" s="31">
        <v>37.545700099999998</v>
      </c>
      <c r="K1026" s="31">
        <v>-42.639598800000002</v>
      </c>
      <c r="L1026" s="31"/>
      <c r="M1026" s="31" t="s">
        <v>854</v>
      </c>
      <c r="N1026" s="6" t="s">
        <v>856</v>
      </c>
    </row>
    <row r="1027" spans="1:14" ht="15" customHeight="1" x14ac:dyDescent="0.2">
      <c r="A1027" s="31">
        <v>1.2531309036161771</v>
      </c>
      <c r="B1027" s="31"/>
      <c r="C1027" s="2" t="s">
        <v>855</v>
      </c>
      <c r="D1027" s="31">
        <f t="shared" si="36"/>
        <v>0.24561365710877073</v>
      </c>
      <c r="F1027" s="2" t="s">
        <v>822</v>
      </c>
      <c r="G1027" s="23" t="s">
        <v>902</v>
      </c>
      <c r="H1027" s="2" t="s">
        <v>822</v>
      </c>
      <c r="J1027" s="31">
        <v>40.306198100000003</v>
      </c>
      <c r="K1027" s="31">
        <v>-32.754600500000002</v>
      </c>
      <c r="L1027" s="31"/>
      <c r="M1027" s="31" t="s">
        <v>854</v>
      </c>
      <c r="N1027" s="6" t="s">
        <v>856</v>
      </c>
    </row>
    <row r="1028" spans="1:14" ht="15" customHeight="1" x14ac:dyDescent="0.2">
      <c r="A1028" s="22">
        <v>0.24530540609827883</v>
      </c>
      <c r="B1028" s="22"/>
      <c r="C1028" s="2" t="s">
        <v>891</v>
      </c>
      <c r="D1028" s="2">
        <f>A1028</f>
        <v>0.24530540609827883</v>
      </c>
      <c r="F1028" s="2">
        <v>2023</v>
      </c>
      <c r="G1028" s="23" t="s">
        <v>902</v>
      </c>
      <c r="H1028" s="2" t="s">
        <v>767</v>
      </c>
      <c r="I1028" s="23" t="s">
        <v>188</v>
      </c>
      <c r="J1028" s="23">
        <v>58.250115000000001</v>
      </c>
      <c r="K1028" s="23">
        <v>11.445406999999999</v>
      </c>
      <c r="L1028" s="23" t="s">
        <v>819</v>
      </c>
      <c r="M1028" s="2" t="s">
        <v>825</v>
      </c>
      <c r="N1028" s="6" t="s">
        <v>828</v>
      </c>
    </row>
    <row r="1029" spans="1:14" ht="15" customHeight="1" x14ac:dyDescent="0.2">
      <c r="A1029" s="31">
        <v>1.2500226491834689</v>
      </c>
      <c r="B1029" s="31"/>
      <c r="C1029" s="2" t="s">
        <v>855</v>
      </c>
      <c r="D1029" s="31">
        <f t="shared" ref="D1029:D1052" si="37" xml:space="preserve"> A1029 * 0.196</f>
        <v>0.24500443923995993</v>
      </c>
      <c r="F1029" s="2" t="s">
        <v>822</v>
      </c>
      <c r="G1029" s="23" t="s">
        <v>902</v>
      </c>
      <c r="H1029" s="2" t="s">
        <v>822</v>
      </c>
      <c r="J1029" s="31">
        <v>38.210701</v>
      </c>
      <c r="K1029" s="31">
        <v>-42.567001300000001</v>
      </c>
      <c r="L1029" s="31"/>
      <c r="M1029" s="31" t="s">
        <v>854</v>
      </c>
      <c r="N1029" s="6" t="s">
        <v>856</v>
      </c>
    </row>
    <row r="1030" spans="1:14" ht="15" customHeight="1" x14ac:dyDescent="0.2">
      <c r="A1030" s="31">
        <v>1.2470208839301551</v>
      </c>
      <c r="B1030" s="31"/>
      <c r="C1030" s="2" t="s">
        <v>855</v>
      </c>
      <c r="D1030" s="31">
        <f t="shared" si="37"/>
        <v>0.24441609325031041</v>
      </c>
      <c r="F1030" s="2" t="s">
        <v>822</v>
      </c>
      <c r="G1030" s="23" t="s">
        <v>902</v>
      </c>
      <c r="H1030" s="2" t="s">
        <v>822</v>
      </c>
      <c r="J1030" s="31">
        <v>26.395399099999999</v>
      </c>
      <c r="K1030" s="31">
        <v>50.257400500000003</v>
      </c>
      <c r="L1030" s="31"/>
      <c r="M1030" s="31" t="s">
        <v>854</v>
      </c>
      <c r="N1030" s="6" t="s">
        <v>856</v>
      </c>
    </row>
    <row r="1031" spans="1:14" ht="15" customHeight="1" x14ac:dyDescent="0.2">
      <c r="A1031" s="31">
        <v>1.244008629618617</v>
      </c>
      <c r="B1031" s="31"/>
      <c r="C1031" s="2" t="s">
        <v>855</v>
      </c>
      <c r="D1031" s="31">
        <f t="shared" si="37"/>
        <v>0.24382569140524896</v>
      </c>
      <c r="F1031" s="2" t="s">
        <v>822</v>
      </c>
      <c r="G1031" s="23" t="s">
        <v>902</v>
      </c>
      <c r="H1031" s="2" t="s">
        <v>822</v>
      </c>
      <c r="J1031" s="31">
        <v>25.1634998</v>
      </c>
      <c r="K1031" s="31">
        <v>58.362701399999999</v>
      </c>
      <c r="L1031" s="31"/>
      <c r="M1031" s="31" t="s">
        <v>854</v>
      </c>
      <c r="N1031" s="6" t="s">
        <v>856</v>
      </c>
    </row>
    <row r="1032" spans="1:14" ht="15" customHeight="1" x14ac:dyDescent="0.2">
      <c r="A1032" s="31">
        <v>1.243979683686586</v>
      </c>
      <c r="B1032" s="31"/>
      <c r="C1032" s="2" t="s">
        <v>855</v>
      </c>
      <c r="D1032" s="31">
        <f t="shared" si="37"/>
        <v>0.24382001800257086</v>
      </c>
      <c r="F1032" s="2" t="s">
        <v>822</v>
      </c>
      <c r="G1032" s="23" t="s">
        <v>902</v>
      </c>
      <c r="H1032" s="2" t="s">
        <v>822</v>
      </c>
      <c r="J1032" s="31">
        <v>40.142398800000002</v>
      </c>
      <c r="K1032" s="31">
        <v>-29.635700199999999</v>
      </c>
      <c r="L1032" s="31"/>
      <c r="M1032" s="31" t="s">
        <v>854</v>
      </c>
      <c r="N1032" s="6" t="s">
        <v>856</v>
      </c>
    </row>
    <row r="1033" spans="1:14" ht="15" customHeight="1" x14ac:dyDescent="0.2">
      <c r="A1033" s="31">
        <v>1.24390666692198</v>
      </c>
      <c r="B1033" s="31"/>
      <c r="C1033" s="2" t="s">
        <v>855</v>
      </c>
      <c r="D1033" s="31">
        <f t="shared" si="37"/>
        <v>0.24380570671670809</v>
      </c>
      <c r="F1033" s="2" t="s">
        <v>822</v>
      </c>
      <c r="G1033" s="23" t="s">
        <v>902</v>
      </c>
      <c r="H1033" s="2" t="s">
        <v>822</v>
      </c>
      <c r="J1033" s="31">
        <v>26.774299599999999</v>
      </c>
      <c r="K1033" s="31">
        <v>-18.752000800000001</v>
      </c>
      <c r="L1033" s="31"/>
      <c r="M1033" s="31" t="s">
        <v>854</v>
      </c>
      <c r="N1033" s="6" t="s">
        <v>856</v>
      </c>
    </row>
    <row r="1034" spans="1:14" ht="15" customHeight="1" x14ac:dyDescent="0.2">
      <c r="A1034" s="31">
        <v>1.2437245552601079</v>
      </c>
      <c r="B1034" s="31"/>
      <c r="C1034" s="2" t="s">
        <v>855</v>
      </c>
      <c r="D1034" s="31">
        <f t="shared" si="37"/>
        <v>0.24377001283098115</v>
      </c>
      <c r="F1034" s="2" t="s">
        <v>822</v>
      </c>
      <c r="G1034" s="23" t="s">
        <v>902</v>
      </c>
      <c r="H1034" s="2" t="s">
        <v>822</v>
      </c>
      <c r="J1034" s="31">
        <v>43.614601100000002</v>
      </c>
      <c r="K1034" s="31">
        <v>-5.2045497999999997</v>
      </c>
      <c r="L1034" s="31"/>
      <c r="M1034" s="31" t="s">
        <v>854</v>
      </c>
      <c r="N1034" s="6" t="s">
        <v>856</v>
      </c>
    </row>
    <row r="1035" spans="1:14" ht="15" customHeight="1" x14ac:dyDescent="0.2">
      <c r="A1035" s="31">
        <v>1.243261240398998</v>
      </c>
      <c r="B1035" s="31"/>
      <c r="C1035" s="2" t="s">
        <v>855</v>
      </c>
      <c r="D1035" s="31">
        <f t="shared" si="37"/>
        <v>0.24367920311820362</v>
      </c>
      <c r="F1035" s="2" t="s">
        <v>822</v>
      </c>
      <c r="G1035" s="23" t="s">
        <v>902</v>
      </c>
      <c r="H1035" s="2" t="s">
        <v>822</v>
      </c>
      <c r="J1035" s="31">
        <v>41.420501700000003</v>
      </c>
      <c r="K1035" s="31">
        <v>5.5513401</v>
      </c>
      <c r="L1035" s="31"/>
      <c r="M1035" s="31" t="s">
        <v>854</v>
      </c>
      <c r="N1035" s="6" t="s">
        <v>856</v>
      </c>
    </row>
    <row r="1036" spans="1:14" ht="15" customHeight="1" x14ac:dyDescent="0.2">
      <c r="A1036" s="31">
        <v>1.2428006959573781</v>
      </c>
      <c r="B1036" s="31"/>
      <c r="C1036" s="2" t="s">
        <v>855</v>
      </c>
      <c r="D1036" s="31">
        <f t="shared" si="37"/>
        <v>0.24358893640764612</v>
      </c>
      <c r="F1036" s="2" t="s">
        <v>822</v>
      </c>
      <c r="G1036" s="23" t="s">
        <v>902</v>
      </c>
      <c r="H1036" s="2" t="s">
        <v>822</v>
      </c>
      <c r="J1036" s="31">
        <v>25.686199200000001</v>
      </c>
      <c r="K1036" s="31">
        <v>54.877399400000002</v>
      </c>
      <c r="L1036" s="31"/>
      <c r="M1036" s="31" t="s">
        <v>854</v>
      </c>
      <c r="N1036" s="6" t="s">
        <v>856</v>
      </c>
    </row>
    <row r="1037" spans="1:14" ht="15" customHeight="1" x14ac:dyDescent="0.2">
      <c r="A1037" s="31">
        <v>1.242637449716403</v>
      </c>
      <c r="B1037" s="31"/>
      <c r="C1037" s="2" t="s">
        <v>855</v>
      </c>
      <c r="D1037" s="31">
        <f t="shared" si="37"/>
        <v>0.24355694014441501</v>
      </c>
      <c r="F1037" s="2" t="s">
        <v>822</v>
      </c>
      <c r="G1037" s="23" t="s">
        <v>902</v>
      </c>
      <c r="H1037" s="2" t="s">
        <v>822</v>
      </c>
      <c r="J1037" s="31">
        <v>37.234100300000001</v>
      </c>
      <c r="K1037" s="31">
        <v>-9.8987303000000004</v>
      </c>
      <c r="L1037" s="31"/>
      <c r="M1037" s="31" t="s">
        <v>854</v>
      </c>
      <c r="N1037" s="6" t="s">
        <v>856</v>
      </c>
    </row>
    <row r="1038" spans="1:14" ht="15" customHeight="1" x14ac:dyDescent="0.2">
      <c r="A1038" s="31">
        <v>1.241683140510166</v>
      </c>
      <c r="B1038" s="31"/>
      <c r="C1038" s="2" t="s">
        <v>855</v>
      </c>
      <c r="D1038" s="31">
        <f t="shared" si="37"/>
        <v>0.24336989553999255</v>
      </c>
      <c r="F1038" s="2" t="s">
        <v>822</v>
      </c>
      <c r="G1038" s="23" t="s">
        <v>902</v>
      </c>
      <c r="H1038" s="2" t="s">
        <v>822</v>
      </c>
      <c r="J1038" s="31">
        <v>37.084598499999998</v>
      </c>
      <c r="K1038" s="31">
        <v>14.0488005</v>
      </c>
      <c r="L1038" s="31"/>
      <c r="M1038" s="31" t="s">
        <v>854</v>
      </c>
      <c r="N1038" s="6" t="s">
        <v>856</v>
      </c>
    </row>
    <row r="1039" spans="1:14" ht="15" customHeight="1" x14ac:dyDescent="0.2">
      <c r="A1039" s="31">
        <v>1.241123530711373</v>
      </c>
      <c r="B1039" s="31"/>
      <c r="C1039" s="2" t="s">
        <v>855</v>
      </c>
      <c r="D1039" s="31">
        <f t="shared" si="37"/>
        <v>0.24326021201942913</v>
      </c>
      <c r="F1039" s="2" t="s">
        <v>822</v>
      </c>
      <c r="G1039" s="23" t="s">
        <v>902</v>
      </c>
      <c r="H1039" s="2" t="s">
        <v>822</v>
      </c>
      <c r="J1039" s="31">
        <v>25.554599799999998</v>
      </c>
      <c r="K1039" s="31">
        <v>-18.511999100000001</v>
      </c>
      <c r="L1039" s="31"/>
      <c r="M1039" s="31" t="s">
        <v>854</v>
      </c>
      <c r="N1039" s="6" t="s">
        <v>856</v>
      </c>
    </row>
    <row r="1040" spans="1:14" ht="15" customHeight="1" x14ac:dyDescent="0.2">
      <c r="A1040" s="31">
        <v>1.240515636430326</v>
      </c>
      <c r="B1040" s="31"/>
      <c r="C1040" s="2" t="s">
        <v>855</v>
      </c>
      <c r="D1040" s="31">
        <f t="shared" si="37"/>
        <v>0.24314106474034392</v>
      </c>
      <c r="F1040" s="2" t="s">
        <v>822</v>
      </c>
      <c r="G1040" s="23" t="s">
        <v>902</v>
      </c>
      <c r="H1040" s="2" t="s">
        <v>822</v>
      </c>
      <c r="J1040" s="31">
        <v>26.362199799999999</v>
      </c>
      <c r="K1040" s="31">
        <v>51.969200100000002</v>
      </c>
      <c r="L1040" s="31"/>
      <c r="M1040" s="31" t="s">
        <v>854</v>
      </c>
      <c r="N1040" s="6" t="s">
        <v>856</v>
      </c>
    </row>
    <row r="1041" spans="1:14" ht="15" customHeight="1" x14ac:dyDescent="0.2">
      <c r="A1041" s="31">
        <v>1.2402531619316659</v>
      </c>
      <c r="B1041" s="31"/>
      <c r="C1041" s="2" t="s">
        <v>855</v>
      </c>
      <c r="D1041" s="31">
        <f t="shared" si="37"/>
        <v>0.24308961973860652</v>
      </c>
      <c r="F1041" s="2" t="s">
        <v>822</v>
      </c>
      <c r="G1041" s="23" t="s">
        <v>902</v>
      </c>
      <c r="H1041" s="2" t="s">
        <v>822</v>
      </c>
      <c r="J1041" s="31">
        <v>58.368000000000002</v>
      </c>
      <c r="K1041" s="31">
        <v>17.530199100000001</v>
      </c>
      <c r="L1041" s="31"/>
      <c r="M1041" s="31" t="s">
        <v>854</v>
      </c>
      <c r="N1041" s="6" t="s">
        <v>856</v>
      </c>
    </row>
    <row r="1042" spans="1:14" ht="15" customHeight="1" x14ac:dyDescent="0.2">
      <c r="A1042" s="31">
        <v>1.239545862915747</v>
      </c>
      <c r="B1042" s="31"/>
      <c r="C1042" s="2" t="s">
        <v>855</v>
      </c>
      <c r="D1042" s="31">
        <f t="shared" si="37"/>
        <v>0.24295098913148641</v>
      </c>
      <c r="F1042" s="2" t="s">
        <v>822</v>
      </c>
      <c r="G1042" s="23" t="s">
        <v>902</v>
      </c>
      <c r="H1042" s="2" t="s">
        <v>822</v>
      </c>
      <c r="J1042" s="31">
        <v>35.238098100000002</v>
      </c>
      <c r="K1042" s="31">
        <v>23.4568996</v>
      </c>
      <c r="L1042" s="31"/>
      <c r="M1042" s="31" t="s">
        <v>854</v>
      </c>
      <c r="N1042" s="6" t="s">
        <v>856</v>
      </c>
    </row>
    <row r="1043" spans="1:14" ht="15" customHeight="1" x14ac:dyDescent="0.2">
      <c r="A1043" s="31">
        <v>1.2376703431732361</v>
      </c>
      <c r="B1043" s="31"/>
      <c r="C1043" s="2" t="s">
        <v>855</v>
      </c>
      <c r="D1043" s="31">
        <f t="shared" si="37"/>
        <v>0.24258338726195428</v>
      </c>
      <c r="F1043" s="2" t="s">
        <v>822</v>
      </c>
      <c r="G1043" s="23" t="s">
        <v>902</v>
      </c>
      <c r="H1043" s="2" t="s">
        <v>822</v>
      </c>
      <c r="J1043" s="31">
        <v>59.630401599999999</v>
      </c>
      <c r="K1043" s="31">
        <v>23.955699899999999</v>
      </c>
      <c r="L1043" s="31"/>
      <c r="M1043" s="31" t="s">
        <v>854</v>
      </c>
      <c r="N1043" s="6" t="s">
        <v>856</v>
      </c>
    </row>
    <row r="1044" spans="1:14" ht="15" customHeight="1" x14ac:dyDescent="0.2">
      <c r="A1044" s="31">
        <v>1.237101665706527</v>
      </c>
      <c r="B1044" s="31"/>
      <c r="C1044" s="2" t="s">
        <v>855</v>
      </c>
      <c r="D1044" s="31">
        <f t="shared" si="37"/>
        <v>0.24247192647847932</v>
      </c>
      <c r="F1044" s="2" t="s">
        <v>822</v>
      </c>
      <c r="G1044" s="23" t="s">
        <v>902</v>
      </c>
      <c r="H1044" s="2" t="s">
        <v>822</v>
      </c>
      <c r="J1044" s="31">
        <v>26.9853001</v>
      </c>
      <c r="K1044" s="31">
        <v>51.757301300000002</v>
      </c>
      <c r="L1044" s="31"/>
      <c r="M1044" s="31" t="s">
        <v>854</v>
      </c>
      <c r="N1044" s="6" t="s">
        <v>856</v>
      </c>
    </row>
    <row r="1045" spans="1:14" ht="15" customHeight="1" x14ac:dyDescent="0.2">
      <c r="A1045" s="31">
        <v>1.23647788934212</v>
      </c>
      <c r="B1045" s="31"/>
      <c r="C1045" s="2" t="s">
        <v>855</v>
      </c>
      <c r="D1045" s="31">
        <f t="shared" si="37"/>
        <v>0.24234966631105553</v>
      </c>
      <c r="F1045" s="2" t="s">
        <v>822</v>
      </c>
      <c r="G1045" s="23" t="s">
        <v>902</v>
      </c>
      <c r="H1045" s="2" t="s">
        <v>822</v>
      </c>
      <c r="J1045" s="31">
        <v>57.747501399999997</v>
      </c>
      <c r="K1045" s="31">
        <v>22.681899999999999</v>
      </c>
      <c r="L1045" s="31"/>
      <c r="M1045" s="31" t="s">
        <v>854</v>
      </c>
      <c r="N1045" s="6" t="s">
        <v>856</v>
      </c>
    </row>
    <row r="1046" spans="1:14" ht="15" customHeight="1" x14ac:dyDescent="0.2">
      <c r="A1046" s="31">
        <v>1.236420745748438</v>
      </c>
      <c r="B1046" s="31"/>
      <c r="C1046" s="2" t="s">
        <v>855</v>
      </c>
      <c r="D1046" s="31">
        <f t="shared" si="37"/>
        <v>0.24233846616669386</v>
      </c>
      <c r="F1046" s="2" t="s">
        <v>822</v>
      </c>
      <c r="G1046" s="23" t="s">
        <v>902</v>
      </c>
      <c r="H1046" s="2" t="s">
        <v>822</v>
      </c>
      <c r="J1046" s="31">
        <v>28.716100699999998</v>
      </c>
      <c r="K1046" s="31">
        <v>-18.526199299999998</v>
      </c>
      <c r="L1046" s="31"/>
      <c r="M1046" s="31" t="s">
        <v>854</v>
      </c>
      <c r="N1046" s="6" t="s">
        <v>856</v>
      </c>
    </row>
    <row r="1047" spans="1:14" ht="15" customHeight="1" x14ac:dyDescent="0.2">
      <c r="A1047" s="31">
        <v>1.235327261519293</v>
      </c>
      <c r="B1047" s="31"/>
      <c r="C1047" s="2" t="s">
        <v>855</v>
      </c>
      <c r="D1047" s="31">
        <f t="shared" si="37"/>
        <v>0.24212414325778142</v>
      </c>
      <c r="F1047" s="2" t="s">
        <v>822</v>
      </c>
      <c r="G1047" s="23" t="s">
        <v>902</v>
      </c>
      <c r="H1047" s="2" t="s">
        <v>822</v>
      </c>
      <c r="J1047" s="31">
        <v>33.388000499999997</v>
      </c>
      <c r="K1047" s="31">
        <v>-11.1639996</v>
      </c>
      <c r="L1047" s="31"/>
      <c r="M1047" s="31" t="s">
        <v>854</v>
      </c>
      <c r="N1047" s="6" t="s">
        <v>856</v>
      </c>
    </row>
    <row r="1048" spans="1:14" ht="15" customHeight="1" x14ac:dyDescent="0.2">
      <c r="A1048" s="31">
        <v>1.2352305981710521</v>
      </c>
      <c r="B1048" s="31"/>
      <c r="C1048" s="2" t="s">
        <v>855</v>
      </c>
      <c r="D1048" s="31">
        <f t="shared" si="37"/>
        <v>0.24210519724152621</v>
      </c>
      <c r="F1048" s="2" t="s">
        <v>822</v>
      </c>
      <c r="G1048" s="23" t="s">
        <v>902</v>
      </c>
      <c r="H1048" s="2" t="s">
        <v>822</v>
      </c>
      <c r="J1048" s="31">
        <v>29.3799992</v>
      </c>
      <c r="K1048" s="31">
        <v>49.0884018</v>
      </c>
      <c r="L1048" s="31"/>
      <c r="M1048" s="31" t="s">
        <v>854</v>
      </c>
      <c r="N1048" s="6" t="s">
        <v>856</v>
      </c>
    </row>
    <row r="1049" spans="1:14" ht="15" customHeight="1" x14ac:dyDescent="0.2">
      <c r="A1049" s="31">
        <v>1.235071808984763</v>
      </c>
      <c r="B1049" s="31"/>
      <c r="C1049" s="2" t="s">
        <v>855</v>
      </c>
      <c r="D1049" s="31">
        <f t="shared" si="37"/>
        <v>0.24207407456101354</v>
      </c>
      <c r="F1049" s="2" t="s">
        <v>822</v>
      </c>
      <c r="G1049" s="23" t="s">
        <v>902</v>
      </c>
      <c r="H1049" s="2" t="s">
        <v>822</v>
      </c>
      <c r="J1049" s="31">
        <v>27.5807991</v>
      </c>
      <c r="K1049" s="31">
        <v>35.251800500000002</v>
      </c>
      <c r="L1049" s="31"/>
      <c r="M1049" s="31" t="s">
        <v>854</v>
      </c>
      <c r="N1049" s="6" t="s">
        <v>856</v>
      </c>
    </row>
    <row r="1050" spans="1:14" ht="15" customHeight="1" x14ac:dyDescent="0.2">
      <c r="A1050" s="31">
        <v>1.234780723875718</v>
      </c>
      <c r="B1050" s="31"/>
      <c r="C1050" s="2" t="s">
        <v>855</v>
      </c>
      <c r="D1050" s="31">
        <f t="shared" si="37"/>
        <v>0.24201702187964075</v>
      </c>
      <c r="F1050" s="2" t="s">
        <v>822</v>
      </c>
      <c r="G1050" s="23" t="s">
        <v>902</v>
      </c>
      <c r="H1050" s="2" t="s">
        <v>822</v>
      </c>
      <c r="J1050" s="31">
        <v>27.383300800000001</v>
      </c>
      <c r="K1050" s="31">
        <v>33.864700300000003</v>
      </c>
      <c r="L1050" s="31"/>
      <c r="M1050" s="31" t="s">
        <v>854</v>
      </c>
      <c r="N1050" s="6" t="s">
        <v>856</v>
      </c>
    </row>
    <row r="1051" spans="1:14" ht="15" customHeight="1" x14ac:dyDescent="0.2">
      <c r="A1051" s="31">
        <v>1.2345957297078951</v>
      </c>
      <c r="B1051" s="31"/>
      <c r="C1051" s="2" t="s">
        <v>855</v>
      </c>
      <c r="D1051" s="31">
        <f t="shared" si="37"/>
        <v>0.24198076302274746</v>
      </c>
      <c r="F1051" s="2" t="s">
        <v>822</v>
      </c>
      <c r="G1051" s="23" t="s">
        <v>902</v>
      </c>
      <c r="H1051" s="2" t="s">
        <v>822</v>
      </c>
      <c r="J1051" s="31">
        <v>42.912101700000001</v>
      </c>
      <c r="K1051" s="31">
        <v>-12.130599999999999</v>
      </c>
      <c r="L1051" s="31"/>
      <c r="M1051" s="31" t="s">
        <v>854</v>
      </c>
      <c r="N1051" s="6" t="s">
        <v>856</v>
      </c>
    </row>
    <row r="1052" spans="1:14" ht="15" customHeight="1" x14ac:dyDescent="0.2">
      <c r="A1052" s="31">
        <v>1.234563123496198</v>
      </c>
      <c r="B1052" s="31"/>
      <c r="C1052" s="2" t="s">
        <v>855</v>
      </c>
      <c r="D1052" s="31">
        <f t="shared" si="37"/>
        <v>0.24197437220525481</v>
      </c>
      <c r="F1052" s="2" t="s">
        <v>822</v>
      </c>
      <c r="G1052" s="23" t="s">
        <v>902</v>
      </c>
      <c r="H1052" s="2" t="s">
        <v>822</v>
      </c>
      <c r="J1052" s="31">
        <v>37.711399100000001</v>
      </c>
      <c r="K1052" s="31">
        <v>-18.786399800000002</v>
      </c>
      <c r="L1052" s="31"/>
      <c r="M1052" s="31" t="s">
        <v>854</v>
      </c>
      <c r="N1052" s="6" t="s">
        <v>856</v>
      </c>
    </row>
    <row r="1053" spans="1:14" ht="15" customHeight="1" x14ac:dyDescent="0.2">
      <c r="A1053" s="20">
        <v>1.064448E-2</v>
      </c>
      <c r="B1053" s="20"/>
      <c r="C1053" s="2" t="s">
        <v>98</v>
      </c>
      <c r="D1053" s="2">
        <f>A1053 * 22.727</f>
        <v>0.24191709695999999</v>
      </c>
      <c r="F1053" s="2" t="s">
        <v>822</v>
      </c>
      <c r="G1053" s="2" t="s">
        <v>901</v>
      </c>
      <c r="H1053" s="2" t="s">
        <v>822</v>
      </c>
      <c r="I1053" s="14" t="s">
        <v>235</v>
      </c>
      <c r="J1053" s="21">
        <v>38.968429999999998</v>
      </c>
      <c r="K1053" s="21">
        <v>20.972280000000001</v>
      </c>
      <c r="L1053" s="21"/>
      <c r="M1053" s="33" t="s">
        <v>821</v>
      </c>
      <c r="N1053" s="17" t="s">
        <v>879</v>
      </c>
    </row>
    <row r="1054" spans="1:14" ht="15" customHeight="1" x14ac:dyDescent="0.2">
      <c r="A1054" s="31">
        <v>1.234095279495913</v>
      </c>
      <c r="B1054" s="31"/>
      <c r="C1054" s="2" t="s">
        <v>855</v>
      </c>
      <c r="D1054" s="31">
        <f xml:space="preserve"> A1054 * 0.196</f>
        <v>0.24188267478119896</v>
      </c>
      <c r="F1054" s="2" t="s">
        <v>822</v>
      </c>
      <c r="G1054" s="23" t="s">
        <v>902</v>
      </c>
      <c r="H1054" s="2" t="s">
        <v>822</v>
      </c>
      <c r="J1054" s="31">
        <v>36.667198200000001</v>
      </c>
      <c r="K1054" s="31">
        <v>20.872699699999998</v>
      </c>
      <c r="L1054" s="31"/>
      <c r="M1054" s="31" t="s">
        <v>854</v>
      </c>
      <c r="N1054" s="6" t="s">
        <v>856</v>
      </c>
    </row>
    <row r="1055" spans="1:14" ht="15" customHeight="1" x14ac:dyDescent="0.2">
      <c r="A1055" s="31">
        <v>1.2335230496061049</v>
      </c>
      <c r="B1055" s="31"/>
      <c r="C1055" s="2" t="s">
        <v>855</v>
      </c>
      <c r="D1055" s="31">
        <f xml:space="preserve"> A1055 * 0.196</f>
        <v>0.24177051772279656</v>
      </c>
      <c r="F1055" s="2" t="s">
        <v>822</v>
      </c>
      <c r="G1055" s="23" t="s">
        <v>902</v>
      </c>
      <c r="H1055" s="2" t="s">
        <v>822</v>
      </c>
      <c r="J1055" s="31">
        <v>26.040000899999999</v>
      </c>
      <c r="K1055" s="31">
        <v>-24.857999800000002</v>
      </c>
      <c r="L1055" s="31"/>
      <c r="M1055" s="31" t="s">
        <v>854</v>
      </c>
      <c r="N1055" s="6" t="s">
        <v>856</v>
      </c>
    </row>
    <row r="1056" spans="1:14" ht="15" customHeight="1" x14ac:dyDescent="0.2">
      <c r="A1056" s="31">
        <v>1.2334427087577859</v>
      </c>
      <c r="B1056" s="31"/>
      <c r="C1056" s="2" t="s">
        <v>855</v>
      </c>
      <c r="D1056" s="31">
        <f xml:space="preserve"> A1056 * 0.196</f>
        <v>0.24175477091652606</v>
      </c>
      <c r="F1056" s="2" t="s">
        <v>822</v>
      </c>
      <c r="G1056" s="23" t="s">
        <v>902</v>
      </c>
      <c r="H1056" s="2" t="s">
        <v>822</v>
      </c>
      <c r="J1056" s="31">
        <v>41.533599899999999</v>
      </c>
      <c r="K1056" s="31">
        <v>16.267599100000002</v>
      </c>
      <c r="L1056" s="31"/>
      <c r="M1056" s="31" t="s">
        <v>854</v>
      </c>
      <c r="N1056" s="6" t="s">
        <v>856</v>
      </c>
    </row>
    <row r="1057" spans="1:14" ht="15" customHeight="1" x14ac:dyDescent="0.2">
      <c r="A1057" s="31">
        <v>1.233052503531213</v>
      </c>
      <c r="B1057" s="31"/>
      <c r="C1057" s="2" t="s">
        <v>855</v>
      </c>
      <c r="D1057" s="31">
        <f xml:space="preserve"> A1057 * 0.196</f>
        <v>0.24167829069211774</v>
      </c>
      <c r="F1057" s="2" t="s">
        <v>822</v>
      </c>
      <c r="G1057" s="23" t="s">
        <v>902</v>
      </c>
      <c r="H1057" s="2" t="s">
        <v>822</v>
      </c>
      <c r="J1057" s="31">
        <v>25.520399099999999</v>
      </c>
      <c r="K1057" s="31">
        <v>54.452499400000001</v>
      </c>
      <c r="L1057" s="31"/>
      <c r="M1057" s="31" t="s">
        <v>854</v>
      </c>
      <c r="N1057" s="6" t="s">
        <v>856</v>
      </c>
    </row>
    <row r="1058" spans="1:14" ht="15" customHeight="1" x14ac:dyDescent="0.2">
      <c r="A1058" s="31">
        <v>1.23184173275555</v>
      </c>
      <c r="B1058" s="31"/>
      <c r="C1058" s="2" t="s">
        <v>855</v>
      </c>
      <c r="D1058" s="31">
        <f xml:space="preserve"> A1058 * 0.196</f>
        <v>0.24144097962008781</v>
      </c>
      <c r="F1058" s="2" t="s">
        <v>822</v>
      </c>
      <c r="G1058" s="23" t="s">
        <v>902</v>
      </c>
      <c r="H1058" s="2" t="s">
        <v>822</v>
      </c>
      <c r="J1058" s="31">
        <v>42.085201300000001</v>
      </c>
      <c r="K1058" s="31">
        <v>-18.4272995</v>
      </c>
      <c r="L1058" s="31"/>
      <c r="M1058" s="31" t="s">
        <v>854</v>
      </c>
      <c r="N1058" s="6" t="s">
        <v>856</v>
      </c>
    </row>
    <row r="1059" spans="1:14" ht="15" customHeight="1" x14ac:dyDescent="0.2">
      <c r="A1059" s="22">
        <v>0.24111032126592602</v>
      </c>
      <c r="B1059" s="22"/>
      <c r="C1059" s="2" t="s">
        <v>891</v>
      </c>
      <c r="D1059" s="2">
        <f>A1059</f>
        <v>0.24111032126592602</v>
      </c>
      <c r="F1059" s="2">
        <v>2023</v>
      </c>
      <c r="G1059" s="23" t="s">
        <v>902</v>
      </c>
      <c r="H1059" s="2" t="s">
        <v>769</v>
      </c>
      <c r="I1059" s="23" t="s">
        <v>189</v>
      </c>
      <c r="J1059" s="23">
        <v>57978929</v>
      </c>
      <c r="K1059" s="23">
        <v>11743183</v>
      </c>
      <c r="L1059" s="23" t="s">
        <v>819</v>
      </c>
      <c r="M1059" s="2" t="s">
        <v>825</v>
      </c>
      <c r="N1059" s="6" t="s">
        <v>828</v>
      </c>
    </row>
    <row r="1060" spans="1:14" ht="15" customHeight="1" x14ac:dyDescent="0.2">
      <c r="A1060" s="31">
        <v>1.2299487394416151</v>
      </c>
      <c r="B1060" s="31"/>
      <c r="C1060" s="2" t="s">
        <v>855</v>
      </c>
      <c r="D1060" s="31">
        <f t="shared" ref="D1060:D1079" si="38" xml:space="preserve"> A1060 * 0.196</f>
        <v>0.24106995293055658</v>
      </c>
      <c r="F1060" s="2" t="s">
        <v>822</v>
      </c>
      <c r="G1060" s="23" t="s">
        <v>902</v>
      </c>
      <c r="H1060" s="2" t="s">
        <v>822</v>
      </c>
      <c r="J1060" s="31">
        <v>26.040000899999999</v>
      </c>
      <c r="K1060" s="31">
        <v>-20.516000699999999</v>
      </c>
      <c r="L1060" s="31"/>
      <c r="M1060" s="31" t="s">
        <v>854</v>
      </c>
      <c r="N1060" s="6" t="s">
        <v>856</v>
      </c>
    </row>
    <row r="1061" spans="1:14" ht="15" customHeight="1" x14ac:dyDescent="0.2">
      <c r="A1061" s="31">
        <v>1.2289963444994521</v>
      </c>
      <c r="B1061" s="31"/>
      <c r="C1061" s="2" t="s">
        <v>855</v>
      </c>
      <c r="D1061" s="31">
        <f t="shared" si="38"/>
        <v>0.24088328352189262</v>
      </c>
      <c r="F1061" s="2" t="s">
        <v>822</v>
      </c>
      <c r="G1061" s="23" t="s">
        <v>902</v>
      </c>
      <c r="H1061" s="2" t="s">
        <v>822</v>
      </c>
      <c r="J1061" s="31">
        <v>40.0680008</v>
      </c>
      <c r="K1061" s="31">
        <v>-24.5240002</v>
      </c>
      <c r="L1061" s="31"/>
      <c r="M1061" s="31" t="s">
        <v>854</v>
      </c>
      <c r="N1061" s="6" t="s">
        <v>856</v>
      </c>
    </row>
    <row r="1062" spans="1:14" ht="15" customHeight="1" x14ac:dyDescent="0.2">
      <c r="A1062" s="31">
        <v>1.2289714195773951</v>
      </c>
      <c r="B1062" s="31"/>
      <c r="C1062" s="2" t="s">
        <v>855</v>
      </c>
      <c r="D1062" s="31">
        <f t="shared" si="38"/>
        <v>0.24087839823716944</v>
      </c>
      <c r="F1062" s="2" t="s">
        <v>822</v>
      </c>
      <c r="G1062" s="23" t="s">
        <v>902</v>
      </c>
      <c r="H1062" s="2" t="s">
        <v>822</v>
      </c>
      <c r="J1062" s="31">
        <v>59.049900100000002</v>
      </c>
      <c r="K1062" s="31">
        <v>18.390600200000002</v>
      </c>
      <c r="L1062" s="31"/>
      <c r="M1062" s="31" t="s">
        <v>854</v>
      </c>
      <c r="N1062" s="6" t="s">
        <v>856</v>
      </c>
    </row>
    <row r="1063" spans="1:14" ht="15" customHeight="1" x14ac:dyDescent="0.2">
      <c r="A1063" s="31">
        <v>1.228873855734391</v>
      </c>
      <c r="B1063" s="31"/>
      <c r="C1063" s="2" t="s">
        <v>855</v>
      </c>
      <c r="D1063" s="31">
        <f t="shared" si="38"/>
        <v>0.24085927572394064</v>
      </c>
      <c r="F1063" s="2" t="s">
        <v>822</v>
      </c>
      <c r="G1063" s="23" t="s">
        <v>902</v>
      </c>
      <c r="H1063" s="2" t="s">
        <v>822</v>
      </c>
      <c r="J1063" s="31">
        <v>31.388999900000002</v>
      </c>
      <c r="K1063" s="31">
        <v>-11.8288002</v>
      </c>
      <c r="L1063" s="31"/>
      <c r="M1063" s="31" t="s">
        <v>854</v>
      </c>
      <c r="N1063" s="6" t="s">
        <v>856</v>
      </c>
    </row>
    <row r="1064" spans="1:14" ht="15" customHeight="1" x14ac:dyDescent="0.2">
      <c r="A1064" s="31">
        <v>1.2281045154375381</v>
      </c>
      <c r="B1064" s="31"/>
      <c r="C1064" s="2" t="s">
        <v>855</v>
      </c>
      <c r="D1064" s="31">
        <f t="shared" si="38"/>
        <v>0.24070848502575748</v>
      </c>
      <c r="F1064" s="2" t="s">
        <v>822</v>
      </c>
      <c r="G1064" s="23" t="s">
        <v>902</v>
      </c>
      <c r="H1064" s="2" t="s">
        <v>822</v>
      </c>
      <c r="J1064" s="31">
        <v>28.781799299999999</v>
      </c>
      <c r="K1064" s="31">
        <v>-17.835100199999999</v>
      </c>
      <c r="L1064" s="31"/>
      <c r="M1064" s="31" t="s">
        <v>854</v>
      </c>
      <c r="N1064" s="6" t="s">
        <v>856</v>
      </c>
    </row>
    <row r="1065" spans="1:14" ht="15" customHeight="1" x14ac:dyDescent="0.2">
      <c r="A1065" s="31">
        <v>1.22734544145387</v>
      </c>
      <c r="B1065" s="31"/>
      <c r="C1065" s="2" t="s">
        <v>855</v>
      </c>
      <c r="D1065" s="31">
        <f t="shared" si="38"/>
        <v>0.24055970652495853</v>
      </c>
      <c r="F1065" s="2" t="s">
        <v>822</v>
      </c>
      <c r="G1065" s="23" t="s">
        <v>902</v>
      </c>
      <c r="H1065" s="2" t="s">
        <v>822</v>
      </c>
      <c r="J1065" s="31">
        <v>46.578899399999997</v>
      </c>
      <c r="K1065" s="31">
        <v>-4.1805401</v>
      </c>
      <c r="L1065" s="31"/>
      <c r="M1065" s="31" t="s">
        <v>854</v>
      </c>
      <c r="N1065" s="6" t="s">
        <v>856</v>
      </c>
    </row>
    <row r="1066" spans="1:14" ht="15" customHeight="1" x14ac:dyDescent="0.2">
      <c r="A1066" s="31">
        <v>1.2260555090469409</v>
      </c>
      <c r="B1066" s="31"/>
      <c r="C1066" s="2" t="s">
        <v>855</v>
      </c>
      <c r="D1066" s="31">
        <f t="shared" si="38"/>
        <v>0.24030687977320042</v>
      </c>
      <c r="F1066" s="2" t="s">
        <v>822</v>
      </c>
      <c r="G1066" s="23" t="s">
        <v>902</v>
      </c>
      <c r="H1066" s="2" t="s">
        <v>822</v>
      </c>
      <c r="J1066" s="31">
        <v>41.111598999999998</v>
      </c>
      <c r="K1066" s="31">
        <v>-15.171999899999999</v>
      </c>
      <c r="L1066" s="31"/>
      <c r="M1066" s="31" t="s">
        <v>854</v>
      </c>
      <c r="N1066" s="6" t="s">
        <v>856</v>
      </c>
    </row>
    <row r="1067" spans="1:14" ht="15" customHeight="1" x14ac:dyDescent="0.2">
      <c r="A1067" s="31">
        <v>1.2245096993576761</v>
      </c>
      <c r="B1067" s="31"/>
      <c r="C1067" s="2" t="s">
        <v>855</v>
      </c>
      <c r="D1067" s="31">
        <f t="shared" si="38"/>
        <v>0.24000390107410452</v>
      </c>
      <c r="F1067" s="2" t="s">
        <v>822</v>
      </c>
      <c r="G1067" s="23" t="s">
        <v>902</v>
      </c>
      <c r="H1067" s="2" t="s">
        <v>822</v>
      </c>
      <c r="J1067" s="31">
        <v>39.445900000000002</v>
      </c>
      <c r="K1067" s="31">
        <v>-25.341899900000001</v>
      </c>
      <c r="L1067" s="31"/>
      <c r="M1067" s="31" t="s">
        <v>854</v>
      </c>
      <c r="N1067" s="6" t="s">
        <v>856</v>
      </c>
    </row>
    <row r="1068" spans="1:14" ht="15" customHeight="1" x14ac:dyDescent="0.2">
      <c r="A1068" s="31">
        <v>1.22255325152765</v>
      </c>
      <c r="B1068" s="31"/>
      <c r="C1068" s="2" t="s">
        <v>855</v>
      </c>
      <c r="D1068" s="31">
        <f t="shared" si="38"/>
        <v>0.23962043729941943</v>
      </c>
      <c r="F1068" s="2" t="s">
        <v>822</v>
      </c>
      <c r="G1068" s="23" t="s">
        <v>902</v>
      </c>
      <c r="H1068" s="2" t="s">
        <v>822</v>
      </c>
      <c r="J1068" s="31">
        <v>41.445598599999997</v>
      </c>
      <c r="K1068" s="31">
        <v>-14.5039997</v>
      </c>
      <c r="L1068" s="31"/>
      <c r="M1068" s="31" t="s">
        <v>854</v>
      </c>
      <c r="N1068" s="6" t="s">
        <v>856</v>
      </c>
    </row>
    <row r="1069" spans="1:14" ht="15" customHeight="1" x14ac:dyDescent="0.2">
      <c r="A1069" s="31">
        <v>1.221702560164593</v>
      </c>
      <c r="B1069" s="31"/>
      <c r="C1069" s="2" t="s">
        <v>855</v>
      </c>
      <c r="D1069" s="31">
        <f t="shared" si="38"/>
        <v>0.23945370179226025</v>
      </c>
      <c r="F1069" s="2" t="s">
        <v>822</v>
      </c>
      <c r="G1069" s="23" t="s">
        <v>902</v>
      </c>
      <c r="H1069" s="2" t="s">
        <v>822</v>
      </c>
      <c r="J1069" s="31">
        <v>28.390600200000002</v>
      </c>
      <c r="K1069" s="31">
        <v>49.847801199999999</v>
      </c>
      <c r="L1069" s="31"/>
      <c r="M1069" s="31" t="s">
        <v>854</v>
      </c>
      <c r="N1069" s="6" t="s">
        <v>856</v>
      </c>
    </row>
    <row r="1070" spans="1:14" ht="15" customHeight="1" x14ac:dyDescent="0.2">
      <c r="A1070" s="31">
        <v>1.2209341418596911</v>
      </c>
      <c r="B1070" s="31"/>
      <c r="C1070" s="2" t="s">
        <v>855</v>
      </c>
      <c r="D1070" s="31">
        <f t="shared" si="38"/>
        <v>0.23930309180449946</v>
      </c>
      <c r="F1070" s="2" t="s">
        <v>822</v>
      </c>
      <c r="G1070" s="23" t="s">
        <v>902</v>
      </c>
      <c r="H1070" s="2" t="s">
        <v>822</v>
      </c>
      <c r="J1070" s="31">
        <v>36.623500800000002</v>
      </c>
      <c r="K1070" s="31">
        <v>2.1947000000000001</v>
      </c>
      <c r="L1070" s="31"/>
      <c r="M1070" s="31" t="s">
        <v>854</v>
      </c>
      <c r="N1070" s="6" t="s">
        <v>856</v>
      </c>
    </row>
    <row r="1071" spans="1:14" ht="15" customHeight="1" x14ac:dyDescent="0.2">
      <c r="A1071" s="31">
        <v>1.2204903742762181</v>
      </c>
      <c r="B1071" s="31"/>
      <c r="C1071" s="2" t="s">
        <v>855</v>
      </c>
      <c r="D1071" s="31">
        <f t="shared" si="38"/>
        <v>0.23921611335813875</v>
      </c>
      <c r="F1071" s="2" t="s">
        <v>822</v>
      </c>
      <c r="G1071" s="23" t="s">
        <v>902</v>
      </c>
      <c r="H1071" s="2" t="s">
        <v>822</v>
      </c>
      <c r="J1071" s="31">
        <v>40.0680008</v>
      </c>
      <c r="K1071" s="31">
        <v>-41.891998299999997</v>
      </c>
      <c r="L1071" s="31"/>
      <c r="M1071" s="31" t="s">
        <v>854</v>
      </c>
      <c r="N1071" s="6" t="s">
        <v>856</v>
      </c>
    </row>
    <row r="1072" spans="1:14" ht="15" customHeight="1" x14ac:dyDescent="0.2">
      <c r="A1072" s="31">
        <v>1.22018920416753</v>
      </c>
      <c r="B1072" s="31"/>
      <c r="C1072" s="2" t="s">
        <v>855</v>
      </c>
      <c r="D1072" s="31">
        <f t="shared" si="38"/>
        <v>0.23915708401683589</v>
      </c>
      <c r="F1072" s="2" t="s">
        <v>822</v>
      </c>
      <c r="G1072" s="23" t="s">
        <v>902</v>
      </c>
      <c r="H1072" s="2" t="s">
        <v>822</v>
      </c>
      <c r="J1072" s="31">
        <v>34.045101199999998</v>
      </c>
      <c r="K1072" s="31">
        <v>10.6430998</v>
      </c>
      <c r="L1072" s="31"/>
      <c r="M1072" s="31" t="s">
        <v>854</v>
      </c>
      <c r="N1072" s="6" t="s">
        <v>856</v>
      </c>
    </row>
    <row r="1073" spans="1:14" ht="15" customHeight="1" x14ac:dyDescent="0.2">
      <c r="A1073" s="31">
        <v>1.219420936118436</v>
      </c>
      <c r="B1073" s="31"/>
      <c r="C1073" s="2" t="s">
        <v>855</v>
      </c>
      <c r="D1073" s="31">
        <f t="shared" si="38"/>
        <v>0.23900650347921348</v>
      </c>
      <c r="F1073" s="2" t="s">
        <v>822</v>
      </c>
      <c r="G1073" s="23" t="s">
        <v>902</v>
      </c>
      <c r="H1073" s="2" t="s">
        <v>822</v>
      </c>
      <c r="J1073" s="31">
        <v>56.997199999999999</v>
      </c>
      <c r="K1073" s="31">
        <v>18.433700600000002</v>
      </c>
      <c r="L1073" s="31"/>
      <c r="M1073" s="31" t="s">
        <v>854</v>
      </c>
      <c r="N1073" s="6" t="s">
        <v>856</v>
      </c>
    </row>
    <row r="1074" spans="1:14" ht="15" customHeight="1" x14ac:dyDescent="0.2">
      <c r="A1074" s="31">
        <v>1.2183664332280699</v>
      </c>
      <c r="B1074" s="31"/>
      <c r="C1074" s="2" t="s">
        <v>855</v>
      </c>
      <c r="D1074" s="31">
        <f t="shared" si="38"/>
        <v>0.23879982091270172</v>
      </c>
      <c r="F1074" s="2" t="s">
        <v>822</v>
      </c>
      <c r="G1074" s="23" t="s">
        <v>902</v>
      </c>
      <c r="H1074" s="2" t="s">
        <v>822</v>
      </c>
      <c r="J1074" s="31">
        <v>26.708000200000001</v>
      </c>
      <c r="K1074" s="31">
        <v>-22.520000499999998</v>
      </c>
      <c r="L1074" s="31"/>
      <c r="M1074" s="31" t="s">
        <v>854</v>
      </c>
      <c r="N1074" s="6" t="s">
        <v>856</v>
      </c>
    </row>
    <row r="1075" spans="1:14" ht="15" customHeight="1" x14ac:dyDescent="0.2">
      <c r="A1075" s="31">
        <v>1.2180174654866669</v>
      </c>
      <c r="B1075" s="31"/>
      <c r="C1075" s="2" t="s">
        <v>855</v>
      </c>
      <c r="D1075" s="31">
        <f t="shared" si="38"/>
        <v>0.23873142323538671</v>
      </c>
      <c r="F1075" s="2" t="s">
        <v>822</v>
      </c>
      <c r="G1075" s="23" t="s">
        <v>902</v>
      </c>
      <c r="H1075" s="2" t="s">
        <v>822</v>
      </c>
      <c r="J1075" s="31">
        <v>37.153999300000002</v>
      </c>
      <c r="K1075" s="31">
        <v>-42.177799200000003</v>
      </c>
      <c r="L1075" s="31"/>
      <c r="M1075" s="31" t="s">
        <v>854</v>
      </c>
      <c r="N1075" s="6" t="s">
        <v>856</v>
      </c>
    </row>
    <row r="1076" spans="1:14" ht="15" customHeight="1" x14ac:dyDescent="0.2">
      <c r="A1076" s="31">
        <v>1.2178450574950741</v>
      </c>
      <c r="B1076" s="31"/>
      <c r="C1076" s="2" t="s">
        <v>855</v>
      </c>
      <c r="D1076" s="31">
        <f t="shared" si="38"/>
        <v>0.23869763126903454</v>
      </c>
      <c r="F1076" s="2" t="s">
        <v>822</v>
      </c>
      <c r="G1076" s="23" t="s">
        <v>902</v>
      </c>
      <c r="H1076" s="2" t="s">
        <v>822</v>
      </c>
      <c r="J1076" s="31">
        <v>25.089099900000001</v>
      </c>
      <c r="K1076" s="31">
        <v>61.884101899999997</v>
      </c>
      <c r="L1076" s="31"/>
      <c r="M1076" s="31" t="s">
        <v>854</v>
      </c>
      <c r="N1076" s="6" t="s">
        <v>856</v>
      </c>
    </row>
    <row r="1077" spans="1:14" ht="15" customHeight="1" x14ac:dyDescent="0.2">
      <c r="A1077" s="31">
        <v>1.217371080404559</v>
      </c>
      <c r="B1077" s="31"/>
      <c r="C1077" s="2" t="s">
        <v>855</v>
      </c>
      <c r="D1077" s="31">
        <f t="shared" si="38"/>
        <v>0.23860473175929356</v>
      </c>
      <c r="F1077" s="2" t="s">
        <v>822</v>
      </c>
      <c r="G1077" s="23" t="s">
        <v>902</v>
      </c>
      <c r="H1077" s="2" t="s">
        <v>822</v>
      </c>
      <c r="J1077" s="31">
        <v>60.174400300000002</v>
      </c>
      <c r="K1077" s="31">
        <v>20.2311993</v>
      </c>
      <c r="L1077" s="31"/>
      <c r="M1077" s="31" t="s">
        <v>854</v>
      </c>
      <c r="N1077" s="6" t="s">
        <v>856</v>
      </c>
    </row>
    <row r="1078" spans="1:14" ht="15" customHeight="1" x14ac:dyDescent="0.2">
      <c r="A1078" s="31">
        <v>1.2172695721738269</v>
      </c>
      <c r="B1078" s="31"/>
      <c r="C1078" s="2" t="s">
        <v>855</v>
      </c>
      <c r="D1078" s="31">
        <f t="shared" si="38"/>
        <v>0.2385848361460701</v>
      </c>
      <c r="F1078" s="2" t="s">
        <v>822</v>
      </c>
      <c r="G1078" s="23" t="s">
        <v>902</v>
      </c>
      <c r="H1078" s="2" t="s">
        <v>822</v>
      </c>
      <c r="J1078" s="31">
        <v>27.375999499999999</v>
      </c>
      <c r="K1078" s="31">
        <v>-21.851999299999999</v>
      </c>
      <c r="L1078" s="31"/>
      <c r="M1078" s="31" t="s">
        <v>854</v>
      </c>
      <c r="N1078" s="6" t="s">
        <v>856</v>
      </c>
    </row>
    <row r="1079" spans="1:14" ht="15" customHeight="1" x14ac:dyDescent="0.2">
      <c r="A1079" s="31">
        <v>1.2167708807935671</v>
      </c>
      <c r="B1079" s="31"/>
      <c r="C1079" s="2" t="s">
        <v>855</v>
      </c>
      <c r="D1079" s="31">
        <f t="shared" si="38"/>
        <v>0.23848709263553916</v>
      </c>
      <c r="F1079" s="2" t="s">
        <v>822</v>
      </c>
      <c r="G1079" s="23" t="s">
        <v>902</v>
      </c>
      <c r="H1079" s="2" t="s">
        <v>822</v>
      </c>
      <c r="J1079" s="31">
        <v>31.5893002</v>
      </c>
      <c r="K1079" s="31">
        <v>30.7231007</v>
      </c>
      <c r="L1079" s="31"/>
      <c r="M1079" s="31" t="s">
        <v>854</v>
      </c>
      <c r="N1079" s="6" t="s">
        <v>856</v>
      </c>
    </row>
    <row r="1080" spans="1:14" ht="15" customHeight="1" x14ac:dyDescent="0.2">
      <c r="A1080" s="22">
        <v>0.2382351272077812</v>
      </c>
      <c r="B1080" s="22"/>
      <c r="C1080" s="2" t="s">
        <v>891</v>
      </c>
      <c r="D1080" s="2">
        <f>A1080</f>
        <v>0.2382351272077812</v>
      </c>
      <c r="F1080" s="2">
        <v>2023</v>
      </c>
      <c r="G1080" s="23" t="s">
        <v>902</v>
      </c>
      <c r="H1080" s="2" t="s">
        <v>771</v>
      </c>
      <c r="I1080" s="23" t="s">
        <v>189</v>
      </c>
      <c r="J1080" s="23">
        <v>58077397</v>
      </c>
      <c r="K1080" s="23">
        <v>11813512</v>
      </c>
      <c r="L1080" s="23" t="s">
        <v>819</v>
      </c>
      <c r="M1080" s="2" t="s">
        <v>825</v>
      </c>
      <c r="N1080" s="6" t="s">
        <v>828</v>
      </c>
    </row>
    <row r="1081" spans="1:14" ht="15" customHeight="1" x14ac:dyDescent="0.2">
      <c r="A1081" s="31">
        <v>1.2143334138164681</v>
      </c>
      <c r="B1081" s="31"/>
      <c r="C1081" s="2" t="s">
        <v>855</v>
      </c>
      <c r="D1081" s="31">
        <f t="shared" ref="D1081:D1087" si="39" xml:space="preserve"> A1081 * 0.196</f>
        <v>0.23800934910802776</v>
      </c>
      <c r="F1081" s="2" t="s">
        <v>822</v>
      </c>
      <c r="G1081" s="23" t="s">
        <v>902</v>
      </c>
      <c r="H1081" s="2" t="s">
        <v>822</v>
      </c>
      <c r="J1081" s="31">
        <v>34.061199199999997</v>
      </c>
      <c r="K1081" s="31">
        <v>-7.6502999999999997</v>
      </c>
      <c r="L1081" s="31"/>
      <c r="M1081" s="31" t="s">
        <v>854</v>
      </c>
      <c r="N1081" s="6" t="s">
        <v>856</v>
      </c>
    </row>
    <row r="1082" spans="1:14" ht="15" customHeight="1" x14ac:dyDescent="0.2">
      <c r="A1082" s="31">
        <v>1.2140243307725429</v>
      </c>
      <c r="B1082" s="31"/>
      <c r="C1082" s="2" t="s">
        <v>855</v>
      </c>
      <c r="D1082" s="31">
        <f t="shared" si="39"/>
        <v>0.23794876883141841</v>
      </c>
      <c r="F1082" s="2" t="s">
        <v>822</v>
      </c>
      <c r="G1082" s="23" t="s">
        <v>902</v>
      </c>
      <c r="H1082" s="2" t="s">
        <v>822</v>
      </c>
      <c r="J1082" s="31">
        <v>44.161701200000003</v>
      </c>
      <c r="K1082" s="31">
        <v>-2.3686699999999998</v>
      </c>
      <c r="L1082" s="31"/>
      <c r="M1082" s="31" t="s">
        <v>854</v>
      </c>
      <c r="N1082" s="6" t="s">
        <v>856</v>
      </c>
    </row>
    <row r="1083" spans="1:14" ht="15" customHeight="1" x14ac:dyDescent="0.2">
      <c r="A1083" s="31">
        <v>1.21388030271417</v>
      </c>
      <c r="B1083" s="31"/>
      <c r="C1083" s="2" t="s">
        <v>855</v>
      </c>
      <c r="D1083" s="31">
        <f t="shared" si="39"/>
        <v>0.23792053933197732</v>
      </c>
      <c r="F1083" s="2" t="s">
        <v>822</v>
      </c>
      <c r="G1083" s="23" t="s">
        <v>902</v>
      </c>
      <c r="H1083" s="2" t="s">
        <v>822</v>
      </c>
      <c r="J1083" s="31">
        <v>28.787399300000001</v>
      </c>
      <c r="K1083" s="31">
        <v>48.472099299999996</v>
      </c>
      <c r="L1083" s="31"/>
      <c r="M1083" s="31" t="s">
        <v>854</v>
      </c>
      <c r="N1083" s="6" t="s">
        <v>856</v>
      </c>
    </row>
    <row r="1084" spans="1:14" ht="15" customHeight="1" x14ac:dyDescent="0.2">
      <c r="A1084" s="31">
        <v>1.2136195498417219</v>
      </c>
      <c r="B1084" s="31"/>
      <c r="C1084" s="2" t="s">
        <v>855</v>
      </c>
      <c r="D1084" s="31">
        <f t="shared" si="39"/>
        <v>0.23786943176897751</v>
      </c>
      <c r="F1084" s="2" t="s">
        <v>822</v>
      </c>
      <c r="G1084" s="23" t="s">
        <v>902</v>
      </c>
      <c r="H1084" s="2" t="s">
        <v>822</v>
      </c>
      <c r="J1084" s="31">
        <v>27.356399499999998</v>
      </c>
      <c r="K1084" s="31">
        <v>-17.828199399999999</v>
      </c>
      <c r="L1084" s="31"/>
      <c r="M1084" s="31" t="s">
        <v>854</v>
      </c>
      <c r="N1084" s="6" t="s">
        <v>856</v>
      </c>
    </row>
    <row r="1085" spans="1:14" ht="15" customHeight="1" x14ac:dyDescent="0.2">
      <c r="A1085" s="31">
        <v>1.213091756001522</v>
      </c>
      <c r="B1085" s="31"/>
      <c r="C1085" s="2" t="s">
        <v>855</v>
      </c>
      <c r="D1085" s="31">
        <f t="shared" si="39"/>
        <v>0.23776598417629832</v>
      </c>
      <c r="F1085" s="2" t="s">
        <v>822</v>
      </c>
      <c r="G1085" s="23" t="s">
        <v>902</v>
      </c>
      <c r="H1085" s="2" t="s">
        <v>822</v>
      </c>
      <c r="J1085" s="31">
        <v>25.220600099999999</v>
      </c>
      <c r="K1085" s="31">
        <v>54.435798599999998</v>
      </c>
      <c r="L1085" s="31"/>
      <c r="M1085" s="31" t="s">
        <v>854</v>
      </c>
      <c r="N1085" s="6" t="s">
        <v>856</v>
      </c>
    </row>
    <row r="1086" spans="1:14" ht="15" customHeight="1" x14ac:dyDescent="0.2">
      <c r="A1086" s="31">
        <v>1.2118770083739481</v>
      </c>
      <c r="B1086" s="31"/>
      <c r="C1086" s="2" t="s">
        <v>855</v>
      </c>
      <c r="D1086" s="31">
        <f t="shared" si="39"/>
        <v>0.23752789364129384</v>
      </c>
      <c r="F1086" s="2" t="s">
        <v>822</v>
      </c>
      <c r="G1086" s="23" t="s">
        <v>902</v>
      </c>
      <c r="H1086" s="2" t="s">
        <v>822</v>
      </c>
      <c r="J1086" s="31">
        <v>37.3959999</v>
      </c>
      <c r="K1086" s="31">
        <v>-38.551998099999999</v>
      </c>
      <c r="L1086" s="31"/>
      <c r="M1086" s="31" t="s">
        <v>854</v>
      </c>
      <c r="N1086" s="6" t="s">
        <v>856</v>
      </c>
    </row>
    <row r="1087" spans="1:14" ht="15" customHeight="1" x14ac:dyDescent="0.2">
      <c r="A1087" s="31">
        <v>1.2114564412796569</v>
      </c>
      <c r="B1087" s="31"/>
      <c r="C1087" s="2" t="s">
        <v>855</v>
      </c>
      <c r="D1087" s="31">
        <f t="shared" si="39"/>
        <v>0.23744546249081278</v>
      </c>
      <c r="F1087" s="2" t="s">
        <v>822</v>
      </c>
      <c r="G1087" s="23" t="s">
        <v>902</v>
      </c>
      <c r="H1087" s="2" t="s">
        <v>822</v>
      </c>
      <c r="J1087" s="31">
        <v>37.756198900000001</v>
      </c>
      <c r="K1087" s="31">
        <v>15.2302999</v>
      </c>
      <c r="L1087" s="31"/>
      <c r="M1087" s="31" t="s">
        <v>854</v>
      </c>
      <c r="N1087" s="6" t="s">
        <v>856</v>
      </c>
    </row>
    <row r="1088" spans="1:14" ht="15" customHeight="1" x14ac:dyDescent="0.2">
      <c r="A1088" s="22">
        <v>0.23741571304973053</v>
      </c>
      <c r="B1088" s="22"/>
      <c r="C1088" s="2" t="s">
        <v>891</v>
      </c>
      <c r="D1088" s="2">
        <f>A1088</f>
        <v>0.23741571304973053</v>
      </c>
      <c r="F1088" s="2">
        <v>2023</v>
      </c>
      <c r="G1088" s="23" t="s">
        <v>902</v>
      </c>
      <c r="H1088" s="2" t="s">
        <v>771</v>
      </c>
      <c r="I1088" s="23" t="s">
        <v>189</v>
      </c>
      <c r="J1088" s="23">
        <v>58080275</v>
      </c>
      <c r="K1088" s="23">
        <v>11806287</v>
      </c>
      <c r="L1088" s="23" t="s">
        <v>819</v>
      </c>
      <c r="M1088" s="2" t="s">
        <v>825</v>
      </c>
      <c r="N1088" s="6" t="s">
        <v>828</v>
      </c>
    </row>
    <row r="1089" spans="1:14" ht="15" customHeight="1" x14ac:dyDescent="0.2">
      <c r="A1089" s="31">
        <v>1.2113010468606029</v>
      </c>
      <c r="B1089" s="31"/>
      <c r="C1089" s="2" t="s">
        <v>855</v>
      </c>
      <c r="D1089" s="31">
        <f t="shared" ref="D1089:D1110" si="40" xml:space="preserve"> A1089 * 0.196</f>
        <v>0.23741500518467817</v>
      </c>
      <c r="F1089" s="2" t="s">
        <v>822</v>
      </c>
      <c r="G1089" s="23" t="s">
        <v>902</v>
      </c>
      <c r="H1089" s="2" t="s">
        <v>822</v>
      </c>
      <c r="J1089" s="31">
        <v>26.032699600000001</v>
      </c>
      <c r="K1089" s="31">
        <v>51.974998499999998</v>
      </c>
      <c r="L1089" s="31"/>
      <c r="M1089" s="31" t="s">
        <v>854</v>
      </c>
      <c r="N1089" s="6" t="s">
        <v>856</v>
      </c>
    </row>
    <row r="1090" spans="1:14" ht="15" customHeight="1" x14ac:dyDescent="0.2">
      <c r="A1090" s="31">
        <v>1.2111445823444751</v>
      </c>
      <c r="B1090" s="31"/>
      <c r="C1090" s="2" t="s">
        <v>855</v>
      </c>
      <c r="D1090" s="31">
        <f t="shared" si="40"/>
        <v>0.23738433813951712</v>
      </c>
      <c r="F1090" s="2" t="s">
        <v>822</v>
      </c>
      <c r="G1090" s="23" t="s">
        <v>902</v>
      </c>
      <c r="H1090" s="2" t="s">
        <v>822</v>
      </c>
      <c r="J1090" s="31">
        <v>35.155601500000003</v>
      </c>
      <c r="K1090" s="31">
        <v>-42.802700000000002</v>
      </c>
      <c r="L1090" s="31"/>
      <c r="M1090" s="31" t="s">
        <v>854</v>
      </c>
      <c r="N1090" s="6" t="s">
        <v>856</v>
      </c>
    </row>
    <row r="1091" spans="1:14" ht="15" customHeight="1" x14ac:dyDescent="0.2">
      <c r="A1091" s="31">
        <v>1.21106653712419</v>
      </c>
      <c r="B1091" s="31"/>
      <c r="C1091" s="2" t="s">
        <v>855</v>
      </c>
      <c r="D1091" s="31">
        <f t="shared" si="40"/>
        <v>0.23736904127634126</v>
      </c>
      <c r="F1091" s="2" t="s">
        <v>822</v>
      </c>
      <c r="G1091" s="23" t="s">
        <v>902</v>
      </c>
      <c r="H1091" s="2" t="s">
        <v>822</v>
      </c>
      <c r="J1091" s="31">
        <v>26.986099200000002</v>
      </c>
      <c r="K1091" s="31">
        <v>33.959899900000003</v>
      </c>
      <c r="L1091" s="31"/>
      <c r="M1091" s="31" t="s">
        <v>854</v>
      </c>
      <c r="N1091" s="6" t="s">
        <v>856</v>
      </c>
    </row>
    <row r="1092" spans="1:14" ht="15" customHeight="1" x14ac:dyDescent="0.2">
      <c r="A1092" s="31">
        <v>1.2103213427512041</v>
      </c>
      <c r="B1092" s="31"/>
      <c r="C1092" s="2" t="s">
        <v>855</v>
      </c>
      <c r="D1092" s="31">
        <f t="shared" si="40"/>
        <v>0.23722298317923601</v>
      </c>
      <c r="F1092" s="2" t="s">
        <v>822</v>
      </c>
      <c r="G1092" s="23" t="s">
        <v>902</v>
      </c>
      <c r="H1092" s="2" t="s">
        <v>822</v>
      </c>
      <c r="J1092" s="31">
        <v>40.054599799999998</v>
      </c>
      <c r="K1092" s="31">
        <v>-26.359699200000001</v>
      </c>
      <c r="L1092" s="31"/>
      <c r="M1092" s="31" t="s">
        <v>854</v>
      </c>
      <c r="N1092" s="6" t="s">
        <v>856</v>
      </c>
    </row>
    <row r="1093" spans="1:14" ht="15" customHeight="1" x14ac:dyDescent="0.2">
      <c r="A1093" s="31">
        <v>1.209141008380902</v>
      </c>
      <c r="B1093" s="31"/>
      <c r="C1093" s="2" t="s">
        <v>855</v>
      </c>
      <c r="D1093" s="31">
        <f t="shared" si="40"/>
        <v>0.23699163764265679</v>
      </c>
      <c r="F1093" s="2" t="s">
        <v>822</v>
      </c>
      <c r="G1093" s="23" t="s">
        <v>902</v>
      </c>
      <c r="H1093" s="2" t="s">
        <v>822</v>
      </c>
      <c r="J1093" s="31">
        <v>36.278301200000001</v>
      </c>
      <c r="K1093" s="31">
        <v>-6.8873300999999998</v>
      </c>
      <c r="L1093" s="31"/>
      <c r="M1093" s="31" t="s">
        <v>854</v>
      </c>
      <c r="N1093" s="6" t="s">
        <v>856</v>
      </c>
    </row>
    <row r="1094" spans="1:14" ht="15" customHeight="1" x14ac:dyDescent="0.2">
      <c r="A1094" s="31">
        <v>1.2090221781238699</v>
      </c>
      <c r="B1094" s="31"/>
      <c r="C1094" s="2" t="s">
        <v>855</v>
      </c>
      <c r="D1094" s="31">
        <f t="shared" si="40"/>
        <v>0.2369683469122785</v>
      </c>
      <c r="F1094" s="2" t="s">
        <v>822</v>
      </c>
      <c r="G1094" s="23" t="s">
        <v>902</v>
      </c>
      <c r="H1094" s="2" t="s">
        <v>822</v>
      </c>
      <c r="J1094" s="31">
        <v>38.6996994</v>
      </c>
      <c r="K1094" s="31">
        <v>1.3416899</v>
      </c>
      <c r="L1094" s="31"/>
      <c r="M1094" s="31" t="s">
        <v>854</v>
      </c>
      <c r="N1094" s="6" t="s">
        <v>856</v>
      </c>
    </row>
    <row r="1095" spans="1:14" ht="15" customHeight="1" x14ac:dyDescent="0.2">
      <c r="A1095" s="31">
        <v>1.208341241386256</v>
      </c>
      <c r="B1095" s="31"/>
      <c r="C1095" s="2" t="s">
        <v>855</v>
      </c>
      <c r="D1095" s="31">
        <f t="shared" si="40"/>
        <v>0.23683488331170618</v>
      </c>
      <c r="F1095" s="2" t="s">
        <v>822</v>
      </c>
      <c r="G1095" s="23" t="s">
        <v>902</v>
      </c>
      <c r="H1095" s="2" t="s">
        <v>822</v>
      </c>
      <c r="J1095" s="31">
        <v>35.244300799999998</v>
      </c>
      <c r="K1095" s="31">
        <v>-1.8828</v>
      </c>
      <c r="L1095" s="31"/>
      <c r="M1095" s="31" t="s">
        <v>854</v>
      </c>
      <c r="N1095" s="6" t="s">
        <v>856</v>
      </c>
    </row>
    <row r="1096" spans="1:14" ht="15" customHeight="1" x14ac:dyDescent="0.2">
      <c r="A1096" s="31">
        <v>1.207253374338263</v>
      </c>
      <c r="B1096" s="31"/>
      <c r="C1096" s="2" t="s">
        <v>855</v>
      </c>
      <c r="D1096" s="31">
        <f t="shared" si="40"/>
        <v>0.23662166137029955</v>
      </c>
      <c r="F1096" s="2" t="s">
        <v>822</v>
      </c>
      <c r="G1096" s="23" t="s">
        <v>902</v>
      </c>
      <c r="H1096" s="2" t="s">
        <v>822</v>
      </c>
      <c r="J1096" s="31">
        <v>38.279598200000002</v>
      </c>
      <c r="K1096" s="31">
        <v>-38.122001599999997</v>
      </c>
      <c r="L1096" s="31"/>
      <c r="M1096" s="31" t="s">
        <v>854</v>
      </c>
      <c r="N1096" s="6" t="s">
        <v>856</v>
      </c>
    </row>
    <row r="1097" spans="1:14" ht="15" customHeight="1" x14ac:dyDescent="0.2">
      <c r="A1097" s="31">
        <v>1.2059722420017129</v>
      </c>
      <c r="B1097" s="31"/>
      <c r="C1097" s="2" t="s">
        <v>855</v>
      </c>
      <c r="D1097" s="31">
        <f t="shared" si="40"/>
        <v>0.23637055943233573</v>
      </c>
      <c r="F1097" s="2" t="s">
        <v>822</v>
      </c>
      <c r="G1097" s="23" t="s">
        <v>902</v>
      </c>
      <c r="H1097" s="2" t="s">
        <v>822</v>
      </c>
      <c r="J1097" s="31">
        <v>29.0904007</v>
      </c>
      <c r="K1097" s="31">
        <v>32.991100299999999</v>
      </c>
      <c r="L1097" s="31"/>
      <c r="M1097" s="31" t="s">
        <v>854</v>
      </c>
      <c r="N1097" s="6" t="s">
        <v>856</v>
      </c>
    </row>
    <row r="1098" spans="1:14" ht="15" customHeight="1" x14ac:dyDescent="0.2">
      <c r="A1098" s="31">
        <v>1.2053259205401681</v>
      </c>
      <c r="B1098" s="31"/>
      <c r="C1098" s="2" t="s">
        <v>855</v>
      </c>
      <c r="D1098" s="31">
        <f t="shared" si="40"/>
        <v>0.23624388042587294</v>
      </c>
      <c r="F1098" s="2" t="s">
        <v>822</v>
      </c>
      <c r="G1098" s="23" t="s">
        <v>902</v>
      </c>
      <c r="H1098" s="2" t="s">
        <v>822</v>
      </c>
      <c r="J1098" s="31">
        <v>36.566501600000002</v>
      </c>
      <c r="K1098" s="31">
        <v>15.007800100000001</v>
      </c>
      <c r="L1098" s="31"/>
      <c r="M1098" s="31" t="s">
        <v>854</v>
      </c>
      <c r="N1098" s="6" t="s">
        <v>856</v>
      </c>
    </row>
    <row r="1099" spans="1:14" ht="15" customHeight="1" x14ac:dyDescent="0.2">
      <c r="A1099" s="31">
        <v>1.2051523698218249</v>
      </c>
      <c r="B1099" s="31"/>
      <c r="C1099" s="2" t="s">
        <v>855</v>
      </c>
      <c r="D1099" s="31">
        <f t="shared" si="40"/>
        <v>0.23620986448507769</v>
      </c>
      <c r="F1099" s="2" t="s">
        <v>822</v>
      </c>
      <c r="G1099" s="23" t="s">
        <v>902</v>
      </c>
      <c r="H1099" s="2" t="s">
        <v>822</v>
      </c>
      <c r="J1099" s="31">
        <v>33.336799599999999</v>
      </c>
      <c r="K1099" s="31">
        <v>-8.4709100999999993</v>
      </c>
      <c r="L1099" s="31"/>
      <c r="M1099" s="31" t="s">
        <v>854</v>
      </c>
      <c r="N1099" s="6" t="s">
        <v>856</v>
      </c>
    </row>
    <row r="1100" spans="1:14" ht="15" customHeight="1" x14ac:dyDescent="0.2">
      <c r="A1100" s="31">
        <v>1.205011202458369</v>
      </c>
      <c r="B1100" s="31"/>
      <c r="C1100" s="2" t="s">
        <v>855</v>
      </c>
      <c r="D1100" s="31">
        <f t="shared" si="40"/>
        <v>0.23618219568184035</v>
      </c>
      <c r="F1100" s="2" t="s">
        <v>822</v>
      </c>
      <c r="G1100" s="23" t="s">
        <v>902</v>
      </c>
      <c r="H1100" s="2" t="s">
        <v>822</v>
      </c>
      <c r="J1100" s="31">
        <v>26.3705997</v>
      </c>
      <c r="K1100" s="31">
        <v>-18.8393002</v>
      </c>
      <c r="L1100" s="31"/>
      <c r="M1100" s="31" t="s">
        <v>854</v>
      </c>
      <c r="N1100" s="6" t="s">
        <v>856</v>
      </c>
    </row>
    <row r="1101" spans="1:14" ht="15" customHeight="1" x14ac:dyDescent="0.2">
      <c r="A1101" s="31">
        <v>1.2042988782537281</v>
      </c>
      <c r="B1101" s="31"/>
      <c r="C1101" s="2" t="s">
        <v>855</v>
      </c>
      <c r="D1101" s="31">
        <f t="shared" si="40"/>
        <v>0.23604258013773072</v>
      </c>
      <c r="F1101" s="2" t="s">
        <v>822</v>
      </c>
      <c r="G1101" s="23" t="s">
        <v>902</v>
      </c>
      <c r="H1101" s="2" t="s">
        <v>822</v>
      </c>
      <c r="J1101" s="31">
        <v>38.810298899999999</v>
      </c>
      <c r="K1101" s="31">
        <v>-10.368100200000001</v>
      </c>
      <c r="L1101" s="31"/>
      <c r="M1101" s="31" t="s">
        <v>854</v>
      </c>
      <c r="N1101" s="6" t="s">
        <v>856</v>
      </c>
    </row>
    <row r="1102" spans="1:14" ht="15" customHeight="1" x14ac:dyDescent="0.2">
      <c r="A1102" s="31">
        <v>1.2039819514994461</v>
      </c>
      <c r="B1102" s="31"/>
      <c r="C1102" s="2" t="s">
        <v>855</v>
      </c>
      <c r="D1102" s="31">
        <f t="shared" si="40"/>
        <v>0.23598046249389143</v>
      </c>
      <c r="F1102" s="2" t="s">
        <v>822</v>
      </c>
      <c r="G1102" s="23" t="s">
        <v>902</v>
      </c>
      <c r="H1102" s="2" t="s">
        <v>822</v>
      </c>
      <c r="J1102" s="31">
        <v>31.796699499999999</v>
      </c>
      <c r="K1102" s="31">
        <v>19.8048</v>
      </c>
      <c r="L1102" s="31"/>
      <c r="M1102" s="31" t="s">
        <v>854</v>
      </c>
      <c r="N1102" s="6" t="s">
        <v>856</v>
      </c>
    </row>
    <row r="1103" spans="1:14" ht="15" customHeight="1" x14ac:dyDescent="0.2">
      <c r="A1103" s="31">
        <v>1.203743766205976</v>
      </c>
      <c r="B1103" s="31"/>
      <c r="C1103" s="2" t="s">
        <v>855</v>
      </c>
      <c r="D1103" s="31">
        <f t="shared" si="40"/>
        <v>0.23593377817637132</v>
      </c>
      <c r="F1103" s="2" t="s">
        <v>822</v>
      </c>
      <c r="G1103" s="23" t="s">
        <v>902</v>
      </c>
      <c r="H1103" s="2" t="s">
        <v>822</v>
      </c>
      <c r="J1103" s="31">
        <v>56.273899100000001</v>
      </c>
      <c r="K1103" s="31">
        <v>20.384000799999999</v>
      </c>
      <c r="L1103" s="31"/>
      <c r="M1103" s="31" t="s">
        <v>854</v>
      </c>
      <c r="N1103" s="6" t="s">
        <v>856</v>
      </c>
    </row>
    <row r="1104" spans="1:14" ht="15" customHeight="1" x14ac:dyDescent="0.2">
      <c r="A1104" s="31">
        <v>1.203658243365443</v>
      </c>
      <c r="B1104" s="31"/>
      <c r="C1104" s="2" t="s">
        <v>855</v>
      </c>
      <c r="D1104" s="31">
        <f t="shared" si="40"/>
        <v>0.23591701569962684</v>
      </c>
      <c r="F1104" s="2" t="s">
        <v>822</v>
      </c>
      <c r="G1104" s="23" t="s">
        <v>902</v>
      </c>
      <c r="H1104" s="2" t="s">
        <v>822</v>
      </c>
      <c r="J1104" s="31">
        <v>41.813899999999997</v>
      </c>
      <c r="K1104" s="31">
        <v>4.4382000000000001</v>
      </c>
      <c r="L1104" s="31"/>
      <c r="M1104" s="31" t="s">
        <v>854</v>
      </c>
      <c r="N1104" s="6" t="s">
        <v>856</v>
      </c>
    </row>
    <row r="1105" spans="1:14" ht="15" customHeight="1" x14ac:dyDescent="0.2">
      <c r="A1105" s="31">
        <v>1.2030465270138611</v>
      </c>
      <c r="B1105" s="31"/>
      <c r="C1105" s="2" t="s">
        <v>855</v>
      </c>
      <c r="D1105" s="31">
        <f t="shared" si="40"/>
        <v>0.23579711929471678</v>
      </c>
      <c r="F1105" s="2" t="s">
        <v>822</v>
      </c>
      <c r="G1105" s="23" t="s">
        <v>902</v>
      </c>
      <c r="H1105" s="2" t="s">
        <v>822</v>
      </c>
      <c r="J1105" s="31">
        <v>36.576900500000001</v>
      </c>
      <c r="K1105" s="31">
        <v>-0.54067500000000002</v>
      </c>
      <c r="L1105" s="31"/>
      <c r="M1105" s="31" t="s">
        <v>854</v>
      </c>
      <c r="N1105" s="6" t="s">
        <v>856</v>
      </c>
    </row>
    <row r="1106" spans="1:14" ht="15" customHeight="1" x14ac:dyDescent="0.2">
      <c r="A1106" s="31">
        <v>1.202344927854061</v>
      </c>
      <c r="B1106" s="31"/>
      <c r="C1106" s="2" t="s">
        <v>855</v>
      </c>
      <c r="D1106" s="31">
        <f t="shared" si="40"/>
        <v>0.23565960585939597</v>
      </c>
      <c r="F1106" s="2" t="s">
        <v>822</v>
      </c>
      <c r="G1106" s="23" t="s">
        <v>902</v>
      </c>
      <c r="H1106" s="2" t="s">
        <v>822</v>
      </c>
      <c r="J1106" s="31">
        <v>46.927600900000002</v>
      </c>
      <c r="K1106" s="31">
        <v>-2.7878001000000001</v>
      </c>
      <c r="L1106" s="31"/>
      <c r="M1106" s="31" t="s">
        <v>854</v>
      </c>
      <c r="N1106" s="6" t="s">
        <v>856</v>
      </c>
    </row>
    <row r="1107" spans="1:14" ht="15" customHeight="1" x14ac:dyDescent="0.2">
      <c r="A1107" s="31">
        <v>1.202037214328634</v>
      </c>
      <c r="B1107" s="31"/>
      <c r="C1107" s="2" t="s">
        <v>855</v>
      </c>
      <c r="D1107" s="31">
        <f t="shared" si="40"/>
        <v>0.23559929400841226</v>
      </c>
      <c r="F1107" s="2" t="s">
        <v>822</v>
      </c>
      <c r="G1107" s="23" t="s">
        <v>902</v>
      </c>
      <c r="H1107" s="2" t="s">
        <v>822</v>
      </c>
      <c r="J1107" s="31">
        <v>30.048000300000002</v>
      </c>
      <c r="K1107" s="31">
        <v>-18.511999100000001</v>
      </c>
      <c r="L1107" s="31"/>
      <c r="M1107" s="31" t="s">
        <v>854</v>
      </c>
      <c r="N1107" s="6" t="s">
        <v>856</v>
      </c>
    </row>
    <row r="1108" spans="1:14" ht="15" customHeight="1" x14ac:dyDescent="0.2">
      <c r="A1108" s="31">
        <v>1.2019426950061221</v>
      </c>
      <c r="B1108" s="31"/>
      <c r="C1108" s="2" t="s">
        <v>855</v>
      </c>
      <c r="D1108" s="31">
        <f t="shared" si="40"/>
        <v>0.23558076822119994</v>
      </c>
      <c r="F1108" s="2" t="s">
        <v>822</v>
      </c>
      <c r="G1108" s="23" t="s">
        <v>902</v>
      </c>
      <c r="H1108" s="2" t="s">
        <v>822</v>
      </c>
      <c r="J1108" s="31">
        <v>25.8285999</v>
      </c>
      <c r="K1108" s="31">
        <v>-19.649200400000002</v>
      </c>
      <c r="L1108" s="31"/>
      <c r="M1108" s="31" t="s">
        <v>854</v>
      </c>
      <c r="N1108" s="6" t="s">
        <v>856</v>
      </c>
    </row>
    <row r="1109" spans="1:14" ht="15" customHeight="1" x14ac:dyDescent="0.2">
      <c r="A1109" s="31">
        <v>1.19986367317934</v>
      </c>
      <c r="B1109" s="31"/>
      <c r="C1109" s="2" t="s">
        <v>855</v>
      </c>
      <c r="D1109" s="31">
        <f t="shared" si="40"/>
        <v>0.23517327994315063</v>
      </c>
      <c r="F1109" s="2" t="s">
        <v>822</v>
      </c>
      <c r="G1109" s="23" t="s">
        <v>902</v>
      </c>
      <c r="H1109" s="2" t="s">
        <v>822</v>
      </c>
      <c r="J1109" s="31">
        <v>28.325099900000001</v>
      </c>
      <c r="K1109" s="31">
        <v>48.733001700000003</v>
      </c>
      <c r="L1109" s="31"/>
      <c r="M1109" s="31" t="s">
        <v>854</v>
      </c>
      <c r="N1109" s="6" t="s">
        <v>856</v>
      </c>
    </row>
    <row r="1110" spans="1:14" ht="15" customHeight="1" x14ac:dyDescent="0.2">
      <c r="A1110" s="31">
        <v>1.1988013966273501</v>
      </c>
      <c r="B1110" s="31"/>
      <c r="C1110" s="2" t="s">
        <v>855</v>
      </c>
      <c r="D1110" s="31">
        <f t="shared" si="40"/>
        <v>0.23496507373896061</v>
      </c>
      <c r="F1110" s="2" t="s">
        <v>822</v>
      </c>
      <c r="G1110" s="23" t="s">
        <v>902</v>
      </c>
      <c r="H1110" s="2" t="s">
        <v>822</v>
      </c>
      <c r="J1110" s="31">
        <v>42.529598200000002</v>
      </c>
      <c r="K1110" s="31">
        <v>7.0968399</v>
      </c>
      <c r="L1110" s="31"/>
      <c r="M1110" s="31" t="s">
        <v>854</v>
      </c>
      <c r="N1110" s="6" t="s">
        <v>856</v>
      </c>
    </row>
    <row r="1111" spans="1:14" ht="15" customHeight="1" x14ac:dyDescent="0.2">
      <c r="A1111" s="22">
        <v>0.2349103787690823</v>
      </c>
      <c r="B1111" s="22"/>
      <c r="C1111" s="2" t="s">
        <v>891</v>
      </c>
      <c r="D1111" s="2">
        <f>A1111</f>
        <v>0.2349103787690823</v>
      </c>
      <c r="F1111" s="2">
        <v>2023</v>
      </c>
      <c r="G1111" s="23" t="s">
        <v>902</v>
      </c>
      <c r="H1111" s="2" t="s">
        <v>767</v>
      </c>
      <c r="I1111" s="23" t="s">
        <v>188</v>
      </c>
      <c r="J1111" s="23">
        <v>58.250115000000001</v>
      </c>
      <c r="K1111" s="23">
        <v>11.445411999999999</v>
      </c>
      <c r="L1111" s="23" t="s">
        <v>819</v>
      </c>
      <c r="M1111" s="2" t="s">
        <v>825</v>
      </c>
      <c r="N1111" s="6" t="s">
        <v>828</v>
      </c>
    </row>
    <row r="1112" spans="1:14" ht="15" customHeight="1" x14ac:dyDescent="0.2">
      <c r="A1112" s="31">
        <v>1.1979965917196871</v>
      </c>
      <c r="B1112" s="31"/>
      <c r="C1112" s="2" t="s">
        <v>855</v>
      </c>
      <c r="D1112" s="31">
        <f xml:space="preserve"> A1112 * 0.196</f>
        <v>0.23480733197705869</v>
      </c>
      <c r="F1112" s="2" t="s">
        <v>822</v>
      </c>
      <c r="G1112" s="23" t="s">
        <v>902</v>
      </c>
      <c r="H1112" s="2" t="s">
        <v>822</v>
      </c>
      <c r="J1112" s="31">
        <v>60.457298299999998</v>
      </c>
      <c r="K1112" s="31">
        <v>18.4836998</v>
      </c>
      <c r="L1112" s="31"/>
      <c r="M1112" s="31" t="s">
        <v>854</v>
      </c>
      <c r="N1112" s="6" t="s">
        <v>856</v>
      </c>
    </row>
    <row r="1113" spans="1:14" ht="15" customHeight="1" x14ac:dyDescent="0.2">
      <c r="A1113" s="31">
        <v>1.1975371515044759</v>
      </c>
      <c r="B1113" s="31"/>
      <c r="C1113" s="2" t="s">
        <v>855</v>
      </c>
      <c r="D1113" s="31">
        <f xml:space="preserve"> A1113 * 0.196</f>
        <v>0.23471728169487729</v>
      </c>
      <c r="F1113" s="2" t="s">
        <v>822</v>
      </c>
      <c r="G1113" s="23" t="s">
        <v>902</v>
      </c>
      <c r="H1113" s="2" t="s">
        <v>822</v>
      </c>
      <c r="J1113" s="31">
        <v>26.565399200000002</v>
      </c>
      <c r="K1113" s="31">
        <v>55.242900800000001</v>
      </c>
      <c r="L1113" s="31"/>
      <c r="M1113" s="31" t="s">
        <v>854</v>
      </c>
      <c r="N1113" s="6" t="s">
        <v>856</v>
      </c>
    </row>
    <row r="1114" spans="1:14" ht="15" customHeight="1" x14ac:dyDescent="0.2">
      <c r="A1114" s="31">
        <v>1.196206360061804</v>
      </c>
      <c r="B1114" s="31"/>
      <c r="C1114" s="2" t="s">
        <v>855</v>
      </c>
      <c r="D1114" s="31">
        <f xml:space="preserve"> A1114 * 0.196</f>
        <v>0.23445644657211359</v>
      </c>
      <c r="F1114" s="2" t="s">
        <v>822</v>
      </c>
      <c r="G1114" s="23" t="s">
        <v>902</v>
      </c>
      <c r="H1114" s="2" t="s">
        <v>822</v>
      </c>
      <c r="J1114" s="31">
        <v>36.058498399999998</v>
      </c>
      <c r="K1114" s="31">
        <v>33.641799900000002</v>
      </c>
      <c r="L1114" s="31"/>
      <c r="M1114" s="31" t="s">
        <v>854</v>
      </c>
      <c r="N1114" s="6" t="s">
        <v>856</v>
      </c>
    </row>
    <row r="1115" spans="1:14" ht="15" customHeight="1" x14ac:dyDescent="0.2">
      <c r="A1115" s="31">
        <v>1.1957227433328981</v>
      </c>
      <c r="B1115" s="31"/>
      <c r="C1115" s="2" t="s">
        <v>855</v>
      </c>
      <c r="D1115" s="31">
        <f xml:space="preserve"> A1115 * 0.196</f>
        <v>0.23436165769324804</v>
      </c>
      <c r="F1115" s="2" t="s">
        <v>822</v>
      </c>
      <c r="G1115" s="23" t="s">
        <v>902</v>
      </c>
      <c r="H1115" s="2" t="s">
        <v>822</v>
      </c>
      <c r="J1115" s="31">
        <v>38.813999199999998</v>
      </c>
      <c r="K1115" s="31">
        <v>-41.196098300000003</v>
      </c>
      <c r="L1115" s="31"/>
      <c r="M1115" s="31" t="s">
        <v>854</v>
      </c>
      <c r="N1115" s="6" t="s">
        <v>856</v>
      </c>
    </row>
    <row r="1116" spans="1:14" ht="15" customHeight="1" x14ac:dyDescent="0.2">
      <c r="A1116" s="31">
        <v>1.1945036071001229</v>
      </c>
      <c r="B1116" s="31"/>
      <c r="C1116" s="2" t="s">
        <v>855</v>
      </c>
      <c r="D1116" s="31">
        <f xml:space="preserve"> A1116 * 0.196</f>
        <v>0.2341227069916241</v>
      </c>
      <c r="F1116" s="2" t="s">
        <v>822</v>
      </c>
      <c r="G1116" s="23" t="s">
        <v>902</v>
      </c>
      <c r="H1116" s="2" t="s">
        <v>822</v>
      </c>
      <c r="J1116" s="31">
        <v>57.669700599999999</v>
      </c>
      <c r="K1116" s="31">
        <v>22.778400399999999</v>
      </c>
      <c r="L1116" s="31"/>
      <c r="M1116" s="31" t="s">
        <v>854</v>
      </c>
      <c r="N1116" s="6" t="s">
        <v>856</v>
      </c>
    </row>
    <row r="1117" spans="1:14" ht="15" customHeight="1" x14ac:dyDescent="0.2">
      <c r="A1117" s="22">
        <v>0.23402844192507541</v>
      </c>
      <c r="B1117" s="22"/>
      <c r="C1117" s="2" t="s">
        <v>891</v>
      </c>
      <c r="D1117" s="2">
        <f>A1117</f>
        <v>0.23402844192507541</v>
      </c>
      <c r="F1117" s="2">
        <v>2023</v>
      </c>
      <c r="G1117" s="23" t="s">
        <v>902</v>
      </c>
      <c r="H1117" s="2" t="s">
        <v>767</v>
      </c>
      <c r="I1117" s="23" t="s">
        <v>188</v>
      </c>
      <c r="J1117" s="23">
        <v>58.250112999999999</v>
      </c>
      <c r="K1117" s="23">
        <v>11.445402</v>
      </c>
      <c r="L1117" s="23" t="s">
        <v>819</v>
      </c>
      <c r="M1117" s="2" t="s">
        <v>825</v>
      </c>
      <c r="N1117" s="6" t="s">
        <v>828</v>
      </c>
    </row>
    <row r="1118" spans="1:14" ht="15" customHeight="1" x14ac:dyDescent="0.2">
      <c r="A1118" s="31">
        <v>1.1939420664399669</v>
      </c>
      <c r="B1118" s="31"/>
      <c r="C1118" s="2" t="s">
        <v>855</v>
      </c>
      <c r="D1118" s="31">
        <f t="shared" ref="D1118:D1140" si="41" xml:space="preserve"> A1118 * 0.196</f>
        <v>0.23401264502223351</v>
      </c>
      <c r="F1118" s="2" t="s">
        <v>822</v>
      </c>
      <c r="G1118" s="23" t="s">
        <v>902</v>
      </c>
      <c r="H1118" s="2" t="s">
        <v>822</v>
      </c>
      <c r="J1118" s="31">
        <v>38.030300099999998</v>
      </c>
      <c r="K1118" s="31">
        <v>-39.2290001</v>
      </c>
      <c r="L1118" s="31"/>
      <c r="M1118" s="31" t="s">
        <v>854</v>
      </c>
      <c r="N1118" s="6" t="s">
        <v>856</v>
      </c>
    </row>
    <row r="1119" spans="1:14" ht="15" customHeight="1" x14ac:dyDescent="0.2">
      <c r="A1119" s="31">
        <v>1.1937953063056761</v>
      </c>
      <c r="B1119" s="31"/>
      <c r="C1119" s="2" t="s">
        <v>855</v>
      </c>
      <c r="D1119" s="31">
        <f t="shared" si="41"/>
        <v>0.23398388003591253</v>
      </c>
      <c r="F1119" s="2" t="s">
        <v>822</v>
      </c>
      <c r="G1119" s="23" t="s">
        <v>902</v>
      </c>
      <c r="H1119" s="2" t="s">
        <v>822</v>
      </c>
      <c r="J1119" s="31">
        <v>32.145500200000001</v>
      </c>
      <c r="K1119" s="31">
        <v>-10.6142998</v>
      </c>
      <c r="L1119" s="31"/>
      <c r="M1119" s="31" t="s">
        <v>854</v>
      </c>
      <c r="N1119" s="6" t="s">
        <v>856</v>
      </c>
    </row>
    <row r="1120" spans="1:14" ht="15" customHeight="1" x14ac:dyDescent="0.2">
      <c r="A1120" s="31">
        <v>1.193540304362398</v>
      </c>
      <c r="B1120" s="31"/>
      <c r="C1120" s="2" t="s">
        <v>855</v>
      </c>
      <c r="D1120" s="31">
        <f t="shared" si="41"/>
        <v>0.23393389965503</v>
      </c>
      <c r="F1120" s="2" t="s">
        <v>822</v>
      </c>
      <c r="G1120" s="23" t="s">
        <v>902</v>
      </c>
      <c r="H1120" s="2" t="s">
        <v>822</v>
      </c>
      <c r="J1120" s="31">
        <v>37.941600800000003</v>
      </c>
      <c r="K1120" s="31">
        <v>-10.2122002</v>
      </c>
      <c r="L1120" s="31"/>
      <c r="M1120" s="31" t="s">
        <v>854</v>
      </c>
      <c r="N1120" s="6" t="s">
        <v>856</v>
      </c>
    </row>
    <row r="1121" spans="1:14" ht="15" customHeight="1" x14ac:dyDescent="0.2">
      <c r="A1121" s="31">
        <v>1.1920775813595921</v>
      </c>
      <c r="B1121" s="31"/>
      <c r="C1121" s="2" t="s">
        <v>855</v>
      </c>
      <c r="D1121" s="31">
        <f t="shared" si="41"/>
        <v>0.23364720594648006</v>
      </c>
      <c r="F1121" s="2" t="s">
        <v>822</v>
      </c>
      <c r="G1121" s="23" t="s">
        <v>902</v>
      </c>
      <c r="H1121" s="2" t="s">
        <v>822</v>
      </c>
      <c r="J1121" s="31">
        <v>27.2427998</v>
      </c>
      <c r="K1121" s="31">
        <v>-14.2964001</v>
      </c>
      <c r="L1121" s="31"/>
      <c r="M1121" s="31" t="s">
        <v>854</v>
      </c>
      <c r="N1121" s="6" t="s">
        <v>856</v>
      </c>
    </row>
    <row r="1122" spans="1:14" ht="15" customHeight="1" x14ac:dyDescent="0.2">
      <c r="A1122" s="31">
        <v>1.1920374522004009</v>
      </c>
      <c r="B1122" s="31"/>
      <c r="C1122" s="2" t="s">
        <v>855</v>
      </c>
      <c r="D1122" s="31">
        <f t="shared" si="41"/>
        <v>0.23363934063127859</v>
      </c>
      <c r="F1122" s="2" t="s">
        <v>822</v>
      </c>
      <c r="G1122" s="23" t="s">
        <v>902</v>
      </c>
      <c r="H1122" s="2" t="s">
        <v>822</v>
      </c>
      <c r="J1122" s="31">
        <v>36.344600700000001</v>
      </c>
      <c r="K1122" s="31">
        <v>-42.351600599999998</v>
      </c>
      <c r="L1122" s="31"/>
      <c r="M1122" s="31" t="s">
        <v>854</v>
      </c>
      <c r="N1122" s="6" t="s">
        <v>856</v>
      </c>
    </row>
    <row r="1123" spans="1:14" ht="15" customHeight="1" x14ac:dyDescent="0.2">
      <c r="A1123" s="31">
        <v>1.192036866606311</v>
      </c>
      <c r="B1123" s="31"/>
      <c r="C1123" s="2" t="s">
        <v>855</v>
      </c>
      <c r="D1123" s="31">
        <f t="shared" si="41"/>
        <v>0.23363922585483696</v>
      </c>
      <c r="F1123" s="2" t="s">
        <v>822</v>
      </c>
      <c r="G1123" s="23" t="s">
        <v>902</v>
      </c>
      <c r="H1123" s="2" t="s">
        <v>822</v>
      </c>
      <c r="J1123" s="31">
        <v>34.263301800000001</v>
      </c>
      <c r="K1123" s="31">
        <v>32.750301399999998</v>
      </c>
      <c r="L1123" s="31"/>
      <c r="M1123" s="31" t="s">
        <v>854</v>
      </c>
      <c r="N1123" s="6" t="s">
        <v>856</v>
      </c>
    </row>
    <row r="1124" spans="1:14" ht="15" customHeight="1" x14ac:dyDescent="0.2">
      <c r="A1124" s="31">
        <v>1.191699278895856</v>
      </c>
      <c r="B1124" s="31"/>
      <c r="C1124" s="2" t="s">
        <v>855</v>
      </c>
      <c r="D1124" s="31">
        <f t="shared" si="41"/>
        <v>0.2335730586635878</v>
      </c>
      <c r="F1124" s="2" t="s">
        <v>822</v>
      </c>
      <c r="G1124" s="23" t="s">
        <v>902</v>
      </c>
      <c r="H1124" s="2" t="s">
        <v>822</v>
      </c>
      <c r="J1124" s="31">
        <v>59.372001599999997</v>
      </c>
      <c r="K1124" s="31">
        <v>21.884899099999998</v>
      </c>
      <c r="L1124" s="31"/>
      <c r="M1124" s="31" t="s">
        <v>854</v>
      </c>
      <c r="N1124" s="6" t="s">
        <v>856</v>
      </c>
    </row>
    <row r="1125" spans="1:14" ht="15" customHeight="1" x14ac:dyDescent="0.2">
      <c r="A1125" s="31">
        <v>1.1916438994334499</v>
      </c>
      <c r="B1125" s="31"/>
      <c r="C1125" s="2" t="s">
        <v>855</v>
      </c>
      <c r="D1125" s="31">
        <f t="shared" si="41"/>
        <v>0.23356220428895619</v>
      </c>
      <c r="F1125" s="2" t="s">
        <v>822</v>
      </c>
      <c r="G1125" s="23" t="s">
        <v>902</v>
      </c>
      <c r="H1125" s="2" t="s">
        <v>822</v>
      </c>
      <c r="J1125" s="31">
        <v>26.5478992</v>
      </c>
      <c r="K1125" s="31">
        <v>-30.3659</v>
      </c>
      <c r="L1125" s="31"/>
      <c r="M1125" s="31" t="s">
        <v>854</v>
      </c>
      <c r="N1125" s="6" t="s">
        <v>856</v>
      </c>
    </row>
    <row r="1126" spans="1:14" ht="15" customHeight="1" x14ac:dyDescent="0.2">
      <c r="A1126" s="31">
        <v>1.1914548843965691</v>
      </c>
      <c r="B1126" s="31"/>
      <c r="C1126" s="2" t="s">
        <v>855</v>
      </c>
      <c r="D1126" s="31">
        <f t="shared" si="41"/>
        <v>0.23352515734172755</v>
      </c>
      <c r="F1126" s="2" t="s">
        <v>822</v>
      </c>
      <c r="G1126" s="23" t="s">
        <v>902</v>
      </c>
      <c r="H1126" s="2" t="s">
        <v>822</v>
      </c>
      <c r="J1126" s="31">
        <v>41.814399700000003</v>
      </c>
      <c r="K1126" s="31">
        <v>-9.9526196000000002</v>
      </c>
      <c r="L1126" s="31"/>
      <c r="M1126" s="31" t="s">
        <v>854</v>
      </c>
      <c r="N1126" s="6" t="s">
        <v>856</v>
      </c>
    </row>
    <row r="1127" spans="1:14" ht="15" customHeight="1" x14ac:dyDescent="0.2">
      <c r="A1127" s="31">
        <v>1.190915603031492</v>
      </c>
      <c r="B1127" s="31"/>
      <c r="C1127" s="2" t="s">
        <v>855</v>
      </c>
      <c r="D1127" s="31">
        <f t="shared" si="41"/>
        <v>0.23341945819417245</v>
      </c>
      <c r="F1127" s="2" t="s">
        <v>822</v>
      </c>
      <c r="G1127" s="23" t="s">
        <v>902</v>
      </c>
      <c r="H1127" s="2" t="s">
        <v>822</v>
      </c>
      <c r="J1127" s="31">
        <v>39.401901199999998</v>
      </c>
      <c r="K1127" s="31">
        <v>-21.1720009</v>
      </c>
      <c r="L1127" s="31"/>
      <c r="M1127" s="31" t="s">
        <v>854</v>
      </c>
      <c r="N1127" s="6" t="s">
        <v>856</v>
      </c>
    </row>
    <row r="1128" spans="1:14" ht="15" customHeight="1" x14ac:dyDescent="0.2">
      <c r="A1128" s="31">
        <v>1.190481181005246</v>
      </c>
      <c r="B1128" s="31"/>
      <c r="C1128" s="2" t="s">
        <v>855</v>
      </c>
      <c r="D1128" s="31">
        <f t="shared" si="41"/>
        <v>0.23333431147702824</v>
      </c>
      <c r="F1128" s="2" t="s">
        <v>822</v>
      </c>
      <c r="G1128" s="23" t="s">
        <v>902</v>
      </c>
      <c r="H1128" s="2" t="s">
        <v>822</v>
      </c>
      <c r="J1128" s="31">
        <v>37.962100999999997</v>
      </c>
      <c r="K1128" s="31">
        <v>-20.413299599999998</v>
      </c>
      <c r="L1128" s="31"/>
      <c r="M1128" s="31" t="s">
        <v>854</v>
      </c>
      <c r="N1128" s="6" t="s">
        <v>856</v>
      </c>
    </row>
    <row r="1129" spans="1:14" ht="15" customHeight="1" x14ac:dyDescent="0.2">
      <c r="A1129" s="31">
        <v>1.1904521172728491</v>
      </c>
      <c r="B1129" s="31"/>
      <c r="C1129" s="2" t="s">
        <v>855</v>
      </c>
      <c r="D1129" s="31">
        <f t="shared" si="41"/>
        <v>0.23332861498547841</v>
      </c>
      <c r="F1129" s="2" t="s">
        <v>822</v>
      </c>
      <c r="G1129" s="23" t="s">
        <v>902</v>
      </c>
      <c r="H1129" s="2" t="s">
        <v>822</v>
      </c>
      <c r="J1129" s="31">
        <v>42.071998600000001</v>
      </c>
      <c r="K1129" s="31">
        <v>-19.847999600000001</v>
      </c>
      <c r="L1129" s="31"/>
      <c r="M1129" s="31" t="s">
        <v>854</v>
      </c>
      <c r="N1129" s="6" t="s">
        <v>856</v>
      </c>
    </row>
    <row r="1130" spans="1:14" ht="15" customHeight="1" x14ac:dyDescent="0.2">
      <c r="A1130" s="31">
        <v>1.190382043025811</v>
      </c>
      <c r="B1130" s="31"/>
      <c r="C1130" s="2" t="s">
        <v>855</v>
      </c>
      <c r="D1130" s="31">
        <f t="shared" si="41"/>
        <v>0.23331488043305895</v>
      </c>
      <c r="F1130" s="2" t="s">
        <v>822</v>
      </c>
      <c r="G1130" s="23" t="s">
        <v>902</v>
      </c>
      <c r="H1130" s="2" t="s">
        <v>822</v>
      </c>
      <c r="J1130" s="31">
        <v>25.023199099999999</v>
      </c>
      <c r="K1130" s="31">
        <v>63.277801500000002</v>
      </c>
      <c r="L1130" s="31"/>
      <c r="M1130" s="31" t="s">
        <v>854</v>
      </c>
      <c r="N1130" s="6" t="s">
        <v>856</v>
      </c>
    </row>
    <row r="1131" spans="1:14" ht="15" customHeight="1" x14ac:dyDescent="0.2">
      <c r="A1131" s="31">
        <v>1.189803366568438</v>
      </c>
      <c r="B1131" s="31"/>
      <c r="C1131" s="2" t="s">
        <v>855</v>
      </c>
      <c r="D1131" s="31">
        <f t="shared" si="41"/>
        <v>0.23320145984741386</v>
      </c>
      <c r="F1131" s="2" t="s">
        <v>822</v>
      </c>
      <c r="G1131" s="23" t="s">
        <v>902</v>
      </c>
      <c r="H1131" s="2" t="s">
        <v>822</v>
      </c>
      <c r="J1131" s="31">
        <v>43.535099000000002</v>
      </c>
      <c r="K1131" s="31">
        <v>8.6397600000000008</v>
      </c>
      <c r="L1131" s="31"/>
      <c r="M1131" s="31" t="s">
        <v>854</v>
      </c>
      <c r="N1131" s="6" t="s">
        <v>856</v>
      </c>
    </row>
    <row r="1132" spans="1:14" ht="15" customHeight="1" x14ac:dyDescent="0.2">
      <c r="A1132" s="31">
        <v>1.189314714084885</v>
      </c>
      <c r="B1132" s="31"/>
      <c r="C1132" s="2" t="s">
        <v>855</v>
      </c>
      <c r="D1132" s="31">
        <f t="shared" si="41"/>
        <v>0.23310568396063747</v>
      </c>
      <c r="F1132" s="2" t="s">
        <v>822</v>
      </c>
      <c r="G1132" s="23" t="s">
        <v>902</v>
      </c>
      <c r="H1132" s="2" t="s">
        <v>822</v>
      </c>
      <c r="J1132" s="31">
        <v>26.8318996</v>
      </c>
      <c r="K1132" s="31">
        <v>53.132499699999997</v>
      </c>
      <c r="L1132" s="31"/>
      <c r="M1132" s="31" t="s">
        <v>854</v>
      </c>
      <c r="N1132" s="6" t="s">
        <v>856</v>
      </c>
    </row>
    <row r="1133" spans="1:14" ht="15" customHeight="1" x14ac:dyDescent="0.2">
      <c r="A1133" s="31">
        <v>1.189242339909649</v>
      </c>
      <c r="B1133" s="31"/>
      <c r="C1133" s="2" t="s">
        <v>855</v>
      </c>
      <c r="D1133" s="31">
        <f t="shared" si="41"/>
        <v>0.23309149862229123</v>
      </c>
      <c r="F1133" s="2" t="s">
        <v>822</v>
      </c>
      <c r="G1133" s="23" t="s">
        <v>902</v>
      </c>
      <c r="H1133" s="2" t="s">
        <v>822</v>
      </c>
      <c r="J1133" s="31">
        <v>26.257900200000002</v>
      </c>
      <c r="K1133" s="31">
        <v>-19.284999800000001</v>
      </c>
      <c r="L1133" s="31"/>
      <c r="M1133" s="31" t="s">
        <v>854</v>
      </c>
      <c r="N1133" s="6" t="s">
        <v>856</v>
      </c>
    </row>
    <row r="1134" spans="1:14" ht="15" customHeight="1" x14ac:dyDescent="0.2">
      <c r="A1134" s="31">
        <v>1.1889536610037901</v>
      </c>
      <c r="B1134" s="31"/>
      <c r="C1134" s="2" t="s">
        <v>855</v>
      </c>
      <c r="D1134" s="31">
        <f t="shared" si="41"/>
        <v>0.23303491755674285</v>
      </c>
      <c r="F1134" s="2" t="s">
        <v>822</v>
      </c>
      <c r="G1134" s="23" t="s">
        <v>902</v>
      </c>
      <c r="H1134" s="2" t="s">
        <v>822</v>
      </c>
      <c r="J1134" s="31">
        <v>25.183200800000002</v>
      </c>
      <c r="K1134" s="31">
        <v>34.853198999999996</v>
      </c>
      <c r="L1134" s="31"/>
      <c r="M1134" s="31" t="s">
        <v>854</v>
      </c>
      <c r="N1134" s="6" t="s">
        <v>856</v>
      </c>
    </row>
    <row r="1135" spans="1:14" ht="15" customHeight="1" x14ac:dyDescent="0.2">
      <c r="A1135" s="31">
        <v>1.188569196414438</v>
      </c>
      <c r="B1135" s="31"/>
      <c r="C1135" s="2" t="s">
        <v>855</v>
      </c>
      <c r="D1135" s="31">
        <f t="shared" si="41"/>
        <v>0.23295956249722988</v>
      </c>
      <c r="F1135" s="2" t="s">
        <v>822</v>
      </c>
      <c r="G1135" s="23" t="s">
        <v>902</v>
      </c>
      <c r="H1135" s="2" t="s">
        <v>822</v>
      </c>
      <c r="J1135" s="31">
        <v>44.379798899999997</v>
      </c>
      <c r="K1135" s="31">
        <v>-42.842899299999999</v>
      </c>
      <c r="L1135" s="31"/>
      <c r="M1135" s="31" t="s">
        <v>854</v>
      </c>
      <c r="N1135" s="6" t="s">
        <v>856</v>
      </c>
    </row>
    <row r="1136" spans="1:14" ht="15" customHeight="1" x14ac:dyDescent="0.2">
      <c r="A1136" s="31">
        <v>1.1885294394387209</v>
      </c>
      <c r="B1136" s="31"/>
      <c r="C1136" s="2" t="s">
        <v>855</v>
      </c>
      <c r="D1136" s="31">
        <f t="shared" si="41"/>
        <v>0.2329517701299893</v>
      </c>
      <c r="F1136" s="2" t="s">
        <v>822</v>
      </c>
      <c r="G1136" s="23" t="s">
        <v>902</v>
      </c>
      <c r="H1136" s="2" t="s">
        <v>822</v>
      </c>
      <c r="J1136" s="31">
        <v>40.225498199999997</v>
      </c>
      <c r="K1136" s="31">
        <v>-37.008499100000002</v>
      </c>
      <c r="L1136" s="31"/>
      <c r="M1136" s="31" t="s">
        <v>854</v>
      </c>
      <c r="N1136" s="6" t="s">
        <v>856</v>
      </c>
    </row>
    <row r="1137" spans="1:14" ht="15" customHeight="1" x14ac:dyDescent="0.2">
      <c r="A1137" s="31">
        <v>1.1876621844505191</v>
      </c>
      <c r="B1137" s="31"/>
      <c r="C1137" s="2" t="s">
        <v>855</v>
      </c>
      <c r="D1137" s="31">
        <f t="shared" si="41"/>
        <v>0.23278178815230174</v>
      </c>
      <c r="F1137" s="2" t="s">
        <v>822</v>
      </c>
      <c r="G1137" s="23" t="s">
        <v>902</v>
      </c>
      <c r="H1137" s="2" t="s">
        <v>822</v>
      </c>
      <c r="J1137" s="31">
        <v>39.404998800000001</v>
      </c>
      <c r="K1137" s="31">
        <v>-19.842500699999999</v>
      </c>
      <c r="L1137" s="31"/>
      <c r="M1137" s="31" t="s">
        <v>854</v>
      </c>
      <c r="N1137" s="6" t="s">
        <v>856</v>
      </c>
    </row>
    <row r="1138" spans="1:14" ht="15" customHeight="1" x14ac:dyDescent="0.2">
      <c r="A1138" s="31">
        <v>1.187565283890331</v>
      </c>
      <c r="B1138" s="31"/>
      <c r="C1138" s="2" t="s">
        <v>855</v>
      </c>
      <c r="D1138" s="31">
        <f t="shared" si="41"/>
        <v>0.23276279564250488</v>
      </c>
      <c r="F1138" s="2" t="s">
        <v>822</v>
      </c>
      <c r="G1138" s="23" t="s">
        <v>902</v>
      </c>
      <c r="H1138" s="2" t="s">
        <v>822</v>
      </c>
      <c r="J1138" s="31">
        <v>26.3318996</v>
      </c>
      <c r="K1138" s="31">
        <v>53.861301400000002</v>
      </c>
      <c r="L1138" s="31"/>
      <c r="M1138" s="31" t="s">
        <v>854</v>
      </c>
      <c r="N1138" s="6" t="s">
        <v>856</v>
      </c>
    </row>
    <row r="1139" spans="1:14" ht="15" customHeight="1" x14ac:dyDescent="0.2">
      <c r="A1139" s="31">
        <v>1.185979015340799</v>
      </c>
      <c r="B1139" s="31"/>
      <c r="C1139" s="2" t="s">
        <v>855</v>
      </c>
      <c r="D1139" s="31">
        <f t="shared" si="41"/>
        <v>0.23245188700679661</v>
      </c>
      <c r="F1139" s="2" t="s">
        <v>822</v>
      </c>
      <c r="G1139" s="23" t="s">
        <v>902</v>
      </c>
      <c r="H1139" s="2" t="s">
        <v>822</v>
      </c>
      <c r="J1139" s="31">
        <v>27.3279991</v>
      </c>
      <c r="K1139" s="31">
        <v>-15.163900399999999</v>
      </c>
      <c r="L1139" s="31"/>
      <c r="M1139" s="31" t="s">
        <v>854</v>
      </c>
      <c r="N1139" s="6" t="s">
        <v>856</v>
      </c>
    </row>
    <row r="1140" spans="1:14" ht="15" customHeight="1" x14ac:dyDescent="0.2">
      <c r="A1140" s="31">
        <v>1.185842531271367</v>
      </c>
      <c r="B1140" s="31"/>
      <c r="C1140" s="2" t="s">
        <v>855</v>
      </c>
      <c r="D1140" s="31">
        <f t="shared" si="41"/>
        <v>0.23242513612918794</v>
      </c>
      <c r="F1140" s="2" t="s">
        <v>822</v>
      </c>
      <c r="G1140" s="23" t="s">
        <v>902</v>
      </c>
      <c r="H1140" s="2" t="s">
        <v>822</v>
      </c>
      <c r="J1140" s="31">
        <v>43.497699699999998</v>
      </c>
      <c r="K1140" s="31">
        <v>-8.4445294999999998</v>
      </c>
      <c r="L1140" s="31"/>
      <c r="M1140" s="31" t="s">
        <v>854</v>
      </c>
      <c r="N1140" s="6" t="s">
        <v>856</v>
      </c>
    </row>
    <row r="1141" spans="1:14" ht="15" customHeight="1" x14ac:dyDescent="0.2">
      <c r="A1141" s="22">
        <v>0.2324129300361483</v>
      </c>
      <c r="B1141" s="22"/>
      <c r="C1141" s="2" t="s">
        <v>891</v>
      </c>
      <c r="D1141" s="2">
        <f>A1141</f>
        <v>0.2324129300361483</v>
      </c>
      <c r="F1141" s="2">
        <v>2023</v>
      </c>
      <c r="G1141" s="23" t="s">
        <v>902</v>
      </c>
      <c r="H1141" s="2" t="s">
        <v>767</v>
      </c>
      <c r="I1141" s="23" t="s">
        <v>188</v>
      </c>
      <c r="J1141" s="23">
        <v>58.250114000000004</v>
      </c>
      <c r="K1141" s="23">
        <v>11.445416</v>
      </c>
      <c r="L1141" s="23" t="s">
        <v>819</v>
      </c>
      <c r="M1141" s="2" t="s">
        <v>825</v>
      </c>
      <c r="N1141" s="6" t="s">
        <v>828</v>
      </c>
    </row>
    <row r="1142" spans="1:14" ht="15" customHeight="1" x14ac:dyDescent="0.2">
      <c r="A1142" s="31">
        <v>1.1856767077452171</v>
      </c>
      <c r="B1142" s="31"/>
      <c r="C1142" s="2" t="s">
        <v>855</v>
      </c>
      <c r="D1142" s="31">
        <f t="shared" ref="D1142:D1166" si="42" xml:space="preserve"> A1142 * 0.196</f>
        <v>0.23239263471806254</v>
      </c>
      <c r="F1142" s="2" t="s">
        <v>822</v>
      </c>
      <c r="G1142" s="23" t="s">
        <v>902</v>
      </c>
      <c r="H1142" s="2" t="s">
        <v>822</v>
      </c>
      <c r="J1142" s="31">
        <v>38.5298996</v>
      </c>
      <c r="K1142" s="31">
        <v>-10.9622002</v>
      </c>
      <c r="L1142" s="31"/>
      <c r="M1142" s="31" t="s">
        <v>854</v>
      </c>
      <c r="N1142" s="6" t="s">
        <v>856</v>
      </c>
    </row>
    <row r="1143" spans="1:14" ht="15" customHeight="1" x14ac:dyDescent="0.2">
      <c r="A1143" s="31">
        <v>1.185181143801314</v>
      </c>
      <c r="B1143" s="31"/>
      <c r="C1143" s="2" t="s">
        <v>855</v>
      </c>
      <c r="D1143" s="31">
        <f t="shared" si="42"/>
        <v>0.23229550418505757</v>
      </c>
      <c r="F1143" s="2" t="s">
        <v>822</v>
      </c>
      <c r="G1143" s="23" t="s">
        <v>902</v>
      </c>
      <c r="H1143" s="2" t="s">
        <v>822</v>
      </c>
      <c r="J1143" s="31">
        <v>32.051998099999999</v>
      </c>
      <c r="K1143" s="31">
        <v>-16.507999399999999</v>
      </c>
      <c r="L1143" s="31"/>
      <c r="M1143" s="31" t="s">
        <v>854</v>
      </c>
      <c r="N1143" s="6" t="s">
        <v>856</v>
      </c>
    </row>
    <row r="1144" spans="1:14" ht="15" customHeight="1" x14ac:dyDescent="0.2">
      <c r="A1144" s="31">
        <v>1.1845754846840391</v>
      </c>
      <c r="B1144" s="31"/>
      <c r="C1144" s="2" t="s">
        <v>855</v>
      </c>
      <c r="D1144" s="31">
        <f t="shared" si="42"/>
        <v>0.23217679499807167</v>
      </c>
      <c r="F1144" s="2" t="s">
        <v>822</v>
      </c>
      <c r="G1144" s="23" t="s">
        <v>902</v>
      </c>
      <c r="H1144" s="2" t="s">
        <v>822</v>
      </c>
      <c r="J1144" s="31">
        <v>61.902400999999998</v>
      </c>
      <c r="K1144" s="31">
        <v>19.078399699999999</v>
      </c>
      <c r="L1144" s="31"/>
      <c r="M1144" s="31" t="s">
        <v>854</v>
      </c>
      <c r="N1144" s="6" t="s">
        <v>856</v>
      </c>
    </row>
    <row r="1145" spans="1:14" ht="15" customHeight="1" x14ac:dyDescent="0.2">
      <c r="A1145" s="31">
        <v>1.1842030898032549</v>
      </c>
      <c r="B1145" s="31"/>
      <c r="C1145" s="2" t="s">
        <v>855</v>
      </c>
      <c r="D1145" s="31">
        <f t="shared" si="42"/>
        <v>0.23210380560143798</v>
      </c>
      <c r="F1145" s="2" t="s">
        <v>822</v>
      </c>
      <c r="G1145" s="23" t="s">
        <v>902</v>
      </c>
      <c r="H1145" s="2" t="s">
        <v>822</v>
      </c>
      <c r="J1145" s="31">
        <v>28.711999899999999</v>
      </c>
      <c r="K1145" s="31">
        <v>-21.851999299999999</v>
      </c>
      <c r="L1145" s="31"/>
      <c r="M1145" s="31" t="s">
        <v>854</v>
      </c>
      <c r="N1145" s="6" t="s">
        <v>856</v>
      </c>
    </row>
    <row r="1146" spans="1:14" ht="15" customHeight="1" x14ac:dyDescent="0.2">
      <c r="A1146" s="31">
        <v>1.1841196834837231</v>
      </c>
      <c r="B1146" s="31"/>
      <c r="C1146" s="2" t="s">
        <v>855</v>
      </c>
      <c r="D1146" s="31">
        <f t="shared" si="42"/>
        <v>0.23208745796280975</v>
      </c>
      <c r="F1146" s="2" t="s">
        <v>822</v>
      </c>
      <c r="G1146" s="23" t="s">
        <v>902</v>
      </c>
      <c r="H1146" s="2" t="s">
        <v>822</v>
      </c>
      <c r="J1146" s="31">
        <v>26.474399600000002</v>
      </c>
      <c r="K1146" s="31">
        <v>-14.0956001</v>
      </c>
      <c r="L1146" s="31"/>
      <c r="M1146" s="31" t="s">
        <v>854</v>
      </c>
      <c r="N1146" s="6" t="s">
        <v>856</v>
      </c>
    </row>
    <row r="1147" spans="1:14" ht="15" customHeight="1" x14ac:dyDescent="0.2">
      <c r="A1147" s="31">
        <v>1.1838902931346891</v>
      </c>
      <c r="B1147" s="31"/>
      <c r="C1147" s="2" t="s">
        <v>855</v>
      </c>
      <c r="D1147" s="31">
        <f t="shared" si="42"/>
        <v>0.23204249745439906</v>
      </c>
      <c r="F1147" s="2" t="s">
        <v>822</v>
      </c>
      <c r="G1147" s="23" t="s">
        <v>902</v>
      </c>
      <c r="H1147" s="2" t="s">
        <v>822</v>
      </c>
      <c r="J1147" s="31">
        <v>26.040000899999999</v>
      </c>
      <c r="K1147" s="31">
        <v>-29.200000800000002</v>
      </c>
      <c r="L1147" s="31"/>
      <c r="M1147" s="31" t="s">
        <v>854</v>
      </c>
      <c r="N1147" s="6" t="s">
        <v>856</v>
      </c>
    </row>
    <row r="1148" spans="1:14" ht="15" customHeight="1" x14ac:dyDescent="0.2">
      <c r="A1148" s="31">
        <v>1.183172316151236</v>
      </c>
      <c r="B1148" s="31"/>
      <c r="C1148" s="2" t="s">
        <v>855</v>
      </c>
      <c r="D1148" s="31">
        <f t="shared" si="42"/>
        <v>0.23190177396564227</v>
      </c>
      <c r="F1148" s="2" t="s">
        <v>822</v>
      </c>
      <c r="G1148" s="23" t="s">
        <v>902</v>
      </c>
      <c r="H1148" s="2" t="s">
        <v>822</v>
      </c>
      <c r="J1148" s="31">
        <v>25.931499500000001</v>
      </c>
      <c r="K1148" s="31">
        <v>-16.635400799999999</v>
      </c>
      <c r="L1148" s="31"/>
      <c r="M1148" s="31" t="s">
        <v>854</v>
      </c>
      <c r="N1148" s="6" t="s">
        <v>856</v>
      </c>
    </row>
    <row r="1149" spans="1:14" ht="15" customHeight="1" x14ac:dyDescent="0.2">
      <c r="A1149" s="31">
        <v>1.1810198728641621</v>
      </c>
      <c r="B1149" s="31"/>
      <c r="C1149" s="2" t="s">
        <v>855</v>
      </c>
      <c r="D1149" s="31">
        <f t="shared" si="42"/>
        <v>0.23147989508137579</v>
      </c>
      <c r="F1149" s="2" t="s">
        <v>822</v>
      </c>
      <c r="G1149" s="23" t="s">
        <v>902</v>
      </c>
      <c r="H1149" s="2" t="s">
        <v>822</v>
      </c>
      <c r="J1149" s="31">
        <v>31.549699799999999</v>
      </c>
      <c r="K1149" s="31">
        <v>30.3990002</v>
      </c>
      <c r="L1149" s="31"/>
      <c r="M1149" s="31" t="s">
        <v>854</v>
      </c>
      <c r="N1149" s="6" t="s">
        <v>856</v>
      </c>
    </row>
    <row r="1150" spans="1:14" ht="15" customHeight="1" x14ac:dyDescent="0.2">
      <c r="A1150" s="31">
        <v>1.18052676260922</v>
      </c>
      <c r="B1150" s="31"/>
      <c r="C1150" s="2" t="s">
        <v>855</v>
      </c>
      <c r="D1150" s="31">
        <f t="shared" si="42"/>
        <v>0.23138324547140712</v>
      </c>
      <c r="F1150" s="2" t="s">
        <v>822</v>
      </c>
      <c r="G1150" s="23" t="s">
        <v>902</v>
      </c>
      <c r="H1150" s="2" t="s">
        <v>822</v>
      </c>
      <c r="J1150" s="31">
        <v>38.650600400000002</v>
      </c>
      <c r="K1150" s="31">
        <v>-19.7632008</v>
      </c>
      <c r="L1150" s="31"/>
      <c r="M1150" s="31" t="s">
        <v>854</v>
      </c>
      <c r="N1150" s="6" t="s">
        <v>856</v>
      </c>
    </row>
    <row r="1151" spans="1:14" ht="15" customHeight="1" x14ac:dyDescent="0.2">
      <c r="A1151" s="31">
        <v>1.179478182627212</v>
      </c>
      <c r="B1151" s="31"/>
      <c r="C1151" s="2" t="s">
        <v>855</v>
      </c>
      <c r="D1151" s="31">
        <f t="shared" si="42"/>
        <v>0.23117772379493357</v>
      </c>
      <c r="F1151" s="2" t="s">
        <v>822</v>
      </c>
      <c r="G1151" s="23" t="s">
        <v>902</v>
      </c>
      <c r="H1151" s="2" t="s">
        <v>822</v>
      </c>
      <c r="J1151" s="31">
        <v>40.0680008</v>
      </c>
      <c r="K1151" s="31">
        <v>-21.184000000000001</v>
      </c>
      <c r="L1151" s="31"/>
      <c r="M1151" s="31" t="s">
        <v>854</v>
      </c>
      <c r="N1151" s="6" t="s">
        <v>856</v>
      </c>
    </row>
    <row r="1152" spans="1:14" ht="15" customHeight="1" x14ac:dyDescent="0.2">
      <c r="A1152" s="31">
        <v>1.178459676620156</v>
      </c>
      <c r="B1152" s="31"/>
      <c r="C1152" s="2" t="s">
        <v>855</v>
      </c>
      <c r="D1152" s="31">
        <f t="shared" si="42"/>
        <v>0.23097809661755059</v>
      </c>
      <c r="F1152" s="2" t="s">
        <v>822</v>
      </c>
      <c r="G1152" s="23" t="s">
        <v>902</v>
      </c>
      <c r="H1152" s="2" t="s">
        <v>822</v>
      </c>
      <c r="J1152" s="31">
        <v>29.3799992</v>
      </c>
      <c r="K1152" s="31">
        <v>49.149700199999998</v>
      </c>
      <c r="L1152" s="31"/>
      <c r="M1152" s="31" t="s">
        <v>854</v>
      </c>
      <c r="N1152" s="6" t="s">
        <v>856</v>
      </c>
    </row>
    <row r="1153" spans="1:14" ht="15" customHeight="1" x14ac:dyDescent="0.2">
      <c r="A1153" s="31">
        <v>1.17839609054962</v>
      </c>
      <c r="B1153" s="31"/>
      <c r="C1153" s="2" t="s">
        <v>855</v>
      </c>
      <c r="D1153" s="31">
        <f t="shared" si="42"/>
        <v>0.23096563374772552</v>
      </c>
      <c r="F1153" s="2" t="s">
        <v>822</v>
      </c>
      <c r="G1153" s="23" t="s">
        <v>902</v>
      </c>
      <c r="H1153" s="2" t="s">
        <v>822</v>
      </c>
      <c r="J1153" s="31">
        <v>43.437099500000002</v>
      </c>
      <c r="K1153" s="31">
        <v>-10.5688</v>
      </c>
      <c r="L1153" s="31"/>
      <c r="M1153" s="31" t="s">
        <v>854</v>
      </c>
      <c r="N1153" s="6" t="s">
        <v>856</v>
      </c>
    </row>
    <row r="1154" spans="1:14" ht="15" customHeight="1" x14ac:dyDescent="0.2">
      <c r="A1154" s="31">
        <v>1.177857429801104</v>
      </c>
      <c r="B1154" s="31"/>
      <c r="C1154" s="2" t="s">
        <v>855</v>
      </c>
      <c r="D1154" s="31">
        <f t="shared" si="42"/>
        <v>0.23086005624101638</v>
      </c>
      <c r="F1154" s="2" t="s">
        <v>822</v>
      </c>
      <c r="G1154" s="23" t="s">
        <v>902</v>
      </c>
      <c r="H1154" s="2" t="s">
        <v>822</v>
      </c>
      <c r="J1154" s="31">
        <v>54.419498400000002</v>
      </c>
      <c r="K1154" s="31">
        <v>16.2651997</v>
      </c>
      <c r="L1154" s="31"/>
      <c r="M1154" s="31" t="s">
        <v>854</v>
      </c>
      <c r="N1154" s="6" t="s">
        <v>856</v>
      </c>
    </row>
    <row r="1155" spans="1:14" ht="15" customHeight="1" x14ac:dyDescent="0.2">
      <c r="A1155" s="31">
        <v>1.1778243415460239</v>
      </c>
      <c r="B1155" s="31"/>
      <c r="C1155" s="2" t="s">
        <v>855</v>
      </c>
      <c r="D1155" s="31">
        <f t="shared" si="42"/>
        <v>0.2308535709430207</v>
      </c>
      <c r="F1155" s="2" t="s">
        <v>822</v>
      </c>
      <c r="G1155" s="23" t="s">
        <v>902</v>
      </c>
      <c r="H1155" s="2" t="s">
        <v>822</v>
      </c>
      <c r="J1155" s="31">
        <v>40.0680008</v>
      </c>
      <c r="K1155" s="31">
        <v>6.8720001999999996</v>
      </c>
      <c r="L1155" s="31"/>
      <c r="M1155" s="31" t="s">
        <v>854</v>
      </c>
      <c r="N1155" s="6" t="s">
        <v>856</v>
      </c>
    </row>
    <row r="1156" spans="1:14" ht="15" customHeight="1" x14ac:dyDescent="0.2">
      <c r="A1156" s="31">
        <v>1.17737639340297</v>
      </c>
      <c r="B1156" s="31"/>
      <c r="C1156" s="2" t="s">
        <v>855</v>
      </c>
      <c r="D1156" s="31">
        <f t="shared" si="42"/>
        <v>0.23076577310698212</v>
      </c>
      <c r="F1156" s="2" t="s">
        <v>822</v>
      </c>
      <c r="G1156" s="23" t="s">
        <v>902</v>
      </c>
      <c r="H1156" s="2" t="s">
        <v>822</v>
      </c>
      <c r="J1156" s="31">
        <v>37.3959999</v>
      </c>
      <c r="K1156" s="31">
        <v>-39.888000499999997</v>
      </c>
      <c r="L1156" s="31"/>
      <c r="M1156" s="31" t="s">
        <v>854</v>
      </c>
      <c r="N1156" s="6" t="s">
        <v>856</v>
      </c>
    </row>
    <row r="1157" spans="1:14" ht="15" customHeight="1" x14ac:dyDescent="0.2">
      <c r="A1157" s="31">
        <v>1.1766349086215031</v>
      </c>
      <c r="B1157" s="31"/>
      <c r="C1157" s="2" t="s">
        <v>855</v>
      </c>
      <c r="D1157" s="31">
        <f t="shared" si="42"/>
        <v>0.23062044208981461</v>
      </c>
      <c r="F1157" s="2" t="s">
        <v>822</v>
      </c>
      <c r="G1157" s="23" t="s">
        <v>902</v>
      </c>
      <c r="H1157" s="2" t="s">
        <v>822</v>
      </c>
      <c r="J1157" s="31">
        <v>39.295898399999999</v>
      </c>
      <c r="K1157" s="31">
        <v>8.1413802999999998</v>
      </c>
      <c r="L1157" s="31"/>
      <c r="M1157" s="31" t="s">
        <v>854</v>
      </c>
      <c r="N1157" s="6" t="s">
        <v>856</v>
      </c>
    </row>
    <row r="1158" spans="1:14" ht="15" customHeight="1" x14ac:dyDescent="0.2">
      <c r="A1158" s="31">
        <v>1.176059470709871</v>
      </c>
      <c r="B1158" s="31"/>
      <c r="C1158" s="2" t="s">
        <v>855</v>
      </c>
      <c r="D1158" s="31">
        <f t="shared" si="42"/>
        <v>0.23050765625913475</v>
      </c>
      <c r="F1158" s="2" t="s">
        <v>822</v>
      </c>
      <c r="G1158" s="23" t="s">
        <v>902</v>
      </c>
      <c r="H1158" s="2" t="s">
        <v>822</v>
      </c>
      <c r="J1158" s="31">
        <v>45.216301000000001</v>
      </c>
      <c r="K1158" s="31">
        <v>-8.3347902000000005</v>
      </c>
      <c r="L1158" s="31"/>
      <c r="M1158" s="31" t="s">
        <v>854</v>
      </c>
      <c r="N1158" s="6" t="s">
        <v>856</v>
      </c>
    </row>
    <row r="1159" spans="1:14" ht="15" customHeight="1" x14ac:dyDescent="0.2">
      <c r="A1159" s="31">
        <v>1.175344649002386</v>
      </c>
      <c r="B1159" s="31"/>
      <c r="C1159" s="2" t="s">
        <v>855</v>
      </c>
      <c r="D1159" s="31">
        <f t="shared" si="42"/>
        <v>0.23036755120446767</v>
      </c>
      <c r="F1159" s="2" t="s">
        <v>822</v>
      </c>
      <c r="G1159" s="23" t="s">
        <v>902</v>
      </c>
      <c r="H1159" s="2" t="s">
        <v>822</v>
      </c>
      <c r="J1159" s="31">
        <v>28.061300299999999</v>
      </c>
      <c r="K1159" s="31">
        <v>-26.5146008</v>
      </c>
      <c r="L1159" s="31"/>
      <c r="M1159" s="31" t="s">
        <v>854</v>
      </c>
      <c r="N1159" s="6" t="s">
        <v>856</v>
      </c>
    </row>
    <row r="1160" spans="1:14" ht="15" customHeight="1" x14ac:dyDescent="0.2">
      <c r="A1160" s="31">
        <v>1.1747113526324779</v>
      </c>
      <c r="B1160" s="31"/>
      <c r="C1160" s="2" t="s">
        <v>855</v>
      </c>
      <c r="D1160" s="31">
        <f t="shared" si="42"/>
        <v>0.23024342511596568</v>
      </c>
      <c r="F1160" s="2" t="s">
        <v>822</v>
      </c>
      <c r="G1160" s="23" t="s">
        <v>902</v>
      </c>
      <c r="H1160" s="2" t="s">
        <v>822</v>
      </c>
      <c r="J1160" s="31">
        <v>38.063999199999998</v>
      </c>
      <c r="K1160" s="31">
        <v>-40.555999800000002</v>
      </c>
      <c r="L1160" s="31"/>
      <c r="M1160" s="31" t="s">
        <v>854</v>
      </c>
      <c r="N1160" s="6" t="s">
        <v>856</v>
      </c>
    </row>
    <row r="1161" spans="1:14" ht="15" customHeight="1" x14ac:dyDescent="0.2">
      <c r="A1161" s="31">
        <v>1.17442205303332</v>
      </c>
      <c r="B1161" s="31"/>
      <c r="C1161" s="2" t="s">
        <v>855</v>
      </c>
      <c r="D1161" s="31">
        <f t="shared" si="42"/>
        <v>0.23018672239453072</v>
      </c>
      <c r="F1161" s="2" t="s">
        <v>822</v>
      </c>
      <c r="G1161" s="23" t="s">
        <v>902</v>
      </c>
      <c r="H1161" s="2" t="s">
        <v>822</v>
      </c>
      <c r="J1161" s="31">
        <v>25.048500099999998</v>
      </c>
      <c r="K1161" s="31">
        <v>-30.072399099999998</v>
      </c>
      <c r="L1161" s="31"/>
      <c r="M1161" s="31" t="s">
        <v>854</v>
      </c>
      <c r="N1161" s="6" t="s">
        <v>856</v>
      </c>
    </row>
    <row r="1162" spans="1:14" ht="15" customHeight="1" x14ac:dyDescent="0.2">
      <c r="A1162" s="31">
        <v>1.1742541768936761</v>
      </c>
      <c r="B1162" s="31"/>
      <c r="C1162" s="2" t="s">
        <v>855</v>
      </c>
      <c r="D1162" s="31">
        <f t="shared" si="42"/>
        <v>0.23015381867116053</v>
      </c>
      <c r="F1162" s="2" t="s">
        <v>822</v>
      </c>
      <c r="G1162" s="23" t="s">
        <v>902</v>
      </c>
      <c r="H1162" s="2" t="s">
        <v>822</v>
      </c>
      <c r="J1162" s="31">
        <v>58.083400699999999</v>
      </c>
      <c r="K1162" s="31">
        <v>19.3003006</v>
      </c>
      <c r="L1162" s="31"/>
      <c r="M1162" s="31" t="s">
        <v>854</v>
      </c>
      <c r="N1162" s="6" t="s">
        <v>856</v>
      </c>
    </row>
    <row r="1163" spans="1:14" ht="15" customHeight="1" x14ac:dyDescent="0.2">
      <c r="A1163" s="31">
        <v>1.173661883479499</v>
      </c>
      <c r="B1163" s="31"/>
      <c r="C1163" s="2" t="s">
        <v>855</v>
      </c>
      <c r="D1163" s="31">
        <f t="shared" si="42"/>
        <v>0.23003772916198181</v>
      </c>
      <c r="F1163" s="2" t="s">
        <v>822</v>
      </c>
      <c r="G1163" s="23" t="s">
        <v>902</v>
      </c>
      <c r="H1163" s="2" t="s">
        <v>822</v>
      </c>
      <c r="J1163" s="31">
        <v>38.4430008</v>
      </c>
      <c r="K1163" s="31">
        <v>-16.280799900000002</v>
      </c>
      <c r="L1163" s="31"/>
      <c r="M1163" s="31" t="s">
        <v>854</v>
      </c>
      <c r="N1163" s="6" t="s">
        <v>856</v>
      </c>
    </row>
    <row r="1164" spans="1:14" ht="15" customHeight="1" x14ac:dyDescent="0.2">
      <c r="A1164" s="31">
        <v>1.1727745804916301</v>
      </c>
      <c r="B1164" s="31"/>
      <c r="C1164" s="2" t="s">
        <v>855</v>
      </c>
      <c r="D1164" s="31">
        <f t="shared" si="42"/>
        <v>0.2298638177763595</v>
      </c>
      <c r="F1164" s="2" t="s">
        <v>822</v>
      </c>
      <c r="G1164" s="23" t="s">
        <v>902</v>
      </c>
      <c r="H1164" s="2" t="s">
        <v>822</v>
      </c>
      <c r="J1164" s="31">
        <v>26.5702</v>
      </c>
      <c r="K1164" s="31">
        <v>56.135799400000003</v>
      </c>
      <c r="L1164" s="31"/>
      <c r="M1164" s="31" t="s">
        <v>854</v>
      </c>
      <c r="N1164" s="6" t="s">
        <v>856</v>
      </c>
    </row>
    <row r="1165" spans="1:14" ht="15" customHeight="1" x14ac:dyDescent="0.2">
      <c r="A1165" s="31">
        <v>1.17242851671467</v>
      </c>
      <c r="B1165" s="31"/>
      <c r="C1165" s="2" t="s">
        <v>855</v>
      </c>
      <c r="D1165" s="31">
        <f t="shared" si="42"/>
        <v>0.22979598927607534</v>
      </c>
      <c r="F1165" s="2" t="s">
        <v>822</v>
      </c>
      <c r="G1165" s="23" t="s">
        <v>902</v>
      </c>
      <c r="H1165" s="2" t="s">
        <v>822</v>
      </c>
      <c r="J1165" s="31">
        <v>26.708000200000001</v>
      </c>
      <c r="K1165" s="31">
        <v>-17.8439999</v>
      </c>
      <c r="L1165" s="31"/>
      <c r="M1165" s="31" t="s">
        <v>854</v>
      </c>
      <c r="N1165" s="6" t="s">
        <v>856</v>
      </c>
    </row>
    <row r="1166" spans="1:14" ht="15" customHeight="1" x14ac:dyDescent="0.2">
      <c r="A1166" s="31">
        <v>1.1715476536810561</v>
      </c>
      <c r="B1166" s="31"/>
      <c r="C1166" s="2" t="s">
        <v>855</v>
      </c>
      <c r="D1166" s="31">
        <f t="shared" si="42"/>
        <v>0.229623340121487</v>
      </c>
      <c r="F1166" s="2" t="s">
        <v>822</v>
      </c>
      <c r="G1166" s="23" t="s">
        <v>902</v>
      </c>
      <c r="H1166" s="2" t="s">
        <v>822</v>
      </c>
      <c r="J1166" s="31">
        <v>37.263198899999999</v>
      </c>
      <c r="K1166" s="31">
        <v>16.2409</v>
      </c>
      <c r="L1166" s="31"/>
      <c r="M1166" s="31" t="s">
        <v>854</v>
      </c>
      <c r="N1166" s="6" t="s">
        <v>856</v>
      </c>
    </row>
    <row r="1167" spans="1:14" ht="15" customHeight="1" x14ac:dyDescent="0.2">
      <c r="A1167" s="2">
        <v>10.1</v>
      </c>
      <c r="B1167" s="2">
        <v>4.8</v>
      </c>
      <c r="C1167" s="31" t="s">
        <v>681</v>
      </c>
      <c r="D1167" s="2">
        <f>A1167 * 0.02273</f>
        <v>0.229573</v>
      </c>
      <c r="E1167" s="2">
        <f>B1167* 0.02273</f>
        <v>0.10910399999999999</v>
      </c>
      <c r="F1167" s="2">
        <v>2023</v>
      </c>
      <c r="G1167" s="2" t="s">
        <v>902</v>
      </c>
      <c r="H1167" s="2" t="s">
        <v>114</v>
      </c>
      <c r="I1167" s="2" t="s">
        <v>189</v>
      </c>
      <c r="J1167" s="2">
        <v>57.93</v>
      </c>
      <c r="K1167" s="2">
        <v>11.68</v>
      </c>
      <c r="L1167" s="2" t="s">
        <v>819</v>
      </c>
      <c r="M1167" s="2" t="s">
        <v>818</v>
      </c>
      <c r="N1167" s="6" t="s">
        <v>862</v>
      </c>
    </row>
    <row r="1168" spans="1:14" ht="15" customHeight="1" x14ac:dyDescent="0.2">
      <c r="A1168" s="22">
        <v>0.22955812110690976</v>
      </c>
      <c r="B1168" s="22"/>
      <c r="C1168" s="2" t="s">
        <v>891</v>
      </c>
      <c r="D1168" s="2">
        <f>A1168</f>
        <v>0.22955812110690976</v>
      </c>
      <c r="F1168" s="2">
        <v>2023</v>
      </c>
      <c r="G1168" s="23" t="s">
        <v>902</v>
      </c>
      <c r="H1168" s="2" t="s">
        <v>768</v>
      </c>
      <c r="I1168" s="23" t="s">
        <v>188</v>
      </c>
      <c r="J1168" s="23">
        <v>58.282325</v>
      </c>
      <c r="K1168" s="23">
        <v>11.496079999999999</v>
      </c>
      <c r="L1168" s="23" t="s">
        <v>819</v>
      </c>
      <c r="M1168" s="2" t="s">
        <v>825</v>
      </c>
      <c r="N1168" s="6" t="s">
        <v>828</v>
      </c>
    </row>
    <row r="1169" spans="1:14" ht="15" customHeight="1" x14ac:dyDescent="0.2">
      <c r="A1169" s="31">
        <v>1.1711988638716659</v>
      </c>
      <c r="B1169" s="31"/>
      <c r="C1169" s="2" t="s">
        <v>855</v>
      </c>
      <c r="D1169" s="31">
        <f t="shared" ref="D1169:D1190" si="43" xml:space="preserve"> A1169 * 0.196</f>
        <v>0.22955497731884653</v>
      </c>
      <c r="F1169" s="2" t="s">
        <v>822</v>
      </c>
      <c r="G1169" s="23" t="s">
        <v>902</v>
      </c>
      <c r="H1169" s="2" t="s">
        <v>822</v>
      </c>
      <c r="J1169" s="31">
        <v>26.708000200000001</v>
      </c>
      <c r="K1169" s="31">
        <v>-20.516000699999999</v>
      </c>
      <c r="L1169" s="31"/>
      <c r="M1169" s="31" t="s">
        <v>854</v>
      </c>
      <c r="N1169" s="6" t="s">
        <v>856</v>
      </c>
    </row>
    <row r="1170" spans="1:14" ht="15" customHeight="1" x14ac:dyDescent="0.2">
      <c r="A1170" s="31">
        <v>1.1703045394485789</v>
      </c>
      <c r="B1170" s="31"/>
      <c r="C1170" s="2" t="s">
        <v>855</v>
      </c>
      <c r="D1170" s="31">
        <f t="shared" si="43"/>
        <v>0.22937968973192147</v>
      </c>
      <c r="F1170" s="2" t="s">
        <v>822</v>
      </c>
      <c r="G1170" s="23" t="s">
        <v>902</v>
      </c>
      <c r="H1170" s="2" t="s">
        <v>822</v>
      </c>
      <c r="J1170" s="31">
        <v>31.483999300000001</v>
      </c>
      <c r="K1170" s="31">
        <v>34.216701499999999</v>
      </c>
      <c r="L1170" s="31"/>
      <c r="M1170" s="31" t="s">
        <v>854</v>
      </c>
      <c r="N1170" s="6" t="s">
        <v>856</v>
      </c>
    </row>
    <row r="1171" spans="1:14" ht="15" customHeight="1" x14ac:dyDescent="0.2">
      <c r="A1171" s="31">
        <v>1.168683483441048</v>
      </c>
      <c r="B1171" s="31"/>
      <c r="C1171" s="2" t="s">
        <v>855</v>
      </c>
      <c r="D1171" s="31">
        <f t="shared" si="43"/>
        <v>0.2290619627544454</v>
      </c>
      <c r="F1171" s="2" t="s">
        <v>822</v>
      </c>
      <c r="G1171" s="23" t="s">
        <v>902</v>
      </c>
      <c r="H1171" s="2" t="s">
        <v>822</v>
      </c>
      <c r="J1171" s="31">
        <v>39.455100999999999</v>
      </c>
      <c r="K1171" s="31">
        <v>-9.7875403999999993</v>
      </c>
      <c r="L1171" s="31"/>
      <c r="M1171" s="31" t="s">
        <v>854</v>
      </c>
      <c r="N1171" s="6" t="s">
        <v>856</v>
      </c>
    </row>
    <row r="1172" spans="1:14" ht="15" customHeight="1" x14ac:dyDescent="0.2">
      <c r="A1172" s="31">
        <v>1.168169794560052</v>
      </c>
      <c r="B1172" s="31"/>
      <c r="C1172" s="2" t="s">
        <v>855</v>
      </c>
      <c r="D1172" s="31">
        <f t="shared" si="43"/>
        <v>0.2289612797337702</v>
      </c>
      <c r="F1172" s="2" t="s">
        <v>822</v>
      </c>
      <c r="G1172" s="23" t="s">
        <v>902</v>
      </c>
      <c r="H1172" s="2" t="s">
        <v>822</v>
      </c>
      <c r="J1172" s="31">
        <v>39.693298300000002</v>
      </c>
      <c r="K1172" s="31">
        <v>-16.5599995</v>
      </c>
      <c r="L1172" s="31"/>
      <c r="M1172" s="31" t="s">
        <v>854</v>
      </c>
      <c r="N1172" s="6" t="s">
        <v>856</v>
      </c>
    </row>
    <row r="1173" spans="1:14" ht="15" customHeight="1" x14ac:dyDescent="0.2">
      <c r="A1173" s="31">
        <v>1.167849084347296</v>
      </c>
      <c r="B1173" s="31"/>
      <c r="C1173" s="2" t="s">
        <v>855</v>
      </c>
      <c r="D1173" s="31">
        <f t="shared" si="43"/>
        <v>0.22889842053207002</v>
      </c>
      <c r="F1173" s="2" t="s">
        <v>822</v>
      </c>
      <c r="G1173" s="23" t="s">
        <v>902</v>
      </c>
      <c r="H1173" s="2" t="s">
        <v>822</v>
      </c>
      <c r="J1173" s="31">
        <v>26.6446991</v>
      </c>
      <c r="K1173" s="31">
        <v>-15.8504</v>
      </c>
      <c r="L1173" s="31"/>
      <c r="M1173" s="31" t="s">
        <v>854</v>
      </c>
      <c r="N1173" s="6" t="s">
        <v>856</v>
      </c>
    </row>
    <row r="1174" spans="1:14" ht="15" customHeight="1" x14ac:dyDescent="0.2">
      <c r="A1174" s="31">
        <v>1.167574078021822</v>
      </c>
      <c r="B1174" s="31"/>
      <c r="C1174" s="2" t="s">
        <v>855</v>
      </c>
      <c r="D1174" s="31">
        <f t="shared" si="43"/>
        <v>0.22884451929227712</v>
      </c>
      <c r="F1174" s="2" t="s">
        <v>822</v>
      </c>
      <c r="G1174" s="23" t="s">
        <v>902</v>
      </c>
      <c r="H1174" s="2" t="s">
        <v>822</v>
      </c>
      <c r="J1174" s="31">
        <v>44.281898499999997</v>
      </c>
      <c r="K1174" s="31">
        <v>-10.9581003</v>
      </c>
      <c r="L1174" s="31"/>
      <c r="M1174" s="31" t="s">
        <v>854</v>
      </c>
      <c r="N1174" s="6" t="s">
        <v>856</v>
      </c>
    </row>
    <row r="1175" spans="1:14" ht="15" customHeight="1" x14ac:dyDescent="0.2">
      <c r="A1175" s="31">
        <v>1.167210554924782</v>
      </c>
      <c r="B1175" s="31"/>
      <c r="C1175" s="2" t="s">
        <v>855</v>
      </c>
      <c r="D1175" s="31">
        <f t="shared" si="43"/>
        <v>0.22877326876525728</v>
      </c>
      <c r="F1175" s="2" t="s">
        <v>822</v>
      </c>
      <c r="G1175" s="23" t="s">
        <v>902</v>
      </c>
      <c r="H1175" s="2" t="s">
        <v>822</v>
      </c>
      <c r="J1175" s="31">
        <v>25.530199100000001</v>
      </c>
      <c r="K1175" s="31">
        <v>53.593200699999997</v>
      </c>
      <c r="L1175" s="31"/>
      <c r="M1175" s="31" t="s">
        <v>854</v>
      </c>
      <c r="N1175" s="6" t="s">
        <v>856</v>
      </c>
    </row>
    <row r="1176" spans="1:14" ht="15" customHeight="1" x14ac:dyDescent="0.2">
      <c r="A1176" s="31">
        <v>1.1669297200320681</v>
      </c>
      <c r="B1176" s="31"/>
      <c r="C1176" s="2" t="s">
        <v>855</v>
      </c>
      <c r="D1176" s="31">
        <f t="shared" si="43"/>
        <v>0.22871822512628534</v>
      </c>
      <c r="F1176" s="2" t="s">
        <v>822</v>
      </c>
      <c r="G1176" s="23" t="s">
        <v>902</v>
      </c>
      <c r="H1176" s="2" t="s">
        <v>822</v>
      </c>
      <c r="J1176" s="31">
        <v>35.549499500000003</v>
      </c>
      <c r="K1176" s="31">
        <v>-5.1128401999999999</v>
      </c>
      <c r="L1176" s="31"/>
      <c r="M1176" s="31" t="s">
        <v>854</v>
      </c>
      <c r="N1176" s="6" t="s">
        <v>856</v>
      </c>
    </row>
    <row r="1177" spans="1:14" ht="15" customHeight="1" x14ac:dyDescent="0.2">
      <c r="A1177" s="31">
        <v>1.1657455197816411</v>
      </c>
      <c r="B1177" s="31"/>
      <c r="C1177" s="2" t="s">
        <v>855</v>
      </c>
      <c r="D1177" s="31">
        <f t="shared" si="43"/>
        <v>0.22848612187720166</v>
      </c>
      <c r="F1177" s="2" t="s">
        <v>822</v>
      </c>
      <c r="G1177" s="23" t="s">
        <v>902</v>
      </c>
      <c r="H1177" s="2" t="s">
        <v>822</v>
      </c>
      <c r="J1177" s="31">
        <v>41.108699799999997</v>
      </c>
      <c r="K1177" s="31">
        <v>-9.5036696999999997</v>
      </c>
      <c r="L1177" s="31"/>
      <c r="M1177" s="31" t="s">
        <v>854</v>
      </c>
      <c r="N1177" s="6" t="s">
        <v>856</v>
      </c>
    </row>
    <row r="1178" spans="1:14" ht="15" customHeight="1" x14ac:dyDescent="0.2">
      <c r="A1178" s="31">
        <v>1.165724428910369</v>
      </c>
      <c r="B1178" s="31"/>
      <c r="C1178" s="2" t="s">
        <v>855</v>
      </c>
      <c r="D1178" s="31">
        <f t="shared" si="43"/>
        <v>0.22848198806643233</v>
      </c>
      <c r="F1178" s="2" t="s">
        <v>822</v>
      </c>
      <c r="G1178" s="23" t="s">
        <v>902</v>
      </c>
      <c r="H1178" s="2" t="s">
        <v>822</v>
      </c>
      <c r="J1178" s="31">
        <v>40.005600000000001</v>
      </c>
      <c r="K1178" s="31">
        <v>-35.730201700000002</v>
      </c>
      <c r="L1178" s="31"/>
      <c r="M1178" s="31" t="s">
        <v>854</v>
      </c>
      <c r="N1178" s="6" t="s">
        <v>856</v>
      </c>
    </row>
    <row r="1179" spans="1:14" ht="15" customHeight="1" x14ac:dyDescent="0.2">
      <c r="A1179" s="31">
        <v>1.1650165702307971</v>
      </c>
      <c r="B1179" s="31"/>
      <c r="C1179" s="2" t="s">
        <v>855</v>
      </c>
      <c r="D1179" s="31">
        <f t="shared" si="43"/>
        <v>0.22834324776523623</v>
      </c>
      <c r="F1179" s="2" t="s">
        <v>822</v>
      </c>
      <c r="G1179" s="23" t="s">
        <v>902</v>
      </c>
      <c r="H1179" s="2" t="s">
        <v>822</v>
      </c>
      <c r="J1179" s="31">
        <v>38.746200600000002</v>
      </c>
      <c r="K1179" s="31">
        <v>-16.519199400000002</v>
      </c>
      <c r="L1179" s="31"/>
      <c r="M1179" s="31" t="s">
        <v>854</v>
      </c>
      <c r="N1179" s="6" t="s">
        <v>856</v>
      </c>
    </row>
    <row r="1180" spans="1:14" ht="15" customHeight="1" x14ac:dyDescent="0.2">
      <c r="A1180" s="31">
        <v>1.1643343703380591</v>
      </c>
      <c r="B1180" s="31"/>
      <c r="C1180" s="2" t="s">
        <v>855</v>
      </c>
      <c r="D1180" s="31">
        <f t="shared" si="43"/>
        <v>0.22820953658625959</v>
      </c>
      <c r="F1180" s="2" t="s">
        <v>822</v>
      </c>
      <c r="G1180" s="23" t="s">
        <v>902</v>
      </c>
      <c r="H1180" s="2" t="s">
        <v>822</v>
      </c>
      <c r="J1180" s="31">
        <v>35.387298600000001</v>
      </c>
      <c r="K1180" s="31">
        <v>33.670799299999999</v>
      </c>
      <c r="L1180" s="31"/>
      <c r="M1180" s="31" t="s">
        <v>854</v>
      </c>
      <c r="N1180" s="6" t="s">
        <v>856</v>
      </c>
    </row>
    <row r="1181" spans="1:14" ht="15" customHeight="1" x14ac:dyDescent="0.2">
      <c r="A1181" s="31">
        <v>1.16411734216132</v>
      </c>
      <c r="B1181" s="31"/>
      <c r="C1181" s="2" t="s">
        <v>855</v>
      </c>
      <c r="D1181" s="31">
        <f t="shared" si="43"/>
        <v>0.22816699906361873</v>
      </c>
      <c r="F1181" s="2" t="s">
        <v>822</v>
      </c>
      <c r="G1181" s="23" t="s">
        <v>902</v>
      </c>
      <c r="H1181" s="2" t="s">
        <v>822</v>
      </c>
      <c r="J1181" s="31">
        <v>39.232200599999999</v>
      </c>
      <c r="K1181" s="31">
        <v>-38.193801899999997</v>
      </c>
      <c r="L1181" s="31"/>
      <c r="M1181" s="31" t="s">
        <v>854</v>
      </c>
      <c r="N1181" s="6" t="s">
        <v>856</v>
      </c>
    </row>
    <row r="1182" spans="1:14" ht="15" customHeight="1" x14ac:dyDescent="0.2">
      <c r="A1182" s="31">
        <v>1.163964120069088</v>
      </c>
      <c r="B1182" s="31"/>
      <c r="C1182" s="2" t="s">
        <v>855</v>
      </c>
      <c r="D1182" s="31">
        <f t="shared" si="43"/>
        <v>0.22813696753354126</v>
      </c>
      <c r="F1182" s="2" t="s">
        <v>822</v>
      </c>
      <c r="G1182" s="23" t="s">
        <v>902</v>
      </c>
      <c r="H1182" s="2" t="s">
        <v>822</v>
      </c>
      <c r="J1182" s="31">
        <v>38.596801800000001</v>
      </c>
      <c r="K1182" s="31">
        <v>-27.141399400000001</v>
      </c>
      <c r="L1182" s="31"/>
      <c r="M1182" s="31" t="s">
        <v>854</v>
      </c>
      <c r="N1182" s="6" t="s">
        <v>856</v>
      </c>
    </row>
    <row r="1183" spans="1:14" ht="15" customHeight="1" x14ac:dyDescent="0.2">
      <c r="A1183" s="31">
        <v>1.162679244489236</v>
      </c>
      <c r="B1183" s="31"/>
      <c r="C1183" s="2" t="s">
        <v>855</v>
      </c>
      <c r="D1183" s="31">
        <f t="shared" si="43"/>
        <v>0.22788513191989027</v>
      </c>
      <c r="F1183" s="2" t="s">
        <v>822</v>
      </c>
      <c r="G1183" s="23" t="s">
        <v>902</v>
      </c>
      <c r="H1183" s="2" t="s">
        <v>822</v>
      </c>
      <c r="J1183" s="31">
        <v>25.280799900000002</v>
      </c>
      <c r="K1183" s="31">
        <v>-15.307900399999999</v>
      </c>
      <c r="L1183" s="31"/>
      <c r="M1183" s="31" t="s">
        <v>854</v>
      </c>
      <c r="N1183" s="6" t="s">
        <v>856</v>
      </c>
    </row>
    <row r="1184" spans="1:14" ht="15" customHeight="1" x14ac:dyDescent="0.2">
      <c r="A1184" s="31">
        <v>1.162418121322442</v>
      </c>
      <c r="B1184" s="31"/>
      <c r="C1184" s="2" t="s">
        <v>855</v>
      </c>
      <c r="D1184" s="31">
        <f t="shared" si="43"/>
        <v>0.22783395177919866</v>
      </c>
      <c r="F1184" s="2" t="s">
        <v>822</v>
      </c>
      <c r="G1184" s="23" t="s">
        <v>902</v>
      </c>
      <c r="H1184" s="2" t="s">
        <v>822</v>
      </c>
      <c r="J1184" s="31">
        <v>36.009899099999998</v>
      </c>
      <c r="K1184" s="31">
        <v>28.374799700000001</v>
      </c>
      <c r="L1184" s="31"/>
      <c r="M1184" s="31" t="s">
        <v>854</v>
      </c>
      <c r="N1184" s="6" t="s">
        <v>856</v>
      </c>
    </row>
    <row r="1185" spans="1:14" ht="15" customHeight="1" x14ac:dyDescent="0.2">
      <c r="A1185" s="31">
        <v>1.1621801797191029</v>
      </c>
      <c r="B1185" s="31"/>
      <c r="C1185" s="2" t="s">
        <v>855</v>
      </c>
      <c r="D1185" s="31">
        <f t="shared" si="43"/>
        <v>0.22778731522494419</v>
      </c>
      <c r="F1185" s="2" t="s">
        <v>822</v>
      </c>
      <c r="G1185" s="23" t="s">
        <v>902</v>
      </c>
      <c r="H1185" s="2" t="s">
        <v>822</v>
      </c>
      <c r="J1185" s="31">
        <v>55.730499299999998</v>
      </c>
      <c r="K1185" s="31">
        <v>15.7417002</v>
      </c>
      <c r="L1185" s="31"/>
      <c r="M1185" s="31" t="s">
        <v>854</v>
      </c>
      <c r="N1185" s="6" t="s">
        <v>856</v>
      </c>
    </row>
    <row r="1186" spans="1:14" ht="15" customHeight="1" x14ac:dyDescent="0.2">
      <c r="A1186" s="31">
        <v>1.1620087074411101</v>
      </c>
      <c r="B1186" s="31"/>
      <c r="C1186" s="2" t="s">
        <v>855</v>
      </c>
      <c r="D1186" s="31">
        <f t="shared" si="43"/>
        <v>0.22775370665845759</v>
      </c>
      <c r="F1186" s="2" t="s">
        <v>822</v>
      </c>
      <c r="G1186" s="23" t="s">
        <v>902</v>
      </c>
      <c r="H1186" s="2" t="s">
        <v>822</v>
      </c>
      <c r="J1186" s="31">
        <v>31.458999599999999</v>
      </c>
      <c r="K1186" s="31">
        <v>33.413200400000001</v>
      </c>
      <c r="L1186" s="31"/>
      <c r="M1186" s="31" t="s">
        <v>854</v>
      </c>
      <c r="N1186" s="6" t="s">
        <v>856</v>
      </c>
    </row>
    <row r="1187" spans="1:14" ht="15" customHeight="1" x14ac:dyDescent="0.2">
      <c r="A1187" s="31">
        <v>1.16145050877644</v>
      </c>
      <c r="B1187" s="31"/>
      <c r="C1187" s="2" t="s">
        <v>855</v>
      </c>
      <c r="D1187" s="31">
        <f t="shared" si="43"/>
        <v>0.22764429972018224</v>
      </c>
      <c r="F1187" s="2" t="s">
        <v>822</v>
      </c>
      <c r="G1187" s="23" t="s">
        <v>902</v>
      </c>
      <c r="H1187" s="2" t="s">
        <v>822</v>
      </c>
      <c r="J1187" s="31">
        <v>37.549800900000001</v>
      </c>
      <c r="K1187" s="31">
        <v>12.7416</v>
      </c>
      <c r="L1187" s="31"/>
      <c r="M1187" s="31" t="s">
        <v>854</v>
      </c>
      <c r="N1187" s="6" t="s">
        <v>856</v>
      </c>
    </row>
    <row r="1188" spans="1:14" ht="15" customHeight="1" x14ac:dyDescent="0.2">
      <c r="A1188" s="31">
        <v>1.161165027361079</v>
      </c>
      <c r="B1188" s="31"/>
      <c r="C1188" s="2" t="s">
        <v>855</v>
      </c>
      <c r="D1188" s="31">
        <f t="shared" si="43"/>
        <v>0.22758834536277148</v>
      </c>
      <c r="F1188" s="2" t="s">
        <v>822</v>
      </c>
      <c r="G1188" s="23" t="s">
        <v>902</v>
      </c>
      <c r="H1188" s="2" t="s">
        <v>822</v>
      </c>
      <c r="J1188" s="31">
        <v>35.277400999999998</v>
      </c>
      <c r="K1188" s="31">
        <v>19.148599600000001</v>
      </c>
      <c r="L1188" s="31"/>
      <c r="M1188" s="31" t="s">
        <v>854</v>
      </c>
      <c r="N1188" s="6" t="s">
        <v>856</v>
      </c>
    </row>
    <row r="1189" spans="1:14" ht="15" customHeight="1" x14ac:dyDescent="0.2">
      <c r="A1189" s="31">
        <v>1.1609496172153151</v>
      </c>
      <c r="B1189" s="31"/>
      <c r="C1189" s="2" t="s">
        <v>855</v>
      </c>
      <c r="D1189" s="31">
        <f t="shared" si="43"/>
        <v>0.22754612497420176</v>
      </c>
      <c r="F1189" s="2" t="s">
        <v>822</v>
      </c>
      <c r="G1189" s="23" t="s">
        <v>902</v>
      </c>
      <c r="H1189" s="2" t="s">
        <v>822</v>
      </c>
      <c r="J1189" s="31">
        <v>44.131000499999999</v>
      </c>
      <c r="K1189" s="31">
        <v>-6.5263800999999999</v>
      </c>
      <c r="L1189" s="31"/>
      <c r="M1189" s="31" t="s">
        <v>854</v>
      </c>
      <c r="N1189" s="6" t="s">
        <v>856</v>
      </c>
    </row>
    <row r="1190" spans="1:14" ht="15" customHeight="1" x14ac:dyDescent="0.2">
      <c r="A1190" s="31">
        <v>1.1604864724670589</v>
      </c>
      <c r="B1190" s="31"/>
      <c r="C1190" s="2" t="s">
        <v>855</v>
      </c>
      <c r="D1190" s="31">
        <f t="shared" si="43"/>
        <v>0.22745534860354355</v>
      </c>
      <c r="F1190" s="2" t="s">
        <v>822</v>
      </c>
      <c r="G1190" s="23" t="s">
        <v>902</v>
      </c>
      <c r="H1190" s="2" t="s">
        <v>822</v>
      </c>
      <c r="J1190" s="31">
        <v>43.296600300000001</v>
      </c>
      <c r="K1190" s="31">
        <v>-10.2747002</v>
      </c>
      <c r="L1190" s="31"/>
      <c r="M1190" s="31" t="s">
        <v>854</v>
      </c>
      <c r="N1190" s="6" t="s">
        <v>856</v>
      </c>
    </row>
    <row r="1191" spans="1:14" ht="15" customHeight="1" x14ac:dyDescent="0.2">
      <c r="A1191" s="22">
        <v>0.22740092362627207</v>
      </c>
      <c r="B1191" s="22"/>
      <c r="C1191" s="2" t="s">
        <v>891</v>
      </c>
      <c r="D1191" s="2">
        <f>A1191</f>
        <v>0.22740092362627207</v>
      </c>
      <c r="F1191" s="2">
        <v>2023</v>
      </c>
      <c r="G1191" s="23" t="s">
        <v>902</v>
      </c>
      <c r="H1191" s="2" t="s">
        <v>767</v>
      </c>
      <c r="I1191" s="23" t="s">
        <v>188</v>
      </c>
      <c r="J1191" s="23">
        <v>58.250112999999999</v>
      </c>
      <c r="K1191" s="23">
        <v>11.445406</v>
      </c>
      <c r="L1191" s="23" t="s">
        <v>819</v>
      </c>
      <c r="M1191" s="2" t="s">
        <v>825</v>
      </c>
      <c r="N1191" s="6" t="s">
        <v>828</v>
      </c>
    </row>
    <row r="1192" spans="1:14" ht="15" customHeight="1" x14ac:dyDescent="0.2">
      <c r="A1192" s="31">
        <v>1.159766191274453</v>
      </c>
      <c r="B1192" s="31"/>
      <c r="C1192" s="2" t="s">
        <v>855</v>
      </c>
      <c r="D1192" s="31">
        <f t="shared" ref="D1192:D1222" si="44" xml:space="preserve"> A1192 * 0.196</f>
        <v>0.2273141734897928</v>
      </c>
      <c r="F1192" s="2" t="s">
        <v>822</v>
      </c>
      <c r="G1192" s="23" t="s">
        <v>902</v>
      </c>
      <c r="H1192" s="2" t="s">
        <v>822</v>
      </c>
      <c r="J1192" s="31">
        <v>44.158901200000003</v>
      </c>
      <c r="K1192" s="31">
        <v>-9.8564100000000003</v>
      </c>
      <c r="L1192" s="31"/>
      <c r="M1192" s="31" t="s">
        <v>854</v>
      </c>
      <c r="N1192" s="6" t="s">
        <v>856</v>
      </c>
    </row>
    <row r="1193" spans="1:14" ht="15" customHeight="1" x14ac:dyDescent="0.2">
      <c r="A1193" s="31">
        <v>1.1596078002340211</v>
      </c>
      <c r="B1193" s="31"/>
      <c r="C1193" s="2" t="s">
        <v>855</v>
      </c>
      <c r="D1193" s="31">
        <f t="shared" si="44"/>
        <v>0.22728312884586815</v>
      </c>
      <c r="F1193" s="2" t="s">
        <v>822</v>
      </c>
      <c r="G1193" s="23" t="s">
        <v>902</v>
      </c>
      <c r="H1193" s="2" t="s">
        <v>822</v>
      </c>
      <c r="J1193" s="31">
        <v>25.240200000000002</v>
      </c>
      <c r="K1193" s="31">
        <v>60.407901799999998</v>
      </c>
      <c r="L1193" s="31"/>
      <c r="M1193" s="31" t="s">
        <v>854</v>
      </c>
      <c r="N1193" s="6" t="s">
        <v>856</v>
      </c>
    </row>
    <row r="1194" spans="1:14" ht="15" customHeight="1" x14ac:dyDescent="0.2">
      <c r="A1194" s="31">
        <v>1.1595228034790019</v>
      </c>
      <c r="B1194" s="31"/>
      <c r="C1194" s="2" t="s">
        <v>855</v>
      </c>
      <c r="D1194" s="31">
        <f t="shared" si="44"/>
        <v>0.22726646948188439</v>
      </c>
      <c r="F1194" s="2" t="s">
        <v>822</v>
      </c>
      <c r="G1194" s="23" t="s">
        <v>902</v>
      </c>
      <c r="H1194" s="2" t="s">
        <v>822</v>
      </c>
      <c r="J1194" s="31">
        <v>26.6490002</v>
      </c>
      <c r="K1194" s="31">
        <v>-30.048299799999999</v>
      </c>
      <c r="L1194" s="31"/>
      <c r="M1194" s="31" t="s">
        <v>854</v>
      </c>
      <c r="N1194" s="6" t="s">
        <v>856</v>
      </c>
    </row>
    <row r="1195" spans="1:14" ht="15" customHeight="1" x14ac:dyDescent="0.2">
      <c r="A1195" s="31">
        <v>1.159437654351515</v>
      </c>
      <c r="B1195" s="31"/>
      <c r="C1195" s="2" t="s">
        <v>855</v>
      </c>
      <c r="D1195" s="31">
        <f t="shared" si="44"/>
        <v>0.22724978025289697</v>
      </c>
      <c r="F1195" s="2" t="s">
        <v>822</v>
      </c>
      <c r="G1195" s="23" t="s">
        <v>902</v>
      </c>
      <c r="H1195" s="2" t="s">
        <v>822</v>
      </c>
      <c r="J1195" s="31">
        <v>31.1672993</v>
      </c>
      <c r="K1195" s="31">
        <v>17.366800300000001</v>
      </c>
      <c r="L1195" s="31"/>
      <c r="M1195" s="31" t="s">
        <v>854</v>
      </c>
      <c r="N1195" s="6" t="s">
        <v>856</v>
      </c>
    </row>
    <row r="1196" spans="1:14" ht="15" customHeight="1" x14ac:dyDescent="0.2">
      <c r="A1196" s="31">
        <v>1.159358701961414</v>
      </c>
      <c r="B1196" s="31"/>
      <c r="C1196" s="2" t="s">
        <v>855</v>
      </c>
      <c r="D1196" s="31">
        <f t="shared" si="44"/>
        <v>0.22723430558443716</v>
      </c>
      <c r="F1196" s="2" t="s">
        <v>822</v>
      </c>
      <c r="G1196" s="23" t="s">
        <v>902</v>
      </c>
      <c r="H1196" s="2" t="s">
        <v>822</v>
      </c>
      <c r="J1196" s="31">
        <v>39.371601099999999</v>
      </c>
      <c r="K1196" s="31">
        <v>4.9664301999999996</v>
      </c>
      <c r="L1196" s="31"/>
      <c r="M1196" s="31" t="s">
        <v>854</v>
      </c>
      <c r="N1196" s="6" t="s">
        <v>856</v>
      </c>
    </row>
    <row r="1197" spans="1:14" ht="15" customHeight="1" x14ac:dyDescent="0.2">
      <c r="A1197" s="31">
        <v>1.159282810275061</v>
      </c>
      <c r="B1197" s="31"/>
      <c r="C1197" s="2" t="s">
        <v>855</v>
      </c>
      <c r="D1197" s="31">
        <f t="shared" si="44"/>
        <v>0.22721943081391197</v>
      </c>
      <c r="F1197" s="2" t="s">
        <v>822</v>
      </c>
      <c r="G1197" s="23" t="s">
        <v>902</v>
      </c>
      <c r="H1197" s="2" t="s">
        <v>822</v>
      </c>
      <c r="J1197" s="31">
        <v>34.559398700000003</v>
      </c>
      <c r="K1197" s="31">
        <v>24.6886005</v>
      </c>
      <c r="L1197" s="31"/>
      <c r="M1197" s="31" t="s">
        <v>854</v>
      </c>
      <c r="N1197" s="6" t="s">
        <v>856</v>
      </c>
    </row>
    <row r="1198" spans="1:14" ht="15" customHeight="1" x14ac:dyDescent="0.2">
      <c r="A1198" s="31">
        <v>1.1588154599170539</v>
      </c>
      <c r="B1198" s="31"/>
      <c r="C1198" s="2" t="s">
        <v>855</v>
      </c>
      <c r="D1198" s="31">
        <f t="shared" si="44"/>
        <v>0.22712783014374258</v>
      </c>
      <c r="F1198" s="2" t="s">
        <v>822</v>
      </c>
      <c r="G1198" s="23" t="s">
        <v>902</v>
      </c>
      <c r="H1198" s="2" t="s">
        <v>822</v>
      </c>
      <c r="J1198" s="31">
        <v>25.718900699999999</v>
      </c>
      <c r="K1198" s="31">
        <v>55.5597992</v>
      </c>
      <c r="L1198" s="31"/>
      <c r="M1198" s="31" t="s">
        <v>854</v>
      </c>
      <c r="N1198" s="6" t="s">
        <v>856</v>
      </c>
    </row>
    <row r="1199" spans="1:14" ht="15" customHeight="1" x14ac:dyDescent="0.2">
      <c r="A1199" s="31">
        <v>1.1588105438689551</v>
      </c>
      <c r="B1199" s="31"/>
      <c r="C1199" s="2" t="s">
        <v>855</v>
      </c>
      <c r="D1199" s="31">
        <f t="shared" si="44"/>
        <v>0.22712686659831521</v>
      </c>
      <c r="F1199" s="2" t="s">
        <v>822</v>
      </c>
      <c r="G1199" s="23" t="s">
        <v>902</v>
      </c>
      <c r="H1199" s="2" t="s">
        <v>822</v>
      </c>
      <c r="J1199" s="31">
        <v>36.728000600000001</v>
      </c>
      <c r="K1199" s="31">
        <v>-12.5</v>
      </c>
      <c r="L1199" s="31"/>
      <c r="M1199" s="31" t="s">
        <v>854</v>
      </c>
      <c r="N1199" s="6" t="s">
        <v>856</v>
      </c>
    </row>
    <row r="1200" spans="1:14" ht="15" customHeight="1" x14ac:dyDescent="0.2">
      <c r="A1200" s="31">
        <v>1.1574099687638411</v>
      </c>
      <c r="B1200" s="31"/>
      <c r="C1200" s="2" t="s">
        <v>855</v>
      </c>
      <c r="D1200" s="31">
        <f t="shared" si="44"/>
        <v>0.22685235387771285</v>
      </c>
      <c r="F1200" s="2" t="s">
        <v>822</v>
      </c>
      <c r="G1200" s="23" t="s">
        <v>902</v>
      </c>
      <c r="H1200" s="2" t="s">
        <v>822</v>
      </c>
      <c r="J1200" s="31">
        <v>40.778900100000001</v>
      </c>
      <c r="K1200" s="31">
        <v>8.2599400999999997</v>
      </c>
      <c r="L1200" s="31"/>
      <c r="M1200" s="31" t="s">
        <v>854</v>
      </c>
      <c r="N1200" s="6" t="s">
        <v>856</v>
      </c>
    </row>
    <row r="1201" spans="1:14" ht="15" customHeight="1" x14ac:dyDescent="0.2">
      <c r="A1201" s="31">
        <v>1.156356544233609</v>
      </c>
      <c r="B1201" s="31"/>
      <c r="C1201" s="2" t="s">
        <v>855</v>
      </c>
      <c r="D1201" s="31">
        <f t="shared" si="44"/>
        <v>0.22664588266978739</v>
      </c>
      <c r="F1201" s="2" t="s">
        <v>822</v>
      </c>
      <c r="G1201" s="23" t="s">
        <v>902</v>
      </c>
      <c r="H1201" s="2" t="s">
        <v>822</v>
      </c>
      <c r="J1201" s="31">
        <v>58.126701400000002</v>
      </c>
      <c r="K1201" s="31">
        <v>16.966400100000001</v>
      </c>
      <c r="L1201" s="31"/>
      <c r="M1201" s="31" t="s">
        <v>854</v>
      </c>
      <c r="N1201" s="6" t="s">
        <v>856</v>
      </c>
    </row>
    <row r="1202" spans="1:14" ht="15" customHeight="1" x14ac:dyDescent="0.2">
      <c r="A1202" s="31">
        <v>1.1559787959411409</v>
      </c>
      <c r="B1202" s="31"/>
      <c r="C1202" s="2" t="s">
        <v>855</v>
      </c>
      <c r="D1202" s="31">
        <f t="shared" si="44"/>
        <v>0.22657184400446365</v>
      </c>
      <c r="F1202" s="2" t="s">
        <v>822</v>
      </c>
      <c r="G1202" s="23" t="s">
        <v>902</v>
      </c>
      <c r="H1202" s="2" t="s">
        <v>822</v>
      </c>
      <c r="J1202" s="31">
        <v>43.479499799999999</v>
      </c>
      <c r="K1202" s="31">
        <v>-1.7681899999999999</v>
      </c>
      <c r="L1202" s="31"/>
      <c r="M1202" s="31" t="s">
        <v>854</v>
      </c>
      <c r="N1202" s="6" t="s">
        <v>856</v>
      </c>
    </row>
    <row r="1203" spans="1:14" ht="15" customHeight="1" x14ac:dyDescent="0.2">
      <c r="A1203" s="31">
        <v>1.155571226612214</v>
      </c>
      <c r="B1203" s="31"/>
      <c r="C1203" s="2" t="s">
        <v>855</v>
      </c>
      <c r="D1203" s="31">
        <f t="shared" si="44"/>
        <v>0.22649196041599395</v>
      </c>
      <c r="F1203" s="2" t="s">
        <v>822</v>
      </c>
      <c r="G1203" s="23" t="s">
        <v>902</v>
      </c>
      <c r="H1203" s="2" t="s">
        <v>822</v>
      </c>
      <c r="J1203" s="31">
        <v>29.380300500000001</v>
      </c>
      <c r="K1203" s="31">
        <v>-27.1963005</v>
      </c>
      <c r="L1203" s="31"/>
      <c r="M1203" s="31" t="s">
        <v>854</v>
      </c>
      <c r="N1203" s="6" t="s">
        <v>856</v>
      </c>
    </row>
    <row r="1204" spans="1:14" ht="15" customHeight="1" x14ac:dyDescent="0.2">
      <c r="A1204" s="31">
        <v>1.155187544773401</v>
      </c>
      <c r="B1204" s="31"/>
      <c r="C1204" s="2" t="s">
        <v>855</v>
      </c>
      <c r="D1204" s="31">
        <f t="shared" si="44"/>
        <v>0.22641675877558662</v>
      </c>
      <c r="F1204" s="2" t="s">
        <v>822</v>
      </c>
      <c r="G1204" s="23" t="s">
        <v>902</v>
      </c>
      <c r="H1204" s="2" t="s">
        <v>822</v>
      </c>
      <c r="J1204" s="31">
        <v>35.503299699999999</v>
      </c>
      <c r="K1204" s="31">
        <v>-20.292699800000001</v>
      </c>
      <c r="L1204" s="31"/>
      <c r="M1204" s="31" t="s">
        <v>854</v>
      </c>
      <c r="N1204" s="6" t="s">
        <v>856</v>
      </c>
    </row>
    <row r="1205" spans="1:14" ht="15" customHeight="1" x14ac:dyDescent="0.2">
      <c r="A1205" s="31">
        <v>1.154930688776296</v>
      </c>
      <c r="B1205" s="31"/>
      <c r="C1205" s="2" t="s">
        <v>855</v>
      </c>
      <c r="D1205" s="31">
        <f t="shared" si="44"/>
        <v>0.22636641500015403</v>
      </c>
      <c r="F1205" s="2" t="s">
        <v>822</v>
      </c>
      <c r="G1205" s="23" t="s">
        <v>902</v>
      </c>
      <c r="H1205" s="2" t="s">
        <v>822</v>
      </c>
      <c r="J1205" s="31">
        <v>25.3719997</v>
      </c>
      <c r="K1205" s="31">
        <v>-26.527999900000001</v>
      </c>
      <c r="L1205" s="31"/>
      <c r="M1205" s="31" t="s">
        <v>854</v>
      </c>
      <c r="N1205" s="6" t="s">
        <v>856</v>
      </c>
    </row>
    <row r="1206" spans="1:14" ht="15" customHeight="1" x14ac:dyDescent="0.2">
      <c r="A1206" s="31">
        <v>1.154467901509556</v>
      </c>
      <c r="B1206" s="31"/>
      <c r="C1206" s="2" t="s">
        <v>855</v>
      </c>
      <c r="D1206" s="31">
        <f t="shared" si="44"/>
        <v>0.22627570869587299</v>
      </c>
      <c r="F1206" s="2" t="s">
        <v>822</v>
      </c>
      <c r="G1206" s="23" t="s">
        <v>902</v>
      </c>
      <c r="H1206" s="2" t="s">
        <v>822</v>
      </c>
      <c r="J1206" s="31">
        <v>55.109401699999999</v>
      </c>
      <c r="K1206" s="31">
        <v>16.701200499999999</v>
      </c>
      <c r="L1206" s="31"/>
      <c r="M1206" s="31" t="s">
        <v>854</v>
      </c>
      <c r="N1206" s="6" t="s">
        <v>856</v>
      </c>
    </row>
    <row r="1207" spans="1:14" ht="15" customHeight="1" x14ac:dyDescent="0.2">
      <c r="A1207" s="31">
        <v>1.1528473194596149</v>
      </c>
      <c r="B1207" s="31"/>
      <c r="C1207" s="2" t="s">
        <v>855</v>
      </c>
      <c r="D1207" s="31">
        <f t="shared" si="44"/>
        <v>0.22595807461408454</v>
      </c>
      <c r="F1207" s="2" t="s">
        <v>822</v>
      </c>
      <c r="G1207" s="23" t="s">
        <v>902</v>
      </c>
      <c r="H1207" s="2" t="s">
        <v>822</v>
      </c>
      <c r="J1207" s="31">
        <v>35.1520996</v>
      </c>
      <c r="K1207" s="31">
        <v>-4.3568001000000001</v>
      </c>
      <c r="L1207" s="31"/>
      <c r="M1207" s="31" t="s">
        <v>854</v>
      </c>
      <c r="N1207" s="6" t="s">
        <v>856</v>
      </c>
    </row>
    <row r="1208" spans="1:14" ht="15" customHeight="1" x14ac:dyDescent="0.2">
      <c r="A1208" s="31">
        <v>1.152741693023952</v>
      </c>
      <c r="B1208" s="31"/>
      <c r="C1208" s="2" t="s">
        <v>855</v>
      </c>
      <c r="D1208" s="31">
        <f t="shared" si="44"/>
        <v>0.22593737183269461</v>
      </c>
      <c r="F1208" s="2" t="s">
        <v>822</v>
      </c>
      <c r="G1208" s="23" t="s">
        <v>902</v>
      </c>
      <c r="H1208" s="2" t="s">
        <v>822</v>
      </c>
      <c r="J1208" s="31">
        <v>43.757099199999999</v>
      </c>
      <c r="K1208" s="31">
        <v>-10.2834997</v>
      </c>
      <c r="L1208" s="31"/>
      <c r="M1208" s="31" t="s">
        <v>854</v>
      </c>
      <c r="N1208" s="6" t="s">
        <v>856</v>
      </c>
    </row>
    <row r="1209" spans="1:14" ht="15" customHeight="1" x14ac:dyDescent="0.2">
      <c r="A1209" s="31">
        <v>1.1525235336533779</v>
      </c>
      <c r="B1209" s="31"/>
      <c r="C1209" s="2" t="s">
        <v>855</v>
      </c>
      <c r="D1209" s="31">
        <f t="shared" si="44"/>
        <v>0.22589461259606208</v>
      </c>
      <c r="F1209" s="2" t="s">
        <v>822</v>
      </c>
      <c r="G1209" s="23" t="s">
        <v>902</v>
      </c>
      <c r="H1209" s="2" t="s">
        <v>822</v>
      </c>
      <c r="J1209" s="31">
        <v>27.375999499999999</v>
      </c>
      <c r="K1209" s="31">
        <v>-19.847999600000001</v>
      </c>
      <c r="L1209" s="31"/>
      <c r="M1209" s="31" t="s">
        <v>854</v>
      </c>
      <c r="N1209" s="6" t="s">
        <v>856</v>
      </c>
    </row>
    <row r="1210" spans="1:14" ht="15" customHeight="1" x14ac:dyDescent="0.2">
      <c r="A1210" s="31">
        <v>1.1522208580630859</v>
      </c>
      <c r="B1210" s="31"/>
      <c r="C1210" s="2" t="s">
        <v>855</v>
      </c>
      <c r="D1210" s="31">
        <f t="shared" si="44"/>
        <v>0.22583528818036486</v>
      </c>
      <c r="F1210" s="2" t="s">
        <v>822</v>
      </c>
      <c r="G1210" s="23" t="s">
        <v>902</v>
      </c>
      <c r="H1210" s="2" t="s">
        <v>822</v>
      </c>
      <c r="J1210" s="31">
        <v>54.431198100000003</v>
      </c>
      <c r="K1210" s="31">
        <v>19.106100099999999</v>
      </c>
      <c r="L1210" s="31"/>
      <c r="M1210" s="31" t="s">
        <v>854</v>
      </c>
      <c r="N1210" s="6" t="s">
        <v>856</v>
      </c>
    </row>
    <row r="1211" spans="1:14" ht="15" customHeight="1" x14ac:dyDescent="0.2">
      <c r="A1211" s="31">
        <v>1.1516302599821</v>
      </c>
      <c r="B1211" s="31"/>
      <c r="C1211" s="2" t="s">
        <v>855</v>
      </c>
      <c r="D1211" s="31">
        <f t="shared" si="44"/>
        <v>0.22571953095649161</v>
      </c>
      <c r="F1211" s="2" t="s">
        <v>822</v>
      </c>
      <c r="G1211" s="23" t="s">
        <v>902</v>
      </c>
      <c r="H1211" s="2" t="s">
        <v>822</v>
      </c>
      <c r="J1211" s="31">
        <v>36.732101399999998</v>
      </c>
      <c r="K1211" s="31">
        <v>-30.523000700000001</v>
      </c>
      <c r="L1211" s="31"/>
      <c r="M1211" s="31" t="s">
        <v>854</v>
      </c>
      <c r="N1211" s="6" t="s">
        <v>856</v>
      </c>
    </row>
    <row r="1212" spans="1:14" ht="15" customHeight="1" x14ac:dyDescent="0.2">
      <c r="A1212" s="31">
        <v>1.1515392990352069</v>
      </c>
      <c r="B1212" s="31"/>
      <c r="C1212" s="2" t="s">
        <v>855</v>
      </c>
      <c r="D1212" s="31">
        <f t="shared" si="44"/>
        <v>0.22570170261090056</v>
      </c>
      <c r="F1212" s="2" t="s">
        <v>822</v>
      </c>
      <c r="G1212" s="23" t="s">
        <v>902</v>
      </c>
      <c r="H1212" s="2" t="s">
        <v>822</v>
      </c>
      <c r="J1212" s="31">
        <v>33.388000499999997</v>
      </c>
      <c r="K1212" s="31">
        <v>-42.560001399999997</v>
      </c>
      <c r="L1212" s="31"/>
      <c r="M1212" s="31" t="s">
        <v>854</v>
      </c>
      <c r="N1212" s="6" t="s">
        <v>856</v>
      </c>
    </row>
    <row r="1213" spans="1:14" ht="15" customHeight="1" x14ac:dyDescent="0.2">
      <c r="A1213" s="31">
        <v>1.151442553618667</v>
      </c>
      <c r="B1213" s="31"/>
      <c r="C1213" s="2" t="s">
        <v>855</v>
      </c>
      <c r="D1213" s="31">
        <f t="shared" si="44"/>
        <v>0.22568274050925874</v>
      </c>
      <c r="F1213" s="2" t="s">
        <v>822</v>
      </c>
      <c r="G1213" s="23" t="s">
        <v>902</v>
      </c>
      <c r="H1213" s="2" t="s">
        <v>822</v>
      </c>
      <c r="J1213" s="31">
        <v>38.6316986</v>
      </c>
      <c r="K1213" s="31">
        <v>15.9226999</v>
      </c>
      <c r="L1213" s="31"/>
      <c r="M1213" s="31" t="s">
        <v>854</v>
      </c>
      <c r="N1213" s="6" t="s">
        <v>856</v>
      </c>
    </row>
    <row r="1214" spans="1:14" ht="15" customHeight="1" x14ac:dyDescent="0.2">
      <c r="A1214" s="31">
        <v>1.151053199579708</v>
      </c>
      <c r="B1214" s="31"/>
      <c r="C1214" s="2" t="s">
        <v>855</v>
      </c>
      <c r="D1214" s="31">
        <f t="shared" si="44"/>
        <v>0.22560642711762277</v>
      </c>
      <c r="F1214" s="2" t="s">
        <v>822</v>
      </c>
      <c r="G1214" s="23" t="s">
        <v>902</v>
      </c>
      <c r="H1214" s="2" t="s">
        <v>822</v>
      </c>
      <c r="J1214" s="31">
        <v>26.977500899999999</v>
      </c>
      <c r="K1214" s="31">
        <v>-14.8018999</v>
      </c>
      <c r="L1214" s="31"/>
      <c r="M1214" s="31" t="s">
        <v>854</v>
      </c>
      <c r="N1214" s="6" t="s">
        <v>856</v>
      </c>
    </row>
    <row r="1215" spans="1:14" ht="15" customHeight="1" x14ac:dyDescent="0.2">
      <c r="A1215" s="31">
        <v>1.150685318825442</v>
      </c>
      <c r="B1215" s="31"/>
      <c r="C1215" s="2" t="s">
        <v>855</v>
      </c>
      <c r="D1215" s="31">
        <f t="shared" si="44"/>
        <v>0.22553432248978664</v>
      </c>
      <c r="F1215" s="2" t="s">
        <v>822</v>
      </c>
      <c r="G1215" s="23" t="s">
        <v>902</v>
      </c>
      <c r="H1215" s="2" t="s">
        <v>822</v>
      </c>
      <c r="J1215" s="31">
        <v>26.283899300000002</v>
      </c>
      <c r="K1215" s="31">
        <v>55.3689003</v>
      </c>
      <c r="L1215" s="31"/>
      <c r="M1215" s="31" t="s">
        <v>854</v>
      </c>
      <c r="N1215" s="6" t="s">
        <v>856</v>
      </c>
    </row>
    <row r="1216" spans="1:14" ht="15" customHeight="1" x14ac:dyDescent="0.2">
      <c r="A1216" s="31">
        <v>1.1503121882139331</v>
      </c>
      <c r="B1216" s="31"/>
      <c r="C1216" s="2" t="s">
        <v>855</v>
      </c>
      <c r="D1216" s="31">
        <f t="shared" si="44"/>
        <v>0.22546118888993089</v>
      </c>
      <c r="F1216" s="2" t="s">
        <v>822</v>
      </c>
      <c r="G1216" s="23" t="s">
        <v>902</v>
      </c>
      <c r="H1216" s="2" t="s">
        <v>822</v>
      </c>
      <c r="J1216" s="31">
        <v>58.286800399999997</v>
      </c>
      <c r="K1216" s="31">
        <v>17.3346996</v>
      </c>
      <c r="L1216" s="31"/>
      <c r="M1216" s="31" t="s">
        <v>854</v>
      </c>
      <c r="N1216" s="6" t="s">
        <v>856</v>
      </c>
    </row>
    <row r="1217" spans="1:14" ht="15" customHeight="1" x14ac:dyDescent="0.2">
      <c r="A1217" s="31">
        <v>1.1500257936039671</v>
      </c>
      <c r="B1217" s="31"/>
      <c r="C1217" s="2" t="s">
        <v>855</v>
      </c>
      <c r="D1217" s="31">
        <f t="shared" si="44"/>
        <v>0.22540505554637755</v>
      </c>
      <c r="F1217" s="2" t="s">
        <v>822</v>
      </c>
      <c r="G1217" s="23" t="s">
        <v>902</v>
      </c>
      <c r="H1217" s="2" t="s">
        <v>822</v>
      </c>
      <c r="J1217" s="31">
        <v>59.838298799999997</v>
      </c>
      <c r="K1217" s="31">
        <v>20.234100300000001</v>
      </c>
      <c r="L1217" s="31"/>
      <c r="M1217" s="31" t="s">
        <v>854</v>
      </c>
      <c r="N1217" s="6" t="s">
        <v>856</v>
      </c>
    </row>
    <row r="1218" spans="1:14" ht="15" customHeight="1" x14ac:dyDescent="0.2">
      <c r="A1218" s="31">
        <v>1.1500222529203179</v>
      </c>
      <c r="B1218" s="31"/>
      <c r="C1218" s="2" t="s">
        <v>855</v>
      </c>
      <c r="D1218" s="31">
        <f t="shared" si="44"/>
        <v>0.22540436157238231</v>
      </c>
      <c r="F1218" s="2" t="s">
        <v>822</v>
      </c>
      <c r="G1218" s="23" t="s">
        <v>902</v>
      </c>
      <c r="H1218" s="2" t="s">
        <v>822</v>
      </c>
      <c r="J1218" s="31">
        <v>41.743198399999997</v>
      </c>
      <c r="K1218" s="31">
        <v>-23.538000100000001</v>
      </c>
      <c r="L1218" s="31"/>
      <c r="M1218" s="31" t="s">
        <v>854</v>
      </c>
      <c r="N1218" s="6" t="s">
        <v>856</v>
      </c>
    </row>
    <row r="1219" spans="1:14" ht="15" customHeight="1" x14ac:dyDescent="0.2">
      <c r="A1219" s="31">
        <v>1.149905596617929</v>
      </c>
      <c r="B1219" s="31"/>
      <c r="C1219" s="2" t="s">
        <v>855</v>
      </c>
      <c r="D1219" s="31">
        <f t="shared" si="44"/>
        <v>0.2253814969371141</v>
      </c>
      <c r="F1219" s="2" t="s">
        <v>822</v>
      </c>
      <c r="G1219" s="23" t="s">
        <v>902</v>
      </c>
      <c r="H1219" s="2" t="s">
        <v>822</v>
      </c>
      <c r="J1219" s="31">
        <v>38.515998799999998</v>
      </c>
      <c r="K1219" s="31">
        <v>-9.9237003000000001</v>
      </c>
      <c r="L1219" s="31"/>
      <c r="M1219" s="31" t="s">
        <v>854</v>
      </c>
      <c r="N1219" s="6" t="s">
        <v>856</v>
      </c>
    </row>
    <row r="1220" spans="1:14" ht="15" customHeight="1" x14ac:dyDescent="0.2">
      <c r="A1220" s="31">
        <v>1.149805886527741</v>
      </c>
      <c r="B1220" s="31"/>
      <c r="C1220" s="2" t="s">
        <v>855</v>
      </c>
      <c r="D1220" s="31">
        <f t="shared" si="44"/>
        <v>0.22536195375943724</v>
      </c>
      <c r="F1220" s="2" t="s">
        <v>822</v>
      </c>
      <c r="G1220" s="23" t="s">
        <v>902</v>
      </c>
      <c r="H1220" s="2" t="s">
        <v>822</v>
      </c>
      <c r="J1220" s="31">
        <v>41.925701099999998</v>
      </c>
      <c r="K1220" s="31">
        <v>4.4614501000000004</v>
      </c>
      <c r="L1220" s="31"/>
      <c r="M1220" s="31" t="s">
        <v>854</v>
      </c>
      <c r="N1220" s="6" t="s">
        <v>856</v>
      </c>
    </row>
    <row r="1221" spans="1:14" ht="15" customHeight="1" x14ac:dyDescent="0.2">
      <c r="A1221" s="31">
        <v>1.1484865002589599</v>
      </c>
      <c r="B1221" s="31"/>
      <c r="C1221" s="2" t="s">
        <v>855</v>
      </c>
      <c r="D1221" s="31">
        <f t="shared" si="44"/>
        <v>0.22510335405075615</v>
      </c>
      <c r="F1221" s="2" t="s">
        <v>822</v>
      </c>
      <c r="G1221" s="23" t="s">
        <v>902</v>
      </c>
      <c r="H1221" s="2" t="s">
        <v>822</v>
      </c>
      <c r="J1221" s="31">
        <v>41.816799199999998</v>
      </c>
      <c r="K1221" s="31">
        <v>5.73522</v>
      </c>
      <c r="L1221" s="31"/>
      <c r="M1221" s="31" t="s">
        <v>854</v>
      </c>
      <c r="N1221" s="6" t="s">
        <v>856</v>
      </c>
    </row>
    <row r="1222" spans="1:14" ht="15" customHeight="1" x14ac:dyDescent="0.2">
      <c r="A1222" s="31">
        <v>1.1474638470723919</v>
      </c>
      <c r="B1222" s="31"/>
      <c r="C1222" s="2" t="s">
        <v>855</v>
      </c>
      <c r="D1222" s="31">
        <f t="shared" si="44"/>
        <v>0.22490291402618881</v>
      </c>
      <c r="F1222" s="2" t="s">
        <v>822</v>
      </c>
      <c r="G1222" s="23" t="s">
        <v>902</v>
      </c>
      <c r="H1222" s="2" t="s">
        <v>822</v>
      </c>
      <c r="J1222" s="31">
        <v>40.638900800000002</v>
      </c>
      <c r="K1222" s="31">
        <v>-29.386499400000002</v>
      </c>
      <c r="L1222" s="31"/>
      <c r="M1222" s="31" t="s">
        <v>854</v>
      </c>
      <c r="N1222" s="6" t="s">
        <v>856</v>
      </c>
    </row>
    <row r="1223" spans="1:14" ht="15" customHeight="1" x14ac:dyDescent="0.2">
      <c r="A1223" s="22">
        <v>0.22478828707473761</v>
      </c>
      <c r="B1223" s="22"/>
      <c r="C1223" s="2" t="s">
        <v>891</v>
      </c>
      <c r="D1223" s="2">
        <f>A1223</f>
        <v>0.22478828707473761</v>
      </c>
      <c r="F1223" s="2">
        <v>2023</v>
      </c>
      <c r="G1223" s="23" t="s">
        <v>902</v>
      </c>
      <c r="H1223" s="2" t="s">
        <v>767</v>
      </c>
      <c r="I1223" s="23" t="s">
        <v>188</v>
      </c>
      <c r="J1223" s="23">
        <v>58.250117000000003</v>
      </c>
      <c r="K1223" s="23">
        <v>11.445413</v>
      </c>
      <c r="L1223" s="23" t="s">
        <v>819</v>
      </c>
      <c r="M1223" s="2" t="s">
        <v>825</v>
      </c>
      <c r="N1223" s="6" t="s">
        <v>828</v>
      </c>
    </row>
    <row r="1224" spans="1:14" ht="15" customHeight="1" x14ac:dyDescent="0.2">
      <c r="A1224" s="22">
        <v>0.22472871602979397</v>
      </c>
      <c r="B1224" s="22"/>
      <c r="C1224" s="2" t="s">
        <v>891</v>
      </c>
      <c r="D1224" s="2">
        <f>A1224</f>
        <v>0.22472871602979397</v>
      </c>
      <c r="F1224" s="2">
        <v>2023</v>
      </c>
      <c r="G1224" s="23" t="s">
        <v>902</v>
      </c>
      <c r="H1224" s="2" t="s">
        <v>767</v>
      </c>
      <c r="I1224" s="23" t="s">
        <v>188</v>
      </c>
      <c r="J1224" s="23">
        <v>58.250114000000004</v>
      </c>
      <c r="K1224" s="23">
        <v>11.445403000000001</v>
      </c>
      <c r="L1224" s="23" t="s">
        <v>819</v>
      </c>
      <c r="M1224" s="2" t="s">
        <v>825</v>
      </c>
      <c r="N1224" s="6" t="s">
        <v>828</v>
      </c>
    </row>
    <row r="1225" spans="1:14" ht="15" customHeight="1" x14ac:dyDescent="0.2">
      <c r="A1225" s="31">
        <v>1.1458838243041161</v>
      </c>
      <c r="B1225" s="31"/>
      <c r="C1225" s="2" t="s">
        <v>855</v>
      </c>
      <c r="D1225" s="31">
        <f t="shared" ref="D1225:D1236" si="45" xml:space="preserve"> A1225 * 0.196</f>
        <v>0.22459322956360675</v>
      </c>
      <c r="F1225" s="2" t="s">
        <v>822</v>
      </c>
      <c r="G1225" s="23" t="s">
        <v>902</v>
      </c>
      <c r="H1225" s="2" t="s">
        <v>822</v>
      </c>
      <c r="J1225" s="31">
        <v>30.7159996</v>
      </c>
      <c r="K1225" s="31">
        <v>-25.1919994</v>
      </c>
      <c r="L1225" s="31"/>
      <c r="M1225" s="31" t="s">
        <v>854</v>
      </c>
      <c r="N1225" s="6" t="s">
        <v>856</v>
      </c>
    </row>
    <row r="1226" spans="1:14" ht="15" customHeight="1" x14ac:dyDescent="0.2">
      <c r="A1226" s="31">
        <v>1.1455124500300711</v>
      </c>
      <c r="B1226" s="31"/>
      <c r="C1226" s="2" t="s">
        <v>855</v>
      </c>
      <c r="D1226" s="31">
        <f t="shared" si="45"/>
        <v>0.22452044020589393</v>
      </c>
      <c r="F1226" s="2" t="s">
        <v>822</v>
      </c>
      <c r="G1226" s="23" t="s">
        <v>902</v>
      </c>
      <c r="H1226" s="2" t="s">
        <v>822</v>
      </c>
      <c r="J1226" s="31">
        <v>36.8871994</v>
      </c>
      <c r="K1226" s="31">
        <v>13.9478998</v>
      </c>
      <c r="L1226" s="31"/>
      <c r="M1226" s="31" t="s">
        <v>854</v>
      </c>
      <c r="N1226" s="6" t="s">
        <v>856</v>
      </c>
    </row>
    <row r="1227" spans="1:14" ht="15" customHeight="1" x14ac:dyDescent="0.2">
      <c r="A1227" s="31">
        <v>1.145258039457242</v>
      </c>
      <c r="B1227" s="31"/>
      <c r="C1227" s="2" t="s">
        <v>855</v>
      </c>
      <c r="D1227" s="31">
        <f t="shared" si="45"/>
        <v>0.22447057573361945</v>
      </c>
      <c r="F1227" s="2" t="s">
        <v>822</v>
      </c>
      <c r="G1227" s="23" t="s">
        <v>902</v>
      </c>
      <c r="H1227" s="2" t="s">
        <v>822</v>
      </c>
      <c r="J1227" s="31">
        <v>39.034900700000001</v>
      </c>
      <c r="K1227" s="31">
        <v>8.5136099000000005</v>
      </c>
      <c r="L1227" s="31"/>
      <c r="M1227" s="31" t="s">
        <v>854</v>
      </c>
      <c r="N1227" s="6" t="s">
        <v>856</v>
      </c>
    </row>
    <row r="1228" spans="1:14" ht="15" customHeight="1" x14ac:dyDescent="0.2">
      <c r="A1228" s="31">
        <v>1.1448559946908761</v>
      </c>
      <c r="B1228" s="31"/>
      <c r="C1228" s="2" t="s">
        <v>855</v>
      </c>
      <c r="D1228" s="31">
        <f t="shared" si="45"/>
        <v>0.22439177495941171</v>
      </c>
      <c r="F1228" s="2" t="s">
        <v>822</v>
      </c>
      <c r="G1228" s="23" t="s">
        <v>902</v>
      </c>
      <c r="H1228" s="2" t="s">
        <v>822</v>
      </c>
      <c r="J1228" s="31">
        <v>36.486099199999998</v>
      </c>
      <c r="K1228" s="31">
        <v>-9.2319498000000006</v>
      </c>
      <c r="L1228" s="31"/>
      <c r="M1228" s="31" t="s">
        <v>854</v>
      </c>
      <c r="N1228" s="6" t="s">
        <v>856</v>
      </c>
    </row>
    <row r="1229" spans="1:14" ht="15" customHeight="1" x14ac:dyDescent="0.2">
      <c r="A1229" s="31">
        <v>1.1448447328608731</v>
      </c>
      <c r="B1229" s="31"/>
      <c r="C1229" s="2" t="s">
        <v>855</v>
      </c>
      <c r="D1229" s="31">
        <f t="shared" si="45"/>
        <v>0.22438956764073112</v>
      </c>
      <c r="F1229" s="2" t="s">
        <v>822</v>
      </c>
      <c r="G1229" s="23" t="s">
        <v>902</v>
      </c>
      <c r="H1229" s="2" t="s">
        <v>822</v>
      </c>
      <c r="J1229" s="31">
        <v>44.8479004</v>
      </c>
      <c r="K1229" s="31">
        <v>-6.4778799999999999</v>
      </c>
      <c r="L1229" s="31"/>
      <c r="M1229" s="31" t="s">
        <v>854</v>
      </c>
      <c r="N1229" s="6" t="s">
        <v>856</v>
      </c>
    </row>
    <row r="1230" spans="1:14" ht="15" customHeight="1" x14ac:dyDescent="0.2">
      <c r="A1230" s="31">
        <v>1.144273978549238</v>
      </c>
      <c r="B1230" s="31"/>
      <c r="C1230" s="2" t="s">
        <v>855</v>
      </c>
      <c r="D1230" s="31">
        <f t="shared" si="45"/>
        <v>0.22427769979565065</v>
      </c>
      <c r="F1230" s="2" t="s">
        <v>822</v>
      </c>
      <c r="G1230" s="23" t="s">
        <v>902</v>
      </c>
      <c r="H1230" s="2" t="s">
        <v>822</v>
      </c>
      <c r="J1230" s="31">
        <v>34.677700000000002</v>
      </c>
      <c r="K1230" s="31">
        <v>32.567100500000002</v>
      </c>
      <c r="L1230" s="31"/>
      <c r="M1230" s="31" t="s">
        <v>854</v>
      </c>
      <c r="N1230" s="6" t="s">
        <v>856</v>
      </c>
    </row>
    <row r="1231" spans="1:14" ht="15" customHeight="1" x14ac:dyDescent="0.2">
      <c r="A1231" s="31">
        <v>1.143780964618748</v>
      </c>
      <c r="B1231" s="31"/>
      <c r="C1231" s="2" t="s">
        <v>855</v>
      </c>
      <c r="D1231" s="31">
        <f t="shared" si="45"/>
        <v>0.22418106906527463</v>
      </c>
      <c r="F1231" s="2" t="s">
        <v>822</v>
      </c>
      <c r="G1231" s="23" t="s">
        <v>902</v>
      </c>
      <c r="H1231" s="2" t="s">
        <v>822</v>
      </c>
      <c r="J1231" s="31">
        <v>30.048000300000002</v>
      </c>
      <c r="K1231" s="31">
        <v>-17.5100002</v>
      </c>
      <c r="L1231" s="31"/>
      <c r="M1231" s="31" t="s">
        <v>854</v>
      </c>
      <c r="N1231" s="6" t="s">
        <v>856</v>
      </c>
    </row>
    <row r="1232" spans="1:14" ht="15" customHeight="1" x14ac:dyDescent="0.2">
      <c r="A1232" s="31">
        <v>1.143412257982291</v>
      </c>
      <c r="B1232" s="31"/>
      <c r="C1232" s="2" t="s">
        <v>855</v>
      </c>
      <c r="D1232" s="31">
        <f t="shared" si="45"/>
        <v>0.22410880256452903</v>
      </c>
      <c r="F1232" s="2" t="s">
        <v>822</v>
      </c>
      <c r="G1232" s="23" t="s">
        <v>902</v>
      </c>
      <c r="H1232" s="2" t="s">
        <v>822</v>
      </c>
      <c r="J1232" s="31">
        <v>44.743999500000001</v>
      </c>
      <c r="K1232" s="31">
        <v>-10.4960003</v>
      </c>
      <c r="L1232" s="31"/>
      <c r="M1232" s="31" t="s">
        <v>854</v>
      </c>
      <c r="N1232" s="6" t="s">
        <v>856</v>
      </c>
    </row>
    <row r="1233" spans="1:14" ht="15" customHeight="1" x14ac:dyDescent="0.2">
      <c r="A1233" s="31">
        <v>1.1433965056015249</v>
      </c>
      <c r="B1233" s="31"/>
      <c r="C1233" s="2" t="s">
        <v>855</v>
      </c>
      <c r="D1233" s="31">
        <f t="shared" si="45"/>
        <v>0.22410571509789889</v>
      </c>
      <c r="F1233" s="2" t="s">
        <v>822</v>
      </c>
      <c r="G1233" s="23" t="s">
        <v>902</v>
      </c>
      <c r="H1233" s="2" t="s">
        <v>822</v>
      </c>
      <c r="J1233" s="31">
        <v>46.357601199999998</v>
      </c>
      <c r="K1233" s="31">
        <v>-6.0156201999999999</v>
      </c>
      <c r="L1233" s="31"/>
      <c r="M1233" s="31" t="s">
        <v>854</v>
      </c>
      <c r="N1233" s="6" t="s">
        <v>856</v>
      </c>
    </row>
    <row r="1234" spans="1:14" ht="15" customHeight="1" x14ac:dyDescent="0.2">
      <c r="A1234" s="31">
        <v>1.141949615218153</v>
      </c>
      <c r="B1234" s="31"/>
      <c r="C1234" s="2" t="s">
        <v>855</v>
      </c>
      <c r="D1234" s="31">
        <f t="shared" si="45"/>
        <v>0.22382212458275799</v>
      </c>
      <c r="F1234" s="2" t="s">
        <v>822</v>
      </c>
      <c r="G1234" s="23" t="s">
        <v>902</v>
      </c>
      <c r="H1234" s="2" t="s">
        <v>822</v>
      </c>
      <c r="J1234" s="31">
        <v>26.708000200000001</v>
      </c>
      <c r="K1234" s="31">
        <v>-31.204000499999999</v>
      </c>
      <c r="L1234" s="31"/>
      <c r="M1234" s="31" t="s">
        <v>854</v>
      </c>
      <c r="N1234" s="6" t="s">
        <v>856</v>
      </c>
    </row>
    <row r="1235" spans="1:14" ht="15" customHeight="1" x14ac:dyDescent="0.2">
      <c r="A1235" s="31">
        <v>1.141497709664324</v>
      </c>
      <c r="B1235" s="31"/>
      <c r="C1235" s="2" t="s">
        <v>855</v>
      </c>
      <c r="D1235" s="31">
        <f t="shared" si="45"/>
        <v>0.22373355109420751</v>
      </c>
      <c r="F1235" s="2" t="s">
        <v>822</v>
      </c>
      <c r="G1235" s="23" t="s">
        <v>902</v>
      </c>
      <c r="H1235" s="2" t="s">
        <v>822</v>
      </c>
      <c r="J1235" s="31">
        <v>42.303600299999999</v>
      </c>
      <c r="K1235" s="31">
        <v>-9.7333803000000003</v>
      </c>
      <c r="L1235" s="31"/>
      <c r="M1235" s="31" t="s">
        <v>854</v>
      </c>
      <c r="N1235" s="6" t="s">
        <v>856</v>
      </c>
    </row>
    <row r="1236" spans="1:14" ht="15" customHeight="1" x14ac:dyDescent="0.2">
      <c r="A1236" s="31">
        <v>1.14087992236955</v>
      </c>
      <c r="B1236" s="31"/>
      <c r="C1236" s="2" t="s">
        <v>855</v>
      </c>
      <c r="D1236" s="31">
        <f t="shared" si="45"/>
        <v>0.22361246478443181</v>
      </c>
      <c r="F1236" s="2" t="s">
        <v>822</v>
      </c>
      <c r="G1236" s="23" t="s">
        <v>902</v>
      </c>
      <c r="H1236" s="2" t="s">
        <v>822</v>
      </c>
      <c r="J1236" s="31">
        <v>44.656601000000002</v>
      </c>
      <c r="K1236" s="31">
        <v>-1.37016</v>
      </c>
      <c r="L1236" s="31"/>
      <c r="M1236" s="31" t="s">
        <v>854</v>
      </c>
      <c r="N1236" s="6" t="s">
        <v>856</v>
      </c>
    </row>
    <row r="1237" spans="1:14" ht="15" customHeight="1" x14ac:dyDescent="0.2">
      <c r="A1237" s="22">
        <v>0.22358759079094573</v>
      </c>
      <c r="B1237" s="22"/>
      <c r="C1237" s="2" t="s">
        <v>891</v>
      </c>
      <c r="D1237" s="2">
        <f>A1237</f>
        <v>0.22358759079094573</v>
      </c>
      <c r="F1237" s="2">
        <v>2023</v>
      </c>
      <c r="G1237" s="23" t="s">
        <v>902</v>
      </c>
      <c r="H1237" s="2" t="s">
        <v>769</v>
      </c>
      <c r="I1237" s="23" t="s">
        <v>189</v>
      </c>
      <c r="J1237" s="23">
        <v>58144461</v>
      </c>
      <c r="K1237" s="23">
        <v>11837522</v>
      </c>
      <c r="L1237" s="23" t="s">
        <v>819</v>
      </c>
      <c r="M1237" s="2" t="s">
        <v>825</v>
      </c>
      <c r="N1237" s="6" t="s">
        <v>828</v>
      </c>
    </row>
    <row r="1238" spans="1:14" ht="15" customHeight="1" x14ac:dyDescent="0.2">
      <c r="A1238" s="31">
        <v>1.1397154437547881</v>
      </c>
      <c r="B1238" s="31"/>
      <c r="C1238" s="2" t="s">
        <v>855</v>
      </c>
      <c r="D1238" s="31">
        <f t="shared" ref="D1238:D1244" si="46" xml:space="preserve"> A1238 * 0.196</f>
        <v>0.22338422697593846</v>
      </c>
      <c r="F1238" s="2" t="s">
        <v>822</v>
      </c>
      <c r="G1238" s="23" t="s">
        <v>902</v>
      </c>
      <c r="H1238" s="2" t="s">
        <v>822</v>
      </c>
      <c r="J1238" s="31">
        <v>39.692298899999997</v>
      </c>
      <c r="K1238" s="31">
        <v>-16.9195995</v>
      </c>
      <c r="L1238" s="31"/>
      <c r="M1238" s="31" t="s">
        <v>854</v>
      </c>
      <c r="N1238" s="6" t="s">
        <v>856</v>
      </c>
    </row>
    <row r="1239" spans="1:14" ht="15" customHeight="1" x14ac:dyDescent="0.2">
      <c r="A1239" s="31">
        <v>1.139553831531658</v>
      </c>
      <c r="B1239" s="31"/>
      <c r="C1239" s="2" t="s">
        <v>855</v>
      </c>
      <c r="D1239" s="31">
        <f t="shared" si="46"/>
        <v>0.22335255098020498</v>
      </c>
      <c r="F1239" s="2" t="s">
        <v>822</v>
      </c>
      <c r="G1239" s="23" t="s">
        <v>902</v>
      </c>
      <c r="H1239" s="2" t="s">
        <v>822</v>
      </c>
      <c r="J1239" s="31">
        <v>43.682399699999998</v>
      </c>
      <c r="K1239" s="31">
        <v>-7.3278898999999997</v>
      </c>
      <c r="L1239" s="31"/>
      <c r="M1239" s="31" t="s">
        <v>854</v>
      </c>
      <c r="N1239" s="6" t="s">
        <v>856</v>
      </c>
    </row>
    <row r="1240" spans="1:14" ht="15" customHeight="1" x14ac:dyDescent="0.2">
      <c r="A1240" s="31">
        <v>1.137479618932641</v>
      </c>
      <c r="B1240" s="31"/>
      <c r="C1240" s="2" t="s">
        <v>855</v>
      </c>
      <c r="D1240" s="31">
        <f t="shared" si="46"/>
        <v>0.22294600531079764</v>
      </c>
      <c r="F1240" s="2" t="s">
        <v>822</v>
      </c>
      <c r="G1240" s="23" t="s">
        <v>902</v>
      </c>
      <c r="H1240" s="2" t="s">
        <v>822</v>
      </c>
      <c r="J1240" s="31">
        <v>27.806100799999999</v>
      </c>
      <c r="K1240" s="31">
        <v>50.237499200000002</v>
      </c>
      <c r="L1240" s="31"/>
      <c r="M1240" s="31" t="s">
        <v>854</v>
      </c>
      <c r="N1240" s="6" t="s">
        <v>856</v>
      </c>
    </row>
    <row r="1241" spans="1:14" ht="15" customHeight="1" x14ac:dyDescent="0.2">
      <c r="A1241" s="31">
        <v>1.1374750855164411</v>
      </c>
      <c r="B1241" s="31"/>
      <c r="C1241" s="2" t="s">
        <v>855</v>
      </c>
      <c r="D1241" s="31">
        <f t="shared" si="46"/>
        <v>0.22294511676122244</v>
      </c>
      <c r="F1241" s="2" t="s">
        <v>822</v>
      </c>
      <c r="G1241" s="23" t="s">
        <v>902</v>
      </c>
      <c r="H1241" s="2" t="s">
        <v>822</v>
      </c>
      <c r="J1241" s="31">
        <v>42.183998099999997</v>
      </c>
      <c r="K1241" s="31">
        <v>-12.2828999</v>
      </c>
      <c r="L1241" s="31"/>
      <c r="M1241" s="31" t="s">
        <v>854</v>
      </c>
      <c r="N1241" s="6" t="s">
        <v>856</v>
      </c>
    </row>
    <row r="1242" spans="1:14" ht="15" customHeight="1" x14ac:dyDescent="0.2">
      <c r="A1242" s="31">
        <v>1.1365851857924849</v>
      </c>
      <c r="B1242" s="31"/>
      <c r="C1242" s="2" t="s">
        <v>855</v>
      </c>
      <c r="D1242" s="31">
        <f t="shared" si="46"/>
        <v>0.22277069641532704</v>
      </c>
      <c r="F1242" s="2" t="s">
        <v>822</v>
      </c>
      <c r="G1242" s="23" t="s">
        <v>902</v>
      </c>
      <c r="H1242" s="2" t="s">
        <v>822</v>
      </c>
      <c r="J1242" s="31">
        <v>44.172298400000003</v>
      </c>
      <c r="K1242" s="31">
        <v>-30.683799700000002</v>
      </c>
      <c r="L1242" s="31"/>
      <c r="M1242" s="31" t="s">
        <v>854</v>
      </c>
      <c r="N1242" s="6" t="s">
        <v>856</v>
      </c>
    </row>
    <row r="1243" spans="1:14" ht="15" customHeight="1" x14ac:dyDescent="0.2">
      <c r="A1243" s="31">
        <v>1.136583754442859</v>
      </c>
      <c r="B1243" s="31"/>
      <c r="C1243" s="2" t="s">
        <v>855</v>
      </c>
      <c r="D1243" s="31">
        <f t="shared" si="46"/>
        <v>0.22277041587080038</v>
      </c>
      <c r="F1243" s="2" t="s">
        <v>822</v>
      </c>
      <c r="G1243" s="23" t="s">
        <v>902</v>
      </c>
      <c r="H1243" s="2" t="s">
        <v>822</v>
      </c>
      <c r="J1243" s="31">
        <v>40.405700699999997</v>
      </c>
      <c r="K1243" s="31">
        <v>2.1113800999999999</v>
      </c>
      <c r="L1243" s="31"/>
      <c r="M1243" s="31" t="s">
        <v>854</v>
      </c>
      <c r="N1243" s="6" t="s">
        <v>856</v>
      </c>
    </row>
    <row r="1244" spans="1:14" ht="15" customHeight="1" x14ac:dyDescent="0.2">
      <c r="A1244" s="31">
        <v>1.136153693321108</v>
      </c>
      <c r="B1244" s="31"/>
      <c r="C1244" s="2" t="s">
        <v>855</v>
      </c>
      <c r="D1244" s="31">
        <f t="shared" si="46"/>
        <v>0.2226861238909372</v>
      </c>
      <c r="F1244" s="2" t="s">
        <v>822</v>
      </c>
      <c r="G1244" s="23" t="s">
        <v>902</v>
      </c>
      <c r="H1244" s="2" t="s">
        <v>822</v>
      </c>
      <c r="J1244" s="31">
        <v>43.255798300000002</v>
      </c>
      <c r="K1244" s="31">
        <v>8.6086302000000003</v>
      </c>
      <c r="L1244" s="31"/>
      <c r="M1244" s="31" t="s">
        <v>854</v>
      </c>
      <c r="N1244" s="6" t="s">
        <v>856</v>
      </c>
    </row>
    <row r="1245" spans="1:14" ht="15" customHeight="1" x14ac:dyDescent="0.2">
      <c r="A1245" s="22">
        <v>0.22266194402214878</v>
      </c>
      <c r="B1245" s="22"/>
      <c r="C1245" s="2" t="s">
        <v>891</v>
      </c>
      <c r="D1245" s="2">
        <f>A1245</f>
        <v>0.22266194402214878</v>
      </c>
      <c r="F1245" s="2">
        <v>2023</v>
      </c>
      <c r="G1245" s="23" t="s">
        <v>902</v>
      </c>
      <c r="H1245" s="2" t="s">
        <v>768</v>
      </c>
      <c r="I1245" s="23" t="s">
        <v>188</v>
      </c>
      <c r="J1245" s="23">
        <v>58.282325</v>
      </c>
      <c r="K1245" s="23">
        <v>11.496076</v>
      </c>
      <c r="L1245" s="23" t="s">
        <v>819</v>
      </c>
      <c r="M1245" s="2" t="s">
        <v>825</v>
      </c>
      <c r="N1245" s="6" t="s">
        <v>828</v>
      </c>
    </row>
    <row r="1246" spans="1:14" ht="15" customHeight="1" x14ac:dyDescent="0.2">
      <c r="A1246" s="31">
        <v>1.135934314000707</v>
      </c>
      <c r="B1246" s="31"/>
      <c r="C1246" s="2" t="s">
        <v>855</v>
      </c>
      <c r="D1246" s="31">
        <f t="shared" ref="D1246:D1270" si="47" xml:space="preserve"> A1246 * 0.196</f>
        <v>0.22264312554413859</v>
      </c>
      <c r="F1246" s="2" t="s">
        <v>822</v>
      </c>
      <c r="G1246" s="23" t="s">
        <v>902</v>
      </c>
      <c r="H1246" s="2" t="s">
        <v>822</v>
      </c>
      <c r="J1246" s="31">
        <v>45.776298500000003</v>
      </c>
      <c r="K1246" s="31">
        <v>-1.9522299999999999</v>
      </c>
      <c r="L1246" s="31"/>
      <c r="M1246" s="31" t="s">
        <v>854</v>
      </c>
      <c r="N1246" s="6" t="s">
        <v>856</v>
      </c>
    </row>
    <row r="1247" spans="1:14" ht="15" customHeight="1" x14ac:dyDescent="0.2">
      <c r="A1247" s="31">
        <v>1.1359336004380181</v>
      </c>
      <c r="B1247" s="31"/>
      <c r="C1247" s="2" t="s">
        <v>855</v>
      </c>
      <c r="D1247" s="31">
        <f t="shared" si="47"/>
        <v>0.22264298568585156</v>
      </c>
      <c r="F1247" s="2" t="s">
        <v>822</v>
      </c>
      <c r="G1247" s="23" t="s">
        <v>902</v>
      </c>
      <c r="H1247" s="2" t="s">
        <v>822</v>
      </c>
      <c r="J1247" s="31">
        <v>40.106098199999998</v>
      </c>
      <c r="K1247" s="31">
        <v>-29.7793007</v>
      </c>
      <c r="L1247" s="31"/>
      <c r="M1247" s="31" t="s">
        <v>854</v>
      </c>
      <c r="N1247" s="6" t="s">
        <v>856</v>
      </c>
    </row>
    <row r="1248" spans="1:14" ht="15" customHeight="1" x14ac:dyDescent="0.2">
      <c r="A1248" s="31">
        <v>1.135743458234199</v>
      </c>
      <c r="B1248" s="31"/>
      <c r="C1248" s="2" t="s">
        <v>855</v>
      </c>
      <c r="D1248" s="31">
        <f t="shared" si="47"/>
        <v>0.22260571781390301</v>
      </c>
      <c r="F1248" s="2" t="s">
        <v>822</v>
      </c>
      <c r="G1248" s="23" t="s">
        <v>902</v>
      </c>
      <c r="H1248" s="2" t="s">
        <v>822</v>
      </c>
      <c r="J1248" s="31">
        <v>54.404998800000001</v>
      </c>
      <c r="K1248" s="31">
        <v>19.354499799999999</v>
      </c>
      <c r="L1248" s="31"/>
      <c r="M1248" s="31" t="s">
        <v>854</v>
      </c>
      <c r="N1248" s="6" t="s">
        <v>856</v>
      </c>
    </row>
    <row r="1249" spans="1:14" ht="15" customHeight="1" x14ac:dyDescent="0.2">
      <c r="A1249" s="31">
        <v>1.135354669392777</v>
      </c>
      <c r="B1249" s="31"/>
      <c r="C1249" s="2" t="s">
        <v>855</v>
      </c>
      <c r="D1249" s="31">
        <f t="shared" si="47"/>
        <v>0.2225295152009843</v>
      </c>
      <c r="F1249" s="2" t="s">
        <v>822</v>
      </c>
      <c r="G1249" s="23" t="s">
        <v>902</v>
      </c>
      <c r="H1249" s="2" t="s">
        <v>822</v>
      </c>
      <c r="J1249" s="31">
        <v>25.215000199999999</v>
      </c>
      <c r="K1249" s="31">
        <v>-28.4806004</v>
      </c>
      <c r="L1249" s="31"/>
      <c r="M1249" s="31" t="s">
        <v>854</v>
      </c>
      <c r="N1249" s="6" t="s">
        <v>856</v>
      </c>
    </row>
    <row r="1250" spans="1:14" ht="15" customHeight="1" x14ac:dyDescent="0.2">
      <c r="A1250" s="31">
        <v>1.1346447602108189</v>
      </c>
      <c r="B1250" s="31"/>
      <c r="C1250" s="2" t="s">
        <v>855</v>
      </c>
      <c r="D1250" s="31">
        <f t="shared" si="47"/>
        <v>0.22239037300132053</v>
      </c>
      <c r="F1250" s="2" t="s">
        <v>822</v>
      </c>
      <c r="G1250" s="23" t="s">
        <v>902</v>
      </c>
      <c r="H1250" s="2" t="s">
        <v>822</v>
      </c>
      <c r="J1250" s="31">
        <v>29.3799992</v>
      </c>
      <c r="K1250" s="31">
        <v>-19.847999600000001</v>
      </c>
      <c r="L1250" s="31"/>
      <c r="M1250" s="31" t="s">
        <v>854</v>
      </c>
      <c r="N1250" s="6" t="s">
        <v>856</v>
      </c>
    </row>
    <row r="1251" spans="1:14" ht="15" customHeight="1" x14ac:dyDescent="0.2">
      <c r="A1251" s="31">
        <v>1.13402867293909</v>
      </c>
      <c r="B1251" s="31"/>
      <c r="C1251" s="2" t="s">
        <v>855</v>
      </c>
      <c r="D1251" s="31">
        <f t="shared" si="47"/>
        <v>0.22226961989606167</v>
      </c>
      <c r="F1251" s="2" t="s">
        <v>822</v>
      </c>
      <c r="G1251" s="23" t="s">
        <v>902</v>
      </c>
      <c r="H1251" s="2" t="s">
        <v>822</v>
      </c>
      <c r="J1251" s="31">
        <v>41.403999300000002</v>
      </c>
      <c r="K1251" s="31">
        <v>-10.5461998</v>
      </c>
      <c r="L1251" s="31"/>
      <c r="M1251" s="31" t="s">
        <v>854</v>
      </c>
      <c r="N1251" s="6" t="s">
        <v>856</v>
      </c>
    </row>
    <row r="1252" spans="1:14" ht="15" customHeight="1" x14ac:dyDescent="0.2">
      <c r="A1252" s="31">
        <v>1.133751943732346</v>
      </c>
      <c r="B1252" s="31"/>
      <c r="C1252" s="2" t="s">
        <v>855</v>
      </c>
      <c r="D1252" s="31">
        <f t="shared" si="47"/>
        <v>0.22221538097153984</v>
      </c>
      <c r="F1252" s="2" t="s">
        <v>822</v>
      </c>
      <c r="G1252" s="23" t="s">
        <v>902</v>
      </c>
      <c r="H1252" s="2" t="s">
        <v>822</v>
      </c>
      <c r="J1252" s="31">
        <v>32.956501000000003</v>
      </c>
      <c r="K1252" s="31">
        <v>-8.9184999000000005</v>
      </c>
      <c r="L1252" s="31"/>
      <c r="M1252" s="31" t="s">
        <v>854</v>
      </c>
      <c r="N1252" s="6" t="s">
        <v>856</v>
      </c>
    </row>
    <row r="1253" spans="1:14" ht="15" customHeight="1" x14ac:dyDescent="0.2">
      <c r="A1253" s="31">
        <v>1.1334047023169991</v>
      </c>
      <c r="B1253" s="31"/>
      <c r="C1253" s="2" t="s">
        <v>855</v>
      </c>
      <c r="D1253" s="31">
        <f t="shared" si="47"/>
        <v>0.22214732165413184</v>
      </c>
      <c r="F1253" s="2" t="s">
        <v>822</v>
      </c>
      <c r="G1253" s="23" t="s">
        <v>902</v>
      </c>
      <c r="H1253" s="2" t="s">
        <v>822</v>
      </c>
      <c r="J1253" s="31">
        <v>43.723998999999999</v>
      </c>
      <c r="K1253" s="31">
        <v>-9.3833303000000008</v>
      </c>
      <c r="L1253" s="31"/>
      <c r="M1253" s="31" t="s">
        <v>854</v>
      </c>
      <c r="N1253" s="6" t="s">
        <v>856</v>
      </c>
    </row>
    <row r="1254" spans="1:14" ht="15" customHeight="1" x14ac:dyDescent="0.2">
      <c r="A1254" s="31">
        <v>1.1333425319532311</v>
      </c>
      <c r="B1254" s="31"/>
      <c r="C1254" s="2" t="s">
        <v>855</v>
      </c>
      <c r="D1254" s="31">
        <f t="shared" si="47"/>
        <v>0.22213513626283329</v>
      </c>
      <c r="F1254" s="2" t="s">
        <v>822</v>
      </c>
      <c r="G1254" s="23" t="s">
        <v>902</v>
      </c>
      <c r="H1254" s="2" t="s">
        <v>822</v>
      </c>
      <c r="J1254" s="31">
        <v>57.572898899999998</v>
      </c>
      <c r="K1254" s="31">
        <v>23.209400200000001</v>
      </c>
      <c r="L1254" s="31"/>
      <c r="M1254" s="31" t="s">
        <v>854</v>
      </c>
      <c r="N1254" s="6" t="s">
        <v>856</v>
      </c>
    </row>
    <row r="1255" spans="1:14" ht="15" customHeight="1" x14ac:dyDescent="0.2">
      <c r="A1255" s="31">
        <v>1.133340773188831</v>
      </c>
      <c r="B1255" s="31"/>
      <c r="C1255" s="2" t="s">
        <v>855</v>
      </c>
      <c r="D1255" s="31">
        <f t="shared" si="47"/>
        <v>0.22213479154501087</v>
      </c>
      <c r="F1255" s="2" t="s">
        <v>822</v>
      </c>
      <c r="G1255" s="23" t="s">
        <v>902</v>
      </c>
      <c r="H1255" s="2" t="s">
        <v>822</v>
      </c>
      <c r="J1255" s="31">
        <v>35.554401400000003</v>
      </c>
      <c r="K1255" s="31">
        <v>26.895599399999998</v>
      </c>
      <c r="L1255" s="31"/>
      <c r="M1255" s="31" t="s">
        <v>854</v>
      </c>
      <c r="N1255" s="6" t="s">
        <v>856</v>
      </c>
    </row>
    <row r="1256" spans="1:14" ht="15" customHeight="1" x14ac:dyDescent="0.2">
      <c r="A1256" s="31">
        <v>1.132926482224295</v>
      </c>
      <c r="B1256" s="31"/>
      <c r="C1256" s="2" t="s">
        <v>855</v>
      </c>
      <c r="D1256" s="31">
        <f t="shared" si="47"/>
        <v>0.22205359051596182</v>
      </c>
      <c r="F1256" s="2" t="s">
        <v>822</v>
      </c>
      <c r="G1256" s="23" t="s">
        <v>902</v>
      </c>
      <c r="H1256" s="2" t="s">
        <v>822</v>
      </c>
      <c r="J1256" s="31">
        <v>42.088001300000002</v>
      </c>
      <c r="K1256" s="31">
        <v>8.3650198000000007</v>
      </c>
      <c r="L1256" s="31"/>
      <c r="M1256" s="31" t="s">
        <v>854</v>
      </c>
      <c r="N1256" s="6" t="s">
        <v>856</v>
      </c>
    </row>
    <row r="1257" spans="1:14" ht="15" customHeight="1" x14ac:dyDescent="0.2">
      <c r="A1257" s="31">
        <v>1.132633955582468</v>
      </c>
      <c r="B1257" s="31"/>
      <c r="C1257" s="2" t="s">
        <v>855</v>
      </c>
      <c r="D1257" s="31">
        <f t="shared" si="47"/>
        <v>0.22199625529416375</v>
      </c>
      <c r="F1257" s="2" t="s">
        <v>822</v>
      </c>
      <c r="G1257" s="23" t="s">
        <v>902</v>
      </c>
      <c r="H1257" s="2" t="s">
        <v>822</v>
      </c>
      <c r="J1257" s="31">
        <v>28.201799399999999</v>
      </c>
      <c r="K1257" s="31">
        <v>-12.3421001</v>
      </c>
      <c r="L1257" s="31"/>
      <c r="M1257" s="31" t="s">
        <v>854</v>
      </c>
      <c r="N1257" s="6" t="s">
        <v>856</v>
      </c>
    </row>
    <row r="1258" spans="1:14" ht="15" customHeight="1" x14ac:dyDescent="0.2">
      <c r="A1258" s="31">
        <v>1.1323891502792021</v>
      </c>
      <c r="B1258" s="31"/>
      <c r="C1258" s="2" t="s">
        <v>855</v>
      </c>
      <c r="D1258" s="31">
        <f t="shared" si="47"/>
        <v>0.22194827345472362</v>
      </c>
      <c r="F1258" s="2" t="s">
        <v>822</v>
      </c>
      <c r="G1258" s="23" t="s">
        <v>902</v>
      </c>
      <c r="H1258" s="2" t="s">
        <v>822</v>
      </c>
      <c r="J1258" s="31">
        <v>43.361400600000003</v>
      </c>
      <c r="K1258" s="31">
        <v>-2.3206099999999998</v>
      </c>
      <c r="L1258" s="31"/>
      <c r="M1258" s="31" t="s">
        <v>854</v>
      </c>
      <c r="N1258" s="6" t="s">
        <v>856</v>
      </c>
    </row>
    <row r="1259" spans="1:14" ht="15" customHeight="1" x14ac:dyDescent="0.2">
      <c r="A1259" s="31">
        <v>1.1322843158479521</v>
      </c>
      <c r="B1259" s="31"/>
      <c r="C1259" s="2" t="s">
        <v>855</v>
      </c>
      <c r="D1259" s="31">
        <f t="shared" si="47"/>
        <v>0.22192772590619861</v>
      </c>
      <c r="F1259" s="2" t="s">
        <v>822</v>
      </c>
      <c r="G1259" s="23" t="s">
        <v>902</v>
      </c>
      <c r="H1259" s="2" t="s">
        <v>822</v>
      </c>
      <c r="J1259" s="31">
        <v>42.715000199999999</v>
      </c>
      <c r="K1259" s="31">
        <v>-34.535099000000002</v>
      </c>
      <c r="L1259" s="31"/>
      <c r="M1259" s="31" t="s">
        <v>854</v>
      </c>
      <c r="N1259" s="6" t="s">
        <v>856</v>
      </c>
    </row>
    <row r="1260" spans="1:14" ht="15" customHeight="1" x14ac:dyDescent="0.2">
      <c r="A1260" s="31">
        <v>1.131587611430928</v>
      </c>
      <c r="B1260" s="31"/>
      <c r="C1260" s="2" t="s">
        <v>855</v>
      </c>
      <c r="D1260" s="31">
        <f t="shared" si="47"/>
        <v>0.2217911718404619</v>
      </c>
      <c r="F1260" s="2" t="s">
        <v>822</v>
      </c>
      <c r="G1260" s="23" t="s">
        <v>902</v>
      </c>
      <c r="H1260" s="2" t="s">
        <v>822</v>
      </c>
      <c r="J1260" s="31">
        <v>34.750701900000003</v>
      </c>
      <c r="K1260" s="31">
        <v>24.369600299999998</v>
      </c>
      <c r="L1260" s="31"/>
      <c r="M1260" s="31" t="s">
        <v>854</v>
      </c>
      <c r="N1260" s="6" t="s">
        <v>856</v>
      </c>
    </row>
    <row r="1261" spans="1:14" ht="15" customHeight="1" x14ac:dyDescent="0.2">
      <c r="A1261" s="31">
        <v>1.1310154214550721</v>
      </c>
      <c r="B1261" s="31"/>
      <c r="C1261" s="2" t="s">
        <v>855</v>
      </c>
      <c r="D1261" s="31">
        <f t="shared" si="47"/>
        <v>0.22167902260519412</v>
      </c>
      <c r="F1261" s="2" t="s">
        <v>822</v>
      </c>
      <c r="G1261" s="23" t="s">
        <v>902</v>
      </c>
      <c r="H1261" s="2" t="s">
        <v>822</v>
      </c>
      <c r="J1261" s="31">
        <v>25.7460995</v>
      </c>
      <c r="K1261" s="31">
        <v>-27.6177998</v>
      </c>
      <c r="L1261" s="31"/>
      <c r="M1261" s="31" t="s">
        <v>854</v>
      </c>
      <c r="N1261" s="6" t="s">
        <v>856</v>
      </c>
    </row>
    <row r="1262" spans="1:14" ht="15" customHeight="1" x14ac:dyDescent="0.2">
      <c r="A1262" s="31">
        <v>1.13073258498875</v>
      </c>
      <c r="B1262" s="31"/>
      <c r="C1262" s="2" t="s">
        <v>855</v>
      </c>
      <c r="D1262" s="31">
        <f t="shared" si="47"/>
        <v>0.221623586657795</v>
      </c>
      <c r="F1262" s="2" t="s">
        <v>822</v>
      </c>
      <c r="G1262" s="23" t="s">
        <v>902</v>
      </c>
      <c r="H1262" s="2" t="s">
        <v>822</v>
      </c>
      <c r="J1262" s="31">
        <v>42.826599100000003</v>
      </c>
      <c r="K1262" s="31">
        <v>6.4146599999999996</v>
      </c>
      <c r="L1262" s="31"/>
      <c r="M1262" s="31" t="s">
        <v>854</v>
      </c>
      <c r="N1262" s="6" t="s">
        <v>856</v>
      </c>
    </row>
    <row r="1263" spans="1:14" ht="15" customHeight="1" x14ac:dyDescent="0.2">
      <c r="A1263" s="31">
        <v>1.130572391704012</v>
      </c>
      <c r="B1263" s="31"/>
      <c r="C1263" s="2" t="s">
        <v>855</v>
      </c>
      <c r="D1263" s="31">
        <f t="shared" si="47"/>
        <v>0.22159218877398637</v>
      </c>
      <c r="F1263" s="2" t="s">
        <v>822</v>
      </c>
      <c r="G1263" s="23" t="s">
        <v>902</v>
      </c>
      <c r="H1263" s="2" t="s">
        <v>822</v>
      </c>
      <c r="J1263" s="31">
        <v>36.757900200000002</v>
      </c>
      <c r="K1263" s="31">
        <v>25.493400600000001</v>
      </c>
      <c r="L1263" s="31"/>
      <c r="M1263" s="31" t="s">
        <v>854</v>
      </c>
      <c r="N1263" s="6" t="s">
        <v>856</v>
      </c>
    </row>
    <row r="1264" spans="1:14" ht="15" customHeight="1" x14ac:dyDescent="0.2">
      <c r="A1264" s="31">
        <v>1.130140612366539</v>
      </c>
      <c r="B1264" s="31"/>
      <c r="C1264" s="2" t="s">
        <v>855</v>
      </c>
      <c r="D1264" s="31">
        <f t="shared" si="47"/>
        <v>0.22150756002384164</v>
      </c>
      <c r="F1264" s="2" t="s">
        <v>822</v>
      </c>
      <c r="G1264" s="23" t="s">
        <v>902</v>
      </c>
      <c r="H1264" s="2" t="s">
        <v>822</v>
      </c>
      <c r="J1264" s="31">
        <v>54.4463005</v>
      </c>
      <c r="K1264" s="31">
        <v>15.955100099999999</v>
      </c>
      <c r="L1264" s="31"/>
      <c r="M1264" s="31" t="s">
        <v>854</v>
      </c>
      <c r="N1264" s="6" t="s">
        <v>856</v>
      </c>
    </row>
    <row r="1265" spans="1:14" ht="15" customHeight="1" x14ac:dyDescent="0.2">
      <c r="A1265" s="31">
        <v>1.129661205592593</v>
      </c>
      <c r="B1265" s="31"/>
      <c r="C1265" s="2" t="s">
        <v>855</v>
      </c>
      <c r="D1265" s="31">
        <f t="shared" si="47"/>
        <v>0.22141359629614824</v>
      </c>
      <c r="F1265" s="2" t="s">
        <v>822</v>
      </c>
      <c r="G1265" s="23" t="s">
        <v>902</v>
      </c>
      <c r="H1265" s="2" t="s">
        <v>822</v>
      </c>
      <c r="J1265" s="31">
        <v>29.2066002</v>
      </c>
      <c r="K1265" s="31">
        <v>50.382900200000002</v>
      </c>
      <c r="L1265" s="31"/>
      <c r="M1265" s="31" t="s">
        <v>854</v>
      </c>
      <c r="N1265" s="6" t="s">
        <v>856</v>
      </c>
    </row>
    <row r="1266" spans="1:14" ht="15" customHeight="1" x14ac:dyDescent="0.2">
      <c r="A1266" s="31">
        <v>1.1295282831552169</v>
      </c>
      <c r="B1266" s="31"/>
      <c r="C1266" s="2" t="s">
        <v>855</v>
      </c>
      <c r="D1266" s="31">
        <f t="shared" si="47"/>
        <v>0.22138754349842252</v>
      </c>
      <c r="F1266" s="2" t="s">
        <v>822</v>
      </c>
      <c r="G1266" s="23" t="s">
        <v>902</v>
      </c>
      <c r="H1266" s="2" t="s">
        <v>822</v>
      </c>
      <c r="J1266" s="31">
        <v>38.731998400000002</v>
      </c>
      <c r="K1266" s="31">
        <v>-38.551998099999999</v>
      </c>
      <c r="L1266" s="31"/>
      <c r="M1266" s="31" t="s">
        <v>854</v>
      </c>
      <c r="N1266" s="6" t="s">
        <v>856</v>
      </c>
    </row>
    <row r="1267" spans="1:14" ht="15" customHeight="1" x14ac:dyDescent="0.2">
      <c r="A1267" s="31">
        <v>1.1295137228011689</v>
      </c>
      <c r="B1267" s="31"/>
      <c r="C1267" s="2" t="s">
        <v>855</v>
      </c>
      <c r="D1267" s="31">
        <f t="shared" si="47"/>
        <v>0.22138468966902911</v>
      </c>
      <c r="F1267" s="2" t="s">
        <v>822</v>
      </c>
      <c r="G1267" s="23" t="s">
        <v>902</v>
      </c>
      <c r="H1267" s="2" t="s">
        <v>822</v>
      </c>
      <c r="J1267" s="31">
        <v>40.402599299999999</v>
      </c>
      <c r="K1267" s="31">
        <v>-33.527198800000001</v>
      </c>
      <c r="L1267" s="31"/>
      <c r="M1267" s="31" t="s">
        <v>854</v>
      </c>
      <c r="N1267" s="6" t="s">
        <v>856</v>
      </c>
    </row>
    <row r="1268" spans="1:14" ht="15" customHeight="1" x14ac:dyDescent="0.2">
      <c r="A1268" s="31">
        <v>1.12931690055655</v>
      </c>
      <c r="B1268" s="31"/>
      <c r="C1268" s="2" t="s">
        <v>855</v>
      </c>
      <c r="D1268" s="31">
        <f t="shared" si="47"/>
        <v>0.22134611250908381</v>
      </c>
      <c r="F1268" s="2" t="s">
        <v>822</v>
      </c>
      <c r="G1268" s="23" t="s">
        <v>902</v>
      </c>
      <c r="H1268" s="2" t="s">
        <v>822</v>
      </c>
      <c r="J1268" s="31">
        <v>40.0680008</v>
      </c>
      <c r="K1268" s="31">
        <v>-25.769199400000002</v>
      </c>
      <c r="L1268" s="31"/>
      <c r="M1268" s="31" t="s">
        <v>854</v>
      </c>
      <c r="N1268" s="6" t="s">
        <v>856</v>
      </c>
    </row>
    <row r="1269" spans="1:14" ht="15" customHeight="1" x14ac:dyDescent="0.2">
      <c r="A1269" s="31">
        <v>1.128964015760239</v>
      </c>
      <c r="B1269" s="31"/>
      <c r="C1269" s="2" t="s">
        <v>855</v>
      </c>
      <c r="D1269" s="31">
        <f t="shared" si="47"/>
        <v>0.22127694708900686</v>
      </c>
      <c r="F1269" s="2" t="s">
        <v>822</v>
      </c>
      <c r="G1269" s="23" t="s">
        <v>902</v>
      </c>
      <c r="H1269" s="2" t="s">
        <v>822</v>
      </c>
      <c r="J1269" s="31">
        <v>27.656900400000001</v>
      </c>
      <c r="K1269" s="31">
        <v>-14.790200199999999</v>
      </c>
      <c r="L1269" s="31"/>
      <c r="M1269" s="31" t="s">
        <v>854</v>
      </c>
      <c r="N1269" s="6" t="s">
        <v>856</v>
      </c>
    </row>
    <row r="1270" spans="1:14" ht="15" customHeight="1" x14ac:dyDescent="0.2">
      <c r="A1270" s="31">
        <v>1.1289623851225441</v>
      </c>
      <c r="B1270" s="31"/>
      <c r="C1270" s="2" t="s">
        <v>855</v>
      </c>
      <c r="D1270" s="31">
        <f t="shared" si="47"/>
        <v>0.22127662748401866</v>
      </c>
      <c r="F1270" s="2" t="s">
        <v>822</v>
      </c>
      <c r="G1270" s="23" t="s">
        <v>902</v>
      </c>
      <c r="H1270" s="2" t="s">
        <v>822</v>
      </c>
      <c r="J1270" s="31">
        <v>27.375999499999999</v>
      </c>
      <c r="K1270" s="31">
        <v>-21.184000000000001</v>
      </c>
      <c r="L1270" s="31"/>
      <c r="M1270" s="31" t="s">
        <v>854</v>
      </c>
      <c r="N1270" s="6" t="s">
        <v>856</v>
      </c>
    </row>
    <row r="1271" spans="1:14" ht="15" customHeight="1" x14ac:dyDescent="0.2">
      <c r="A1271" s="22">
        <v>0.22124212104442989</v>
      </c>
      <c r="B1271" s="22"/>
      <c r="C1271" s="2" t="s">
        <v>891</v>
      </c>
      <c r="D1271" s="2">
        <f>A1271</f>
        <v>0.22124212104442989</v>
      </c>
      <c r="F1271" s="2">
        <v>2023</v>
      </c>
      <c r="G1271" s="23" t="s">
        <v>902</v>
      </c>
      <c r="H1271" s="2" t="s">
        <v>767</v>
      </c>
      <c r="I1271" s="23" t="s">
        <v>188</v>
      </c>
      <c r="J1271" s="23">
        <v>58.250120000000003</v>
      </c>
      <c r="K1271" s="23">
        <v>11.445409</v>
      </c>
      <c r="L1271" s="23" t="s">
        <v>819</v>
      </c>
      <c r="M1271" s="2" t="s">
        <v>825</v>
      </c>
      <c r="N1271" s="6" t="s">
        <v>828</v>
      </c>
    </row>
    <row r="1272" spans="1:14" ht="15" customHeight="1" x14ac:dyDescent="0.2">
      <c r="A1272" s="31">
        <v>1.1280944355635429</v>
      </c>
      <c r="B1272" s="31"/>
      <c r="C1272" s="2" t="s">
        <v>855</v>
      </c>
      <c r="D1272" s="31">
        <f t="shared" ref="D1272:D1282" si="48" xml:space="preserve"> A1272 * 0.196</f>
        <v>0.22110650937045442</v>
      </c>
      <c r="F1272" s="2" t="s">
        <v>822</v>
      </c>
      <c r="G1272" s="23" t="s">
        <v>902</v>
      </c>
      <c r="H1272" s="2" t="s">
        <v>822</v>
      </c>
      <c r="J1272" s="31">
        <v>40.122699699999998</v>
      </c>
      <c r="K1272" s="31">
        <v>-14.516799900000001</v>
      </c>
      <c r="L1272" s="31"/>
      <c r="M1272" s="31" t="s">
        <v>854</v>
      </c>
      <c r="N1272" s="6" t="s">
        <v>856</v>
      </c>
    </row>
    <row r="1273" spans="1:14" ht="15" customHeight="1" x14ac:dyDescent="0.2">
      <c r="A1273" s="31">
        <v>1.126889326882871</v>
      </c>
      <c r="B1273" s="31"/>
      <c r="C1273" s="2" t="s">
        <v>855</v>
      </c>
      <c r="D1273" s="31">
        <f t="shared" si="48"/>
        <v>0.22087030806904273</v>
      </c>
      <c r="F1273" s="2" t="s">
        <v>822</v>
      </c>
      <c r="G1273" s="23" t="s">
        <v>902</v>
      </c>
      <c r="H1273" s="2" t="s">
        <v>822</v>
      </c>
      <c r="J1273" s="31">
        <v>39.608299299999999</v>
      </c>
      <c r="K1273" s="31">
        <v>-36.512298600000001</v>
      </c>
      <c r="L1273" s="31"/>
      <c r="M1273" s="31" t="s">
        <v>854</v>
      </c>
      <c r="N1273" s="6" t="s">
        <v>856</v>
      </c>
    </row>
    <row r="1274" spans="1:14" ht="15" customHeight="1" x14ac:dyDescent="0.2">
      <c r="A1274" s="31">
        <v>1.126631282139686</v>
      </c>
      <c r="B1274" s="31"/>
      <c r="C1274" s="2" t="s">
        <v>855</v>
      </c>
      <c r="D1274" s="31">
        <f t="shared" si="48"/>
        <v>0.22081973129937846</v>
      </c>
      <c r="F1274" s="2" t="s">
        <v>822</v>
      </c>
      <c r="G1274" s="23" t="s">
        <v>902</v>
      </c>
      <c r="H1274" s="2" t="s">
        <v>822</v>
      </c>
      <c r="J1274" s="31">
        <v>27.375999499999999</v>
      </c>
      <c r="K1274" s="31">
        <v>-19.1800003</v>
      </c>
      <c r="L1274" s="31"/>
      <c r="M1274" s="31" t="s">
        <v>854</v>
      </c>
      <c r="N1274" s="6" t="s">
        <v>856</v>
      </c>
    </row>
    <row r="1275" spans="1:14" ht="15" customHeight="1" x14ac:dyDescent="0.2">
      <c r="A1275" s="31">
        <v>1.1261310516333209</v>
      </c>
      <c r="B1275" s="31"/>
      <c r="C1275" s="2" t="s">
        <v>855</v>
      </c>
      <c r="D1275" s="31">
        <f t="shared" si="48"/>
        <v>0.22072168612013091</v>
      </c>
      <c r="F1275" s="2" t="s">
        <v>822</v>
      </c>
      <c r="G1275" s="23" t="s">
        <v>902</v>
      </c>
      <c r="H1275" s="2" t="s">
        <v>822</v>
      </c>
      <c r="J1275" s="31">
        <v>30.7159996</v>
      </c>
      <c r="K1275" s="31">
        <v>-16.507999399999999</v>
      </c>
      <c r="L1275" s="31"/>
      <c r="M1275" s="31" t="s">
        <v>854</v>
      </c>
      <c r="N1275" s="6" t="s">
        <v>856</v>
      </c>
    </row>
    <row r="1276" spans="1:14" ht="15" customHeight="1" x14ac:dyDescent="0.2">
      <c r="A1276" s="31">
        <v>1.125370702784968</v>
      </c>
      <c r="B1276" s="31"/>
      <c r="C1276" s="2" t="s">
        <v>855</v>
      </c>
      <c r="D1276" s="31">
        <f t="shared" si="48"/>
        <v>0.22057265774585375</v>
      </c>
      <c r="F1276" s="2" t="s">
        <v>822</v>
      </c>
      <c r="G1276" s="23" t="s">
        <v>902</v>
      </c>
      <c r="H1276" s="2" t="s">
        <v>822</v>
      </c>
      <c r="J1276" s="31">
        <v>26.166599300000001</v>
      </c>
      <c r="K1276" s="31">
        <v>-27.239000300000001</v>
      </c>
      <c r="L1276" s="31"/>
      <c r="M1276" s="31" t="s">
        <v>854</v>
      </c>
      <c r="N1276" s="6" t="s">
        <v>856</v>
      </c>
    </row>
    <row r="1277" spans="1:14" ht="15" customHeight="1" x14ac:dyDescent="0.2">
      <c r="A1277" s="31">
        <v>1.125126612792003</v>
      </c>
      <c r="B1277" s="31"/>
      <c r="C1277" s="2" t="s">
        <v>855</v>
      </c>
      <c r="D1277" s="31">
        <f t="shared" si="48"/>
        <v>0.2205248161072326</v>
      </c>
      <c r="F1277" s="2" t="s">
        <v>822</v>
      </c>
      <c r="G1277" s="23" t="s">
        <v>902</v>
      </c>
      <c r="H1277" s="2" t="s">
        <v>822</v>
      </c>
      <c r="J1277" s="31">
        <v>36.668098399999998</v>
      </c>
      <c r="K1277" s="31">
        <v>25.048599200000002</v>
      </c>
      <c r="L1277" s="31"/>
      <c r="M1277" s="31" t="s">
        <v>854</v>
      </c>
      <c r="N1277" s="6" t="s">
        <v>856</v>
      </c>
    </row>
    <row r="1278" spans="1:14" ht="15" customHeight="1" x14ac:dyDescent="0.2">
      <c r="A1278" s="31">
        <v>1.1246501609748829</v>
      </c>
      <c r="B1278" s="31"/>
      <c r="C1278" s="2" t="s">
        <v>855</v>
      </c>
      <c r="D1278" s="31">
        <f t="shared" si="48"/>
        <v>0.22043143155107706</v>
      </c>
      <c r="F1278" s="2" t="s">
        <v>822</v>
      </c>
      <c r="G1278" s="23" t="s">
        <v>902</v>
      </c>
      <c r="H1278" s="2" t="s">
        <v>822</v>
      </c>
      <c r="J1278" s="31">
        <v>33.388000499999997</v>
      </c>
      <c r="K1278" s="31">
        <v>-11.8319998</v>
      </c>
      <c r="L1278" s="31"/>
      <c r="M1278" s="31" t="s">
        <v>854</v>
      </c>
      <c r="N1278" s="6" t="s">
        <v>856</v>
      </c>
    </row>
    <row r="1279" spans="1:14" ht="15" customHeight="1" x14ac:dyDescent="0.2">
      <c r="A1279" s="31">
        <v>1.124593248187423</v>
      </c>
      <c r="B1279" s="31"/>
      <c r="C1279" s="2" t="s">
        <v>855</v>
      </c>
      <c r="D1279" s="31">
        <f t="shared" si="48"/>
        <v>0.22042027664473493</v>
      </c>
      <c r="F1279" s="2" t="s">
        <v>822</v>
      </c>
      <c r="G1279" s="23" t="s">
        <v>902</v>
      </c>
      <c r="H1279" s="2" t="s">
        <v>822</v>
      </c>
      <c r="J1279" s="31">
        <v>38.4557991</v>
      </c>
      <c r="K1279" s="31">
        <v>-10.2122002</v>
      </c>
      <c r="L1279" s="31"/>
      <c r="M1279" s="31" t="s">
        <v>854</v>
      </c>
      <c r="N1279" s="6" t="s">
        <v>856</v>
      </c>
    </row>
    <row r="1280" spans="1:14" ht="15" customHeight="1" x14ac:dyDescent="0.2">
      <c r="A1280" s="31">
        <v>1.1239525478428629</v>
      </c>
      <c r="B1280" s="31"/>
      <c r="C1280" s="2" t="s">
        <v>855</v>
      </c>
      <c r="D1280" s="31">
        <f t="shared" si="48"/>
        <v>0.22029469937720114</v>
      </c>
      <c r="F1280" s="2" t="s">
        <v>822</v>
      </c>
      <c r="G1280" s="23" t="s">
        <v>902</v>
      </c>
      <c r="H1280" s="2" t="s">
        <v>822</v>
      </c>
      <c r="J1280" s="31">
        <v>37.084800700000002</v>
      </c>
      <c r="K1280" s="31">
        <v>-42.9115982</v>
      </c>
      <c r="L1280" s="31"/>
      <c r="M1280" s="31" t="s">
        <v>854</v>
      </c>
      <c r="N1280" s="6" t="s">
        <v>856</v>
      </c>
    </row>
    <row r="1281" spans="1:14" ht="15" customHeight="1" x14ac:dyDescent="0.2">
      <c r="A1281" s="31">
        <v>1.1235649244220289</v>
      </c>
      <c r="B1281" s="31"/>
      <c r="C1281" s="2" t="s">
        <v>855</v>
      </c>
      <c r="D1281" s="31">
        <f t="shared" si="48"/>
        <v>0.22021872518671767</v>
      </c>
      <c r="F1281" s="2" t="s">
        <v>822</v>
      </c>
      <c r="G1281" s="23" t="s">
        <v>902</v>
      </c>
      <c r="H1281" s="2" t="s">
        <v>822</v>
      </c>
      <c r="J1281" s="31">
        <v>42.072799699999997</v>
      </c>
      <c r="K1281" s="31">
        <v>-31.929099999999998</v>
      </c>
      <c r="L1281" s="31"/>
      <c r="M1281" s="31" t="s">
        <v>854</v>
      </c>
      <c r="N1281" s="6" t="s">
        <v>856</v>
      </c>
    </row>
    <row r="1282" spans="1:14" ht="15" customHeight="1" x14ac:dyDescent="0.2">
      <c r="A1282" s="31">
        <v>1.123101784949035</v>
      </c>
      <c r="B1282" s="31"/>
      <c r="C1282" s="2" t="s">
        <v>855</v>
      </c>
      <c r="D1282" s="31">
        <f t="shared" si="48"/>
        <v>0.22012794985001086</v>
      </c>
      <c r="F1282" s="2" t="s">
        <v>822</v>
      </c>
      <c r="G1282" s="23" t="s">
        <v>902</v>
      </c>
      <c r="H1282" s="2" t="s">
        <v>822</v>
      </c>
      <c r="J1282" s="31">
        <v>28.0440006</v>
      </c>
      <c r="K1282" s="31">
        <v>-25.860000599999999</v>
      </c>
      <c r="L1282" s="31"/>
      <c r="M1282" s="31" t="s">
        <v>854</v>
      </c>
      <c r="N1282" s="6" t="s">
        <v>856</v>
      </c>
    </row>
    <row r="1283" spans="1:14" ht="15" customHeight="1" x14ac:dyDescent="0.2">
      <c r="A1283" s="22">
        <v>0.22006358830556769</v>
      </c>
      <c r="B1283" s="22"/>
      <c r="C1283" s="2" t="s">
        <v>891</v>
      </c>
      <c r="D1283" s="2">
        <f>A1283</f>
        <v>0.22006358830556769</v>
      </c>
      <c r="F1283" s="2">
        <v>2023</v>
      </c>
      <c r="G1283" s="23" t="s">
        <v>902</v>
      </c>
      <c r="H1283" s="2" t="s">
        <v>771</v>
      </c>
      <c r="I1283" s="23" t="s">
        <v>189</v>
      </c>
      <c r="J1283" s="23">
        <v>58077387</v>
      </c>
      <c r="K1283" s="23">
        <v>11813530</v>
      </c>
      <c r="L1283" s="23" t="s">
        <v>819</v>
      </c>
      <c r="M1283" s="2" t="s">
        <v>825</v>
      </c>
      <c r="N1283" s="6" t="s">
        <v>828</v>
      </c>
    </row>
    <row r="1284" spans="1:14" ht="15" customHeight="1" x14ac:dyDescent="0.2">
      <c r="A1284" s="31">
        <v>1.1226152788784129</v>
      </c>
      <c r="B1284" s="31"/>
      <c r="C1284" s="2" t="s">
        <v>855</v>
      </c>
      <c r="D1284" s="31">
        <f t="shared" ref="D1284:D1329" si="49" xml:space="preserve"> A1284 * 0.196</f>
        <v>0.22003259466016895</v>
      </c>
      <c r="F1284" s="2" t="s">
        <v>822</v>
      </c>
      <c r="G1284" s="23" t="s">
        <v>902</v>
      </c>
      <c r="H1284" s="2" t="s">
        <v>822</v>
      </c>
      <c r="J1284" s="31">
        <v>43.750198400000002</v>
      </c>
      <c r="K1284" s="31">
        <v>-8.0851603000000001</v>
      </c>
      <c r="L1284" s="31"/>
      <c r="M1284" s="31" t="s">
        <v>854</v>
      </c>
      <c r="N1284" s="6" t="s">
        <v>856</v>
      </c>
    </row>
    <row r="1285" spans="1:14" ht="15" customHeight="1" x14ac:dyDescent="0.2">
      <c r="A1285" s="31">
        <v>1.121871267395645</v>
      </c>
      <c r="B1285" s="31"/>
      <c r="C1285" s="2" t="s">
        <v>855</v>
      </c>
      <c r="D1285" s="31">
        <f t="shared" si="49"/>
        <v>0.21988676840954643</v>
      </c>
      <c r="F1285" s="2" t="s">
        <v>822</v>
      </c>
      <c r="G1285" s="23" t="s">
        <v>902</v>
      </c>
      <c r="H1285" s="2" t="s">
        <v>822</v>
      </c>
      <c r="J1285" s="31">
        <v>40.736499799999997</v>
      </c>
      <c r="K1285" s="31">
        <v>-18.010999699999999</v>
      </c>
      <c r="L1285" s="31"/>
      <c r="M1285" s="31" t="s">
        <v>854</v>
      </c>
      <c r="N1285" s="6" t="s">
        <v>856</v>
      </c>
    </row>
    <row r="1286" spans="1:14" ht="15" customHeight="1" x14ac:dyDescent="0.2">
      <c r="A1286" s="31">
        <v>1.1211412825304039</v>
      </c>
      <c r="B1286" s="31"/>
      <c r="C1286" s="2" t="s">
        <v>855</v>
      </c>
      <c r="D1286" s="31">
        <f t="shared" si="49"/>
        <v>0.21974369137595917</v>
      </c>
      <c r="F1286" s="2" t="s">
        <v>822</v>
      </c>
      <c r="G1286" s="23" t="s">
        <v>902</v>
      </c>
      <c r="H1286" s="2" t="s">
        <v>822</v>
      </c>
      <c r="J1286" s="31">
        <v>28.021099100000001</v>
      </c>
      <c r="K1286" s="31">
        <v>-14.3957996</v>
      </c>
      <c r="L1286" s="31"/>
      <c r="M1286" s="31" t="s">
        <v>854</v>
      </c>
      <c r="N1286" s="6" t="s">
        <v>856</v>
      </c>
    </row>
    <row r="1287" spans="1:14" ht="15" customHeight="1" x14ac:dyDescent="0.2">
      <c r="A1287" s="31">
        <v>1.1210420477778369</v>
      </c>
      <c r="B1287" s="31"/>
      <c r="C1287" s="2" t="s">
        <v>855</v>
      </c>
      <c r="D1287" s="31">
        <f t="shared" si="49"/>
        <v>0.21972424136445604</v>
      </c>
      <c r="F1287" s="2" t="s">
        <v>822</v>
      </c>
      <c r="G1287" s="23" t="s">
        <v>902</v>
      </c>
      <c r="H1287" s="2" t="s">
        <v>822</v>
      </c>
      <c r="J1287" s="31">
        <v>36.554401400000003</v>
      </c>
      <c r="K1287" s="31">
        <v>-9.8493700000000004</v>
      </c>
      <c r="L1287" s="31"/>
      <c r="M1287" s="31" t="s">
        <v>854</v>
      </c>
      <c r="N1287" s="6" t="s">
        <v>856</v>
      </c>
    </row>
    <row r="1288" spans="1:14" ht="15" customHeight="1" x14ac:dyDescent="0.2">
      <c r="A1288" s="31">
        <v>1.1209036400818151</v>
      </c>
      <c r="B1288" s="31"/>
      <c r="C1288" s="2" t="s">
        <v>855</v>
      </c>
      <c r="D1288" s="31">
        <f t="shared" si="49"/>
        <v>0.21969711345603576</v>
      </c>
      <c r="F1288" s="2" t="s">
        <v>822</v>
      </c>
      <c r="G1288" s="23" t="s">
        <v>902</v>
      </c>
      <c r="H1288" s="2" t="s">
        <v>822</v>
      </c>
      <c r="J1288" s="31">
        <v>38.881900799999997</v>
      </c>
      <c r="K1288" s="31">
        <v>-39.3633995</v>
      </c>
      <c r="L1288" s="31"/>
      <c r="M1288" s="31" t="s">
        <v>854</v>
      </c>
      <c r="N1288" s="6" t="s">
        <v>856</v>
      </c>
    </row>
    <row r="1289" spans="1:14" ht="15" customHeight="1" x14ac:dyDescent="0.2">
      <c r="A1289" s="31">
        <v>1.12024595321526</v>
      </c>
      <c r="B1289" s="31"/>
      <c r="C1289" s="2" t="s">
        <v>855</v>
      </c>
      <c r="D1289" s="31">
        <f t="shared" si="49"/>
        <v>0.21956820683019096</v>
      </c>
      <c r="F1289" s="2" t="s">
        <v>822</v>
      </c>
      <c r="G1289" s="23" t="s">
        <v>902</v>
      </c>
      <c r="H1289" s="2" t="s">
        <v>822</v>
      </c>
      <c r="J1289" s="31">
        <v>37.932098400000001</v>
      </c>
      <c r="K1289" s="31">
        <v>20.528099099999999</v>
      </c>
      <c r="L1289" s="31"/>
      <c r="M1289" s="31" t="s">
        <v>854</v>
      </c>
      <c r="N1289" s="6" t="s">
        <v>856</v>
      </c>
    </row>
    <row r="1290" spans="1:14" ht="15" customHeight="1" x14ac:dyDescent="0.2">
      <c r="A1290" s="31">
        <v>1.119969758302501</v>
      </c>
      <c r="B1290" s="31"/>
      <c r="C1290" s="2" t="s">
        <v>855</v>
      </c>
      <c r="D1290" s="31">
        <f t="shared" si="49"/>
        <v>0.2195140726272902</v>
      </c>
      <c r="F1290" s="2" t="s">
        <v>822</v>
      </c>
      <c r="G1290" s="23" t="s">
        <v>902</v>
      </c>
      <c r="H1290" s="2" t="s">
        <v>822</v>
      </c>
      <c r="J1290" s="31">
        <v>42.0337982</v>
      </c>
      <c r="K1290" s="31">
        <v>-18.756799699999998</v>
      </c>
      <c r="L1290" s="31"/>
      <c r="M1290" s="31" t="s">
        <v>854</v>
      </c>
      <c r="N1290" s="6" t="s">
        <v>856</v>
      </c>
    </row>
    <row r="1291" spans="1:14" ht="15" customHeight="1" x14ac:dyDescent="0.2">
      <c r="A1291" s="31">
        <v>1.119288543729835</v>
      </c>
      <c r="B1291" s="31"/>
      <c r="C1291" s="2" t="s">
        <v>855</v>
      </c>
      <c r="D1291" s="31">
        <f t="shared" si="49"/>
        <v>0.21938055457104766</v>
      </c>
      <c r="F1291" s="2" t="s">
        <v>822</v>
      </c>
      <c r="G1291" s="23" t="s">
        <v>902</v>
      </c>
      <c r="H1291" s="2" t="s">
        <v>822</v>
      </c>
      <c r="J1291" s="31">
        <v>25.551200900000001</v>
      </c>
      <c r="K1291" s="31">
        <v>-21.187400799999999</v>
      </c>
      <c r="L1291" s="31"/>
      <c r="M1291" s="31" t="s">
        <v>854</v>
      </c>
      <c r="N1291" s="6" t="s">
        <v>856</v>
      </c>
    </row>
    <row r="1292" spans="1:14" ht="15" customHeight="1" x14ac:dyDescent="0.2">
      <c r="A1292" s="31">
        <v>1.1191184652162589</v>
      </c>
      <c r="B1292" s="31"/>
      <c r="C1292" s="2" t="s">
        <v>855</v>
      </c>
      <c r="D1292" s="31">
        <f t="shared" si="49"/>
        <v>0.21934721918238675</v>
      </c>
      <c r="F1292" s="2" t="s">
        <v>822</v>
      </c>
      <c r="G1292" s="23" t="s">
        <v>902</v>
      </c>
      <c r="H1292" s="2" t="s">
        <v>822</v>
      </c>
      <c r="J1292" s="31">
        <v>30.447399099999998</v>
      </c>
      <c r="K1292" s="31">
        <v>19.357900600000001</v>
      </c>
      <c r="L1292" s="31"/>
      <c r="M1292" s="31" t="s">
        <v>854</v>
      </c>
      <c r="N1292" s="6" t="s">
        <v>856</v>
      </c>
    </row>
    <row r="1293" spans="1:14" ht="15" customHeight="1" x14ac:dyDescent="0.2">
      <c r="A1293" s="31">
        <v>1.1179516180582449</v>
      </c>
      <c r="B1293" s="31"/>
      <c r="C1293" s="2" t="s">
        <v>855</v>
      </c>
      <c r="D1293" s="31">
        <f t="shared" si="49"/>
        <v>0.21911851713941602</v>
      </c>
      <c r="F1293" s="2" t="s">
        <v>822</v>
      </c>
      <c r="G1293" s="23" t="s">
        <v>902</v>
      </c>
      <c r="H1293" s="2" t="s">
        <v>822</v>
      </c>
      <c r="J1293" s="31">
        <v>26.029499099999999</v>
      </c>
      <c r="K1293" s="31">
        <v>-18.498500799999999</v>
      </c>
      <c r="L1293" s="31"/>
      <c r="M1293" s="31" t="s">
        <v>854</v>
      </c>
      <c r="N1293" s="6" t="s">
        <v>856</v>
      </c>
    </row>
    <row r="1294" spans="1:14" ht="15" customHeight="1" x14ac:dyDescent="0.2">
      <c r="A1294" s="31">
        <v>1.1177612232094649</v>
      </c>
      <c r="B1294" s="31"/>
      <c r="C1294" s="2" t="s">
        <v>855</v>
      </c>
      <c r="D1294" s="31">
        <f t="shared" si="49"/>
        <v>0.21908119974905513</v>
      </c>
      <c r="F1294" s="2" t="s">
        <v>822</v>
      </c>
      <c r="G1294" s="23" t="s">
        <v>902</v>
      </c>
      <c r="H1294" s="2" t="s">
        <v>822</v>
      </c>
      <c r="J1294" s="31">
        <v>34.7859993</v>
      </c>
      <c r="K1294" s="31">
        <v>20.266700700000001</v>
      </c>
      <c r="L1294" s="31"/>
      <c r="M1294" s="31" t="s">
        <v>854</v>
      </c>
      <c r="N1294" s="6" t="s">
        <v>856</v>
      </c>
    </row>
    <row r="1295" spans="1:14" ht="15" customHeight="1" x14ac:dyDescent="0.2">
      <c r="A1295" s="31">
        <v>1.1174262920825999</v>
      </c>
      <c r="B1295" s="31"/>
      <c r="C1295" s="2" t="s">
        <v>855</v>
      </c>
      <c r="D1295" s="31">
        <f t="shared" si="49"/>
        <v>0.21901555324818958</v>
      </c>
      <c r="F1295" s="2" t="s">
        <v>822</v>
      </c>
      <c r="G1295" s="23" t="s">
        <v>902</v>
      </c>
      <c r="H1295" s="2" t="s">
        <v>822</v>
      </c>
      <c r="J1295" s="31">
        <v>58.720401799999998</v>
      </c>
      <c r="K1295" s="31">
        <v>18.622900000000001</v>
      </c>
      <c r="L1295" s="31"/>
      <c r="M1295" s="31" t="s">
        <v>854</v>
      </c>
      <c r="N1295" s="6" t="s">
        <v>856</v>
      </c>
    </row>
    <row r="1296" spans="1:14" ht="15" customHeight="1" x14ac:dyDescent="0.2">
      <c r="A1296" s="31">
        <v>1.1173075713556551</v>
      </c>
      <c r="B1296" s="31"/>
      <c r="C1296" s="2" t="s">
        <v>855</v>
      </c>
      <c r="D1296" s="31">
        <f t="shared" si="49"/>
        <v>0.21899228398570841</v>
      </c>
      <c r="F1296" s="2" t="s">
        <v>822</v>
      </c>
      <c r="G1296" s="23" t="s">
        <v>902</v>
      </c>
      <c r="H1296" s="2" t="s">
        <v>822</v>
      </c>
      <c r="J1296" s="31">
        <v>25.5702991</v>
      </c>
      <c r="K1296" s="31">
        <v>-20.054899200000001</v>
      </c>
      <c r="L1296" s="31"/>
      <c r="M1296" s="31" t="s">
        <v>854</v>
      </c>
      <c r="N1296" s="6" t="s">
        <v>856</v>
      </c>
    </row>
    <row r="1297" spans="1:14" ht="15" customHeight="1" x14ac:dyDescent="0.2">
      <c r="A1297" s="31">
        <v>1.117132314048958</v>
      </c>
      <c r="B1297" s="31"/>
      <c r="C1297" s="2" t="s">
        <v>855</v>
      </c>
      <c r="D1297" s="31">
        <f t="shared" si="49"/>
        <v>0.21895793355359577</v>
      </c>
      <c r="F1297" s="2" t="s">
        <v>822</v>
      </c>
      <c r="G1297" s="23" t="s">
        <v>902</v>
      </c>
      <c r="H1297" s="2" t="s">
        <v>822</v>
      </c>
      <c r="J1297" s="31">
        <v>59.090999600000004</v>
      </c>
      <c r="K1297" s="31">
        <v>20.276199299999998</v>
      </c>
      <c r="L1297" s="31"/>
      <c r="M1297" s="31" t="s">
        <v>854</v>
      </c>
      <c r="N1297" s="6" t="s">
        <v>856</v>
      </c>
    </row>
    <row r="1298" spans="1:14" ht="15" customHeight="1" x14ac:dyDescent="0.2">
      <c r="A1298" s="31">
        <v>1.116932862357453</v>
      </c>
      <c r="B1298" s="31"/>
      <c r="C1298" s="2" t="s">
        <v>855</v>
      </c>
      <c r="D1298" s="31">
        <f t="shared" si="49"/>
        <v>0.2189188410220608</v>
      </c>
      <c r="F1298" s="2" t="s">
        <v>822</v>
      </c>
      <c r="G1298" s="23" t="s">
        <v>902</v>
      </c>
      <c r="H1298" s="2" t="s">
        <v>822</v>
      </c>
      <c r="J1298" s="31">
        <v>32.720001199999999</v>
      </c>
      <c r="K1298" s="31">
        <v>-18.511999100000001</v>
      </c>
      <c r="L1298" s="31"/>
      <c r="M1298" s="31" t="s">
        <v>854</v>
      </c>
      <c r="N1298" s="6" t="s">
        <v>856</v>
      </c>
    </row>
    <row r="1299" spans="1:14" ht="15" customHeight="1" x14ac:dyDescent="0.2">
      <c r="A1299" s="31">
        <v>1.116526299968541</v>
      </c>
      <c r="B1299" s="31"/>
      <c r="C1299" s="2" t="s">
        <v>855</v>
      </c>
      <c r="D1299" s="31">
        <f t="shared" si="49"/>
        <v>0.21883915479383406</v>
      </c>
      <c r="F1299" s="2" t="s">
        <v>822</v>
      </c>
      <c r="G1299" s="23" t="s">
        <v>902</v>
      </c>
      <c r="H1299" s="2" t="s">
        <v>822</v>
      </c>
      <c r="J1299" s="31">
        <v>40.316600800000003</v>
      </c>
      <c r="K1299" s="31">
        <v>-19.8761005</v>
      </c>
      <c r="L1299" s="31"/>
      <c r="M1299" s="31" t="s">
        <v>854</v>
      </c>
      <c r="N1299" s="6" t="s">
        <v>856</v>
      </c>
    </row>
    <row r="1300" spans="1:14" ht="15" customHeight="1" x14ac:dyDescent="0.2">
      <c r="A1300" s="31">
        <v>1.1163907569916249</v>
      </c>
      <c r="B1300" s="31"/>
      <c r="C1300" s="2" t="s">
        <v>855</v>
      </c>
      <c r="D1300" s="31">
        <f t="shared" si="49"/>
        <v>0.2188125883703585</v>
      </c>
      <c r="F1300" s="2" t="s">
        <v>822</v>
      </c>
      <c r="G1300" s="23" t="s">
        <v>902</v>
      </c>
      <c r="H1300" s="2" t="s">
        <v>822</v>
      </c>
      <c r="J1300" s="31">
        <v>39.769199399999998</v>
      </c>
      <c r="K1300" s="31">
        <v>2.5094299000000002</v>
      </c>
      <c r="L1300" s="31"/>
      <c r="M1300" s="31" t="s">
        <v>854</v>
      </c>
      <c r="N1300" s="6" t="s">
        <v>856</v>
      </c>
    </row>
    <row r="1301" spans="1:14" ht="15" customHeight="1" x14ac:dyDescent="0.2">
      <c r="A1301" s="31">
        <v>1.1163720553484671</v>
      </c>
      <c r="B1301" s="31"/>
      <c r="C1301" s="2" t="s">
        <v>855</v>
      </c>
      <c r="D1301" s="31">
        <f t="shared" si="49"/>
        <v>0.21880892284829956</v>
      </c>
      <c r="F1301" s="2" t="s">
        <v>822</v>
      </c>
      <c r="G1301" s="23" t="s">
        <v>902</v>
      </c>
      <c r="H1301" s="2" t="s">
        <v>822</v>
      </c>
      <c r="J1301" s="31">
        <v>34.724399599999998</v>
      </c>
      <c r="K1301" s="31">
        <v>28.914199799999999</v>
      </c>
      <c r="L1301" s="31"/>
      <c r="M1301" s="31" t="s">
        <v>854</v>
      </c>
      <c r="N1301" s="6" t="s">
        <v>856</v>
      </c>
    </row>
    <row r="1302" spans="1:14" ht="15" customHeight="1" x14ac:dyDescent="0.2">
      <c r="A1302" s="31">
        <v>1.1161425636622919</v>
      </c>
      <c r="B1302" s="31"/>
      <c r="C1302" s="2" t="s">
        <v>855</v>
      </c>
      <c r="D1302" s="31">
        <f t="shared" si="49"/>
        <v>0.21876394247780923</v>
      </c>
      <c r="F1302" s="2" t="s">
        <v>822</v>
      </c>
      <c r="G1302" s="23" t="s">
        <v>902</v>
      </c>
      <c r="H1302" s="2" t="s">
        <v>822</v>
      </c>
      <c r="J1302" s="31">
        <v>41.9872017</v>
      </c>
      <c r="K1302" s="31">
        <v>6.9840898999999999</v>
      </c>
      <c r="L1302" s="31"/>
      <c r="M1302" s="31" t="s">
        <v>854</v>
      </c>
      <c r="N1302" s="6" t="s">
        <v>856</v>
      </c>
    </row>
    <row r="1303" spans="1:14" ht="15" customHeight="1" x14ac:dyDescent="0.2">
      <c r="A1303" s="31">
        <v>1.1147372454755691</v>
      </c>
      <c r="B1303" s="31"/>
      <c r="C1303" s="2" t="s">
        <v>855</v>
      </c>
      <c r="D1303" s="31">
        <f t="shared" si="49"/>
        <v>0.21848850011321155</v>
      </c>
      <c r="F1303" s="2" t="s">
        <v>822</v>
      </c>
      <c r="G1303" s="23" t="s">
        <v>902</v>
      </c>
      <c r="H1303" s="2" t="s">
        <v>822</v>
      </c>
      <c r="J1303" s="31">
        <v>42.282299000000002</v>
      </c>
      <c r="K1303" s="31">
        <v>4.3614202000000004</v>
      </c>
      <c r="L1303" s="31"/>
      <c r="M1303" s="31" t="s">
        <v>854</v>
      </c>
      <c r="N1303" s="6" t="s">
        <v>856</v>
      </c>
    </row>
    <row r="1304" spans="1:14" ht="15" customHeight="1" x14ac:dyDescent="0.2">
      <c r="A1304" s="31">
        <v>1.1144765343958161</v>
      </c>
      <c r="B1304" s="31"/>
      <c r="C1304" s="2" t="s">
        <v>855</v>
      </c>
      <c r="D1304" s="31">
        <f t="shared" si="49"/>
        <v>0.21843740074157997</v>
      </c>
      <c r="F1304" s="2" t="s">
        <v>822</v>
      </c>
      <c r="G1304" s="23" t="s">
        <v>902</v>
      </c>
      <c r="H1304" s="2" t="s">
        <v>822</v>
      </c>
      <c r="J1304" s="31">
        <v>39.400001500000002</v>
      </c>
      <c r="K1304" s="31">
        <v>-35.880001100000001</v>
      </c>
      <c r="L1304" s="31"/>
      <c r="M1304" s="31" t="s">
        <v>854</v>
      </c>
      <c r="N1304" s="6" t="s">
        <v>856</v>
      </c>
    </row>
    <row r="1305" spans="1:14" ht="15" customHeight="1" x14ac:dyDescent="0.2">
      <c r="A1305" s="31">
        <v>1.1143544784969279</v>
      </c>
      <c r="B1305" s="31"/>
      <c r="C1305" s="2" t="s">
        <v>855</v>
      </c>
      <c r="D1305" s="31">
        <f t="shared" si="49"/>
        <v>0.21841347778539788</v>
      </c>
      <c r="F1305" s="2" t="s">
        <v>822</v>
      </c>
      <c r="G1305" s="23" t="s">
        <v>902</v>
      </c>
      <c r="H1305" s="2" t="s">
        <v>822</v>
      </c>
      <c r="J1305" s="31">
        <v>34.087898299999999</v>
      </c>
      <c r="K1305" s="31">
        <v>10.973099700000001</v>
      </c>
      <c r="L1305" s="31"/>
      <c r="M1305" s="31" t="s">
        <v>854</v>
      </c>
      <c r="N1305" s="6" t="s">
        <v>856</v>
      </c>
    </row>
    <row r="1306" spans="1:14" ht="15" customHeight="1" x14ac:dyDescent="0.2">
      <c r="A1306" s="31">
        <v>1.1136933512886369</v>
      </c>
      <c r="B1306" s="31"/>
      <c r="C1306" s="2" t="s">
        <v>855</v>
      </c>
      <c r="D1306" s="31">
        <f t="shared" si="49"/>
        <v>0.21828389685257285</v>
      </c>
      <c r="F1306" s="2" t="s">
        <v>822</v>
      </c>
      <c r="G1306" s="23" t="s">
        <v>902</v>
      </c>
      <c r="H1306" s="2" t="s">
        <v>822</v>
      </c>
      <c r="J1306" s="31">
        <v>42.538600899999999</v>
      </c>
      <c r="K1306" s="31">
        <v>8.7076101000000001</v>
      </c>
      <c r="L1306" s="31"/>
      <c r="M1306" s="31" t="s">
        <v>854</v>
      </c>
      <c r="N1306" s="6" t="s">
        <v>856</v>
      </c>
    </row>
    <row r="1307" spans="1:14" ht="15" customHeight="1" x14ac:dyDescent="0.2">
      <c r="A1307" s="31">
        <v>1.113660836793585</v>
      </c>
      <c r="B1307" s="31"/>
      <c r="C1307" s="2" t="s">
        <v>855</v>
      </c>
      <c r="D1307" s="31">
        <f t="shared" si="49"/>
        <v>0.21827752401154266</v>
      </c>
      <c r="F1307" s="2" t="s">
        <v>822</v>
      </c>
      <c r="G1307" s="23" t="s">
        <v>902</v>
      </c>
      <c r="H1307" s="2" t="s">
        <v>822</v>
      </c>
      <c r="J1307" s="31">
        <v>35.588901499999999</v>
      </c>
      <c r="K1307" s="31">
        <v>31.1056004</v>
      </c>
      <c r="L1307" s="31"/>
      <c r="M1307" s="31" t="s">
        <v>854</v>
      </c>
      <c r="N1307" s="6" t="s">
        <v>856</v>
      </c>
    </row>
    <row r="1308" spans="1:14" ht="15" customHeight="1" x14ac:dyDescent="0.2">
      <c r="A1308" s="31">
        <v>1.113161807851399</v>
      </c>
      <c r="B1308" s="31"/>
      <c r="C1308" s="2" t="s">
        <v>855</v>
      </c>
      <c r="D1308" s="31">
        <f t="shared" si="49"/>
        <v>0.2181797143388742</v>
      </c>
      <c r="F1308" s="2" t="s">
        <v>822</v>
      </c>
      <c r="G1308" s="23" t="s">
        <v>902</v>
      </c>
      <c r="H1308" s="2" t="s">
        <v>822</v>
      </c>
      <c r="J1308" s="31">
        <v>31.048200600000001</v>
      </c>
      <c r="K1308" s="31">
        <v>32.835800200000001</v>
      </c>
      <c r="L1308" s="31"/>
      <c r="M1308" s="31" t="s">
        <v>854</v>
      </c>
      <c r="N1308" s="6" t="s">
        <v>856</v>
      </c>
    </row>
    <row r="1309" spans="1:14" ht="15" customHeight="1" x14ac:dyDescent="0.2">
      <c r="A1309" s="31">
        <v>1.1125888156853549</v>
      </c>
      <c r="B1309" s="31"/>
      <c r="C1309" s="2" t="s">
        <v>855</v>
      </c>
      <c r="D1309" s="31">
        <f t="shared" si="49"/>
        <v>0.21806740787432957</v>
      </c>
      <c r="F1309" s="2" t="s">
        <v>822</v>
      </c>
      <c r="G1309" s="23" t="s">
        <v>902</v>
      </c>
      <c r="H1309" s="2" t="s">
        <v>822</v>
      </c>
      <c r="J1309" s="31">
        <v>41.398700699999999</v>
      </c>
      <c r="K1309" s="31">
        <v>-26.542900100000001</v>
      </c>
      <c r="L1309" s="31"/>
      <c r="M1309" s="31" t="s">
        <v>854</v>
      </c>
      <c r="N1309" s="6" t="s">
        <v>856</v>
      </c>
    </row>
    <row r="1310" spans="1:14" ht="15" customHeight="1" x14ac:dyDescent="0.2">
      <c r="A1310" s="31">
        <v>1.112554062002088</v>
      </c>
      <c r="B1310" s="31"/>
      <c r="C1310" s="2" t="s">
        <v>855</v>
      </c>
      <c r="D1310" s="31">
        <f t="shared" si="49"/>
        <v>0.21806059615240925</v>
      </c>
      <c r="F1310" s="2" t="s">
        <v>822</v>
      </c>
      <c r="G1310" s="23" t="s">
        <v>902</v>
      </c>
      <c r="H1310" s="2" t="s">
        <v>822</v>
      </c>
      <c r="J1310" s="31">
        <v>31.8449001</v>
      </c>
      <c r="K1310" s="31">
        <v>30.773399399999999</v>
      </c>
      <c r="L1310" s="31"/>
      <c r="M1310" s="31" t="s">
        <v>854</v>
      </c>
      <c r="N1310" s="6" t="s">
        <v>856</v>
      </c>
    </row>
    <row r="1311" spans="1:14" ht="15" customHeight="1" x14ac:dyDescent="0.2">
      <c r="A1311" s="31">
        <v>1.112352628515118</v>
      </c>
      <c r="B1311" s="31"/>
      <c r="C1311" s="2" t="s">
        <v>855</v>
      </c>
      <c r="D1311" s="31">
        <f t="shared" si="49"/>
        <v>0.21802111518896314</v>
      </c>
      <c r="F1311" s="2" t="s">
        <v>822</v>
      </c>
      <c r="G1311" s="23" t="s">
        <v>902</v>
      </c>
      <c r="H1311" s="2" t="s">
        <v>822</v>
      </c>
      <c r="J1311" s="31">
        <v>25.750499699999999</v>
      </c>
      <c r="K1311" s="31">
        <v>-16.859399799999998</v>
      </c>
      <c r="L1311" s="31"/>
      <c r="M1311" s="31" t="s">
        <v>854</v>
      </c>
      <c r="N1311" s="6" t="s">
        <v>856</v>
      </c>
    </row>
    <row r="1312" spans="1:14" ht="15" customHeight="1" x14ac:dyDescent="0.2">
      <c r="A1312" s="31">
        <v>1.111402664118758</v>
      </c>
      <c r="B1312" s="31"/>
      <c r="C1312" s="2" t="s">
        <v>855</v>
      </c>
      <c r="D1312" s="31">
        <f t="shared" si="49"/>
        <v>0.21783492216727657</v>
      </c>
      <c r="F1312" s="2" t="s">
        <v>822</v>
      </c>
      <c r="G1312" s="23" t="s">
        <v>902</v>
      </c>
      <c r="H1312" s="2" t="s">
        <v>822</v>
      </c>
      <c r="J1312" s="31">
        <v>37.494899699999998</v>
      </c>
      <c r="K1312" s="31">
        <v>-33.903400400000002</v>
      </c>
      <c r="L1312" s="31"/>
      <c r="M1312" s="31" t="s">
        <v>854</v>
      </c>
      <c r="N1312" s="6" t="s">
        <v>856</v>
      </c>
    </row>
    <row r="1313" spans="1:14" ht="15" customHeight="1" x14ac:dyDescent="0.2">
      <c r="A1313" s="31">
        <v>1.111219220025113</v>
      </c>
      <c r="B1313" s="31"/>
      <c r="C1313" s="2" t="s">
        <v>855</v>
      </c>
      <c r="D1313" s="31">
        <f t="shared" si="49"/>
        <v>0.21779896712492214</v>
      </c>
      <c r="F1313" s="2" t="s">
        <v>822</v>
      </c>
      <c r="G1313" s="23" t="s">
        <v>902</v>
      </c>
      <c r="H1313" s="2" t="s">
        <v>822</v>
      </c>
      <c r="J1313" s="31">
        <v>38.499801599999998</v>
      </c>
      <c r="K1313" s="31">
        <v>1.3650800000000001</v>
      </c>
      <c r="L1313" s="31"/>
      <c r="M1313" s="31" t="s">
        <v>854</v>
      </c>
      <c r="N1313" s="6" t="s">
        <v>856</v>
      </c>
    </row>
    <row r="1314" spans="1:14" ht="15" customHeight="1" x14ac:dyDescent="0.2">
      <c r="A1314" s="31">
        <v>1.1111698334119571</v>
      </c>
      <c r="B1314" s="31"/>
      <c r="C1314" s="2" t="s">
        <v>855</v>
      </c>
      <c r="D1314" s="31">
        <f t="shared" si="49"/>
        <v>0.21778928734874359</v>
      </c>
      <c r="F1314" s="2" t="s">
        <v>822</v>
      </c>
      <c r="G1314" s="23" t="s">
        <v>902</v>
      </c>
      <c r="H1314" s="2" t="s">
        <v>822</v>
      </c>
      <c r="J1314" s="31">
        <v>40.085300400000001</v>
      </c>
      <c r="K1314" s="31">
        <v>4.8867697999999997</v>
      </c>
      <c r="L1314" s="31"/>
      <c r="M1314" s="31" t="s">
        <v>854</v>
      </c>
      <c r="N1314" s="6" t="s">
        <v>856</v>
      </c>
    </row>
    <row r="1315" spans="1:14" ht="15" customHeight="1" x14ac:dyDescent="0.2">
      <c r="A1315" s="31">
        <v>1.1111644112109349</v>
      </c>
      <c r="B1315" s="31"/>
      <c r="C1315" s="2" t="s">
        <v>855</v>
      </c>
      <c r="D1315" s="31">
        <f t="shared" si="49"/>
        <v>0.21778822459734326</v>
      </c>
      <c r="F1315" s="2" t="s">
        <v>822</v>
      </c>
      <c r="G1315" s="23" t="s">
        <v>902</v>
      </c>
      <c r="H1315" s="2" t="s">
        <v>822</v>
      </c>
      <c r="J1315" s="31">
        <v>35.353801699999998</v>
      </c>
      <c r="K1315" s="31">
        <v>-37.920799299999999</v>
      </c>
      <c r="L1315" s="31"/>
      <c r="M1315" s="31" t="s">
        <v>854</v>
      </c>
      <c r="N1315" s="6" t="s">
        <v>856</v>
      </c>
    </row>
    <row r="1316" spans="1:14" ht="15" customHeight="1" x14ac:dyDescent="0.2">
      <c r="A1316" s="31">
        <v>1.111108503158692</v>
      </c>
      <c r="B1316" s="31"/>
      <c r="C1316" s="2" t="s">
        <v>855</v>
      </c>
      <c r="D1316" s="31">
        <f t="shared" si="49"/>
        <v>0.21777726661910365</v>
      </c>
      <c r="F1316" s="2" t="s">
        <v>822</v>
      </c>
      <c r="G1316" s="23" t="s">
        <v>902</v>
      </c>
      <c r="H1316" s="2" t="s">
        <v>822</v>
      </c>
      <c r="J1316" s="31">
        <v>42.096198999999999</v>
      </c>
      <c r="K1316" s="31">
        <v>8.0687903999999993</v>
      </c>
      <c r="L1316" s="31"/>
      <c r="M1316" s="31" t="s">
        <v>854</v>
      </c>
      <c r="N1316" s="6" t="s">
        <v>856</v>
      </c>
    </row>
    <row r="1317" spans="1:14" ht="15" customHeight="1" x14ac:dyDescent="0.2">
      <c r="A1317" s="31">
        <v>1.1109320753876071</v>
      </c>
      <c r="B1317" s="31"/>
      <c r="C1317" s="2" t="s">
        <v>855</v>
      </c>
      <c r="D1317" s="31">
        <f t="shared" si="49"/>
        <v>0.217742686775971</v>
      </c>
      <c r="F1317" s="2" t="s">
        <v>822</v>
      </c>
      <c r="G1317" s="23" t="s">
        <v>902</v>
      </c>
      <c r="H1317" s="2" t="s">
        <v>822</v>
      </c>
      <c r="J1317" s="31">
        <v>36.728000600000001</v>
      </c>
      <c r="K1317" s="31">
        <v>-13.1680002</v>
      </c>
      <c r="L1317" s="31"/>
      <c r="M1317" s="31" t="s">
        <v>854</v>
      </c>
      <c r="N1317" s="6" t="s">
        <v>856</v>
      </c>
    </row>
    <row r="1318" spans="1:14" ht="15" customHeight="1" x14ac:dyDescent="0.2">
      <c r="A1318" s="31">
        <v>1.108782696888112</v>
      </c>
      <c r="B1318" s="31"/>
      <c r="C1318" s="2" t="s">
        <v>855</v>
      </c>
      <c r="D1318" s="31">
        <f t="shared" si="49"/>
        <v>0.21732140859006996</v>
      </c>
      <c r="F1318" s="2" t="s">
        <v>822</v>
      </c>
      <c r="G1318" s="23" t="s">
        <v>902</v>
      </c>
      <c r="H1318" s="2" t="s">
        <v>822</v>
      </c>
      <c r="J1318" s="31">
        <v>35.425998700000001</v>
      </c>
      <c r="K1318" s="31">
        <v>33.406799300000003</v>
      </c>
      <c r="L1318" s="31"/>
      <c r="M1318" s="31" t="s">
        <v>854</v>
      </c>
      <c r="N1318" s="6" t="s">
        <v>856</v>
      </c>
    </row>
    <row r="1319" spans="1:14" ht="15" customHeight="1" x14ac:dyDescent="0.2">
      <c r="A1319" s="31">
        <v>1.1084037954709689</v>
      </c>
      <c r="B1319" s="31"/>
      <c r="C1319" s="2" t="s">
        <v>855</v>
      </c>
      <c r="D1319" s="31">
        <f t="shared" si="49"/>
        <v>0.21724714391230993</v>
      </c>
      <c r="F1319" s="2" t="s">
        <v>822</v>
      </c>
      <c r="G1319" s="23" t="s">
        <v>902</v>
      </c>
      <c r="H1319" s="2" t="s">
        <v>822</v>
      </c>
      <c r="J1319" s="31">
        <v>29.786100399999999</v>
      </c>
      <c r="K1319" s="31">
        <v>48.062698400000002</v>
      </c>
      <c r="L1319" s="31"/>
      <c r="M1319" s="31" t="s">
        <v>854</v>
      </c>
      <c r="N1319" s="6" t="s">
        <v>856</v>
      </c>
    </row>
    <row r="1320" spans="1:14" ht="15" customHeight="1" x14ac:dyDescent="0.2">
      <c r="A1320" s="31">
        <v>1.1082781282451011</v>
      </c>
      <c r="B1320" s="31"/>
      <c r="C1320" s="2" t="s">
        <v>855</v>
      </c>
      <c r="D1320" s="31">
        <f t="shared" si="49"/>
        <v>0.21722251313603982</v>
      </c>
      <c r="F1320" s="2" t="s">
        <v>822</v>
      </c>
      <c r="G1320" s="23" t="s">
        <v>902</v>
      </c>
      <c r="H1320" s="2" t="s">
        <v>822</v>
      </c>
      <c r="J1320" s="31">
        <v>38.649898499999999</v>
      </c>
      <c r="K1320" s="31">
        <v>-39.141498599999998</v>
      </c>
      <c r="L1320" s="31"/>
      <c r="M1320" s="31" t="s">
        <v>854</v>
      </c>
      <c r="N1320" s="6" t="s">
        <v>856</v>
      </c>
    </row>
    <row r="1321" spans="1:14" ht="15" customHeight="1" x14ac:dyDescent="0.2">
      <c r="A1321" s="31">
        <v>1.1070564019461051</v>
      </c>
      <c r="B1321" s="31"/>
      <c r="C1321" s="2" t="s">
        <v>855</v>
      </c>
      <c r="D1321" s="31">
        <f t="shared" si="49"/>
        <v>0.21698305478143662</v>
      </c>
      <c r="F1321" s="2" t="s">
        <v>822</v>
      </c>
      <c r="G1321" s="23" t="s">
        <v>902</v>
      </c>
      <c r="H1321" s="2" t="s">
        <v>822</v>
      </c>
      <c r="J1321" s="31">
        <v>36.029598200000002</v>
      </c>
      <c r="K1321" s="31">
        <v>-8.6837797000000005</v>
      </c>
      <c r="L1321" s="31"/>
      <c r="M1321" s="31" t="s">
        <v>854</v>
      </c>
      <c r="N1321" s="6" t="s">
        <v>856</v>
      </c>
    </row>
    <row r="1322" spans="1:14" ht="15" customHeight="1" x14ac:dyDescent="0.2">
      <c r="A1322" s="31">
        <v>1.106839308174691</v>
      </c>
      <c r="B1322" s="31"/>
      <c r="C1322" s="2" t="s">
        <v>855</v>
      </c>
      <c r="D1322" s="31">
        <f t="shared" si="49"/>
        <v>0.21694050440223944</v>
      </c>
      <c r="F1322" s="2" t="s">
        <v>822</v>
      </c>
      <c r="G1322" s="23" t="s">
        <v>902</v>
      </c>
      <c r="H1322" s="2" t="s">
        <v>822</v>
      </c>
      <c r="J1322" s="31">
        <v>38.956901600000002</v>
      </c>
      <c r="K1322" s="31">
        <v>-34.597499800000001</v>
      </c>
      <c r="L1322" s="31"/>
      <c r="M1322" s="31" t="s">
        <v>854</v>
      </c>
      <c r="N1322" s="6" t="s">
        <v>856</v>
      </c>
    </row>
    <row r="1323" spans="1:14" ht="15" customHeight="1" x14ac:dyDescent="0.2">
      <c r="A1323" s="31">
        <v>1.106513572125821</v>
      </c>
      <c r="B1323" s="31"/>
      <c r="C1323" s="2" t="s">
        <v>855</v>
      </c>
      <c r="D1323" s="31">
        <f t="shared" si="49"/>
        <v>0.21687666013666093</v>
      </c>
      <c r="F1323" s="2" t="s">
        <v>822</v>
      </c>
      <c r="G1323" s="23" t="s">
        <v>902</v>
      </c>
      <c r="H1323" s="2" t="s">
        <v>822</v>
      </c>
      <c r="J1323" s="31">
        <v>25.554599799999998</v>
      </c>
      <c r="K1323" s="31">
        <v>-20.516000699999999</v>
      </c>
      <c r="L1323" s="31"/>
      <c r="M1323" s="31" t="s">
        <v>854</v>
      </c>
      <c r="N1323" s="6" t="s">
        <v>856</v>
      </c>
    </row>
    <row r="1324" spans="1:14" ht="15" customHeight="1" x14ac:dyDescent="0.2">
      <c r="A1324" s="31">
        <v>1.105569606185274</v>
      </c>
      <c r="B1324" s="31"/>
      <c r="C1324" s="2" t="s">
        <v>855</v>
      </c>
      <c r="D1324" s="31">
        <f t="shared" si="49"/>
        <v>0.21669164281231371</v>
      </c>
      <c r="F1324" s="2" t="s">
        <v>822</v>
      </c>
      <c r="G1324" s="23" t="s">
        <v>902</v>
      </c>
      <c r="H1324" s="2" t="s">
        <v>822</v>
      </c>
      <c r="J1324" s="31">
        <v>39.856498700000003</v>
      </c>
      <c r="K1324" s="31">
        <v>-13.806300200000001</v>
      </c>
      <c r="L1324" s="31"/>
      <c r="M1324" s="31" t="s">
        <v>854</v>
      </c>
      <c r="N1324" s="6" t="s">
        <v>856</v>
      </c>
    </row>
    <row r="1325" spans="1:14" ht="15" customHeight="1" x14ac:dyDescent="0.2">
      <c r="A1325" s="31">
        <v>1.105536366856263</v>
      </c>
      <c r="B1325" s="31"/>
      <c r="C1325" s="2" t="s">
        <v>855</v>
      </c>
      <c r="D1325" s="31">
        <f t="shared" si="49"/>
        <v>0.21668512790382755</v>
      </c>
      <c r="F1325" s="2" t="s">
        <v>822</v>
      </c>
      <c r="G1325" s="23" t="s">
        <v>902</v>
      </c>
      <c r="H1325" s="2" t="s">
        <v>822</v>
      </c>
      <c r="J1325" s="31">
        <v>41.966701499999999</v>
      </c>
      <c r="K1325" s="31">
        <v>-20.352500899999999</v>
      </c>
      <c r="L1325" s="31"/>
      <c r="M1325" s="31" t="s">
        <v>854</v>
      </c>
      <c r="N1325" s="6" t="s">
        <v>856</v>
      </c>
    </row>
    <row r="1326" spans="1:14" ht="15" customHeight="1" x14ac:dyDescent="0.2">
      <c r="A1326" s="31">
        <v>1.1050258991617881</v>
      </c>
      <c r="B1326" s="31"/>
      <c r="C1326" s="2" t="s">
        <v>855</v>
      </c>
      <c r="D1326" s="31">
        <f t="shared" si="49"/>
        <v>0.21658507623571047</v>
      </c>
      <c r="F1326" s="2" t="s">
        <v>822</v>
      </c>
      <c r="G1326" s="23" t="s">
        <v>902</v>
      </c>
      <c r="H1326" s="2" t="s">
        <v>822</v>
      </c>
      <c r="J1326" s="31">
        <v>25.4925003</v>
      </c>
      <c r="K1326" s="31">
        <v>54.097400700000001</v>
      </c>
      <c r="L1326" s="31"/>
      <c r="M1326" s="31" t="s">
        <v>854</v>
      </c>
      <c r="N1326" s="6" t="s">
        <v>856</v>
      </c>
    </row>
    <row r="1327" spans="1:14" ht="15" customHeight="1" x14ac:dyDescent="0.2">
      <c r="A1327" s="31">
        <v>1.1048639265371569</v>
      </c>
      <c r="B1327" s="31"/>
      <c r="C1327" s="2" t="s">
        <v>855</v>
      </c>
      <c r="D1327" s="31">
        <f t="shared" si="49"/>
        <v>0.21655332960128276</v>
      </c>
      <c r="F1327" s="2" t="s">
        <v>822</v>
      </c>
      <c r="G1327" s="23" t="s">
        <v>902</v>
      </c>
      <c r="H1327" s="2" t="s">
        <v>822</v>
      </c>
      <c r="J1327" s="31">
        <v>28.711999899999999</v>
      </c>
      <c r="K1327" s="31">
        <v>-23.856000900000002</v>
      </c>
      <c r="L1327" s="31"/>
      <c r="M1327" s="31" t="s">
        <v>854</v>
      </c>
      <c r="N1327" s="6" t="s">
        <v>856</v>
      </c>
    </row>
    <row r="1328" spans="1:14" ht="15" customHeight="1" x14ac:dyDescent="0.2">
      <c r="A1328" s="31">
        <v>1.1039844242014361</v>
      </c>
      <c r="B1328" s="31"/>
      <c r="C1328" s="2" t="s">
        <v>855</v>
      </c>
      <c r="D1328" s="31">
        <f t="shared" si="49"/>
        <v>0.21638094714348147</v>
      </c>
      <c r="F1328" s="2" t="s">
        <v>822</v>
      </c>
      <c r="G1328" s="23" t="s">
        <v>902</v>
      </c>
      <c r="H1328" s="2" t="s">
        <v>822</v>
      </c>
      <c r="J1328" s="31">
        <v>36.997501399999997</v>
      </c>
      <c r="K1328" s="31">
        <v>17.2586002</v>
      </c>
      <c r="L1328" s="31"/>
      <c r="M1328" s="31" t="s">
        <v>854</v>
      </c>
      <c r="N1328" s="6" t="s">
        <v>856</v>
      </c>
    </row>
    <row r="1329" spans="1:14" ht="15" customHeight="1" x14ac:dyDescent="0.2">
      <c r="A1329" s="31">
        <v>1.1036447286557429</v>
      </c>
      <c r="B1329" s="31"/>
      <c r="C1329" s="2" t="s">
        <v>855</v>
      </c>
      <c r="D1329" s="31">
        <f t="shared" si="49"/>
        <v>0.21631436681652563</v>
      </c>
      <c r="F1329" s="2" t="s">
        <v>822</v>
      </c>
      <c r="G1329" s="23" t="s">
        <v>902</v>
      </c>
      <c r="H1329" s="2" t="s">
        <v>822</v>
      </c>
      <c r="J1329" s="31">
        <v>32.056198100000003</v>
      </c>
      <c r="K1329" s="31">
        <v>-12.4933996</v>
      </c>
      <c r="L1329" s="31"/>
      <c r="M1329" s="31" t="s">
        <v>854</v>
      </c>
      <c r="N1329" s="6" t="s">
        <v>856</v>
      </c>
    </row>
    <row r="1330" spans="1:14" ht="15" customHeight="1" x14ac:dyDescent="0.2">
      <c r="A1330" s="22">
        <v>0.21615322110037322</v>
      </c>
      <c r="B1330" s="22"/>
      <c r="C1330" s="2" t="s">
        <v>891</v>
      </c>
      <c r="D1330" s="2">
        <f>A1330</f>
        <v>0.21615322110037322</v>
      </c>
      <c r="F1330" s="2">
        <v>2023</v>
      </c>
      <c r="G1330" s="23" t="s">
        <v>902</v>
      </c>
      <c r="H1330" s="2" t="s">
        <v>769</v>
      </c>
      <c r="I1330" s="23" t="s">
        <v>189</v>
      </c>
      <c r="J1330" s="23">
        <v>58232256</v>
      </c>
      <c r="K1330" s="23">
        <v>11848790</v>
      </c>
      <c r="L1330" s="23" t="s">
        <v>819</v>
      </c>
      <c r="M1330" s="2" t="s">
        <v>825</v>
      </c>
      <c r="N1330" s="6" t="s">
        <v>828</v>
      </c>
    </row>
    <row r="1331" spans="1:14" ht="15" customHeight="1" x14ac:dyDescent="0.2">
      <c r="A1331" s="31">
        <v>1.1026903423412311</v>
      </c>
      <c r="B1331" s="31"/>
      <c r="C1331" s="2" t="s">
        <v>855</v>
      </c>
      <c r="D1331" s="31">
        <f t="shared" ref="D1331:D1362" si="50" xml:space="preserve"> A1331 * 0.196</f>
        <v>0.21612730709888131</v>
      </c>
      <c r="F1331" s="2" t="s">
        <v>822</v>
      </c>
      <c r="G1331" s="23" t="s">
        <v>902</v>
      </c>
      <c r="H1331" s="2" t="s">
        <v>822</v>
      </c>
      <c r="J1331" s="31">
        <v>27.806299200000002</v>
      </c>
      <c r="K1331" s="31">
        <v>49.406200400000003</v>
      </c>
      <c r="L1331" s="31"/>
      <c r="M1331" s="31" t="s">
        <v>854</v>
      </c>
      <c r="N1331" s="6" t="s">
        <v>856</v>
      </c>
    </row>
    <row r="1332" spans="1:14" ht="15" customHeight="1" x14ac:dyDescent="0.2">
      <c r="A1332" s="31">
        <v>1.102372031396279</v>
      </c>
      <c r="B1332" s="31"/>
      <c r="C1332" s="2" t="s">
        <v>855</v>
      </c>
      <c r="D1332" s="31">
        <f t="shared" si="50"/>
        <v>0.21606491815367071</v>
      </c>
      <c r="F1332" s="2" t="s">
        <v>822</v>
      </c>
      <c r="G1332" s="23" t="s">
        <v>902</v>
      </c>
      <c r="H1332" s="2" t="s">
        <v>822</v>
      </c>
      <c r="J1332" s="31">
        <v>41.820598599999997</v>
      </c>
      <c r="K1332" s="31">
        <v>6.0538401999999998</v>
      </c>
      <c r="L1332" s="31"/>
      <c r="M1332" s="31" t="s">
        <v>854</v>
      </c>
      <c r="N1332" s="6" t="s">
        <v>856</v>
      </c>
    </row>
    <row r="1333" spans="1:14" ht="15" customHeight="1" x14ac:dyDescent="0.2">
      <c r="A1333" s="31">
        <v>1.1022078144570211</v>
      </c>
      <c r="B1333" s="31"/>
      <c r="C1333" s="2" t="s">
        <v>855</v>
      </c>
      <c r="D1333" s="31">
        <f t="shared" si="50"/>
        <v>0.21603273163357614</v>
      </c>
      <c r="F1333" s="2" t="s">
        <v>822</v>
      </c>
      <c r="G1333" s="23" t="s">
        <v>902</v>
      </c>
      <c r="H1333" s="2" t="s">
        <v>822</v>
      </c>
      <c r="J1333" s="31">
        <v>32.935798599999998</v>
      </c>
      <c r="K1333" s="31">
        <v>22.409900700000001</v>
      </c>
      <c r="L1333" s="31"/>
      <c r="M1333" s="31" t="s">
        <v>854</v>
      </c>
      <c r="N1333" s="6" t="s">
        <v>856</v>
      </c>
    </row>
    <row r="1334" spans="1:14" ht="15" customHeight="1" x14ac:dyDescent="0.2">
      <c r="A1334" s="31">
        <v>1.102071728117842</v>
      </c>
      <c r="B1334" s="31"/>
      <c r="C1334" s="2" t="s">
        <v>855</v>
      </c>
      <c r="D1334" s="31">
        <f t="shared" si="50"/>
        <v>0.21600605871109704</v>
      </c>
      <c r="F1334" s="2" t="s">
        <v>822</v>
      </c>
      <c r="G1334" s="23" t="s">
        <v>902</v>
      </c>
      <c r="H1334" s="2" t="s">
        <v>822</v>
      </c>
      <c r="J1334" s="31">
        <v>61.356098199999998</v>
      </c>
      <c r="K1334" s="31">
        <v>18.2206993</v>
      </c>
      <c r="L1334" s="31"/>
      <c r="M1334" s="31" t="s">
        <v>854</v>
      </c>
      <c r="N1334" s="6" t="s">
        <v>856</v>
      </c>
    </row>
    <row r="1335" spans="1:14" ht="15" customHeight="1" x14ac:dyDescent="0.2">
      <c r="A1335" s="31">
        <v>1.101518621626709</v>
      </c>
      <c r="B1335" s="31"/>
      <c r="C1335" s="2" t="s">
        <v>855</v>
      </c>
      <c r="D1335" s="31">
        <f t="shared" si="50"/>
        <v>0.21589764983883497</v>
      </c>
      <c r="F1335" s="2" t="s">
        <v>822</v>
      </c>
      <c r="G1335" s="23" t="s">
        <v>902</v>
      </c>
      <c r="H1335" s="2" t="s">
        <v>822</v>
      </c>
      <c r="J1335" s="31">
        <v>57.338298799999997</v>
      </c>
      <c r="K1335" s="31">
        <v>17.279699300000001</v>
      </c>
      <c r="L1335" s="31"/>
      <c r="M1335" s="31" t="s">
        <v>854</v>
      </c>
      <c r="N1335" s="6" t="s">
        <v>856</v>
      </c>
    </row>
    <row r="1336" spans="1:14" ht="15" customHeight="1" x14ac:dyDescent="0.2">
      <c r="A1336" s="31">
        <v>1.101514848948816</v>
      </c>
      <c r="B1336" s="31"/>
      <c r="C1336" s="2" t="s">
        <v>855</v>
      </c>
      <c r="D1336" s="31">
        <f t="shared" si="50"/>
        <v>0.21589691039396794</v>
      </c>
      <c r="F1336" s="2" t="s">
        <v>822</v>
      </c>
      <c r="G1336" s="23" t="s">
        <v>902</v>
      </c>
      <c r="H1336" s="2" t="s">
        <v>822</v>
      </c>
      <c r="J1336" s="31">
        <v>38.4529991</v>
      </c>
      <c r="K1336" s="31">
        <v>-29.883499100000002</v>
      </c>
      <c r="L1336" s="31"/>
      <c r="M1336" s="31" t="s">
        <v>854</v>
      </c>
      <c r="N1336" s="6" t="s">
        <v>856</v>
      </c>
    </row>
    <row r="1337" spans="1:14" ht="15" customHeight="1" x14ac:dyDescent="0.2">
      <c r="A1337" s="31">
        <v>1.1015124809590451</v>
      </c>
      <c r="B1337" s="31"/>
      <c r="C1337" s="2" t="s">
        <v>855</v>
      </c>
      <c r="D1337" s="31">
        <f t="shared" si="50"/>
        <v>0.21589644626797286</v>
      </c>
      <c r="F1337" s="2" t="s">
        <v>822</v>
      </c>
      <c r="G1337" s="23" t="s">
        <v>902</v>
      </c>
      <c r="H1337" s="2" t="s">
        <v>822</v>
      </c>
      <c r="J1337" s="31">
        <v>37.727199599999999</v>
      </c>
      <c r="K1337" s="31">
        <v>20.9239006</v>
      </c>
      <c r="L1337" s="31"/>
      <c r="M1337" s="31" t="s">
        <v>854</v>
      </c>
      <c r="N1337" s="6" t="s">
        <v>856</v>
      </c>
    </row>
    <row r="1338" spans="1:14" ht="15" customHeight="1" x14ac:dyDescent="0.2">
      <c r="A1338" s="31">
        <v>1.101396102523545</v>
      </c>
      <c r="B1338" s="31"/>
      <c r="C1338" s="2" t="s">
        <v>855</v>
      </c>
      <c r="D1338" s="31">
        <f t="shared" si="50"/>
        <v>0.21587363609461482</v>
      </c>
      <c r="F1338" s="2" t="s">
        <v>822</v>
      </c>
      <c r="G1338" s="23" t="s">
        <v>902</v>
      </c>
      <c r="H1338" s="2" t="s">
        <v>822</v>
      </c>
      <c r="J1338" s="31">
        <v>36.071201299999998</v>
      </c>
      <c r="K1338" s="31">
        <v>27.813999200000001</v>
      </c>
      <c r="L1338" s="31"/>
      <c r="M1338" s="31" t="s">
        <v>854</v>
      </c>
      <c r="N1338" s="6" t="s">
        <v>856</v>
      </c>
    </row>
    <row r="1339" spans="1:14" ht="15" customHeight="1" x14ac:dyDescent="0.2">
      <c r="A1339" s="31">
        <v>1.1013060863732129</v>
      </c>
      <c r="B1339" s="31"/>
      <c r="C1339" s="2" t="s">
        <v>855</v>
      </c>
      <c r="D1339" s="31">
        <f t="shared" si="50"/>
        <v>0.21585599292914975</v>
      </c>
      <c r="F1339" s="2" t="s">
        <v>822</v>
      </c>
      <c r="G1339" s="23" t="s">
        <v>902</v>
      </c>
      <c r="H1339" s="2" t="s">
        <v>822</v>
      </c>
      <c r="J1339" s="31">
        <v>42.0603981</v>
      </c>
      <c r="K1339" s="31">
        <v>-40.9662018</v>
      </c>
      <c r="L1339" s="31"/>
      <c r="M1339" s="31" t="s">
        <v>854</v>
      </c>
      <c r="N1339" s="6" t="s">
        <v>856</v>
      </c>
    </row>
    <row r="1340" spans="1:14" ht="15" customHeight="1" x14ac:dyDescent="0.2">
      <c r="A1340" s="31">
        <v>1.099674125105395</v>
      </c>
      <c r="B1340" s="31"/>
      <c r="C1340" s="2" t="s">
        <v>855</v>
      </c>
      <c r="D1340" s="31">
        <f t="shared" si="50"/>
        <v>0.21553612852065743</v>
      </c>
      <c r="F1340" s="2" t="s">
        <v>822</v>
      </c>
      <c r="G1340" s="23" t="s">
        <v>902</v>
      </c>
      <c r="H1340" s="2" t="s">
        <v>822</v>
      </c>
      <c r="J1340" s="31">
        <v>32.720001199999999</v>
      </c>
      <c r="K1340" s="31">
        <v>-14.5039997</v>
      </c>
      <c r="L1340" s="31"/>
      <c r="M1340" s="31" t="s">
        <v>854</v>
      </c>
      <c r="N1340" s="6" t="s">
        <v>856</v>
      </c>
    </row>
    <row r="1341" spans="1:14" ht="15" customHeight="1" x14ac:dyDescent="0.2">
      <c r="A1341" s="31">
        <v>1.098927984194503</v>
      </c>
      <c r="B1341" s="31"/>
      <c r="C1341" s="2" t="s">
        <v>855</v>
      </c>
      <c r="D1341" s="31">
        <f t="shared" si="50"/>
        <v>0.2153898849021226</v>
      </c>
      <c r="F1341" s="2" t="s">
        <v>822</v>
      </c>
      <c r="G1341" s="23" t="s">
        <v>902</v>
      </c>
      <c r="H1341" s="2" t="s">
        <v>822</v>
      </c>
      <c r="J1341" s="31">
        <v>38.660800899999998</v>
      </c>
      <c r="K1341" s="31">
        <v>1.18492</v>
      </c>
      <c r="L1341" s="31"/>
      <c r="M1341" s="31" t="s">
        <v>854</v>
      </c>
      <c r="N1341" s="6" t="s">
        <v>856</v>
      </c>
    </row>
    <row r="1342" spans="1:14" ht="15" customHeight="1" x14ac:dyDescent="0.2">
      <c r="A1342" s="31">
        <v>1.098460690984371</v>
      </c>
      <c r="B1342" s="31"/>
      <c r="C1342" s="2" t="s">
        <v>855</v>
      </c>
      <c r="D1342" s="31">
        <f t="shared" si="50"/>
        <v>0.21529829543293674</v>
      </c>
      <c r="F1342" s="2" t="s">
        <v>822</v>
      </c>
      <c r="G1342" s="23" t="s">
        <v>902</v>
      </c>
      <c r="H1342" s="2" t="s">
        <v>822</v>
      </c>
      <c r="J1342" s="31">
        <v>34.695598599999997</v>
      </c>
      <c r="K1342" s="31">
        <v>19.0417995</v>
      </c>
      <c r="L1342" s="31"/>
      <c r="M1342" s="31" t="s">
        <v>854</v>
      </c>
      <c r="N1342" s="6" t="s">
        <v>856</v>
      </c>
    </row>
    <row r="1343" spans="1:14" ht="15" customHeight="1" x14ac:dyDescent="0.2">
      <c r="A1343" s="31">
        <v>1.0984561816583871</v>
      </c>
      <c r="B1343" s="31"/>
      <c r="C1343" s="2" t="s">
        <v>855</v>
      </c>
      <c r="D1343" s="31">
        <f t="shared" si="50"/>
        <v>0.21529741160504387</v>
      </c>
      <c r="F1343" s="2" t="s">
        <v>822</v>
      </c>
      <c r="G1343" s="23" t="s">
        <v>902</v>
      </c>
      <c r="H1343" s="2" t="s">
        <v>822</v>
      </c>
      <c r="J1343" s="31">
        <v>33.388000499999997</v>
      </c>
      <c r="K1343" s="31">
        <v>-13.1680002</v>
      </c>
      <c r="L1343" s="31"/>
      <c r="M1343" s="31" t="s">
        <v>854</v>
      </c>
      <c r="N1343" s="6" t="s">
        <v>856</v>
      </c>
    </row>
    <row r="1344" spans="1:14" ht="15" customHeight="1" x14ac:dyDescent="0.2">
      <c r="A1344" s="31">
        <v>1.0981793560703119</v>
      </c>
      <c r="B1344" s="31"/>
      <c r="C1344" s="2" t="s">
        <v>855</v>
      </c>
      <c r="D1344" s="31">
        <f t="shared" si="50"/>
        <v>0.21524315378978115</v>
      </c>
      <c r="F1344" s="2" t="s">
        <v>822</v>
      </c>
      <c r="G1344" s="23" t="s">
        <v>902</v>
      </c>
      <c r="H1344" s="2" t="s">
        <v>822</v>
      </c>
      <c r="J1344" s="31">
        <v>41.406200400000003</v>
      </c>
      <c r="K1344" s="31">
        <v>-19.821399700000001</v>
      </c>
      <c r="L1344" s="31"/>
      <c r="M1344" s="31" t="s">
        <v>854</v>
      </c>
      <c r="N1344" s="6" t="s">
        <v>856</v>
      </c>
    </row>
    <row r="1345" spans="1:14" ht="15" customHeight="1" x14ac:dyDescent="0.2">
      <c r="A1345" s="31">
        <v>1.0976072500038001</v>
      </c>
      <c r="B1345" s="31"/>
      <c r="C1345" s="2" t="s">
        <v>855</v>
      </c>
      <c r="D1345" s="31">
        <f t="shared" si="50"/>
        <v>0.21513102100074483</v>
      </c>
      <c r="F1345" s="2" t="s">
        <v>822</v>
      </c>
      <c r="G1345" s="23" t="s">
        <v>902</v>
      </c>
      <c r="H1345" s="2" t="s">
        <v>822</v>
      </c>
      <c r="J1345" s="31">
        <v>41.403999300000002</v>
      </c>
      <c r="K1345" s="31">
        <v>-10.2122002</v>
      </c>
      <c r="L1345" s="31"/>
      <c r="M1345" s="31" t="s">
        <v>854</v>
      </c>
      <c r="N1345" s="6" t="s">
        <v>856</v>
      </c>
    </row>
    <row r="1346" spans="1:14" ht="15" customHeight="1" x14ac:dyDescent="0.2">
      <c r="A1346" s="31">
        <v>1.0962454435637741</v>
      </c>
      <c r="B1346" s="31"/>
      <c r="C1346" s="2" t="s">
        <v>855</v>
      </c>
      <c r="D1346" s="31">
        <f t="shared" si="50"/>
        <v>0.21486410693849972</v>
      </c>
      <c r="F1346" s="2" t="s">
        <v>822</v>
      </c>
      <c r="G1346" s="23" t="s">
        <v>902</v>
      </c>
      <c r="H1346" s="2" t="s">
        <v>822</v>
      </c>
      <c r="J1346" s="31">
        <v>38.457099900000003</v>
      </c>
      <c r="K1346" s="31">
        <v>-21.393999099999998</v>
      </c>
      <c r="L1346" s="31"/>
      <c r="M1346" s="31" t="s">
        <v>854</v>
      </c>
      <c r="N1346" s="6" t="s">
        <v>856</v>
      </c>
    </row>
    <row r="1347" spans="1:14" ht="15" customHeight="1" x14ac:dyDescent="0.2">
      <c r="A1347" s="31">
        <v>1.096035597716662</v>
      </c>
      <c r="B1347" s="31"/>
      <c r="C1347" s="2" t="s">
        <v>855</v>
      </c>
      <c r="D1347" s="31">
        <f t="shared" si="50"/>
        <v>0.21482297715246576</v>
      </c>
      <c r="F1347" s="2" t="s">
        <v>822</v>
      </c>
      <c r="G1347" s="23" t="s">
        <v>902</v>
      </c>
      <c r="H1347" s="2" t="s">
        <v>822</v>
      </c>
      <c r="J1347" s="31">
        <v>41.404399900000001</v>
      </c>
      <c r="K1347" s="31">
        <v>6.8716302000000002</v>
      </c>
      <c r="L1347" s="31"/>
      <c r="M1347" s="31" t="s">
        <v>854</v>
      </c>
      <c r="N1347" s="6" t="s">
        <v>856</v>
      </c>
    </row>
    <row r="1348" spans="1:14" ht="15" customHeight="1" x14ac:dyDescent="0.2">
      <c r="A1348" s="31">
        <v>1.0954902937502129</v>
      </c>
      <c r="B1348" s="31"/>
      <c r="C1348" s="2" t="s">
        <v>855</v>
      </c>
      <c r="D1348" s="31">
        <f t="shared" si="50"/>
        <v>0.21471609757504173</v>
      </c>
      <c r="F1348" s="2" t="s">
        <v>822</v>
      </c>
      <c r="G1348" s="23" t="s">
        <v>902</v>
      </c>
      <c r="H1348" s="2" t="s">
        <v>822</v>
      </c>
      <c r="J1348" s="31">
        <v>34.599300399999997</v>
      </c>
      <c r="K1348" s="31">
        <v>31.970800400000002</v>
      </c>
      <c r="L1348" s="31"/>
      <c r="M1348" s="31" t="s">
        <v>854</v>
      </c>
      <c r="N1348" s="6" t="s">
        <v>856</v>
      </c>
    </row>
    <row r="1349" spans="1:14" ht="15" customHeight="1" x14ac:dyDescent="0.2">
      <c r="A1349" s="31">
        <v>1.095204261401767</v>
      </c>
      <c r="B1349" s="31"/>
      <c r="C1349" s="2" t="s">
        <v>855</v>
      </c>
      <c r="D1349" s="31">
        <f t="shared" si="50"/>
        <v>0.21466003523474633</v>
      </c>
      <c r="F1349" s="2" t="s">
        <v>822</v>
      </c>
      <c r="G1349" s="23" t="s">
        <v>902</v>
      </c>
      <c r="H1349" s="2" t="s">
        <v>822</v>
      </c>
      <c r="J1349" s="31">
        <v>34.721099899999999</v>
      </c>
      <c r="K1349" s="31">
        <v>10.984199500000001</v>
      </c>
      <c r="L1349" s="31"/>
      <c r="M1349" s="31" t="s">
        <v>854</v>
      </c>
      <c r="N1349" s="6" t="s">
        <v>856</v>
      </c>
    </row>
    <row r="1350" spans="1:14" ht="15" customHeight="1" x14ac:dyDescent="0.2">
      <c r="A1350" s="31">
        <v>1.0948586467826731</v>
      </c>
      <c r="B1350" s="31"/>
      <c r="C1350" s="2" t="s">
        <v>855</v>
      </c>
      <c r="D1350" s="31">
        <f t="shared" si="50"/>
        <v>0.21459229476940395</v>
      </c>
      <c r="F1350" s="2" t="s">
        <v>822</v>
      </c>
      <c r="G1350" s="23" t="s">
        <v>902</v>
      </c>
      <c r="H1350" s="2" t="s">
        <v>822</v>
      </c>
      <c r="J1350" s="31">
        <v>59.631801600000003</v>
      </c>
      <c r="K1350" s="31">
        <v>27.008699400000001</v>
      </c>
      <c r="L1350" s="31"/>
      <c r="M1350" s="31" t="s">
        <v>854</v>
      </c>
      <c r="N1350" s="6" t="s">
        <v>856</v>
      </c>
    </row>
    <row r="1351" spans="1:14" ht="15" customHeight="1" x14ac:dyDescent="0.2">
      <c r="A1351" s="31">
        <v>1.0947406738450021</v>
      </c>
      <c r="B1351" s="31"/>
      <c r="C1351" s="2" t="s">
        <v>855</v>
      </c>
      <c r="D1351" s="31">
        <f t="shared" si="50"/>
        <v>0.21456917207362042</v>
      </c>
      <c r="F1351" s="2" t="s">
        <v>822</v>
      </c>
      <c r="G1351" s="23" t="s">
        <v>902</v>
      </c>
      <c r="H1351" s="2" t="s">
        <v>822</v>
      </c>
      <c r="J1351" s="31">
        <v>44.974998499999998</v>
      </c>
      <c r="K1351" s="31">
        <v>-3.2025800000000002</v>
      </c>
      <c r="L1351" s="31"/>
      <c r="M1351" s="31" t="s">
        <v>854</v>
      </c>
      <c r="N1351" s="6" t="s">
        <v>856</v>
      </c>
    </row>
    <row r="1352" spans="1:14" ht="15" customHeight="1" x14ac:dyDescent="0.2">
      <c r="A1352" s="31">
        <v>1.094267845408879</v>
      </c>
      <c r="B1352" s="31"/>
      <c r="C1352" s="2" t="s">
        <v>855</v>
      </c>
      <c r="D1352" s="31">
        <f t="shared" si="50"/>
        <v>0.2144764977001403</v>
      </c>
      <c r="F1352" s="2" t="s">
        <v>822</v>
      </c>
      <c r="G1352" s="23" t="s">
        <v>902</v>
      </c>
      <c r="H1352" s="2" t="s">
        <v>822</v>
      </c>
      <c r="J1352" s="31">
        <v>45.411998699999998</v>
      </c>
      <c r="K1352" s="31">
        <v>-4.4840001999999997</v>
      </c>
      <c r="L1352" s="31"/>
      <c r="M1352" s="31" t="s">
        <v>854</v>
      </c>
      <c r="N1352" s="6" t="s">
        <v>856</v>
      </c>
    </row>
    <row r="1353" spans="1:14" ht="15" customHeight="1" x14ac:dyDescent="0.2">
      <c r="A1353" s="31">
        <v>1.0941536165548911</v>
      </c>
      <c r="B1353" s="31"/>
      <c r="C1353" s="2" t="s">
        <v>855</v>
      </c>
      <c r="D1353" s="31">
        <f t="shared" si="50"/>
        <v>0.21445410884475866</v>
      </c>
      <c r="F1353" s="2" t="s">
        <v>822</v>
      </c>
      <c r="G1353" s="23" t="s">
        <v>902</v>
      </c>
      <c r="H1353" s="2" t="s">
        <v>822</v>
      </c>
      <c r="J1353" s="31">
        <v>57.967300399999999</v>
      </c>
      <c r="K1353" s="31">
        <v>21.3551006</v>
      </c>
      <c r="L1353" s="31"/>
      <c r="M1353" s="31" t="s">
        <v>854</v>
      </c>
      <c r="N1353" s="6" t="s">
        <v>856</v>
      </c>
    </row>
    <row r="1354" spans="1:14" ht="15" customHeight="1" x14ac:dyDescent="0.2">
      <c r="A1354" s="31">
        <v>1.0940480664556109</v>
      </c>
      <c r="B1354" s="31"/>
      <c r="C1354" s="2" t="s">
        <v>855</v>
      </c>
      <c r="D1354" s="31">
        <f t="shared" si="50"/>
        <v>0.21443342102529975</v>
      </c>
      <c r="F1354" s="2" t="s">
        <v>822</v>
      </c>
      <c r="G1354" s="23" t="s">
        <v>902</v>
      </c>
      <c r="H1354" s="2" t="s">
        <v>822</v>
      </c>
      <c r="J1354" s="31">
        <v>37.092201199999998</v>
      </c>
      <c r="K1354" s="31">
        <v>-29.109600100000002</v>
      </c>
      <c r="L1354" s="31"/>
      <c r="M1354" s="31" t="s">
        <v>854</v>
      </c>
      <c r="N1354" s="6" t="s">
        <v>856</v>
      </c>
    </row>
    <row r="1355" spans="1:14" ht="15" customHeight="1" x14ac:dyDescent="0.2">
      <c r="A1355" s="31">
        <v>1.0935845832029949</v>
      </c>
      <c r="B1355" s="31"/>
      <c r="C1355" s="2" t="s">
        <v>855</v>
      </c>
      <c r="D1355" s="31">
        <f t="shared" si="50"/>
        <v>0.214342578307787</v>
      </c>
      <c r="F1355" s="2" t="s">
        <v>822</v>
      </c>
      <c r="G1355" s="23" t="s">
        <v>902</v>
      </c>
      <c r="H1355" s="2" t="s">
        <v>822</v>
      </c>
      <c r="J1355" s="31">
        <v>38.605800600000002</v>
      </c>
      <c r="K1355" s="31">
        <v>-42.571700999999997</v>
      </c>
      <c r="L1355" s="31"/>
      <c r="M1355" s="31" t="s">
        <v>854</v>
      </c>
      <c r="N1355" s="6" t="s">
        <v>856</v>
      </c>
    </row>
    <row r="1356" spans="1:14" ht="15" customHeight="1" x14ac:dyDescent="0.2">
      <c r="A1356" s="31">
        <v>1.0928168039584181</v>
      </c>
      <c r="B1356" s="31"/>
      <c r="C1356" s="2" t="s">
        <v>855</v>
      </c>
      <c r="D1356" s="31">
        <f t="shared" si="50"/>
        <v>0.21419209357584995</v>
      </c>
      <c r="F1356" s="2" t="s">
        <v>822</v>
      </c>
      <c r="G1356" s="23" t="s">
        <v>902</v>
      </c>
      <c r="H1356" s="2" t="s">
        <v>822</v>
      </c>
      <c r="J1356" s="31">
        <v>36.728000600000001</v>
      </c>
      <c r="K1356" s="31">
        <v>20.1606998</v>
      </c>
      <c r="L1356" s="31"/>
      <c r="M1356" s="31" t="s">
        <v>854</v>
      </c>
      <c r="N1356" s="6" t="s">
        <v>856</v>
      </c>
    </row>
    <row r="1357" spans="1:14" ht="15" customHeight="1" x14ac:dyDescent="0.2">
      <c r="A1357" s="31">
        <v>1.092402415669822</v>
      </c>
      <c r="B1357" s="31"/>
      <c r="C1357" s="2" t="s">
        <v>855</v>
      </c>
      <c r="D1357" s="31">
        <f t="shared" si="50"/>
        <v>0.21411087347128513</v>
      </c>
      <c r="F1357" s="2" t="s">
        <v>822</v>
      </c>
      <c r="G1357" s="23" t="s">
        <v>902</v>
      </c>
      <c r="H1357" s="2" t="s">
        <v>822</v>
      </c>
      <c r="J1357" s="31">
        <v>59.077098800000002</v>
      </c>
      <c r="K1357" s="31">
        <v>18.720500900000001</v>
      </c>
      <c r="L1357" s="31"/>
      <c r="M1357" s="31" t="s">
        <v>854</v>
      </c>
      <c r="N1357" s="6" t="s">
        <v>856</v>
      </c>
    </row>
    <row r="1358" spans="1:14" ht="15" customHeight="1" x14ac:dyDescent="0.2">
      <c r="A1358" s="31">
        <v>1.092220709418749</v>
      </c>
      <c r="B1358" s="31"/>
      <c r="C1358" s="2" t="s">
        <v>855</v>
      </c>
      <c r="D1358" s="31">
        <f t="shared" si="50"/>
        <v>0.21407525904607483</v>
      </c>
      <c r="F1358" s="2" t="s">
        <v>822</v>
      </c>
      <c r="G1358" s="23" t="s">
        <v>902</v>
      </c>
      <c r="H1358" s="2" t="s">
        <v>822</v>
      </c>
      <c r="J1358" s="31">
        <v>38.731998400000002</v>
      </c>
      <c r="K1358" s="31">
        <v>-35.880001100000001</v>
      </c>
      <c r="L1358" s="31"/>
      <c r="M1358" s="31" t="s">
        <v>854</v>
      </c>
      <c r="N1358" s="6" t="s">
        <v>856</v>
      </c>
    </row>
    <row r="1359" spans="1:14" ht="15" customHeight="1" x14ac:dyDescent="0.2">
      <c r="A1359" s="31">
        <v>1.0922018099790951</v>
      </c>
      <c r="B1359" s="31"/>
      <c r="C1359" s="2" t="s">
        <v>855</v>
      </c>
      <c r="D1359" s="31">
        <f t="shared" si="50"/>
        <v>0.21407155475590264</v>
      </c>
      <c r="F1359" s="2" t="s">
        <v>822</v>
      </c>
      <c r="G1359" s="23" t="s">
        <v>902</v>
      </c>
      <c r="H1359" s="2" t="s">
        <v>822</v>
      </c>
      <c r="J1359" s="31">
        <v>40.732601199999998</v>
      </c>
      <c r="K1359" s="31">
        <v>-19.0105</v>
      </c>
      <c r="L1359" s="31"/>
      <c r="M1359" s="31" t="s">
        <v>854</v>
      </c>
      <c r="N1359" s="6" t="s">
        <v>856</v>
      </c>
    </row>
    <row r="1360" spans="1:14" ht="15" customHeight="1" x14ac:dyDescent="0.2">
      <c r="A1360" s="31">
        <v>1.0915537964637001</v>
      </c>
      <c r="B1360" s="31"/>
      <c r="C1360" s="2" t="s">
        <v>855</v>
      </c>
      <c r="D1360" s="31">
        <f t="shared" si="50"/>
        <v>0.21394454410688524</v>
      </c>
      <c r="F1360" s="2" t="s">
        <v>822</v>
      </c>
      <c r="G1360" s="23" t="s">
        <v>902</v>
      </c>
      <c r="H1360" s="2" t="s">
        <v>822</v>
      </c>
      <c r="J1360" s="31">
        <v>40.920700099999998</v>
      </c>
      <c r="K1360" s="31">
        <v>8.5149202000000006</v>
      </c>
      <c r="L1360" s="31"/>
      <c r="M1360" s="31" t="s">
        <v>854</v>
      </c>
      <c r="N1360" s="6" t="s">
        <v>856</v>
      </c>
    </row>
    <row r="1361" spans="1:14" ht="15" customHeight="1" x14ac:dyDescent="0.2">
      <c r="A1361" s="31">
        <v>1.0907522997831121</v>
      </c>
      <c r="B1361" s="31"/>
      <c r="C1361" s="2" t="s">
        <v>855</v>
      </c>
      <c r="D1361" s="31">
        <f t="shared" si="50"/>
        <v>0.21378745075748998</v>
      </c>
      <c r="F1361" s="2" t="s">
        <v>822</v>
      </c>
      <c r="G1361" s="23" t="s">
        <v>902</v>
      </c>
      <c r="H1361" s="2" t="s">
        <v>822</v>
      </c>
      <c r="J1361" s="31">
        <v>31.0379009</v>
      </c>
      <c r="K1361" s="31">
        <v>-10.6300001</v>
      </c>
      <c r="L1361" s="31"/>
      <c r="M1361" s="31" t="s">
        <v>854</v>
      </c>
      <c r="N1361" s="6" t="s">
        <v>856</v>
      </c>
    </row>
    <row r="1362" spans="1:14" ht="15" customHeight="1" x14ac:dyDescent="0.2">
      <c r="A1362" s="31">
        <v>1.0906773016616289</v>
      </c>
      <c r="B1362" s="31"/>
      <c r="C1362" s="2" t="s">
        <v>855</v>
      </c>
      <c r="D1362" s="31">
        <f t="shared" si="50"/>
        <v>0.21377275112567928</v>
      </c>
      <c r="F1362" s="2" t="s">
        <v>822</v>
      </c>
      <c r="G1362" s="23" t="s">
        <v>902</v>
      </c>
      <c r="H1362" s="2" t="s">
        <v>822</v>
      </c>
      <c r="J1362" s="31">
        <v>44.771099100000001</v>
      </c>
      <c r="K1362" s="31">
        <v>-2.6263399000000001</v>
      </c>
      <c r="L1362" s="31"/>
      <c r="M1362" s="31" t="s">
        <v>854</v>
      </c>
      <c r="N1362" s="6" t="s">
        <v>856</v>
      </c>
    </row>
    <row r="1363" spans="1:14" ht="15" customHeight="1" x14ac:dyDescent="0.2">
      <c r="A1363" s="31">
        <v>1.0906584369896319</v>
      </c>
      <c r="B1363" s="31"/>
      <c r="C1363" s="2" t="s">
        <v>855</v>
      </c>
      <c r="D1363" s="31">
        <f t="shared" ref="D1363:D1394" si="51" xml:space="preserve"> A1363 * 0.196</f>
        <v>0.21376905364996787</v>
      </c>
      <c r="F1363" s="2" t="s">
        <v>822</v>
      </c>
      <c r="G1363" s="23" t="s">
        <v>902</v>
      </c>
      <c r="H1363" s="2" t="s">
        <v>822</v>
      </c>
      <c r="J1363" s="31">
        <v>26.2549992</v>
      </c>
      <c r="K1363" s="31">
        <v>-16.4864006</v>
      </c>
      <c r="L1363" s="31"/>
      <c r="M1363" s="31" t="s">
        <v>854</v>
      </c>
      <c r="N1363" s="6" t="s">
        <v>856</v>
      </c>
    </row>
    <row r="1364" spans="1:14" ht="15" customHeight="1" x14ac:dyDescent="0.2">
      <c r="A1364" s="31">
        <v>1.090637525434192</v>
      </c>
      <c r="B1364" s="31"/>
      <c r="C1364" s="2" t="s">
        <v>855</v>
      </c>
      <c r="D1364" s="31">
        <f t="shared" si="51"/>
        <v>0.21376495498510165</v>
      </c>
      <c r="F1364" s="2" t="s">
        <v>822</v>
      </c>
      <c r="G1364" s="23" t="s">
        <v>902</v>
      </c>
      <c r="H1364" s="2" t="s">
        <v>822</v>
      </c>
      <c r="J1364" s="31">
        <v>42.356998400000002</v>
      </c>
      <c r="K1364" s="31">
        <v>8.5321102</v>
      </c>
      <c r="L1364" s="31"/>
      <c r="M1364" s="31" t="s">
        <v>854</v>
      </c>
      <c r="N1364" s="6" t="s">
        <v>856</v>
      </c>
    </row>
    <row r="1365" spans="1:14" ht="15" customHeight="1" x14ac:dyDescent="0.2">
      <c r="A1365" s="31">
        <v>1.0906210901958551</v>
      </c>
      <c r="B1365" s="31"/>
      <c r="C1365" s="2" t="s">
        <v>855</v>
      </c>
      <c r="D1365" s="31">
        <f t="shared" si="51"/>
        <v>0.21376173367838761</v>
      </c>
      <c r="F1365" s="2" t="s">
        <v>822</v>
      </c>
      <c r="G1365" s="23" t="s">
        <v>902</v>
      </c>
      <c r="H1365" s="2" t="s">
        <v>822</v>
      </c>
      <c r="J1365" s="31">
        <v>36.614700300000003</v>
      </c>
      <c r="K1365" s="31">
        <v>-10.5113001</v>
      </c>
      <c r="L1365" s="31"/>
      <c r="M1365" s="31" t="s">
        <v>854</v>
      </c>
      <c r="N1365" s="6" t="s">
        <v>856</v>
      </c>
    </row>
    <row r="1366" spans="1:14" ht="15" customHeight="1" x14ac:dyDescent="0.2">
      <c r="A1366" s="31">
        <v>1.0899946103575739</v>
      </c>
      <c r="B1366" s="31"/>
      <c r="C1366" s="2" t="s">
        <v>855</v>
      </c>
      <c r="D1366" s="31">
        <f t="shared" si="51"/>
        <v>0.21363894363008451</v>
      </c>
      <c r="F1366" s="2" t="s">
        <v>822</v>
      </c>
      <c r="G1366" s="23" t="s">
        <v>902</v>
      </c>
      <c r="H1366" s="2" t="s">
        <v>822</v>
      </c>
      <c r="J1366" s="31">
        <v>44.772899600000002</v>
      </c>
      <c r="K1366" s="31">
        <v>-2.7879</v>
      </c>
      <c r="L1366" s="31"/>
      <c r="M1366" s="31" t="s">
        <v>854</v>
      </c>
      <c r="N1366" s="6" t="s">
        <v>856</v>
      </c>
    </row>
    <row r="1367" spans="1:14" ht="15" customHeight="1" x14ac:dyDescent="0.2">
      <c r="A1367" s="31">
        <v>1.0899178337588331</v>
      </c>
      <c r="B1367" s="31"/>
      <c r="C1367" s="2" t="s">
        <v>855</v>
      </c>
      <c r="D1367" s="31">
        <f t="shared" si="51"/>
        <v>0.2136238954167313</v>
      </c>
      <c r="F1367" s="2" t="s">
        <v>822</v>
      </c>
      <c r="G1367" s="23" t="s">
        <v>902</v>
      </c>
      <c r="H1367" s="2" t="s">
        <v>822</v>
      </c>
      <c r="J1367" s="31">
        <v>41.487701399999999</v>
      </c>
      <c r="K1367" s="31">
        <v>-42.997100799999998</v>
      </c>
      <c r="L1367" s="31"/>
      <c r="M1367" s="31" t="s">
        <v>854</v>
      </c>
      <c r="N1367" s="6" t="s">
        <v>856</v>
      </c>
    </row>
    <row r="1368" spans="1:14" ht="15" customHeight="1" x14ac:dyDescent="0.2">
      <c r="A1368" s="31">
        <v>1.0899126483431081</v>
      </c>
      <c r="B1368" s="31"/>
      <c r="C1368" s="2" t="s">
        <v>855</v>
      </c>
      <c r="D1368" s="31">
        <f t="shared" si="51"/>
        <v>0.21362287907524918</v>
      </c>
      <c r="F1368" s="2" t="s">
        <v>822</v>
      </c>
      <c r="G1368" s="23" t="s">
        <v>902</v>
      </c>
      <c r="H1368" s="2" t="s">
        <v>822</v>
      </c>
      <c r="J1368" s="31">
        <v>25.5107994</v>
      </c>
      <c r="K1368" s="31">
        <v>53.830600699999998</v>
      </c>
      <c r="L1368" s="31"/>
      <c r="M1368" s="31" t="s">
        <v>854</v>
      </c>
      <c r="N1368" s="6" t="s">
        <v>856</v>
      </c>
    </row>
    <row r="1369" spans="1:14" ht="15" customHeight="1" x14ac:dyDescent="0.2">
      <c r="A1369" s="31">
        <v>1.0896584717119819</v>
      </c>
      <c r="B1369" s="31"/>
      <c r="C1369" s="2" t="s">
        <v>855</v>
      </c>
      <c r="D1369" s="31">
        <f t="shared" si="51"/>
        <v>0.21357306045554847</v>
      </c>
      <c r="F1369" s="2" t="s">
        <v>822</v>
      </c>
      <c r="G1369" s="23" t="s">
        <v>902</v>
      </c>
      <c r="H1369" s="2" t="s">
        <v>822</v>
      </c>
      <c r="J1369" s="31">
        <v>54.5951004</v>
      </c>
      <c r="K1369" s="31">
        <v>16.1040001</v>
      </c>
      <c r="L1369" s="31"/>
      <c r="M1369" s="31" t="s">
        <v>854</v>
      </c>
      <c r="N1369" s="6" t="s">
        <v>856</v>
      </c>
    </row>
    <row r="1370" spans="1:14" ht="15" customHeight="1" x14ac:dyDescent="0.2">
      <c r="A1370" s="31">
        <v>1.089618897713053</v>
      </c>
      <c r="B1370" s="31"/>
      <c r="C1370" s="2" t="s">
        <v>855</v>
      </c>
      <c r="D1370" s="31">
        <f t="shared" si="51"/>
        <v>0.21356530395175841</v>
      </c>
      <c r="F1370" s="2" t="s">
        <v>822</v>
      </c>
      <c r="G1370" s="23" t="s">
        <v>902</v>
      </c>
      <c r="H1370" s="2" t="s">
        <v>822</v>
      </c>
      <c r="J1370" s="31">
        <v>40.402599299999999</v>
      </c>
      <c r="K1370" s="31">
        <v>-34.570201900000001</v>
      </c>
      <c r="L1370" s="31"/>
      <c r="M1370" s="31" t="s">
        <v>854</v>
      </c>
      <c r="N1370" s="6" t="s">
        <v>856</v>
      </c>
    </row>
    <row r="1371" spans="1:14" ht="15" customHeight="1" x14ac:dyDescent="0.2">
      <c r="A1371" s="31">
        <v>1.089145209725644</v>
      </c>
      <c r="B1371" s="31"/>
      <c r="C1371" s="2" t="s">
        <v>855</v>
      </c>
      <c r="D1371" s="31">
        <f t="shared" si="51"/>
        <v>0.21347246110622622</v>
      </c>
      <c r="F1371" s="2" t="s">
        <v>822</v>
      </c>
      <c r="G1371" s="23" t="s">
        <v>902</v>
      </c>
      <c r="H1371" s="2" t="s">
        <v>822</v>
      </c>
      <c r="J1371" s="31">
        <v>25.2525005</v>
      </c>
      <c r="K1371" s="31">
        <v>54.797100100000002</v>
      </c>
      <c r="L1371" s="31"/>
      <c r="M1371" s="31" t="s">
        <v>854</v>
      </c>
      <c r="N1371" s="6" t="s">
        <v>856</v>
      </c>
    </row>
    <row r="1372" spans="1:14" ht="15" customHeight="1" x14ac:dyDescent="0.2">
      <c r="A1372" s="31">
        <v>1.089135365144938</v>
      </c>
      <c r="B1372" s="31"/>
      <c r="C1372" s="2" t="s">
        <v>855</v>
      </c>
      <c r="D1372" s="31">
        <f t="shared" si="51"/>
        <v>0.21347053156840787</v>
      </c>
      <c r="F1372" s="2" t="s">
        <v>822</v>
      </c>
      <c r="G1372" s="23" t="s">
        <v>902</v>
      </c>
      <c r="H1372" s="2" t="s">
        <v>822</v>
      </c>
      <c r="J1372" s="31">
        <v>55.671001400000002</v>
      </c>
      <c r="K1372" s="31">
        <v>17.015600200000002</v>
      </c>
      <c r="L1372" s="31"/>
      <c r="M1372" s="31" t="s">
        <v>854</v>
      </c>
      <c r="N1372" s="6" t="s">
        <v>856</v>
      </c>
    </row>
    <row r="1373" spans="1:14" ht="15" customHeight="1" x14ac:dyDescent="0.2">
      <c r="A1373" s="31">
        <v>1.0888415524844279</v>
      </c>
      <c r="B1373" s="31"/>
      <c r="C1373" s="2" t="s">
        <v>855</v>
      </c>
      <c r="D1373" s="31">
        <f t="shared" si="51"/>
        <v>0.21341294428694788</v>
      </c>
      <c r="F1373" s="2" t="s">
        <v>822</v>
      </c>
      <c r="G1373" s="23" t="s">
        <v>902</v>
      </c>
      <c r="H1373" s="2" t="s">
        <v>822</v>
      </c>
      <c r="J1373" s="31">
        <v>28.338300700000001</v>
      </c>
      <c r="K1373" s="31">
        <v>-15.351300200000001</v>
      </c>
      <c r="L1373" s="31"/>
      <c r="M1373" s="31" t="s">
        <v>854</v>
      </c>
      <c r="N1373" s="6" t="s">
        <v>856</v>
      </c>
    </row>
    <row r="1374" spans="1:14" ht="15" customHeight="1" x14ac:dyDescent="0.2">
      <c r="A1374" s="31">
        <v>1.088412714480721</v>
      </c>
      <c r="B1374" s="31"/>
      <c r="C1374" s="2" t="s">
        <v>855</v>
      </c>
      <c r="D1374" s="31">
        <f t="shared" si="51"/>
        <v>0.21332889203822131</v>
      </c>
      <c r="F1374" s="2" t="s">
        <v>822</v>
      </c>
      <c r="G1374" s="23" t="s">
        <v>902</v>
      </c>
      <c r="H1374" s="2" t="s">
        <v>822</v>
      </c>
      <c r="J1374" s="31">
        <v>28.3841991</v>
      </c>
      <c r="K1374" s="31">
        <v>-12.202500300000001</v>
      </c>
      <c r="L1374" s="31"/>
      <c r="M1374" s="31" t="s">
        <v>854</v>
      </c>
      <c r="N1374" s="6" t="s">
        <v>856</v>
      </c>
    </row>
    <row r="1375" spans="1:14" ht="15" customHeight="1" x14ac:dyDescent="0.2">
      <c r="A1375" s="31">
        <v>1.0866542631458109</v>
      </c>
      <c r="B1375" s="31"/>
      <c r="C1375" s="2" t="s">
        <v>855</v>
      </c>
      <c r="D1375" s="31">
        <f t="shared" si="51"/>
        <v>0.21298423557657895</v>
      </c>
      <c r="F1375" s="2" t="s">
        <v>822</v>
      </c>
      <c r="G1375" s="23" t="s">
        <v>902</v>
      </c>
      <c r="H1375" s="2" t="s">
        <v>822</v>
      </c>
      <c r="J1375" s="31">
        <v>35.391998299999997</v>
      </c>
      <c r="K1375" s="31">
        <v>-41.891998299999997</v>
      </c>
      <c r="L1375" s="31"/>
      <c r="M1375" s="31" t="s">
        <v>854</v>
      </c>
      <c r="N1375" s="6" t="s">
        <v>856</v>
      </c>
    </row>
    <row r="1376" spans="1:14" ht="15" customHeight="1" x14ac:dyDescent="0.2">
      <c r="A1376" s="31">
        <v>1.0865917903145299</v>
      </c>
      <c r="B1376" s="31"/>
      <c r="C1376" s="2" t="s">
        <v>855</v>
      </c>
      <c r="D1376" s="31">
        <f t="shared" si="51"/>
        <v>0.21297199090164787</v>
      </c>
      <c r="F1376" s="2" t="s">
        <v>822</v>
      </c>
      <c r="G1376" s="23" t="s">
        <v>902</v>
      </c>
      <c r="H1376" s="2" t="s">
        <v>822</v>
      </c>
      <c r="J1376" s="31">
        <v>31.2478008</v>
      </c>
      <c r="K1376" s="31">
        <v>16.8780994</v>
      </c>
      <c r="L1376" s="31"/>
      <c r="M1376" s="31" t="s">
        <v>854</v>
      </c>
      <c r="N1376" s="6" t="s">
        <v>856</v>
      </c>
    </row>
    <row r="1377" spans="1:14" ht="15" customHeight="1" x14ac:dyDescent="0.2">
      <c r="A1377" s="31">
        <v>1.0861489700072211</v>
      </c>
      <c r="B1377" s="31"/>
      <c r="C1377" s="2" t="s">
        <v>855</v>
      </c>
      <c r="D1377" s="31">
        <f t="shared" si="51"/>
        <v>0.21288519812141535</v>
      </c>
      <c r="F1377" s="2" t="s">
        <v>822</v>
      </c>
      <c r="G1377" s="23" t="s">
        <v>902</v>
      </c>
      <c r="H1377" s="2" t="s">
        <v>822</v>
      </c>
      <c r="J1377" s="31">
        <v>54.191799199999998</v>
      </c>
      <c r="K1377" s="31">
        <v>11.350199699999999</v>
      </c>
      <c r="L1377" s="31"/>
      <c r="M1377" s="31" t="s">
        <v>854</v>
      </c>
      <c r="N1377" s="6" t="s">
        <v>856</v>
      </c>
    </row>
    <row r="1378" spans="1:14" ht="15" customHeight="1" x14ac:dyDescent="0.2">
      <c r="A1378" s="31">
        <v>1.085100717253676</v>
      </c>
      <c r="B1378" s="31"/>
      <c r="C1378" s="2" t="s">
        <v>855</v>
      </c>
      <c r="D1378" s="31">
        <f t="shared" si="51"/>
        <v>0.21267974058172048</v>
      </c>
      <c r="F1378" s="2" t="s">
        <v>822</v>
      </c>
      <c r="G1378" s="23" t="s">
        <v>902</v>
      </c>
      <c r="H1378" s="2" t="s">
        <v>822</v>
      </c>
      <c r="J1378" s="31">
        <v>56.293598199999998</v>
      </c>
      <c r="K1378" s="31">
        <v>17.356800100000001</v>
      </c>
      <c r="L1378" s="31"/>
      <c r="M1378" s="31" t="s">
        <v>854</v>
      </c>
      <c r="N1378" s="6" t="s">
        <v>856</v>
      </c>
    </row>
    <row r="1379" spans="1:14" ht="15" customHeight="1" x14ac:dyDescent="0.2">
      <c r="A1379" s="31">
        <v>1.085092700363586</v>
      </c>
      <c r="B1379" s="31"/>
      <c r="C1379" s="2" t="s">
        <v>855</v>
      </c>
      <c r="D1379" s="31">
        <f t="shared" si="51"/>
        <v>0.21267816927126285</v>
      </c>
      <c r="F1379" s="2" t="s">
        <v>822</v>
      </c>
      <c r="G1379" s="23" t="s">
        <v>902</v>
      </c>
      <c r="H1379" s="2" t="s">
        <v>822</v>
      </c>
      <c r="J1379" s="31">
        <v>37.148899100000001</v>
      </c>
      <c r="K1379" s="31">
        <v>-19.291299800000001</v>
      </c>
      <c r="L1379" s="31"/>
      <c r="M1379" s="31" t="s">
        <v>854</v>
      </c>
      <c r="N1379" s="6" t="s">
        <v>856</v>
      </c>
    </row>
    <row r="1380" spans="1:14" ht="15" customHeight="1" x14ac:dyDescent="0.2">
      <c r="A1380" s="31">
        <v>1.083883126821229</v>
      </c>
      <c r="B1380" s="31"/>
      <c r="C1380" s="2" t="s">
        <v>855</v>
      </c>
      <c r="D1380" s="31">
        <f t="shared" si="51"/>
        <v>0.21244109285696089</v>
      </c>
      <c r="F1380" s="2" t="s">
        <v>822</v>
      </c>
      <c r="G1380" s="23" t="s">
        <v>902</v>
      </c>
      <c r="H1380" s="2" t="s">
        <v>822</v>
      </c>
      <c r="J1380" s="31">
        <v>33.740200000000002</v>
      </c>
      <c r="K1380" s="31">
        <v>-7.6241697999999998</v>
      </c>
      <c r="L1380" s="31"/>
      <c r="M1380" s="31" t="s">
        <v>854</v>
      </c>
      <c r="N1380" s="6" t="s">
        <v>856</v>
      </c>
    </row>
    <row r="1381" spans="1:14" ht="15" customHeight="1" x14ac:dyDescent="0.2">
      <c r="A1381" s="31">
        <v>1.083402173965317</v>
      </c>
      <c r="B1381" s="31"/>
      <c r="C1381" s="2" t="s">
        <v>855</v>
      </c>
      <c r="D1381" s="31">
        <f t="shared" si="51"/>
        <v>0.21234682609720215</v>
      </c>
      <c r="F1381" s="2" t="s">
        <v>822</v>
      </c>
      <c r="G1381" s="23" t="s">
        <v>902</v>
      </c>
      <c r="H1381" s="2" t="s">
        <v>822</v>
      </c>
      <c r="J1381" s="31">
        <v>56.154399900000001</v>
      </c>
      <c r="K1381" s="31">
        <v>18.692800500000001</v>
      </c>
      <c r="L1381" s="31"/>
      <c r="M1381" s="31" t="s">
        <v>854</v>
      </c>
      <c r="N1381" s="6" t="s">
        <v>856</v>
      </c>
    </row>
    <row r="1382" spans="1:14" ht="15" customHeight="1" x14ac:dyDescent="0.2">
      <c r="A1382" s="31">
        <v>1.0829577951454541</v>
      </c>
      <c r="B1382" s="31"/>
      <c r="C1382" s="2" t="s">
        <v>855</v>
      </c>
      <c r="D1382" s="31">
        <f t="shared" si="51"/>
        <v>0.21225972784850902</v>
      </c>
      <c r="F1382" s="2" t="s">
        <v>822</v>
      </c>
      <c r="G1382" s="23" t="s">
        <v>902</v>
      </c>
      <c r="H1382" s="2" t="s">
        <v>822</v>
      </c>
      <c r="J1382" s="31">
        <v>36.728000600000001</v>
      </c>
      <c r="K1382" s="31">
        <v>-39.888000499999997</v>
      </c>
      <c r="L1382" s="31"/>
      <c r="M1382" s="31" t="s">
        <v>854</v>
      </c>
      <c r="N1382" s="6" t="s">
        <v>856</v>
      </c>
    </row>
    <row r="1383" spans="1:14" ht="15" customHeight="1" x14ac:dyDescent="0.2">
      <c r="A1383" s="31">
        <v>1.082805735991067</v>
      </c>
      <c r="B1383" s="31"/>
      <c r="C1383" s="2" t="s">
        <v>855</v>
      </c>
      <c r="D1383" s="31">
        <f t="shared" si="51"/>
        <v>0.21222992425424914</v>
      </c>
      <c r="F1383" s="2" t="s">
        <v>822</v>
      </c>
      <c r="G1383" s="23" t="s">
        <v>902</v>
      </c>
      <c r="H1383" s="2" t="s">
        <v>822</v>
      </c>
      <c r="J1383" s="31">
        <v>44.475101500000001</v>
      </c>
      <c r="K1383" s="31">
        <v>-5.8569697999999999</v>
      </c>
      <c r="L1383" s="31"/>
      <c r="M1383" s="31" t="s">
        <v>854</v>
      </c>
      <c r="N1383" s="6" t="s">
        <v>856</v>
      </c>
    </row>
    <row r="1384" spans="1:14" ht="15" customHeight="1" x14ac:dyDescent="0.2">
      <c r="A1384" s="31">
        <v>1.081974199734606</v>
      </c>
      <c r="B1384" s="31"/>
      <c r="C1384" s="2" t="s">
        <v>855</v>
      </c>
      <c r="D1384" s="31">
        <f t="shared" si="51"/>
        <v>0.21206694314798277</v>
      </c>
      <c r="F1384" s="2" t="s">
        <v>822</v>
      </c>
      <c r="G1384" s="23" t="s">
        <v>902</v>
      </c>
      <c r="H1384" s="2" t="s">
        <v>822</v>
      </c>
      <c r="J1384" s="31">
        <v>41.303001399999999</v>
      </c>
      <c r="K1384" s="31">
        <v>9.4712695999999994</v>
      </c>
      <c r="L1384" s="31"/>
      <c r="M1384" s="31" t="s">
        <v>854</v>
      </c>
      <c r="N1384" s="6" t="s">
        <v>856</v>
      </c>
    </row>
    <row r="1385" spans="1:14" ht="15" customHeight="1" x14ac:dyDescent="0.2">
      <c r="A1385" s="31">
        <v>1.081451410595708</v>
      </c>
      <c r="B1385" s="31"/>
      <c r="C1385" s="2" t="s">
        <v>855</v>
      </c>
      <c r="D1385" s="31">
        <f t="shared" si="51"/>
        <v>0.21196447647675878</v>
      </c>
      <c r="F1385" s="2" t="s">
        <v>822</v>
      </c>
      <c r="G1385" s="23" t="s">
        <v>902</v>
      </c>
      <c r="H1385" s="2" t="s">
        <v>822</v>
      </c>
      <c r="J1385" s="31">
        <v>44.735500299999998</v>
      </c>
      <c r="K1385" s="31">
        <v>-17.837499600000001</v>
      </c>
      <c r="L1385" s="31"/>
      <c r="M1385" s="31" t="s">
        <v>854</v>
      </c>
      <c r="N1385" s="6" t="s">
        <v>856</v>
      </c>
    </row>
    <row r="1386" spans="1:14" ht="15" customHeight="1" x14ac:dyDescent="0.2">
      <c r="A1386" s="31">
        <v>1.0814391063716919</v>
      </c>
      <c r="B1386" s="31"/>
      <c r="C1386" s="2" t="s">
        <v>855</v>
      </c>
      <c r="D1386" s="31">
        <f t="shared" si="51"/>
        <v>0.21196206484885163</v>
      </c>
      <c r="F1386" s="2" t="s">
        <v>822</v>
      </c>
      <c r="G1386" s="23" t="s">
        <v>902</v>
      </c>
      <c r="H1386" s="2" t="s">
        <v>822</v>
      </c>
      <c r="J1386" s="31">
        <v>37.785301199999999</v>
      </c>
      <c r="K1386" s="31">
        <v>-9.1775198000000007</v>
      </c>
      <c r="L1386" s="31"/>
      <c r="M1386" s="31" t="s">
        <v>854</v>
      </c>
      <c r="N1386" s="6" t="s">
        <v>856</v>
      </c>
    </row>
    <row r="1387" spans="1:14" ht="15" customHeight="1" x14ac:dyDescent="0.2">
      <c r="A1387" s="31">
        <v>1.0814295637611251</v>
      </c>
      <c r="B1387" s="31"/>
      <c r="C1387" s="2" t="s">
        <v>855</v>
      </c>
      <c r="D1387" s="31">
        <f t="shared" si="51"/>
        <v>0.21196019449718054</v>
      </c>
      <c r="F1387" s="2" t="s">
        <v>822</v>
      </c>
      <c r="G1387" s="23" t="s">
        <v>902</v>
      </c>
      <c r="H1387" s="2" t="s">
        <v>822</v>
      </c>
      <c r="J1387" s="31">
        <v>42.524299599999999</v>
      </c>
      <c r="K1387" s="31">
        <v>3.1731801000000002</v>
      </c>
      <c r="L1387" s="31"/>
      <c r="M1387" s="31" t="s">
        <v>854</v>
      </c>
      <c r="N1387" s="6" t="s">
        <v>856</v>
      </c>
    </row>
    <row r="1388" spans="1:14" ht="15" customHeight="1" x14ac:dyDescent="0.2">
      <c r="A1388" s="31">
        <v>1.081150679433118</v>
      </c>
      <c r="B1388" s="31"/>
      <c r="C1388" s="2" t="s">
        <v>855</v>
      </c>
      <c r="D1388" s="31">
        <f t="shared" si="51"/>
        <v>0.21190553316889116</v>
      </c>
      <c r="F1388" s="2" t="s">
        <v>822</v>
      </c>
      <c r="G1388" s="23" t="s">
        <v>902</v>
      </c>
      <c r="H1388" s="2" t="s">
        <v>822</v>
      </c>
      <c r="J1388" s="31">
        <v>44.154399900000001</v>
      </c>
      <c r="K1388" s="31">
        <v>-10.460699999999999</v>
      </c>
      <c r="L1388" s="31"/>
      <c r="M1388" s="31" t="s">
        <v>854</v>
      </c>
      <c r="N1388" s="6" t="s">
        <v>856</v>
      </c>
    </row>
    <row r="1389" spans="1:14" ht="15" customHeight="1" x14ac:dyDescent="0.2">
      <c r="A1389" s="31">
        <v>1.0808852537689879</v>
      </c>
      <c r="B1389" s="31"/>
      <c r="C1389" s="2" t="s">
        <v>855</v>
      </c>
      <c r="D1389" s="31">
        <f t="shared" si="51"/>
        <v>0.21185350973872163</v>
      </c>
      <c r="F1389" s="2" t="s">
        <v>822</v>
      </c>
      <c r="G1389" s="23" t="s">
        <v>902</v>
      </c>
      <c r="H1389" s="2" t="s">
        <v>822</v>
      </c>
      <c r="J1389" s="31">
        <v>45.199199700000001</v>
      </c>
      <c r="K1389" s="31">
        <v>-17.112300900000001</v>
      </c>
      <c r="L1389" s="31"/>
      <c r="M1389" s="31" t="s">
        <v>854</v>
      </c>
      <c r="N1389" s="6" t="s">
        <v>856</v>
      </c>
    </row>
    <row r="1390" spans="1:14" ht="15" customHeight="1" x14ac:dyDescent="0.2">
      <c r="A1390" s="31">
        <v>1.080556482082518</v>
      </c>
      <c r="B1390" s="31"/>
      <c r="C1390" s="2" t="s">
        <v>855</v>
      </c>
      <c r="D1390" s="31">
        <f t="shared" si="51"/>
        <v>0.21178907048817353</v>
      </c>
      <c r="F1390" s="2" t="s">
        <v>822</v>
      </c>
      <c r="G1390" s="23" t="s">
        <v>902</v>
      </c>
      <c r="H1390" s="2" t="s">
        <v>822</v>
      </c>
      <c r="J1390" s="31">
        <v>37.3959999</v>
      </c>
      <c r="K1390" s="31">
        <v>-23.856000900000002</v>
      </c>
      <c r="L1390" s="31"/>
      <c r="M1390" s="31" t="s">
        <v>854</v>
      </c>
      <c r="N1390" s="6" t="s">
        <v>856</v>
      </c>
    </row>
    <row r="1391" spans="1:14" ht="15" customHeight="1" x14ac:dyDescent="0.2">
      <c r="A1391" s="31">
        <v>1.08027941306499</v>
      </c>
      <c r="B1391" s="31"/>
      <c r="C1391" s="2" t="s">
        <v>855</v>
      </c>
      <c r="D1391" s="31">
        <f t="shared" si="51"/>
        <v>0.21173476496073804</v>
      </c>
      <c r="F1391" s="2" t="s">
        <v>822</v>
      </c>
      <c r="G1391" s="23" t="s">
        <v>902</v>
      </c>
      <c r="H1391" s="2" t="s">
        <v>822</v>
      </c>
      <c r="J1391" s="31">
        <v>35.688598599999999</v>
      </c>
      <c r="K1391" s="31">
        <v>-36.567699400000002</v>
      </c>
      <c r="L1391" s="31"/>
      <c r="M1391" s="31" t="s">
        <v>854</v>
      </c>
      <c r="N1391" s="6" t="s">
        <v>856</v>
      </c>
    </row>
    <row r="1392" spans="1:14" ht="15" customHeight="1" x14ac:dyDescent="0.2">
      <c r="A1392" s="31">
        <v>1.0801014806315909</v>
      </c>
      <c r="B1392" s="31"/>
      <c r="C1392" s="2" t="s">
        <v>855</v>
      </c>
      <c r="D1392" s="31">
        <f t="shared" si="51"/>
        <v>0.21169989020379185</v>
      </c>
      <c r="F1392" s="2" t="s">
        <v>822</v>
      </c>
      <c r="G1392" s="23" t="s">
        <v>902</v>
      </c>
      <c r="H1392" s="2" t="s">
        <v>822</v>
      </c>
      <c r="J1392" s="31">
        <v>33.741699199999999</v>
      </c>
      <c r="K1392" s="31">
        <v>-7.4066801</v>
      </c>
      <c r="L1392" s="31"/>
      <c r="M1392" s="31" t="s">
        <v>854</v>
      </c>
      <c r="N1392" s="6" t="s">
        <v>856</v>
      </c>
    </row>
    <row r="1393" spans="1:14" ht="15" customHeight="1" x14ac:dyDescent="0.2">
      <c r="A1393" s="31">
        <v>1.079717957904528</v>
      </c>
      <c r="B1393" s="31"/>
      <c r="C1393" s="2" t="s">
        <v>855</v>
      </c>
      <c r="D1393" s="31">
        <f t="shared" si="51"/>
        <v>0.21162471974928748</v>
      </c>
      <c r="F1393" s="2" t="s">
        <v>822</v>
      </c>
      <c r="G1393" s="23" t="s">
        <v>902</v>
      </c>
      <c r="H1393" s="2" t="s">
        <v>822</v>
      </c>
      <c r="J1393" s="31">
        <v>34.731998400000002</v>
      </c>
      <c r="K1393" s="31">
        <v>-37.303299000000003</v>
      </c>
      <c r="L1393" s="31"/>
      <c r="M1393" s="31" t="s">
        <v>854</v>
      </c>
      <c r="N1393" s="6" t="s">
        <v>856</v>
      </c>
    </row>
    <row r="1394" spans="1:14" ht="15" customHeight="1" x14ac:dyDescent="0.2">
      <c r="A1394" s="31">
        <v>1.0796179257107039</v>
      </c>
      <c r="B1394" s="31"/>
      <c r="C1394" s="2" t="s">
        <v>855</v>
      </c>
      <c r="D1394" s="31">
        <f t="shared" si="51"/>
        <v>0.21160511343929797</v>
      </c>
      <c r="F1394" s="2" t="s">
        <v>822</v>
      </c>
      <c r="G1394" s="23" t="s">
        <v>902</v>
      </c>
      <c r="H1394" s="2" t="s">
        <v>822</v>
      </c>
      <c r="J1394" s="31">
        <v>27.6853008</v>
      </c>
      <c r="K1394" s="31">
        <v>-16.250400500000001</v>
      </c>
      <c r="L1394" s="31"/>
      <c r="M1394" s="31" t="s">
        <v>854</v>
      </c>
      <c r="N1394" s="6" t="s">
        <v>856</v>
      </c>
    </row>
    <row r="1395" spans="1:14" ht="15" customHeight="1" x14ac:dyDescent="0.2">
      <c r="A1395" s="31">
        <v>1.0795878787624029</v>
      </c>
      <c r="B1395" s="31"/>
      <c r="C1395" s="2" t="s">
        <v>855</v>
      </c>
      <c r="D1395" s="31">
        <f t="shared" ref="D1395:D1424" si="52" xml:space="preserve"> A1395 * 0.196</f>
        <v>0.21159922423743099</v>
      </c>
      <c r="F1395" s="2" t="s">
        <v>822</v>
      </c>
      <c r="G1395" s="23" t="s">
        <v>902</v>
      </c>
      <c r="H1395" s="2" t="s">
        <v>822</v>
      </c>
      <c r="J1395" s="31">
        <v>43.4557991</v>
      </c>
      <c r="K1395" s="31">
        <v>-8.9171695999999994</v>
      </c>
      <c r="L1395" s="31"/>
      <c r="M1395" s="31" t="s">
        <v>854</v>
      </c>
      <c r="N1395" s="6" t="s">
        <v>856</v>
      </c>
    </row>
    <row r="1396" spans="1:14" ht="15" customHeight="1" x14ac:dyDescent="0.2">
      <c r="A1396" s="31">
        <v>1.079555043576119</v>
      </c>
      <c r="B1396" s="31"/>
      <c r="C1396" s="2" t="s">
        <v>855</v>
      </c>
      <c r="D1396" s="31">
        <f t="shared" si="52"/>
        <v>0.21159278854091934</v>
      </c>
      <c r="F1396" s="2" t="s">
        <v>822</v>
      </c>
      <c r="G1396" s="23" t="s">
        <v>902</v>
      </c>
      <c r="H1396" s="2" t="s">
        <v>822</v>
      </c>
      <c r="J1396" s="31">
        <v>54.935699499999998</v>
      </c>
      <c r="K1396" s="31">
        <v>17.597000099999999</v>
      </c>
      <c r="L1396" s="31"/>
      <c r="M1396" s="31" t="s">
        <v>854</v>
      </c>
      <c r="N1396" s="6" t="s">
        <v>856</v>
      </c>
    </row>
    <row r="1397" spans="1:14" ht="15" customHeight="1" x14ac:dyDescent="0.2">
      <c r="A1397" s="31">
        <v>1.0795179628643981</v>
      </c>
      <c r="B1397" s="31"/>
      <c r="C1397" s="2" t="s">
        <v>855</v>
      </c>
      <c r="D1397" s="31">
        <f t="shared" si="52"/>
        <v>0.21158552072142203</v>
      </c>
      <c r="F1397" s="2" t="s">
        <v>822</v>
      </c>
      <c r="G1397" s="23" t="s">
        <v>902</v>
      </c>
      <c r="H1397" s="2" t="s">
        <v>822</v>
      </c>
      <c r="J1397" s="31">
        <v>37.3959999</v>
      </c>
      <c r="K1397" s="31">
        <v>4.8680000000000003</v>
      </c>
      <c r="L1397" s="31"/>
      <c r="M1397" s="31" t="s">
        <v>854</v>
      </c>
      <c r="N1397" s="6" t="s">
        <v>856</v>
      </c>
    </row>
    <row r="1398" spans="1:14" ht="15" customHeight="1" x14ac:dyDescent="0.2">
      <c r="A1398" s="31">
        <v>1.079108699499181</v>
      </c>
      <c r="B1398" s="31"/>
      <c r="C1398" s="2" t="s">
        <v>855</v>
      </c>
      <c r="D1398" s="31">
        <f t="shared" si="52"/>
        <v>0.21150530510183949</v>
      </c>
      <c r="F1398" s="2" t="s">
        <v>822</v>
      </c>
      <c r="G1398" s="23" t="s">
        <v>902</v>
      </c>
      <c r="H1398" s="2" t="s">
        <v>822</v>
      </c>
      <c r="J1398" s="31">
        <v>31.848300900000002</v>
      </c>
      <c r="K1398" s="31">
        <v>-10.0328999</v>
      </c>
      <c r="L1398" s="31"/>
      <c r="M1398" s="31" t="s">
        <v>854</v>
      </c>
      <c r="N1398" s="6" t="s">
        <v>856</v>
      </c>
    </row>
    <row r="1399" spans="1:14" ht="15" customHeight="1" x14ac:dyDescent="0.2">
      <c r="A1399" s="31">
        <v>1.0788279811167081</v>
      </c>
      <c r="B1399" s="31"/>
      <c r="C1399" s="2" t="s">
        <v>855</v>
      </c>
      <c r="D1399" s="31">
        <f t="shared" si="52"/>
        <v>0.2114502842988748</v>
      </c>
      <c r="F1399" s="2" t="s">
        <v>822</v>
      </c>
      <c r="G1399" s="23" t="s">
        <v>902</v>
      </c>
      <c r="H1399" s="2" t="s">
        <v>822</v>
      </c>
      <c r="J1399" s="31">
        <v>56.038501699999998</v>
      </c>
      <c r="K1399" s="31">
        <v>15.934399600000001</v>
      </c>
      <c r="L1399" s="31"/>
      <c r="M1399" s="31" t="s">
        <v>854</v>
      </c>
      <c r="N1399" s="6" t="s">
        <v>856</v>
      </c>
    </row>
    <row r="1400" spans="1:14" ht="15" customHeight="1" x14ac:dyDescent="0.2">
      <c r="A1400" s="31">
        <v>1.078514118567989</v>
      </c>
      <c r="B1400" s="31"/>
      <c r="C1400" s="2" t="s">
        <v>855</v>
      </c>
      <c r="D1400" s="31">
        <f t="shared" si="52"/>
        <v>0.21138876723932584</v>
      </c>
      <c r="F1400" s="2" t="s">
        <v>822</v>
      </c>
      <c r="G1400" s="23" t="s">
        <v>902</v>
      </c>
      <c r="H1400" s="2" t="s">
        <v>822</v>
      </c>
      <c r="J1400" s="31">
        <v>38.275600400000002</v>
      </c>
      <c r="K1400" s="31">
        <v>-9.8371601000000002</v>
      </c>
      <c r="L1400" s="31"/>
      <c r="M1400" s="31" t="s">
        <v>854</v>
      </c>
      <c r="N1400" s="6" t="s">
        <v>856</v>
      </c>
    </row>
    <row r="1401" spans="1:14" ht="15" customHeight="1" x14ac:dyDescent="0.2">
      <c r="A1401" s="31">
        <v>1.078437435366675</v>
      </c>
      <c r="B1401" s="31"/>
      <c r="C1401" s="2" t="s">
        <v>855</v>
      </c>
      <c r="D1401" s="31">
        <f t="shared" si="52"/>
        <v>0.21137373733186832</v>
      </c>
      <c r="F1401" s="2" t="s">
        <v>822</v>
      </c>
      <c r="G1401" s="23" t="s">
        <v>902</v>
      </c>
      <c r="H1401" s="2" t="s">
        <v>822</v>
      </c>
      <c r="J1401" s="31">
        <v>32.720001199999999</v>
      </c>
      <c r="K1401" s="31">
        <v>-13.8360004</v>
      </c>
      <c r="L1401" s="31"/>
      <c r="M1401" s="31" t="s">
        <v>854</v>
      </c>
      <c r="N1401" s="6" t="s">
        <v>856</v>
      </c>
    </row>
    <row r="1402" spans="1:14" ht="15" customHeight="1" x14ac:dyDescent="0.2">
      <c r="A1402" s="31">
        <v>1.0782772602556721</v>
      </c>
      <c r="B1402" s="31"/>
      <c r="C1402" s="2" t="s">
        <v>855</v>
      </c>
      <c r="D1402" s="31">
        <f t="shared" si="52"/>
        <v>0.21134234301011173</v>
      </c>
      <c r="F1402" s="2" t="s">
        <v>822</v>
      </c>
      <c r="G1402" s="23" t="s">
        <v>902</v>
      </c>
      <c r="H1402" s="2" t="s">
        <v>822</v>
      </c>
      <c r="J1402" s="31">
        <v>33.857799499999999</v>
      </c>
      <c r="K1402" s="31">
        <v>21.281700099999998</v>
      </c>
      <c r="L1402" s="31"/>
      <c r="M1402" s="31" t="s">
        <v>854</v>
      </c>
      <c r="N1402" s="6" t="s">
        <v>856</v>
      </c>
    </row>
    <row r="1403" spans="1:14" ht="15" customHeight="1" x14ac:dyDescent="0.2">
      <c r="A1403" s="31">
        <v>1.076827170378837</v>
      </c>
      <c r="B1403" s="31"/>
      <c r="C1403" s="2" t="s">
        <v>855</v>
      </c>
      <c r="D1403" s="31">
        <f t="shared" si="52"/>
        <v>0.21105812539425206</v>
      </c>
      <c r="F1403" s="2" t="s">
        <v>822</v>
      </c>
      <c r="G1403" s="23" t="s">
        <v>902</v>
      </c>
      <c r="H1403" s="2" t="s">
        <v>822</v>
      </c>
      <c r="J1403" s="31">
        <v>43.760799400000003</v>
      </c>
      <c r="K1403" s="31">
        <v>-38.136699700000001</v>
      </c>
      <c r="L1403" s="31"/>
      <c r="M1403" s="31" t="s">
        <v>854</v>
      </c>
      <c r="N1403" s="6" t="s">
        <v>856</v>
      </c>
    </row>
    <row r="1404" spans="1:14" ht="15" customHeight="1" x14ac:dyDescent="0.2">
      <c r="A1404" s="31">
        <v>1.07601597027648</v>
      </c>
      <c r="B1404" s="31"/>
      <c r="C1404" s="2" t="s">
        <v>855</v>
      </c>
      <c r="D1404" s="31">
        <f t="shared" si="52"/>
        <v>0.2108991301741901</v>
      </c>
      <c r="F1404" s="2" t="s">
        <v>822</v>
      </c>
      <c r="G1404" s="23" t="s">
        <v>902</v>
      </c>
      <c r="H1404" s="2" t="s">
        <v>822</v>
      </c>
      <c r="J1404" s="31">
        <v>32.720001199999999</v>
      </c>
      <c r="K1404" s="31">
        <v>-11.8319998</v>
      </c>
      <c r="L1404" s="31"/>
      <c r="M1404" s="31" t="s">
        <v>854</v>
      </c>
      <c r="N1404" s="6" t="s">
        <v>856</v>
      </c>
    </row>
    <row r="1405" spans="1:14" ht="15" customHeight="1" x14ac:dyDescent="0.2">
      <c r="A1405" s="31">
        <v>1.075795137632084</v>
      </c>
      <c r="B1405" s="31"/>
      <c r="C1405" s="2" t="s">
        <v>855</v>
      </c>
      <c r="D1405" s="31">
        <f t="shared" si="52"/>
        <v>0.21085584697588847</v>
      </c>
      <c r="F1405" s="2" t="s">
        <v>822</v>
      </c>
      <c r="G1405" s="23" t="s">
        <v>902</v>
      </c>
      <c r="H1405" s="2" t="s">
        <v>822</v>
      </c>
      <c r="J1405" s="31">
        <v>43.076400800000002</v>
      </c>
      <c r="K1405" s="31">
        <v>-13.503800399999999</v>
      </c>
      <c r="L1405" s="31"/>
      <c r="M1405" s="31" t="s">
        <v>854</v>
      </c>
      <c r="N1405" s="6" t="s">
        <v>856</v>
      </c>
    </row>
    <row r="1406" spans="1:14" ht="15" customHeight="1" x14ac:dyDescent="0.2">
      <c r="A1406" s="31">
        <v>1.07513460424064</v>
      </c>
      <c r="B1406" s="31"/>
      <c r="C1406" s="2" t="s">
        <v>855</v>
      </c>
      <c r="D1406" s="31">
        <f t="shared" si="52"/>
        <v>0.21072638243116545</v>
      </c>
      <c r="F1406" s="2" t="s">
        <v>822</v>
      </c>
      <c r="G1406" s="23" t="s">
        <v>902</v>
      </c>
      <c r="H1406" s="2" t="s">
        <v>822</v>
      </c>
      <c r="J1406" s="31">
        <v>28.735799799999999</v>
      </c>
      <c r="K1406" s="31">
        <v>-15.7988005</v>
      </c>
      <c r="L1406" s="31"/>
      <c r="M1406" s="31" t="s">
        <v>854</v>
      </c>
      <c r="N1406" s="6" t="s">
        <v>856</v>
      </c>
    </row>
    <row r="1407" spans="1:14" ht="15" customHeight="1" x14ac:dyDescent="0.2">
      <c r="A1407" s="31">
        <v>1.075108348908008</v>
      </c>
      <c r="B1407" s="31"/>
      <c r="C1407" s="2" t="s">
        <v>855</v>
      </c>
      <c r="D1407" s="31">
        <f t="shared" si="52"/>
        <v>0.21072123638596957</v>
      </c>
      <c r="F1407" s="2" t="s">
        <v>822</v>
      </c>
      <c r="G1407" s="23" t="s">
        <v>902</v>
      </c>
      <c r="H1407" s="2" t="s">
        <v>822</v>
      </c>
      <c r="J1407" s="31">
        <v>38.810199699999998</v>
      </c>
      <c r="K1407" s="31">
        <v>-20.6261005</v>
      </c>
      <c r="L1407" s="31"/>
      <c r="M1407" s="31" t="s">
        <v>854</v>
      </c>
      <c r="N1407" s="6" t="s">
        <v>856</v>
      </c>
    </row>
    <row r="1408" spans="1:14" ht="15" customHeight="1" x14ac:dyDescent="0.2">
      <c r="A1408" s="31">
        <v>1.074602449268689</v>
      </c>
      <c r="B1408" s="31"/>
      <c r="C1408" s="2" t="s">
        <v>855</v>
      </c>
      <c r="D1408" s="31">
        <f t="shared" si="52"/>
        <v>0.21062208005666305</v>
      </c>
      <c r="F1408" s="2" t="s">
        <v>822</v>
      </c>
      <c r="G1408" s="23" t="s">
        <v>902</v>
      </c>
      <c r="H1408" s="2" t="s">
        <v>822</v>
      </c>
      <c r="J1408" s="31">
        <v>45.010200500000003</v>
      </c>
      <c r="K1408" s="31">
        <v>-1.6205099999999999</v>
      </c>
      <c r="L1408" s="31"/>
      <c r="M1408" s="31" t="s">
        <v>854</v>
      </c>
      <c r="N1408" s="6" t="s">
        <v>856</v>
      </c>
    </row>
    <row r="1409" spans="1:14" ht="15" customHeight="1" x14ac:dyDescent="0.2">
      <c r="A1409" s="31">
        <v>1.073874047080025</v>
      </c>
      <c r="B1409" s="31"/>
      <c r="C1409" s="2" t="s">
        <v>855</v>
      </c>
      <c r="D1409" s="31">
        <f t="shared" si="52"/>
        <v>0.2104793132276849</v>
      </c>
      <c r="F1409" s="2" t="s">
        <v>822</v>
      </c>
      <c r="G1409" s="23" t="s">
        <v>902</v>
      </c>
      <c r="H1409" s="2" t="s">
        <v>822</v>
      </c>
      <c r="J1409" s="31">
        <v>43.483699799999997</v>
      </c>
      <c r="K1409" s="31">
        <v>-11.126899699999999</v>
      </c>
      <c r="L1409" s="31"/>
      <c r="M1409" s="31" t="s">
        <v>854</v>
      </c>
      <c r="N1409" s="6" t="s">
        <v>856</v>
      </c>
    </row>
    <row r="1410" spans="1:14" ht="15" customHeight="1" x14ac:dyDescent="0.2">
      <c r="A1410" s="31">
        <v>1.0724911292191239</v>
      </c>
      <c r="B1410" s="31"/>
      <c r="C1410" s="2" t="s">
        <v>855</v>
      </c>
      <c r="D1410" s="31">
        <f t="shared" si="52"/>
        <v>0.21020826132694831</v>
      </c>
      <c r="F1410" s="2" t="s">
        <v>822</v>
      </c>
      <c r="G1410" s="23" t="s">
        <v>902</v>
      </c>
      <c r="H1410" s="2" t="s">
        <v>822</v>
      </c>
      <c r="J1410" s="31">
        <v>39.6935997</v>
      </c>
      <c r="K1410" s="31">
        <v>-17.970199600000001</v>
      </c>
      <c r="L1410" s="31"/>
      <c r="M1410" s="31" t="s">
        <v>854</v>
      </c>
      <c r="N1410" s="6" t="s">
        <v>856</v>
      </c>
    </row>
    <row r="1411" spans="1:14" ht="15" customHeight="1" x14ac:dyDescent="0.2">
      <c r="A1411" s="31">
        <v>1.072397281298908</v>
      </c>
      <c r="B1411" s="31"/>
      <c r="C1411" s="2" t="s">
        <v>855</v>
      </c>
      <c r="D1411" s="31">
        <f t="shared" si="52"/>
        <v>0.21018986713458598</v>
      </c>
      <c r="F1411" s="2" t="s">
        <v>822</v>
      </c>
      <c r="G1411" s="23" t="s">
        <v>902</v>
      </c>
      <c r="H1411" s="2" t="s">
        <v>822</v>
      </c>
      <c r="J1411" s="31">
        <v>39.239601100000002</v>
      </c>
      <c r="K1411" s="31">
        <v>-0.22096499999999999</v>
      </c>
      <c r="L1411" s="31"/>
      <c r="M1411" s="31" t="s">
        <v>854</v>
      </c>
      <c r="N1411" s="6" t="s">
        <v>856</v>
      </c>
    </row>
    <row r="1412" spans="1:14" ht="15" customHeight="1" x14ac:dyDescent="0.2">
      <c r="A1412" s="31">
        <v>1.0714179145299469</v>
      </c>
      <c r="B1412" s="31"/>
      <c r="C1412" s="2" t="s">
        <v>855</v>
      </c>
      <c r="D1412" s="31">
        <f t="shared" si="52"/>
        <v>0.20999791124786962</v>
      </c>
      <c r="F1412" s="2" t="s">
        <v>822</v>
      </c>
      <c r="G1412" s="23" t="s">
        <v>902</v>
      </c>
      <c r="H1412" s="2" t="s">
        <v>822</v>
      </c>
      <c r="J1412" s="31">
        <v>57.399501800000003</v>
      </c>
      <c r="K1412" s="31">
        <v>5.8623399999999997</v>
      </c>
      <c r="L1412" s="31"/>
      <c r="M1412" s="31" t="s">
        <v>854</v>
      </c>
      <c r="N1412" s="6" t="s">
        <v>856</v>
      </c>
    </row>
    <row r="1413" spans="1:14" ht="15" customHeight="1" x14ac:dyDescent="0.2">
      <c r="A1413" s="31">
        <v>1.0714091567784749</v>
      </c>
      <c r="B1413" s="31"/>
      <c r="C1413" s="2" t="s">
        <v>855</v>
      </c>
      <c r="D1413" s="31">
        <f t="shared" si="52"/>
        <v>0.20999619472858108</v>
      </c>
      <c r="F1413" s="2" t="s">
        <v>822</v>
      </c>
      <c r="G1413" s="23" t="s">
        <v>902</v>
      </c>
      <c r="H1413" s="2" t="s">
        <v>822</v>
      </c>
      <c r="J1413" s="31">
        <v>41.111598999999998</v>
      </c>
      <c r="K1413" s="31">
        <v>-16.507999399999999</v>
      </c>
      <c r="L1413" s="31"/>
      <c r="M1413" s="31" t="s">
        <v>854</v>
      </c>
      <c r="N1413" s="6" t="s">
        <v>856</v>
      </c>
    </row>
    <row r="1414" spans="1:14" ht="15" customHeight="1" x14ac:dyDescent="0.2">
      <c r="A1414" s="31">
        <v>1.071295748614961</v>
      </c>
      <c r="B1414" s="31"/>
      <c r="C1414" s="2" t="s">
        <v>855</v>
      </c>
      <c r="D1414" s="31">
        <f t="shared" si="52"/>
        <v>0.20997396672853236</v>
      </c>
      <c r="F1414" s="2" t="s">
        <v>822</v>
      </c>
      <c r="G1414" s="23" t="s">
        <v>902</v>
      </c>
      <c r="H1414" s="2" t="s">
        <v>822</v>
      </c>
      <c r="J1414" s="31">
        <v>43.819000199999998</v>
      </c>
      <c r="K1414" s="31">
        <v>8.5336599</v>
      </c>
      <c r="L1414" s="31"/>
      <c r="M1414" s="31" t="s">
        <v>854</v>
      </c>
      <c r="N1414" s="6" t="s">
        <v>856</v>
      </c>
    </row>
    <row r="1415" spans="1:14" ht="15" customHeight="1" x14ac:dyDescent="0.2">
      <c r="A1415" s="31">
        <v>1.071152511086835</v>
      </c>
      <c r="B1415" s="31"/>
      <c r="C1415" s="2" t="s">
        <v>855</v>
      </c>
      <c r="D1415" s="31">
        <f t="shared" si="52"/>
        <v>0.20994589217301965</v>
      </c>
      <c r="F1415" s="2" t="s">
        <v>822</v>
      </c>
      <c r="G1415" s="23" t="s">
        <v>902</v>
      </c>
      <c r="H1415" s="2" t="s">
        <v>822</v>
      </c>
      <c r="J1415" s="31">
        <v>41.111598999999998</v>
      </c>
      <c r="K1415" s="31">
        <v>-15.8400002</v>
      </c>
      <c r="L1415" s="31"/>
      <c r="M1415" s="31" t="s">
        <v>854</v>
      </c>
      <c r="N1415" s="6" t="s">
        <v>856</v>
      </c>
    </row>
    <row r="1416" spans="1:14" ht="15" customHeight="1" x14ac:dyDescent="0.2">
      <c r="A1416" s="31">
        <v>1.070999379925577</v>
      </c>
      <c r="B1416" s="31"/>
      <c r="C1416" s="2" t="s">
        <v>855</v>
      </c>
      <c r="D1416" s="31">
        <f t="shared" si="52"/>
        <v>0.2099158784654131</v>
      </c>
      <c r="F1416" s="2" t="s">
        <v>822</v>
      </c>
      <c r="G1416" s="23" t="s">
        <v>902</v>
      </c>
      <c r="H1416" s="2" t="s">
        <v>822</v>
      </c>
      <c r="J1416" s="31">
        <v>25.220600099999999</v>
      </c>
      <c r="K1416" s="31">
        <v>51.974800100000003</v>
      </c>
      <c r="L1416" s="31"/>
      <c r="M1416" s="31" t="s">
        <v>854</v>
      </c>
      <c r="N1416" s="6" t="s">
        <v>856</v>
      </c>
    </row>
    <row r="1417" spans="1:14" ht="15" customHeight="1" x14ac:dyDescent="0.2">
      <c r="A1417" s="31">
        <v>1.0709447315008049</v>
      </c>
      <c r="B1417" s="31"/>
      <c r="C1417" s="2" t="s">
        <v>855</v>
      </c>
      <c r="D1417" s="31">
        <f t="shared" si="52"/>
        <v>0.20990516737415776</v>
      </c>
      <c r="F1417" s="2" t="s">
        <v>822</v>
      </c>
      <c r="G1417" s="23" t="s">
        <v>902</v>
      </c>
      <c r="H1417" s="2" t="s">
        <v>822</v>
      </c>
      <c r="J1417" s="31">
        <v>27.360799799999999</v>
      </c>
      <c r="K1417" s="31">
        <v>50.004699700000003</v>
      </c>
      <c r="L1417" s="31"/>
      <c r="M1417" s="31" t="s">
        <v>854</v>
      </c>
      <c r="N1417" s="6" t="s">
        <v>856</v>
      </c>
    </row>
    <row r="1418" spans="1:14" ht="15" customHeight="1" x14ac:dyDescent="0.2">
      <c r="A1418" s="31">
        <v>1.0703881414188869</v>
      </c>
      <c r="B1418" s="31"/>
      <c r="C1418" s="2" t="s">
        <v>855</v>
      </c>
      <c r="D1418" s="31">
        <f t="shared" si="52"/>
        <v>0.20979607571810185</v>
      </c>
      <c r="F1418" s="2" t="s">
        <v>822</v>
      </c>
      <c r="G1418" s="23" t="s">
        <v>902</v>
      </c>
      <c r="H1418" s="2" t="s">
        <v>822</v>
      </c>
      <c r="J1418" s="31">
        <v>40.117198899999998</v>
      </c>
      <c r="K1418" s="31">
        <v>-20.597499800000001</v>
      </c>
      <c r="L1418" s="31"/>
      <c r="M1418" s="31" t="s">
        <v>854</v>
      </c>
      <c r="N1418" s="6" t="s">
        <v>856</v>
      </c>
    </row>
    <row r="1419" spans="1:14" ht="15" customHeight="1" x14ac:dyDescent="0.2">
      <c r="A1419" s="31">
        <v>1.0701950805922169</v>
      </c>
      <c r="B1419" s="31"/>
      <c r="C1419" s="2" t="s">
        <v>855</v>
      </c>
      <c r="D1419" s="31">
        <f t="shared" si="52"/>
        <v>0.20975823579607453</v>
      </c>
      <c r="F1419" s="2" t="s">
        <v>822</v>
      </c>
      <c r="G1419" s="23" t="s">
        <v>902</v>
      </c>
      <c r="H1419" s="2" t="s">
        <v>822</v>
      </c>
      <c r="J1419" s="31">
        <v>25.109100300000001</v>
      </c>
      <c r="K1419" s="31">
        <v>36.058998099999997</v>
      </c>
      <c r="L1419" s="31"/>
      <c r="M1419" s="31" t="s">
        <v>854</v>
      </c>
      <c r="N1419" s="6" t="s">
        <v>856</v>
      </c>
    </row>
    <row r="1420" spans="1:14" ht="15" customHeight="1" x14ac:dyDescent="0.2">
      <c r="A1420" s="31">
        <v>1.070085915193332</v>
      </c>
      <c r="B1420" s="31"/>
      <c r="C1420" s="2" t="s">
        <v>855</v>
      </c>
      <c r="D1420" s="31">
        <f t="shared" si="52"/>
        <v>0.20973683937789306</v>
      </c>
      <c r="F1420" s="2" t="s">
        <v>822</v>
      </c>
      <c r="G1420" s="23" t="s">
        <v>902</v>
      </c>
      <c r="H1420" s="2" t="s">
        <v>822</v>
      </c>
      <c r="J1420" s="31">
        <v>32.051998099999999</v>
      </c>
      <c r="K1420" s="31">
        <v>-14.5039997</v>
      </c>
      <c r="L1420" s="31"/>
      <c r="M1420" s="31" t="s">
        <v>854</v>
      </c>
      <c r="N1420" s="6" t="s">
        <v>856</v>
      </c>
    </row>
    <row r="1421" spans="1:14" ht="15" customHeight="1" x14ac:dyDescent="0.2">
      <c r="A1421" s="31">
        <v>1.069612714455912</v>
      </c>
      <c r="B1421" s="31"/>
      <c r="C1421" s="2" t="s">
        <v>855</v>
      </c>
      <c r="D1421" s="31">
        <f t="shared" si="52"/>
        <v>0.20964409203335876</v>
      </c>
      <c r="F1421" s="2" t="s">
        <v>822</v>
      </c>
      <c r="G1421" s="23" t="s">
        <v>902</v>
      </c>
      <c r="H1421" s="2" t="s">
        <v>822</v>
      </c>
      <c r="J1421" s="31">
        <v>42.411701200000003</v>
      </c>
      <c r="K1421" s="31">
        <v>5.8681102000000003</v>
      </c>
      <c r="L1421" s="31"/>
      <c r="M1421" s="31" t="s">
        <v>854</v>
      </c>
      <c r="N1421" s="6" t="s">
        <v>856</v>
      </c>
    </row>
    <row r="1422" spans="1:14" ht="15" customHeight="1" x14ac:dyDescent="0.2">
      <c r="A1422" s="31">
        <v>1.069447129856772</v>
      </c>
      <c r="B1422" s="31"/>
      <c r="C1422" s="2" t="s">
        <v>855</v>
      </c>
      <c r="D1422" s="31">
        <f t="shared" si="52"/>
        <v>0.20961163745192732</v>
      </c>
      <c r="F1422" s="2" t="s">
        <v>822</v>
      </c>
      <c r="G1422" s="23" t="s">
        <v>902</v>
      </c>
      <c r="H1422" s="2" t="s">
        <v>822</v>
      </c>
      <c r="J1422" s="31">
        <v>60.640800499999997</v>
      </c>
      <c r="K1422" s="31">
        <v>17.395000499999998</v>
      </c>
      <c r="L1422" s="31"/>
      <c r="M1422" s="31" t="s">
        <v>854</v>
      </c>
      <c r="N1422" s="6" t="s">
        <v>856</v>
      </c>
    </row>
    <row r="1423" spans="1:14" ht="15" customHeight="1" x14ac:dyDescent="0.2">
      <c r="A1423" s="31">
        <v>1.069209489883358</v>
      </c>
      <c r="B1423" s="31"/>
      <c r="C1423" s="2" t="s">
        <v>855</v>
      </c>
      <c r="D1423" s="31">
        <f t="shared" si="52"/>
        <v>0.20956506001713818</v>
      </c>
      <c r="F1423" s="2" t="s">
        <v>822</v>
      </c>
      <c r="G1423" s="23" t="s">
        <v>902</v>
      </c>
      <c r="H1423" s="2" t="s">
        <v>822</v>
      </c>
      <c r="J1423" s="31">
        <v>53.356800100000001</v>
      </c>
      <c r="K1423" s="31">
        <v>-9.8897896000000003</v>
      </c>
      <c r="L1423" s="31"/>
      <c r="M1423" s="31" t="s">
        <v>854</v>
      </c>
      <c r="N1423" s="6" t="s">
        <v>856</v>
      </c>
    </row>
    <row r="1424" spans="1:14" ht="15" customHeight="1" x14ac:dyDescent="0.2">
      <c r="A1424" s="31">
        <v>1.0691262839193481</v>
      </c>
      <c r="B1424" s="31"/>
      <c r="C1424" s="2" t="s">
        <v>855</v>
      </c>
      <c r="D1424" s="31">
        <f t="shared" si="52"/>
        <v>0.20954875164819223</v>
      </c>
      <c r="F1424" s="2" t="s">
        <v>822</v>
      </c>
      <c r="G1424" s="23" t="s">
        <v>902</v>
      </c>
      <c r="H1424" s="2" t="s">
        <v>822</v>
      </c>
      <c r="J1424" s="31">
        <v>37.4634018</v>
      </c>
      <c r="K1424" s="31">
        <v>-19.5265007</v>
      </c>
      <c r="L1424" s="31"/>
      <c r="M1424" s="31" t="s">
        <v>854</v>
      </c>
      <c r="N1424" s="6" t="s">
        <v>856</v>
      </c>
    </row>
    <row r="1425" spans="1:14" ht="15" customHeight="1" x14ac:dyDescent="0.2">
      <c r="A1425" s="22">
        <v>0.20938367975216957</v>
      </c>
      <c r="B1425" s="22"/>
      <c r="C1425" s="2" t="s">
        <v>891</v>
      </c>
      <c r="D1425" s="2">
        <f>A1425</f>
        <v>0.20938367975216957</v>
      </c>
      <c r="F1425" s="2">
        <v>2023</v>
      </c>
      <c r="G1425" s="23" t="s">
        <v>902</v>
      </c>
      <c r="H1425" s="2" t="s">
        <v>768</v>
      </c>
      <c r="I1425" s="23" t="s">
        <v>188</v>
      </c>
      <c r="J1425" s="23">
        <v>58.250126999999999</v>
      </c>
      <c r="K1425" s="23">
        <v>11.445434000000001</v>
      </c>
      <c r="L1425" s="23" t="s">
        <v>819</v>
      </c>
      <c r="M1425" s="2" t="s">
        <v>825</v>
      </c>
      <c r="N1425" s="6" t="s">
        <v>828</v>
      </c>
    </row>
    <row r="1426" spans="1:14" ht="15" customHeight="1" x14ac:dyDescent="0.2">
      <c r="A1426" s="31">
        <v>1.0672314725717471</v>
      </c>
      <c r="B1426" s="31"/>
      <c r="C1426" s="2" t="s">
        <v>855</v>
      </c>
      <c r="D1426" s="31">
        <f xml:space="preserve"> A1426 * 0.196</f>
        <v>0.20917736862406244</v>
      </c>
      <c r="F1426" s="2" t="s">
        <v>822</v>
      </c>
      <c r="G1426" s="23" t="s">
        <v>902</v>
      </c>
      <c r="H1426" s="2" t="s">
        <v>822</v>
      </c>
      <c r="J1426" s="31">
        <v>36.811100000000003</v>
      </c>
      <c r="K1426" s="31">
        <v>2.8465500000000001</v>
      </c>
      <c r="L1426" s="31"/>
      <c r="M1426" s="31" t="s">
        <v>854</v>
      </c>
      <c r="N1426" s="6" t="s">
        <v>856</v>
      </c>
    </row>
    <row r="1427" spans="1:14" ht="15" customHeight="1" x14ac:dyDescent="0.2">
      <c r="A1427" s="31">
        <v>1.0667972136349271</v>
      </c>
      <c r="B1427" s="31"/>
      <c r="C1427" s="2" t="s">
        <v>855</v>
      </c>
      <c r="D1427" s="31">
        <f xml:space="preserve"> A1427 * 0.196</f>
        <v>0.2090922538724457</v>
      </c>
      <c r="F1427" s="2" t="s">
        <v>822</v>
      </c>
      <c r="G1427" s="23" t="s">
        <v>902</v>
      </c>
      <c r="H1427" s="2" t="s">
        <v>822</v>
      </c>
      <c r="J1427" s="31">
        <v>61.308498399999998</v>
      </c>
      <c r="K1427" s="31">
        <v>18.7800999</v>
      </c>
      <c r="L1427" s="31"/>
      <c r="M1427" s="31" t="s">
        <v>854</v>
      </c>
      <c r="N1427" s="6" t="s">
        <v>856</v>
      </c>
    </row>
    <row r="1428" spans="1:14" ht="15" customHeight="1" x14ac:dyDescent="0.2">
      <c r="A1428" s="31">
        <v>1.06660116425054</v>
      </c>
      <c r="B1428" s="31"/>
      <c r="C1428" s="2" t="s">
        <v>855</v>
      </c>
      <c r="D1428" s="31">
        <f xml:space="preserve"> A1428 * 0.196</f>
        <v>0.20905382819310583</v>
      </c>
      <c r="F1428" s="2" t="s">
        <v>822</v>
      </c>
      <c r="G1428" s="23" t="s">
        <v>902</v>
      </c>
      <c r="H1428" s="2" t="s">
        <v>822</v>
      </c>
      <c r="J1428" s="31">
        <v>47.066200299999998</v>
      </c>
      <c r="K1428" s="31">
        <v>-10.0755997</v>
      </c>
      <c r="L1428" s="31"/>
      <c r="M1428" s="31" t="s">
        <v>854</v>
      </c>
      <c r="N1428" s="6" t="s">
        <v>856</v>
      </c>
    </row>
    <row r="1429" spans="1:14" ht="15" customHeight="1" x14ac:dyDescent="0.2">
      <c r="A1429" s="31">
        <v>1.065846795808999</v>
      </c>
      <c r="B1429" s="31"/>
      <c r="C1429" s="2" t="s">
        <v>855</v>
      </c>
      <c r="D1429" s="31">
        <f xml:space="preserve"> A1429 * 0.196</f>
        <v>0.20890597197856381</v>
      </c>
      <c r="F1429" s="2" t="s">
        <v>822</v>
      </c>
      <c r="G1429" s="23" t="s">
        <v>902</v>
      </c>
      <c r="H1429" s="2" t="s">
        <v>822</v>
      </c>
      <c r="J1429" s="31">
        <v>38.736698199999999</v>
      </c>
      <c r="K1429" s="31">
        <v>-39.8927002</v>
      </c>
      <c r="L1429" s="31"/>
      <c r="M1429" s="31" t="s">
        <v>854</v>
      </c>
      <c r="N1429" s="6" t="s">
        <v>856</v>
      </c>
    </row>
    <row r="1430" spans="1:14" ht="15" customHeight="1" x14ac:dyDescent="0.2">
      <c r="A1430" s="31">
        <v>1.065607199034927</v>
      </c>
      <c r="B1430" s="31"/>
      <c r="C1430" s="2" t="s">
        <v>855</v>
      </c>
      <c r="D1430" s="31">
        <f xml:space="preserve"> A1430 * 0.196</f>
        <v>0.2088590110108457</v>
      </c>
      <c r="F1430" s="2" t="s">
        <v>822</v>
      </c>
      <c r="G1430" s="23" t="s">
        <v>902</v>
      </c>
      <c r="H1430" s="2" t="s">
        <v>822</v>
      </c>
      <c r="J1430" s="31">
        <v>41.910701799999998</v>
      </c>
      <c r="K1430" s="31">
        <v>-26.593799600000001</v>
      </c>
      <c r="L1430" s="31"/>
      <c r="M1430" s="31" t="s">
        <v>854</v>
      </c>
      <c r="N1430" s="6" t="s">
        <v>856</v>
      </c>
    </row>
    <row r="1431" spans="1:14" ht="15" customHeight="1" x14ac:dyDescent="0.2">
      <c r="A1431" s="31">
        <v>3.8284206190363E-4</v>
      </c>
      <c r="B1431" s="31"/>
      <c r="C1431" s="2" t="s">
        <v>892</v>
      </c>
      <c r="D1431" s="2">
        <f>A1431 * 545.45</f>
        <v>0.20882120266533499</v>
      </c>
      <c r="F1431" s="2">
        <v>2020</v>
      </c>
      <c r="G1431" s="38" t="s">
        <v>901</v>
      </c>
      <c r="H1431" s="2" t="s">
        <v>764</v>
      </c>
      <c r="I1431" s="31" t="s">
        <v>259</v>
      </c>
      <c r="J1431" s="31">
        <v>54.373600000000003</v>
      </c>
      <c r="K1431" s="31">
        <v>13.239800000000001</v>
      </c>
      <c r="L1431" s="2" t="s">
        <v>28</v>
      </c>
      <c r="M1431" s="2" t="s">
        <v>824</v>
      </c>
      <c r="N1431" s="17" t="s">
        <v>906</v>
      </c>
    </row>
    <row r="1432" spans="1:14" ht="15" customHeight="1" x14ac:dyDescent="0.2">
      <c r="A1432" s="31">
        <v>1.065218158589043</v>
      </c>
      <c r="B1432" s="31"/>
      <c r="C1432" s="2" t="s">
        <v>855</v>
      </c>
      <c r="D1432" s="31">
        <f t="shared" ref="D1432:D1463" si="53" xml:space="preserve"> A1432 * 0.196</f>
        <v>0.20878275908345242</v>
      </c>
      <c r="F1432" s="2" t="s">
        <v>822</v>
      </c>
      <c r="G1432" s="23" t="s">
        <v>902</v>
      </c>
      <c r="H1432" s="2" t="s">
        <v>822</v>
      </c>
      <c r="J1432" s="31">
        <v>38.797699000000001</v>
      </c>
      <c r="K1432" s="31">
        <v>24.219600700000001</v>
      </c>
      <c r="L1432" s="31"/>
      <c r="M1432" s="31" t="s">
        <v>854</v>
      </c>
      <c r="N1432" s="6" t="s">
        <v>856</v>
      </c>
    </row>
    <row r="1433" spans="1:14" ht="15" customHeight="1" x14ac:dyDescent="0.2">
      <c r="A1433" s="31">
        <v>1.0635608257379181</v>
      </c>
      <c r="B1433" s="31"/>
      <c r="C1433" s="2" t="s">
        <v>855</v>
      </c>
      <c r="D1433" s="31">
        <f t="shared" si="53"/>
        <v>0.20845792184463197</v>
      </c>
      <c r="F1433" s="2" t="s">
        <v>822</v>
      </c>
      <c r="G1433" s="23" t="s">
        <v>902</v>
      </c>
      <c r="H1433" s="2" t="s">
        <v>822</v>
      </c>
      <c r="J1433" s="31">
        <v>41.403999300000002</v>
      </c>
      <c r="K1433" s="31">
        <v>-13.1680002</v>
      </c>
      <c r="L1433" s="31"/>
      <c r="M1433" s="31" t="s">
        <v>854</v>
      </c>
      <c r="N1433" s="6" t="s">
        <v>856</v>
      </c>
    </row>
    <row r="1434" spans="1:14" ht="15" customHeight="1" x14ac:dyDescent="0.2">
      <c r="A1434" s="31">
        <v>1.06335129057393</v>
      </c>
      <c r="B1434" s="31"/>
      <c r="C1434" s="2" t="s">
        <v>855</v>
      </c>
      <c r="D1434" s="31">
        <f t="shared" si="53"/>
        <v>0.20841685295249029</v>
      </c>
      <c r="F1434" s="2" t="s">
        <v>822</v>
      </c>
      <c r="G1434" s="23" t="s">
        <v>902</v>
      </c>
      <c r="H1434" s="2" t="s">
        <v>822</v>
      </c>
      <c r="J1434" s="31">
        <v>38.186199199999997</v>
      </c>
      <c r="K1434" s="31">
        <v>-10.596799900000001</v>
      </c>
      <c r="L1434" s="31"/>
      <c r="M1434" s="31" t="s">
        <v>854</v>
      </c>
      <c r="N1434" s="6" t="s">
        <v>856</v>
      </c>
    </row>
    <row r="1435" spans="1:14" ht="15" customHeight="1" x14ac:dyDescent="0.2">
      <c r="A1435" s="31">
        <v>1.0628389255892989</v>
      </c>
      <c r="B1435" s="31"/>
      <c r="C1435" s="2" t="s">
        <v>855</v>
      </c>
      <c r="D1435" s="31">
        <f t="shared" si="53"/>
        <v>0.2083164294155026</v>
      </c>
      <c r="F1435" s="2" t="s">
        <v>822</v>
      </c>
      <c r="G1435" s="23" t="s">
        <v>902</v>
      </c>
      <c r="H1435" s="2" t="s">
        <v>822</v>
      </c>
      <c r="J1435" s="31">
        <v>30.7159996</v>
      </c>
      <c r="K1435" s="31">
        <v>-23.187999699999999</v>
      </c>
      <c r="L1435" s="31"/>
      <c r="M1435" s="31" t="s">
        <v>854</v>
      </c>
      <c r="N1435" s="6" t="s">
        <v>856</v>
      </c>
    </row>
    <row r="1436" spans="1:14" ht="15" customHeight="1" x14ac:dyDescent="0.2">
      <c r="A1436" s="31">
        <v>1.0626744703234989</v>
      </c>
      <c r="B1436" s="31"/>
      <c r="C1436" s="2" t="s">
        <v>855</v>
      </c>
      <c r="D1436" s="31">
        <f t="shared" si="53"/>
        <v>0.2082841961834058</v>
      </c>
      <c r="F1436" s="2" t="s">
        <v>822</v>
      </c>
      <c r="G1436" s="23" t="s">
        <v>902</v>
      </c>
      <c r="H1436" s="2" t="s">
        <v>822</v>
      </c>
      <c r="J1436" s="31">
        <v>41.403999300000002</v>
      </c>
      <c r="K1436" s="31">
        <v>-41.223998999999999</v>
      </c>
      <c r="L1436" s="31"/>
      <c r="M1436" s="31" t="s">
        <v>854</v>
      </c>
      <c r="N1436" s="6" t="s">
        <v>856</v>
      </c>
    </row>
    <row r="1437" spans="1:14" ht="15" customHeight="1" x14ac:dyDescent="0.2">
      <c r="A1437" s="31">
        <v>1.062062758624549</v>
      </c>
      <c r="B1437" s="31"/>
      <c r="C1437" s="2" t="s">
        <v>855</v>
      </c>
      <c r="D1437" s="31">
        <f t="shared" si="53"/>
        <v>0.20816430069041161</v>
      </c>
      <c r="F1437" s="2" t="s">
        <v>822</v>
      </c>
      <c r="G1437" s="23" t="s">
        <v>902</v>
      </c>
      <c r="H1437" s="2" t="s">
        <v>822</v>
      </c>
      <c r="J1437" s="31">
        <v>40.509498600000001</v>
      </c>
      <c r="K1437" s="31">
        <v>12.803099599999999</v>
      </c>
      <c r="L1437" s="31"/>
      <c r="M1437" s="31" t="s">
        <v>854</v>
      </c>
      <c r="N1437" s="6" t="s">
        <v>856</v>
      </c>
    </row>
    <row r="1438" spans="1:14" ht="15" customHeight="1" x14ac:dyDescent="0.2">
      <c r="A1438" s="31">
        <v>1.062047772628405</v>
      </c>
      <c r="B1438" s="31"/>
      <c r="C1438" s="2" t="s">
        <v>855</v>
      </c>
      <c r="D1438" s="31">
        <f t="shared" si="53"/>
        <v>0.20816136343516739</v>
      </c>
      <c r="F1438" s="2" t="s">
        <v>822</v>
      </c>
      <c r="G1438" s="23" t="s">
        <v>902</v>
      </c>
      <c r="H1438" s="2" t="s">
        <v>822</v>
      </c>
      <c r="J1438" s="31">
        <v>29.4493008</v>
      </c>
      <c r="K1438" s="31">
        <v>50.200099899999998</v>
      </c>
      <c r="L1438" s="31"/>
      <c r="M1438" s="31" t="s">
        <v>854</v>
      </c>
      <c r="N1438" s="6" t="s">
        <v>856</v>
      </c>
    </row>
    <row r="1439" spans="1:14" ht="15" customHeight="1" x14ac:dyDescent="0.2">
      <c r="A1439" s="31">
        <v>1.062029872931189</v>
      </c>
      <c r="B1439" s="31"/>
      <c r="C1439" s="2" t="s">
        <v>855</v>
      </c>
      <c r="D1439" s="31">
        <f t="shared" si="53"/>
        <v>0.20815785509451304</v>
      </c>
      <c r="F1439" s="2" t="s">
        <v>822</v>
      </c>
      <c r="G1439" s="23" t="s">
        <v>902</v>
      </c>
      <c r="H1439" s="2" t="s">
        <v>822</v>
      </c>
      <c r="J1439" s="31">
        <v>40.736598999999998</v>
      </c>
      <c r="K1439" s="31">
        <v>-35.988201099999998</v>
      </c>
      <c r="L1439" s="31"/>
      <c r="M1439" s="31" t="s">
        <v>854</v>
      </c>
      <c r="N1439" s="6" t="s">
        <v>856</v>
      </c>
    </row>
    <row r="1440" spans="1:14" ht="15" customHeight="1" x14ac:dyDescent="0.2">
      <c r="A1440" s="31">
        <v>1.0617497379263809</v>
      </c>
      <c r="B1440" s="31"/>
      <c r="C1440" s="2" t="s">
        <v>855</v>
      </c>
      <c r="D1440" s="31">
        <f t="shared" si="53"/>
        <v>0.20810294863357068</v>
      </c>
      <c r="F1440" s="2" t="s">
        <v>822</v>
      </c>
      <c r="G1440" s="23" t="s">
        <v>902</v>
      </c>
      <c r="H1440" s="2" t="s">
        <v>822</v>
      </c>
      <c r="J1440" s="31">
        <v>42.361499799999997</v>
      </c>
      <c r="K1440" s="31">
        <v>15.326700199999999</v>
      </c>
      <c r="L1440" s="31"/>
      <c r="M1440" s="31" t="s">
        <v>854</v>
      </c>
      <c r="N1440" s="6" t="s">
        <v>856</v>
      </c>
    </row>
    <row r="1441" spans="1:14" ht="15" customHeight="1" x14ac:dyDescent="0.2">
      <c r="A1441" s="31">
        <v>1.060093818447982</v>
      </c>
      <c r="B1441" s="31"/>
      <c r="C1441" s="2" t="s">
        <v>855</v>
      </c>
      <c r="D1441" s="31">
        <f t="shared" si="53"/>
        <v>0.20777838841580448</v>
      </c>
      <c r="F1441" s="2" t="s">
        <v>822</v>
      </c>
      <c r="G1441" s="23" t="s">
        <v>902</v>
      </c>
      <c r="H1441" s="2" t="s">
        <v>822</v>
      </c>
      <c r="J1441" s="31">
        <v>46.080001799999998</v>
      </c>
      <c r="K1441" s="31">
        <v>-40.555999800000002</v>
      </c>
      <c r="L1441" s="31"/>
      <c r="M1441" s="31" t="s">
        <v>854</v>
      </c>
      <c r="N1441" s="6" t="s">
        <v>856</v>
      </c>
    </row>
    <row r="1442" spans="1:14" ht="15" customHeight="1" x14ac:dyDescent="0.2">
      <c r="A1442" s="31">
        <v>1.059618002192982</v>
      </c>
      <c r="B1442" s="31"/>
      <c r="C1442" s="2" t="s">
        <v>855</v>
      </c>
      <c r="D1442" s="31">
        <f t="shared" si="53"/>
        <v>0.20768512842982448</v>
      </c>
      <c r="F1442" s="2" t="s">
        <v>822</v>
      </c>
      <c r="G1442" s="23" t="s">
        <v>902</v>
      </c>
      <c r="H1442" s="2" t="s">
        <v>822</v>
      </c>
      <c r="J1442" s="31">
        <v>40.736598999999998</v>
      </c>
      <c r="K1442" s="31">
        <v>-34.543998700000003</v>
      </c>
      <c r="L1442" s="31"/>
      <c r="M1442" s="31" t="s">
        <v>854</v>
      </c>
      <c r="N1442" s="6" t="s">
        <v>856</v>
      </c>
    </row>
    <row r="1443" spans="1:14" ht="15" customHeight="1" x14ac:dyDescent="0.2">
      <c r="A1443" s="31">
        <v>1.059337659172872</v>
      </c>
      <c r="B1443" s="31"/>
      <c r="C1443" s="2" t="s">
        <v>855</v>
      </c>
      <c r="D1443" s="31">
        <f t="shared" si="53"/>
        <v>0.20763018119788293</v>
      </c>
      <c r="F1443" s="2" t="s">
        <v>822</v>
      </c>
      <c r="G1443" s="23" t="s">
        <v>902</v>
      </c>
      <c r="H1443" s="2" t="s">
        <v>822</v>
      </c>
      <c r="J1443" s="31">
        <v>40.647899600000002</v>
      </c>
      <c r="K1443" s="31">
        <v>-28.4953003</v>
      </c>
      <c r="L1443" s="31"/>
      <c r="M1443" s="31" t="s">
        <v>854</v>
      </c>
      <c r="N1443" s="6" t="s">
        <v>856</v>
      </c>
    </row>
    <row r="1444" spans="1:14" ht="15" customHeight="1" x14ac:dyDescent="0.2">
      <c r="A1444" s="31">
        <v>1.059167069677931</v>
      </c>
      <c r="B1444" s="31"/>
      <c r="C1444" s="2" t="s">
        <v>855</v>
      </c>
      <c r="D1444" s="31">
        <f t="shared" si="53"/>
        <v>0.20759674565687447</v>
      </c>
      <c r="F1444" s="2" t="s">
        <v>822</v>
      </c>
      <c r="G1444" s="23" t="s">
        <v>902</v>
      </c>
      <c r="H1444" s="2" t="s">
        <v>822</v>
      </c>
      <c r="J1444" s="31">
        <v>30.277299899999999</v>
      </c>
      <c r="K1444" s="31">
        <v>-11.3884001</v>
      </c>
      <c r="L1444" s="31"/>
      <c r="M1444" s="31" t="s">
        <v>854</v>
      </c>
      <c r="N1444" s="6" t="s">
        <v>856</v>
      </c>
    </row>
    <row r="1445" spans="1:14" ht="15" customHeight="1" x14ac:dyDescent="0.2">
      <c r="A1445" s="31">
        <v>1.058837555194148</v>
      </c>
      <c r="B1445" s="31"/>
      <c r="C1445" s="2" t="s">
        <v>855</v>
      </c>
      <c r="D1445" s="31">
        <f t="shared" si="53"/>
        <v>0.20753216081805301</v>
      </c>
      <c r="F1445" s="2" t="s">
        <v>822</v>
      </c>
      <c r="G1445" s="23" t="s">
        <v>902</v>
      </c>
      <c r="H1445" s="2" t="s">
        <v>822</v>
      </c>
      <c r="J1445" s="31">
        <v>43.721698799999999</v>
      </c>
      <c r="K1445" s="31">
        <v>-7.7603102000000002</v>
      </c>
      <c r="L1445" s="31"/>
      <c r="M1445" s="31" t="s">
        <v>854</v>
      </c>
      <c r="N1445" s="6" t="s">
        <v>856</v>
      </c>
    </row>
    <row r="1446" spans="1:14" ht="15" customHeight="1" x14ac:dyDescent="0.2">
      <c r="A1446" s="31">
        <v>1.058310313154984</v>
      </c>
      <c r="B1446" s="31"/>
      <c r="C1446" s="2" t="s">
        <v>855</v>
      </c>
      <c r="D1446" s="31">
        <f t="shared" si="53"/>
        <v>0.20742882137837687</v>
      </c>
      <c r="F1446" s="2" t="s">
        <v>822</v>
      </c>
      <c r="G1446" s="23" t="s">
        <v>902</v>
      </c>
      <c r="H1446" s="2" t="s">
        <v>822</v>
      </c>
      <c r="J1446" s="31">
        <v>37.3959999</v>
      </c>
      <c r="K1446" s="31">
        <v>-39.220001199999999</v>
      </c>
      <c r="L1446" s="31"/>
      <c r="M1446" s="31" t="s">
        <v>854</v>
      </c>
      <c r="N1446" s="6" t="s">
        <v>856</v>
      </c>
    </row>
    <row r="1447" spans="1:14" ht="15" customHeight="1" x14ac:dyDescent="0.2">
      <c r="A1447" s="31">
        <v>1.0570858525090889</v>
      </c>
      <c r="B1447" s="31"/>
      <c r="C1447" s="2" t="s">
        <v>855</v>
      </c>
      <c r="D1447" s="31">
        <f t="shared" si="53"/>
        <v>0.20718882709178144</v>
      </c>
      <c r="F1447" s="2" t="s">
        <v>822</v>
      </c>
      <c r="G1447" s="23" t="s">
        <v>902</v>
      </c>
      <c r="H1447" s="2" t="s">
        <v>822</v>
      </c>
      <c r="J1447" s="31">
        <v>43.860298200000003</v>
      </c>
      <c r="K1447" s="31">
        <v>-10.626299899999999</v>
      </c>
      <c r="L1447" s="31"/>
      <c r="M1447" s="31" t="s">
        <v>854</v>
      </c>
      <c r="N1447" s="6" t="s">
        <v>856</v>
      </c>
    </row>
    <row r="1448" spans="1:14" ht="15" customHeight="1" x14ac:dyDescent="0.2">
      <c r="A1448" s="31">
        <v>1.056859427717566</v>
      </c>
      <c r="B1448" s="31"/>
      <c r="C1448" s="2" t="s">
        <v>855</v>
      </c>
      <c r="D1448" s="31">
        <f t="shared" si="53"/>
        <v>0.20714444783264294</v>
      </c>
      <c r="F1448" s="2" t="s">
        <v>822</v>
      </c>
      <c r="G1448" s="23" t="s">
        <v>902</v>
      </c>
      <c r="H1448" s="2" t="s">
        <v>822</v>
      </c>
      <c r="J1448" s="31">
        <v>36.720798500000001</v>
      </c>
      <c r="K1448" s="31">
        <v>20.3390007</v>
      </c>
      <c r="L1448" s="31"/>
      <c r="M1448" s="31" t="s">
        <v>854</v>
      </c>
      <c r="N1448" s="6" t="s">
        <v>856</v>
      </c>
    </row>
    <row r="1449" spans="1:14" ht="15" customHeight="1" x14ac:dyDescent="0.2">
      <c r="A1449" s="31">
        <v>1.056855066506966</v>
      </c>
      <c r="B1449" s="31"/>
      <c r="C1449" s="2" t="s">
        <v>855</v>
      </c>
      <c r="D1449" s="31">
        <f t="shared" si="53"/>
        <v>0.20714359303536536</v>
      </c>
      <c r="F1449" s="2" t="s">
        <v>822</v>
      </c>
      <c r="G1449" s="23" t="s">
        <v>902</v>
      </c>
      <c r="H1449" s="2" t="s">
        <v>822</v>
      </c>
      <c r="J1449" s="31">
        <v>54.222499800000001</v>
      </c>
      <c r="K1449" s="31">
        <v>15.2124004</v>
      </c>
      <c r="L1449" s="31"/>
      <c r="M1449" s="31" t="s">
        <v>854</v>
      </c>
      <c r="N1449" s="6" t="s">
        <v>856</v>
      </c>
    </row>
    <row r="1450" spans="1:14" ht="15" customHeight="1" x14ac:dyDescent="0.2">
      <c r="A1450" s="31">
        <v>1.0565197513057201</v>
      </c>
      <c r="B1450" s="31"/>
      <c r="C1450" s="2" t="s">
        <v>855</v>
      </c>
      <c r="D1450" s="31">
        <f t="shared" si="53"/>
        <v>0.20707787125592114</v>
      </c>
      <c r="F1450" s="2" t="s">
        <v>822</v>
      </c>
      <c r="G1450" s="23" t="s">
        <v>902</v>
      </c>
      <c r="H1450" s="2" t="s">
        <v>822</v>
      </c>
      <c r="J1450" s="31">
        <v>31.165800099999998</v>
      </c>
      <c r="K1450" s="31">
        <v>-29.234899500000001</v>
      </c>
      <c r="L1450" s="31"/>
      <c r="M1450" s="31" t="s">
        <v>854</v>
      </c>
      <c r="N1450" s="6" t="s">
        <v>856</v>
      </c>
    </row>
    <row r="1451" spans="1:14" ht="15" customHeight="1" x14ac:dyDescent="0.2">
      <c r="A1451" s="31">
        <v>1.0564301831181011</v>
      </c>
      <c r="B1451" s="31"/>
      <c r="C1451" s="2" t="s">
        <v>855</v>
      </c>
      <c r="D1451" s="31">
        <f t="shared" si="53"/>
        <v>0.20706031589114782</v>
      </c>
      <c r="F1451" s="2" t="s">
        <v>822</v>
      </c>
      <c r="G1451" s="23" t="s">
        <v>902</v>
      </c>
      <c r="H1451" s="2" t="s">
        <v>822</v>
      </c>
      <c r="J1451" s="31">
        <v>40.273399400000002</v>
      </c>
      <c r="K1451" s="31">
        <v>22.9648991</v>
      </c>
      <c r="L1451" s="31"/>
      <c r="M1451" s="31" t="s">
        <v>854</v>
      </c>
      <c r="N1451" s="6" t="s">
        <v>856</v>
      </c>
    </row>
    <row r="1452" spans="1:14" ht="15" customHeight="1" x14ac:dyDescent="0.2">
      <c r="A1452" s="31">
        <v>1.0563999160208051</v>
      </c>
      <c r="B1452" s="31"/>
      <c r="C1452" s="2" t="s">
        <v>855</v>
      </c>
      <c r="D1452" s="31">
        <f t="shared" si="53"/>
        <v>0.2070543835400778</v>
      </c>
      <c r="F1452" s="2" t="s">
        <v>822</v>
      </c>
      <c r="G1452" s="23" t="s">
        <v>902</v>
      </c>
      <c r="H1452" s="2" t="s">
        <v>822</v>
      </c>
      <c r="J1452" s="31">
        <v>42.139198299999997</v>
      </c>
      <c r="K1452" s="31">
        <v>-19.3514996</v>
      </c>
      <c r="L1452" s="31"/>
      <c r="M1452" s="31" t="s">
        <v>854</v>
      </c>
      <c r="N1452" s="6" t="s">
        <v>856</v>
      </c>
    </row>
    <row r="1453" spans="1:14" ht="15" customHeight="1" x14ac:dyDescent="0.2">
      <c r="A1453" s="31">
        <v>1.0554762653051231</v>
      </c>
      <c r="B1453" s="31"/>
      <c r="C1453" s="2" t="s">
        <v>855</v>
      </c>
      <c r="D1453" s="31">
        <f t="shared" si="53"/>
        <v>0.20687334799980414</v>
      </c>
      <c r="F1453" s="2" t="s">
        <v>822</v>
      </c>
      <c r="G1453" s="23" t="s">
        <v>902</v>
      </c>
      <c r="H1453" s="2" t="s">
        <v>822</v>
      </c>
      <c r="J1453" s="31">
        <v>40.760898599999997</v>
      </c>
      <c r="K1453" s="31">
        <v>-13.1437998</v>
      </c>
      <c r="L1453" s="31"/>
      <c r="M1453" s="31" t="s">
        <v>854</v>
      </c>
      <c r="N1453" s="6" t="s">
        <v>856</v>
      </c>
    </row>
    <row r="1454" spans="1:14" ht="15" customHeight="1" x14ac:dyDescent="0.2">
      <c r="A1454" s="31">
        <v>1.0549464811839819</v>
      </c>
      <c r="B1454" s="31"/>
      <c r="C1454" s="2" t="s">
        <v>855</v>
      </c>
      <c r="D1454" s="31">
        <f t="shared" si="53"/>
        <v>0.20676951031206048</v>
      </c>
      <c r="F1454" s="2" t="s">
        <v>822</v>
      </c>
      <c r="G1454" s="23" t="s">
        <v>902</v>
      </c>
      <c r="H1454" s="2" t="s">
        <v>822</v>
      </c>
      <c r="J1454" s="31">
        <v>38.052898399999997</v>
      </c>
      <c r="K1454" s="31">
        <v>-16.499599499999999</v>
      </c>
      <c r="L1454" s="31"/>
      <c r="M1454" s="31" t="s">
        <v>854</v>
      </c>
      <c r="N1454" s="6" t="s">
        <v>856</v>
      </c>
    </row>
    <row r="1455" spans="1:14" ht="15" customHeight="1" x14ac:dyDescent="0.2">
      <c r="A1455" s="31">
        <v>1.0548266139863089</v>
      </c>
      <c r="B1455" s="31"/>
      <c r="C1455" s="2" t="s">
        <v>855</v>
      </c>
      <c r="D1455" s="31">
        <f t="shared" si="53"/>
        <v>0.20674601634131656</v>
      </c>
      <c r="F1455" s="2" t="s">
        <v>822</v>
      </c>
      <c r="G1455" s="23" t="s">
        <v>902</v>
      </c>
      <c r="H1455" s="2" t="s">
        <v>822</v>
      </c>
      <c r="J1455" s="31">
        <v>35.344799000000002</v>
      </c>
      <c r="K1455" s="31">
        <v>25.3246994</v>
      </c>
      <c r="L1455" s="31"/>
      <c r="M1455" s="31" t="s">
        <v>854</v>
      </c>
      <c r="N1455" s="6" t="s">
        <v>856</v>
      </c>
    </row>
    <row r="1456" spans="1:14" ht="15" customHeight="1" x14ac:dyDescent="0.2">
      <c r="A1456" s="31">
        <v>1.054325714102899</v>
      </c>
      <c r="B1456" s="31"/>
      <c r="C1456" s="2" t="s">
        <v>855</v>
      </c>
      <c r="D1456" s="31">
        <f t="shared" si="53"/>
        <v>0.20664783996416822</v>
      </c>
      <c r="F1456" s="2" t="s">
        <v>822</v>
      </c>
      <c r="G1456" s="23" t="s">
        <v>902</v>
      </c>
      <c r="H1456" s="2" t="s">
        <v>822</v>
      </c>
      <c r="J1456" s="31">
        <v>40.897998800000003</v>
      </c>
      <c r="K1456" s="31">
        <v>-40.545299499999999</v>
      </c>
      <c r="L1456" s="31"/>
      <c r="M1456" s="31" t="s">
        <v>854</v>
      </c>
      <c r="N1456" s="6" t="s">
        <v>856</v>
      </c>
    </row>
    <row r="1457" spans="1:14" ht="15" customHeight="1" x14ac:dyDescent="0.2">
      <c r="A1457" s="31">
        <v>1.0535783705068229</v>
      </c>
      <c r="B1457" s="31"/>
      <c r="C1457" s="2" t="s">
        <v>855</v>
      </c>
      <c r="D1457" s="31">
        <f t="shared" si="53"/>
        <v>0.2065013606193373</v>
      </c>
      <c r="F1457" s="2" t="s">
        <v>822</v>
      </c>
      <c r="G1457" s="23" t="s">
        <v>902</v>
      </c>
      <c r="H1457" s="2" t="s">
        <v>822</v>
      </c>
      <c r="J1457" s="31">
        <v>43.931301099999999</v>
      </c>
      <c r="K1457" s="31">
        <v>-3.2989899999999999</v>
      </c>
      <c r="L1457" s="31"/>
      <c r="M1457" s="31" t="s">
        <v>854</v>
      </c>
      <c r="N1457" s="6" t="s">
        <v>856</v>
      </c>
    </row>
    <row r="1458" spans="1:14" ht="15" customHeight="1" x14ac:dyDescent="0.2">
      <c r="A1458" s="31">
        <v>1.053568814119145</v>
      </c>
      <c r="B1458" s="31"/>
      <c r="C1458" s="2" t="s">
        <v>855</v>
      </c>
      <c r="D1458" s="31">
        <f t="shared" si="53"/>
        <v>0.20649948756735242</v>
      </c>
      <c r="F1458" s="2" t="s">
        <v>822</v>
      </c>
      <c r="G1458" s="23" t="s">
        <v>902</v>
      </c>
      <c r="H1458" s="2" t="s">
        <v>822</v>
      </c>
      <c r="J1458" s="31">
        <v>35.167198200000001</v>
      </c>
      <c r="K1458" s="31">
        <v>-12.748800299999999</v>
      </c>
      <c r="L1458" s="31"/>
      <c r="M1458" s="31" t="s">
        <v>854</v>
      </c>
      <c r="N1458" s="6" t="s">
        <v>856</v>
      </c>
    </row>
    <row r="1459" spans="1:14" ht="15" customHeight="1" x14ac:dyDescent="0.2">
      <c r="A1459" s="31">
        <v>1.05281246597336</v>
      </c>
      <c r="B1459" s="31"/>
      <c r="C1459" s="2" t="s">
        <v>855</v>
      </c>
      <c r="D1459" s="31">
        <f t="shared" si="53"/>
        <v>0.20635124333077856</v>
      </c>
      <c r="F1459" s="2" t="s">
        <v>822</v>
      </c>
      <c r="G1459" s="23" t="s">
        <v>902</v>
      </c>
      <c r="H1459" s="2" t="s">
        <v>822</v>
      </c>
      <c r="J1459" s="31">
        <v>37.977401700000001</v>
      </c>
      <c r="K1459" s="31">
        <v>2.2365699000000001</v>
      </c>
      <c r="L1459" s="31"/>
      <c r="M1459" s="31" t="s">
        <v>854</v>
      </c>
      <c r="N1459" s="6" t="s">
        <v>856</v>
      </c>
    </row>
    <row r="1460" spans="1:14" ht="15" customHeight="1" x14ac:dyDescent="0.2">
      <c r="A1460" s="31">
        <v>1.0525415461205441</v>
      </c>
      <c r="B1460" s="31"/>
      <c r="C1460" s="2" t="s">
        <v>855</v>
      </c>
      <c r="D1460" s="31">
        <f t="shared" si="53"/>
        <v>0.20629814303962665</v>
      </c>
      <c r="F1460" s="2" t="s">
        <v>822</v>
      </c>
      <c r="G1460" s="23" t="s">
        <v>902</v>
      </c>
      <c r="H1460" s="2" t="s">
        <v>822</v>
      </c>
      <c r="J1460" s="31">
        <v>37.767799400000001</v>
      </c>
      <c r="K1460" s="31">
        <v>-9.6852598000000008</v>
      </c>
      <c r="L1460" s="31"/>
      <c r="M1460" s="31" t="s">
        <v>854</v>
      </c>
      <c r="N1460" s="6" t="s">
        <v>856</v>
      </c>
    </row>
    <row r="1461" spans="1:14" ht="15" customHeight="1" x14ac:dyDescent="0.2">
      <c r="A1461" s="31">
        <v>1.052359865056981</v>
      </c>
      <c r="B1461" s="31"/>
      <c r="C1461" s="2" t="s">
        <v>855</v>
      </c>
      <c r="D1461" s="31">
        <f t="shared" si="53"/>
        <v>0.20626253355116828</v>
      </c>
      <c r="F1461" s="2" t="s">
        <v>822</v>
      </c>
      <c r="G1461" s="23" t="s">
        <v>902</v>
      </c>
      <c r="H1461" s="2" t="s">
        <v>822</v>
      </c>
      <c r="J1461" s="31">
        <v>33.388000499999997</v>
      </c>
      <c r="K1461" s="31">
        <v>-13.8360004</v>
      </c>
      <c r="L1461" s="31"/>
      <c r="M1461" s="31" t="s">
        <v>854</v>
      </c>
      <c r="N1461" s="6" t="s">
        <v>856</v>
      </c>
    </row>
    <row r="1462" spans="1:14" ht="15" customHeight="1" x14ac:dyDescent="0.2">
      <c r="A1462" s="31">
        <v>1.051688084598386</v>
      </c>
      <c r="B1462" s="31"/>
      <c r="C1462" s="2" t="s">
        <v>855</v>
      </c>
      <c r="D1462" s="31">
        <f t="shared" si="53"/>
        <v>0.20613086458128366</v>
      </c>
      <c r="F1462" s="2" t="s">
        <v>822</v>
      </c>
      <c r="G1462" s="23" t="s">
        <v>902</v>
      </c>
      <c r="H1462" s="2" t="s">
        <v>822</v>
      </c>
      <c r="J1462" s="31">
        <v>25.899799300000002</v>
      </c>
      <c r="K1462" s="31">
        <v>34.570098899999998</v>
      </c>
      <c r="L1462" s="31"/>
      <c r="M1462" s="31" t="s">
        <v>854</v>
      </c>
      <c r="N1462" s="6" t="s">
        <v>856</v>
      </c>
    </row>
    <row r="1463" spans="1:14" ht="15" customHeight="1" x14ac:dyDescent="0.2">
      <c r="A1463" s="31">
        <v>1.051617506614317</v>
      </c>
      <c r="B1463" s="31"/>
      <c r="C1463" s="2" t="s">
        <v>855</v>
      </c>
      <c r="D1463" s="31">
        <f t="shared" si="53"/>
        <v>0.20611703129640613</v>
      </c>
      <c r="F1463" s="2" t="s">
        <v>822</v>
      </c>
      <c r="G1463" s="23" t="s">
        <v>902</v>
      </c>
      <c r="H1463" s="2" t="s">
        <v>822</v>
      </c>
      <c r="J1463" s="31">
        <v>33.472999600000001</v>
      </c>
      <c r="K1463" s="31">
        <v>-8.0935697999999991</v>
      </c>
      <c r="L1463" s="31"/>
      <c r="M1463" s="31" t="s">
        <v>854</v>
      </c>
      <c r="N1463" s="6" t="s">
        <v>856</v>
      </c>
    </row>
    <row r="1464" spans="1:14" ht="15" customHeight="1" x14ac:dyDescent="0.2">
      <c r="A1464" s="31">
        <v>1.0514347574959679</v>
      </c>
      <c r="B1464" s="31"/>
      <c r="C1464" s="2" t="s">
        <v>855</v>
      </c>
      <c r="D1464" s="31">
        <f t="shared" ref="D1464:D1495" si="54" xml:space="preserve"> A1464 * 0.196</f>
        <v>0.20608121246920971</v>
      </c>
      <c r="F1464" s="2" t="s">
        <v>822</v>
      </c>
      <c r="G1464" s="23" t="s">
        <v>902</v>
      </c>
      <c r="H1464" s="2" t="s">
        <v>822</v>
      </c>
      <c r="J1464" s="31">
        <v>28.390600200000002</v>
      </c>
      <c r="K1464" s="31">
        <v>-15.509200099999999</v>
      </c>
      <c r="L1464" s="31"/>
      <c r="M1464" s="31" t="s">
        <v>854</v>
      </c>
      <c r="N1464" s="6" t="s">
        <v>856</v>
      </c>
    </row>
    <row r="1465" spans="1:14" ht="15" customHeight="1" x14ac:dyDescent="0.2">
      <c r="A1465" s="31">
        <v>1.051207581566207</v>
      </c>
      <c r="B1465" s="31"/>
      <c r="C1465" s="2" t="s">
        <v>855</v>
      </c>
      <c r="D1465" s="31">
        <f t="shared" si="54"/>
        <v>0.20603668598697658</v>
      </c>
      <c r="F1465" s="2" t="s">
        <v>822</v>
      </c>
      <c r="G1465" s="23" t="s">
        <v>902</v>
      </c>
      <c r="H1465" s="2" t="s">
        <v>822</v>
      </c>
      <c r="J1465" s="31">
        <v>38.937801399999998</v>
      </c>
      <c r="K1465" s="31">
        <v>-42.541000400000001</v>
      </c>
      <c r="L1465" s="31"/>
      <c r="M1465" s="31" t="s">
        <v>854</v>
      </c>
      <c r="N1465" s="6" t="s">
        <v>856</v>
      </c>
    </row>
    <row r="1466" spans="1:14" ht="15" customHeight="1" x14ac:dyDescent="0.2">
      <c r="A1466" s="31">
        <v>1.051158434929728</v>
      </c>
      <c r="B1466" s="31"/>
      <c r="C1466" s="2" t="s">
        <v>855</v>
      </c>
      <c r="D1466" s="31">
        <f t="shared" si="54"/>
        <v>0.20602705324622669</v>
      </c>
      <c r="F1466" s="2" t="s">
        <v>822</v>
      </c>
      <c r="G1466" s="23" t="s">
        <v>902</v>
      </c>
      <c r="H1466" s="2" t="s">
        <v>822</v>
      </c>
      <c r="J1466" s="31">
        <v>32.979301499999998</v>
      </c>
      <c r="K1466" s="31">
        <v>-41.988201099999998</v>
      </c>
      <c r="L1466" s="31"/>
      <c r="M1466" s="31" t="s">
        <v>854</v>
      </c>
      <c r="N1466" s="6" t="s">
        <v>856</v>
      </c>
    </row>
    <row r="1467" spans="1:14" ht="15" customHeight="1" x14ac:dyDescent="0.2">
      <c r="A1467" s="31">
        <v>1.0508566152025329</v>
      </c>
      <c r="B1467" s="31"/>
      <c r="C1467" s="2" t="s">
        <v>855</v>
      </c>
      <c r="D1467" s="31">
        <f t="shared" si="54"/>
        <v>0.20596789657969647</v>
      </c>
      <c r="F1467" s="2" t="s">
        <v>822</v>
      </c>
      <c r="G1467" s="23" t="s">
        <v>902</v>
      </c>
      <c r="H1467" s="2" t="s">
        <v>822</v>
      </c>
      <c r="J1467" s="31">
        <v>25.3321991</v>
      </c>
      <c r="K1467" s="31">
        <v>-14.824600200000001</v>
      </c>
      <c r="L1467" s="31"/>
      <c r="M1467" s="31" t="s">
        <v>854</v>
      </c>
      <c r="N1467" s="6" t="s">
        <v>856</v>
      </c>
    </row>
    <row r="1468" spans="1:14" ht="15" customHeight="1" x14ac:dyDescent="0.2">
      <c r="A1468" s="31">
        <v>1.050838941836036</v>
      </c>
      <c r="B1468" s="31"/>
      <c r="C1468" s="2" t="s">
        <v>855</v>
      </c>
      <c r="D1468" s="31">
        <f t="shared" si="54"/>
        <v>0.20596443259986305</v>
      </c>
      <c r="F1468" s="2" t="s">
        <v>822</v>
      </c>
      <c r="G1468" s="23" t="s">
        <v>902</v>
      </c>
      <c r="H1468" s="2" t="s">
        <v>822</v>
      </c>
      <c r="J1468" s="31">
        <v>44.341899900000001</v>
      </c>
      <c r="K1468" s="31">
        <v>-12.4827995</v>
      </c>
      <c r="L1468" s="31"/>
      <c r="M1468" s="31" t="s">
        <v>854</v>
      </c>
      <c r="N1468" s="6" t="s">
        <v>856</v>
      </c>
    </row>
    <row r="1469" spans="1:14" ht="15" customHeight="1" x14ac:dyDescent="0.2">
      <c r="A1469" s="31">
        <v>1.050211163524656</v>
      </c>
      <c r="B1469" s="31"/>
      <c r="C1469" s="2" t="s">
        <v>855</v>
      </c>
      <c r="D1469" s="31">
        <f t="shared" si="54"/>
        <v>0.2058413880508326</v>
      </c>
      <c r="F1469" s="2" t="s">
        <v>822</v>
      </c>
      <c r="G1469" s="23" t="s">
        <v>902</v>
      </c>
      <c r="H1469" s="2" t="s">
        <v>822</v>
      </c>
      <c r="J1469" s="31">
        <v>40.518501299999997</v>
      </c>
      <c r="K1469" s="31">
        <v>-39.618499800000002</v>
      </c>
      <c r="L1469" s="31"/>
      <c r="M1469" s="31" t="s">
        <v>854</v>
      </c>
      <c r="N1469" s="6" t="s">
        <v>856</v>
      </c>
    </row>
    <row r="1470" spans="1:14" ht="15" customHeight="1" x14ac:dyDescent="0.2">
      <c r="A1470" s="31">
        <v>1.0501834192767261</v>
      </c>
      <c r="B1470" s="31"/>
      <c r="C1470" s="2" t="s">
        <v>855</v>
      </c>
      <c r="D1470" s="31">
        <f t="shared" si="54"/>
        <v>0.20583595017823833</v>
      </c>
      <c r="F1470" s="2" t="s">
        <v>822</v>
      </c>
      <c r="G1470" s="23" t="s">
        <v>902</v>
      </c>
      <c r="H1470" s="2" t="s">
        <v>822</v>
      </c>
      <c r="J1470" s="31">
        <v>36.013999900000002</v>
      </c>
      <c r="K1470" s="31">
        <v>17.009799999999998</v>
      </c>
      <c r="L1470" s="31"/>
      <c r="M1470" s="31" t="s">
        <v>854</v>
      </c>
      <c r="N1470" s="6" t="s">
        <v>856</v>
      </c>
    </row>
    <row r="1471" spans="1:14" ht="15" customHeight="1" x14ac:dyDescent="0.2">
      <c r="A1471" s="31">
        <v>1.0498756712050881</v>
      </c>
      <c r="B1471" s="31"/>
      <c r="C1471" s="2" t="s">
        <v>855</v>
      </c>
      <c r="D1471" s="31">
        <f t="shared" si="54"/>
        <v>0.20577563155619727</v>
      </c>
      <c r="F1471" s="2" t="s">
        <v>822</v>
      </c>
      <c r="G1471" s="23" t="s">
        <v>902</v>
      </c>
      <c r="H1471" s="2" t="s">
        <v>822</v>
      </c>
      <c r="J1471" s="31">
        <v>39.4109993</v>
      </c>
      <c r="K1471" s="31">
        <v>-35.246398900000003</v>
      </c>
      <c r="L1471" s="31"/>
      <c r="M1471" s="31" t="s">
        <v>854</v>
      </c>
      <c r="N1471" s="6" t="s">
        <v>856</v>
      </c>
    </row>
    <row r="1472" spans="1:14" ht="15" customHeight="1" x14ac:dyDescent="0.2">
      <c r="A1472" s="31">
        <v>1.049784197711169</v>
      </c>
      <c r="B1472" s="31"/>
      <c r="C1472" s="2" t="s">
        <v>855</v>
      </c>
      <c r="D1472" s="31">
        <f t="shared" si="54"/>
        <v>0.20575770275138913</v>
      </c>
      <c r="F1472" s="2" t="s">
        <v>822</v>
      </c>
      <c r="G1472" s="23" t="s">
        <v>902</v>
      </c>
      <c r="H1472" s="2" t="s">
        <v>822</v>
      </c>
      <c r="J1472" s="31">
        <v>41.848201799999998</v>
      </c>
      <c r="K1472" s="31">
        <v>-10.1341</v>
      </c>
      <c r="L1472" s="31"/>
      <c r="M1472" s="31" t="s">
        <v>854</v>
      </c>
      <c r="N1472" s="6" t="s">
        <v>856</v>
      </c>
    </row>
    <row r="1473" spans="1:14" ht="15" customHeight="1" x14ac:dyDescent="0.2">
      <c r="A1473" s="31">
        <v>1.0496899213796389</v>
      </c>
      <c r="B1473" s="31"/>
      <c r="C1473" s="2" t="s">
        <v>855</v>
      </c>
      <c r="D1473" s="31">
        <f t="shared" si="54"/>
        <v>0.20573922459040922</v>
      </c>
      <c r="F1473" s="2" t="s">
        <v>822</v>
      </c>
      <c r="G1473" s="23" t="s">
        <v>902</v>
      </c>
      <c r="H1473" s="2" t="s">
        <v>822</v>
      </c>
      <c r="J1473" s="31">
        <v>25.3719997</v>
      </c>
      <c r="K1473" s="31">
        <v>-25.1919994</v>
      </c>
      <c r="L1473" s="31"/>
      <c r="M1473" s="31" t="s">
        <v>854</v>
      </c>
      <c r="N1473" s="6" t="s">
        <v>856</v>
      </c>
    </row>
    <row r="1474" spans="1:14" ht="15" customHeight="1" x14ac:dyDescent="0.2">
      <c r="A1474" s="31">
        <v>1.0495981776514951</v>
      </c>
      <c r="B1474" s="31"/>
      <c r="C1474" s="2" t="s">
        <v>855</v>
      </c>
      <c r="D1474" s="31">
        <f t="shared" si="54"/>
        <v>0.20572124281969303</v>
      </c>
      <c r="F1474" s="2" t="s">
        <v>822</v>
      </c>
      <c r="G1474" s="23" t="s">
        <v>902</v>
      </c>
      <c r="H1474" s="2" t="s">
        <v>822</v>
      </c>
      <c r="J1474" s="31">
        <v>25.023199099999999</v>
      </c>
      <c r="K1474" s="31">
        <v>62.943801899999997</v>
      </c>
      <c r="L1474" s="31"/>
      <c r="M1474" s="31" t="s">
        <v>854</v>
      </c>
      <c r="N1474" s="6" t="s">
        <v>856</v>
      </c>
    </row>
    <row r="1475" spans="1:14" ht="15" customHeight="1" x14ac:dyDescent="0.2">
      <c r="A1475" s="31">
        <v>1.0495483071820251</v>
      </c>
      <c r="B1475" s="31"/>
      <c r="C1475" s="2" t="s">
        <v>855</v>
      </c>
      <c r="D1475" s="31">
        <f t="shared" si="54"/>
        <v>0.20571146820767691</v>
      </c>
      <c r="F1475" s="2" t="s">
        <v>822</v>
      </c>
      <c r="G1475" s="23" t="s">
        <v>902</v>
      </c>
      <c r="H1475" s="2" t="s">
        <v>822</v>
      </c>
      <c r="J1475" s="31">
        <v>39.6935997</v>
      </c>
      <c r="K1475" s="31">
        <v>-24.5240002</v>
      </c>
      <c r="L1475" s="31"/>
      <c r="M1475" s="31" t="s">
        <v>854</v>
      </c>
      <c r="N1475" s="6" t="s">
        <v>856</v>
      </c>
    </row>
    <row r="1476" spans="1:14" ht="15" customHeight="1" x14ac:dyDescent="0.2">
      <c r="A1476" s="31">
        <v>1.0490174177136029</v>
      </c>
      <c r="B1476" s="31"/>
      <c r="C1476" s="2" t="s">
        <v>855</v>
      </c>
      <c r="D1476" s="31">
        <f t="shared" si="54"/>
        <v>0.20560741387186618</v>
      </c>
      <c r="F1476" s="2" t="s">
        <v>822</v>
      </c>
      <c r="G1476" s="23" t="s">
        <v>902</v>
      </c>
      <c r="H1476" s="2" t="s">
        <v>822</v>
      </c>
      <c r="J1476" s="31">
        <v>39.305301700000001</v>
      </c>
      <c r="K1476" s="31">
        <v>5.3319100000000001E-2</v>
      </c>
      <c r="L1476" s="31"/>
      <c r="M1476" s="31" t="s">
        <v>854</v>
      </c>
      <c r="N1476" s="6" t="s">
        <v>856</v>
      </c>
    </row>
    <row r="1477" spans="1:14" ht="15" customHeight="1" x14ac:dyDescent="0.2">
      <c r="A1477" s="31">
        <v>1.04893846407736</v>
      </c>
      <c r="B1477" s="31"/>
      <c r="C1477" s="2" t="s">
        <v>855</v>
      </c>
      <c r="D1477" s="31">
        <f t="shared" si="54"/>
        <v>0.20559193895916258</v>
      </c>
      <c r="F1477" s="2" t="s">
        <v>822</v>
      </c>
      <c r="G1477" s="23" t="s">
        <v>902</v>
      </c>
      <c r="H1477" s="2" t="s">
        <v>822</v>
      </c>
      <c r="J1477" s="31">
        <v>32.952899899999998</v>
      </c>
      <c r="K1477" s="31">
        <v>-28.222200399999998</v>
      </c>
      <c r="L1477" s="31"/>
      <c r="M1477" s="31" t="s">
        <v>854</v>
      </c>
      <c r="N1477" s="6" t="s">
        <v>856</v>
      </c>
    </row>
    <row r="1478" spans="1:14" ht="15" customHeight="1" x14ac:dyDescent="0.2">
      <c r="A1478" s="31">
        <v>1.048885768478597</v>
      </c>
      <c r="B1478" s="31"/>
      <c r="C1478" s="2" t="s">
        <v>855</v>
      </c>
      <c r="D1478" s="31">
        <f t="shared" si="54"/>
        <v>0.20558161062180502</v>
      </c>
      <c r="F1478" s="2" t="s">
        <v>822</v>
      </c>
      <c r="G1478" s="23" t="s">
        <v>902</v>
      </c>
      <c r="H1478" s="2" t="s">
        <v>822</v>
      </c>
      <c r="J1478" s="31">
        <v>41.1072998</v>
      </c>
      <c r="K1478" s="31">
        <v>-11.438799899999999</v>
      </c>
      <c r="L1478" s="31"/>
      <c r="M1478" s="31" t="s">
        <v>854</v>
      </c>
      <c r="N1478" s="6" t="s">
        <v>856</v>
      </c>
    </row>
    <row r="1479" spans="1:14" ht="15" customHeight="1" x14ac:dyDescent="0.2">
      <c r="A1479" s="31">
        <v>1.048883161615128</v>
      </c>
      <c r="B1479" s="31"/>
      <c r="C1479" s="2" t="s">
        <v>855</v>
      </c>
      <c r="D1479" s="31">
        <f t="shared" si="54"/>
        <v>0.2055810996765651</v>
      </c>
      <c r="F1479" s="2" t="s">
        <v>822</v>
      </c>
      <c r="G1479" s="23" t="s">
        <v>902</v>
      </c>
      <c r="H1479" s="2" t="s">
        <v>822</v>
      </c>
      <c r="J1479" s="31">
        <v>34.055999800000002</v>
      </c>
      <c r="K1479" s="31">
        <v>-18.846000700000001</v>
      </c>
      <c r="L1479" s="31"/>
      <c r="M1479" s="31" t="s">
        <v>854</v>
      </c>
      <c r="N1479" s="6" t="s">
        <v>856</v>
      </c>
    </row>
    <row r="1480" spans="1:14" ht="15" customHeight="1" x14ac:dyDescent="0.2">
      <c r="A1480" s="31">
        <v>1.0484478515741971</v>
      </c>
      <c r="B1480" s="31"/>
      <c r="C1480" s="2" t="s">
        <v>855</v>
      </c>
      <c r="D1480" s="31">
        <f t="shared" si="54"/>
        <v>0.20549577890854262</v>
      </c>
      <c r="F1480" s="2" t="s">
        <v>822</v>
      </c>
      <c r="G1480" s="23" t="s">
        <v>902</v>
      </c>
      <c r="H1480" s="2" t="s">
        <v>822</v>
      </c>
      <c r="J1480" s="31">
        <v>34.0840988</v>
      </c>
      <c r="K1480" s="31">
        <v>-14.523699799999999</v>
      </c>
      <c r="L1480" s="31"/>
      <c r="M1480" s="31" t="s">
        <v>854</v>
      </c>
      <c r="N1480" s="6" t="s">
        <v>856</v>
      </c>
    </row>
    <row r="1481" spans="1:14" ht="15" customHeight="1" x14ac:dyDescent="0.2">
      <c r="A1481" s="31">
        <v>1.047612712811788</v>
      </c>
      <c r="B1481" s="31"/>
      <c r="C1481" s="2" t="s">
        <v>855</v>
      </c>
      <c r="D1481" s="31">
        <f t="shared" si="54"/>
        <v>0.20533209171111047</v>
      </c>
      <c r="F1481" s="2" t="s">
        <v>822</v>
      </c>
      <c r="G1481" s="23" t="s">
        <v>902</v>
      </c>
      <c r="H1481" s="2" t="s">
        <v>822</v>
      </c>
      <c r="J1481" s="31">
        <v>36.016201000000002</v>
      </c>
      <c r="K1481" s="31">
        <v>-14.4631004</v>
      </c>
      <c r="L1481" s="31"/>
      <c r="M1481" s="31" t="s">
        <v>854</v>
      </c>
      <c r="N1481" s="6" t="s">
        <v>856</v>
      </c>
    </row>
    <row r="1482" spans="1:14" ht="15" customHeight="1" x14ac:dyDescent="0.2">
      <c r="A1482" s="31">
        <v>1.0473963178420991</v>
      </c>
      <c r="B1482" s="31"/>
      <c r="C1482" s="2" t="s">
        <v>855</v>
      </c>
      <c r="D1482" s="31">
        <f t="shared" si="54"/>
        <v>0.20528967829705141</v>
      </c>
      <c r="F1482" s="2" t="s">
        <v>822</v>
      </c>
      <c r="G1482" s="23" t="s">
        <v>902</v>
      </c>
      <c r="H1482" s="2" t="s">
        <v>822</v>
      </c>
      <c r="J1482" s="31">
        <v>32.051998099999999</v>
      </c>
      <c r="K1482" s="31">
        <v>-19.847999600000001</v>
      </c>
      <c r="L1482" s="31"/>
      <c r="M1482" s="31" t="s">
        <v>854</v>
      </c>
      <c r="N1482" s="6" t="s">
        <v>856</v>
      </c>
    </row>
    <row r="1483" spans="1:14" ht="15" customHeight="1" x14ac:dyDescent="0.2">
      <c r="A1483" s="31">
        <v>1.0472149607369681</v>
      </c>
      <c r="B1483" s="31"/>
      <c r="C1483" s="2" t="s">
        <v>855</v>
      </c>
      <c r="D1483" s="31">
        <f t="shared" si="54"/>
        <v>0.20525413230444575</v>
      </c>
      <c r="F1483" s="2" t="s">
        <v>822</v>
      </c>
      <c r="G1483" s="23" t="s">
        <v>902</v>
      </c>
      <c r="H1483" s="2" t="s">
        <v>822</v>
      </c>
      <c r="J1483" s="31">
        <v>39.037200900000002</v>
      </c>
      <c r="K1483" s="31">
        <v>9.2238398000000004</v>
      </c>
      <c r="L1483" s="31"/>
      <c r="M1483" s="31" t="s">
        <v>854</v>
      </c>
      <c r="N1483" s="6" t="s">
        <v>856</v>
      </c>
    </row>
    <row r="1484" spans="1:14" ht="15" customHeight="1" x14ac:dyDescent="0.2">
      <c r="A1484" s="31">
        <v>1.0471711969931989</v>
      </c>
      <c r="B1484" s="31"/>
      <c r="C1484" s="2" t="s">
        <v>855</v>
      </c>
      <c r="D1484" s="31">
        <f t="shared" si="54"/>
        <v>0.20524555461066701</v>
      </c>
      <c r="F1484" s="2" t="s">
        <v>822</v>
      </c>
      <c r="G1484" s="23" t="s">
        <v>902</v>
      </c>
      <c r="H1484" s="2" t="s">
        <v>822</v>
      </c>
      <c r="J1484" s="31">
        <v>39.066001900000003</v>
      </c>
      <c r="K1484" s="31">
        <v>-37.215999600000004</v>
      </c>
      <c r="L1484" s="31"/>
      <c r="M1484" s="31" t="s">
        <v>854</v>
      </c>
      <c r="N1484" s="6" t="s">
        <v>856</v>
      </c>
    </row>
    <row r="1485" spans="1:14" ht="15" customHeight="1" x14ac:dyDescent="0.2">
      <c r="A1485" s="31">
        <v>1.046614676681368</v>
      </c>
      <c r="B1485" s="31"/>
      <c r="C1485" s="2" t="s">
        <v>855</v>
      </c>
      <c r="D1485" s="31">
        <f t="shared" si="54"/>
        <v>0.20513647662954812</v>
      </c>
      <c r="F1485" s="2" t="s">
        <v>822</v>
      </c>
      <c r="G1485" s="23" t="s">
        <v>902</v>
      </c>
      <c r="H1485" s="2" t="s">
        <v>822</v>
      </c>
      <c r="J1485" s="31">
        <v>39.373699199999997</v>
      </c>
      <c r="K1485" s="31">
        <v>-20.554899200000001</v>
      </c>
      <c r="L1485" s="31"/>
      <c r="M1485" s="31" t="s">
        <v>854</v>
      </c>
      <c r="N1485" s="6" t="s">
        <v>856</v>
      </c>
    </row>
    <row r="1486" spans="1:14" ht="15" customHeight="1" x14ac:dyDescent="0.2">
      <c r="A1486" s="31">
        <v>1.046364978835796</v>
      </c>
      <c r="B1486" s="31"/>
      <c r="C1486" s="2" t="s">
        <v>855</v>
      </c>
      <c r="D1486" s="31">
        <f t="shared" si="54"/>
        <v>0.20508753585181602</v>
      </c>
      <c r="F1486" s="2" t="s">
        <v>822</v>
      </c>
      <c r="G1486" s="23" t="s">
        <v>902</v>
      </c>
      <c r="H1486" s="2" t="s">
        <v>822</v>
      </c>
      <c r="J1486" s="31">
        <v>33.685699499999998</v>
      </c>
      <c r="K1486" s="31">
        <v>10.9927998</v>
      </c>
      <c r="L1486" s="31"/>
      <c r="M1486" s="31" t="s">
        <v>854</v>
      </c>
      <c r="N1486" s="6" t="s">
        <v>856</v>
      </c>
    </row>
    <row r="1487" spans="1:14" ht="15" customHeight="1" x14ac:dyDescent="0.2">
      <c r="A1487" s="31">
        <v>1.04566783846995</v>
      </c>
      <c r="B1487" s="31"/>
      <c r="C1487" s="2" t="s">
        <v>855</v>
      </c>
      <c r="D1487" s="31">
        <f t="shared" si="54"/>
        <v>0.20495089634011021</v>
      </c>
      <c r="F1487" s="2" t="s">
        <v>822</v>
      </c>
      <c r="G1487" s="23" t="s">
        <v>902</v>
      </c>
      <c r="H1487" s="2" t="s">
        <v>822</v>
      </c>
      <c r="J1487" s="31">
        <v>37.416400899999999</v>
      </c>
      <c r="K1487" s="31">
        <v>-34.541198700000002</v>
      </c>
      <c r="L1487" s="31"/>
      <c r="M1487" s="31" t="s">
        <v>854</v>
      </c>
      <c r="N1487" s="6" t="s">
        <v>856</v>
      </c>
    </row>
    <row r="1488" spans="1:14" ht="15" customHeight="1" x14ac:dyDescent="0.2">
      <c r="A1488" s="31">
        <v>1.0455617195475031</v>
      </c>
      <c r="B1488" s="31"/>
      <c r="C1488" s="2" t="s">
        <v>855</v>
      </c>
      <c r="D1488" s="31">
        <f t="shared" si="54"/>
        <v>0.20493009703131063</v>
      </c>
      <c r="F1488" s="2" t="s">
        <v>822</v>
      </c>
      <c r="G1488" s="23" t="s">
        <v>902</v>
      </c>
      <c r="H1488" s="2" t="s">
        <v>822</v>
      </c>
      <c r="J1488" s="31">
        <v>33.968299899999998</v>
      </c>
      <c r="K1488" s="31">
        <v>32.251899700000003</v>
      </c>
      <c r="L1488" s="31"/>
      <c r="M1488" s="31" t="s">
        <v>854</v>
      </c>
      <c r="N1488" s="6" t="s">
        <v>856</v>
      </c>
    </row>
    <row r="1489" spans="1:14" ht="15" customHeight="1" x14ac:dyDescent="0.2">
      <c r="A1489" s="31">
        <v>1.0452512361212249</v>
      </c>
      <c r="B1489" s="31"/>
      <c r="C1489" s="2" t="s">
        <v>855</v>
      </c>
      <c r="D1489" s="31">
        <f t="shared" si="54"/>
        <v>0.20486924227976011</v>
      </c>
      <c r="F1489" s="2" t="s">
        <v>822</v>
      </c>
      <c r="G1489" s="23" t="s">
        <v>902</v>
      </c>
      <c r="H1489" s="2" t="s">
        <v>822</v>
      </c>
      <c r="J1489" s="31">
        <v>37.625400499999998</v>
      </c>
      <c r="K1489" s="31">
        <v>24.367700599999999</v>
      </c>
      <c r="L1489" s="31"/>
      <c r="M1489" s="31" t="s">
        <v>854</v>
      </c>
      <c r="N1489" s="6" t="s">
        <v>856</v>
      </c>
    </row>
    <row r="1490" spans="1:14" ht="15" customHeight="1" x14ac:dyDescent="0.2">
      <c r="A1490" s="31">
        <v>1.044608609953485</v>
      </c>
      <c r="B1490" s="31"/>
      <c r="C1490" s="2" t="s">
        <v>855</v>
      </c>
      <c r="D1490" s="31">
        <f t="shared" si="54"/>
        <v>0.20474328755088309</v>
      </c>
      <c r="F1490" s="2" t="s">
        <v>822</v>
      </c>
      <c r="G1490" s="23" t="s">
        <v>902</v>
      </c>
      <c r="H1490" s="2" t="s">
        <v>822</v>
      </c>
      <c r="J1490" s="31">
        <v>38.041099500000001</v>
      </c>
      <c r="K1490" s="31">
        <v>-37.858699799999997</v>
      </c>
      <c r="L1490" s="31"/>
      <c r="M1490" s="31" t="s">
        <v>854</v>
      </c>
      <c r="N1490" s="6" t="s">
        <v>856</v>
      </c>
    </row>
    <row r="1491" spans="1:14" ht="15" customHeight="1" x14ac:dyDescent="0.2">
      <c r="A1491" s="31">
        <v>1.0442923681743601</v>
      </c>
      <c r="B1491" s="31"/>
      <c r="C1491" s="2" t="s">
        <v>855</v>
      </c>
      <c r="D1491" s="31">
        <f t="shared" si="54"/>
        <v>0.20468130416217459</v>
      </c>
      <c r="F1491" s="2" t="s">
        <v>822</v>
      </c>
      <c r="G1491" s="23" t="s">
        <v>902</v>
      </c>
      <c r="H1491" s="2" t="s">
        <v>822</v>
      </c>
      <c r="J1491" s="31">
        <v>40.688800800000003</v>
      </c>
      <c r="K1491" s="31">
        <v>-11.198900200000001</v>
      </c>
      <c r="L1491" s="31"/>
      <c r="M1491" s="31" t="s">
        <v>854</v>
      </c>
      <c r="N1491" s="6" t="s">
        <v>856</v>
      </c>
    </row>
    <row r="1492" spans="1:14" ht="15" customHeight="1" x14ac:dyDescent="0.2">
      <c r="A1492" s="31">
        <v>1.0434676610893341</v>
      </c>
      <c r="B1492" s="31"/>
      <c r="C1492" s="2" t="s">
        <v>855</v>
      </c>
      <c r="D1492" s="31">
        <f t="shared" si="54"/>
        <v>0.20451966157350948</v>
      </c>
      <c r="F1492" s="2" t="s">
        <v>822</v>
      </c>
      <c r="G1492" s="23" t="s">
        <v>902</v>
      </c>
      <c r="H1492" s="2" t="s">
        <v>822</v>
      </c>
      <c r="J1492" s="31">
        <v>55.124298099999997</v>
      </c>
      <c r="K1492" s="31">
        <v>16.886199999999999</v>
      </c>
      <c r="L1492" s="31"/>
      <c r="M1492" s="31" t="s">
        <v>854</v>
      </c>
      <c r="N1492" s="6" t="s">
        <v>856</v>
      </c>
    </row>
    <row r="1493" spans="1:14" ht="15" customHeight="1" x14ac:dyDescent="0.2">
      <c r="A1493" s="31">
        <v>1.042934775418253</v>
      </c>
      <c r="B1493" s="31"/>
      <c r="C1493" s="2" t="s">
        <v>855</v>
      </c>
      <c r="D1493" s="31">
        <f t="shared" si="54"/>
        <v>0.20441521598197759</v>
      </c>
      <c r="F1493" s="2" t="s">
        <v>822</v>
      </c>
      <c r="G1493" s="23" t="s">
        <v>902</v>
      </c>
      <c r="H1493" s="2" t="s">
        <v>822</v>
      </c>
      <c r="J1493" s="31">
        <v>28.0440006</v>
      </c>
      <c r="K1493" s="31">
        <v>-21.184000000000001</v>
      </c>
      <c r="L1493" s="31"/>
      <c r="M1493" s="31" t="s">
        <v>854</v>
      </c>
      <c r="N1493" s="6" t="s">
        <v>856</v>
      </c>
    </row>
    <row r="1494" spans="1:14" ht="15" customHeight="1" x14ac:dyDescent="0.2">
      <c r="A1494" s="31">
        <v>1.0427091158350741</v>
      </c>
      <c r="B1494" s="31"/>
      <c r="C1494" s="2" t="s">
        <v>855</v>
      </c>
      <c r="D1494" s="31">
        <f t="shared" si="54"/>
        <v>0.20437098670367454</v>
      </c>
      <c r="F1494" s="2" t="s">
        <v>822</v>
      </c>
      <c r="G1494" s="23" t="s">
        <v>902</v>
      </c>
      <c r="H1494" s="2" t="s">
        <v>822</v>
      </c>
      <c r="J1494" s="31">
        <v>36.728000600000001</v>
      </c>
      <c r="K1494" s="31">
        <v>-37.883998900000002</v>
      </c>
      <c r="L1494" s="31"/>
      <c r="M1494" s="31" t="s">
        <v>854</v>
      </c>
      <c r="N1494" s="6" t="s">
        <v>856</v>
      </c>
    </row>
    <row r="1495" spans="1:14" ht="15" customHeight="1" x14ac:dyDescent="0.2">
      <c r="A1495" s="31">
        <v>1.042628743184806</v>
      </c>
      <c r="B1495" s="31"/>
      <c r="C1495" s="2" t="s">
        <v>855</v>
      </c>
      <c r="D1495" s="31">
        <f t="shared" si="54"/>
        <v>0.20435523366422198</v>
      </c>
      <c r="F1495" s="2" t="s">
        <v>822</v>
      </c>
      <c r="G1495" s="23" t="s">
        <v>902</v>
      </c>
      <c r="H1495" s="2" t="s">
        <v>822</v>
      </c>
      <c r="J1495" s="31">
        <v>40.128898599999999</v>
      </c>
      <c r="K1495" s="31">
        <v>9.7166099999999993</v>
      </c>
      <c r="L1495" s="31"/>
      <c r="M1495" s="31" t="s">
        <v>854</v>
      </c>
      <c r="N1495" s="6" t="s">
        <v>856</v>
      </c>
    </row>
    <row r="1496" spans="1:14" ht="15" customHeight="1" x14ac:dyDescent="0.2">
      <c r="A1496" s="31">
        <v>1.042162339493564</v>
      </c>
      <c r="B1496" s="31"/>
      <c r="C1496" s="2" t="s">
        <v>855</v>
      </c>
      <c r="D1496" s="31">
        <f t="shared" ref="D1496:D1527" si="55" xml:space="preserve"> A1496 * 0.196</f>
        <v>0.20426381854073855</v>
      </c>
      <c r="F1496" s="2" t="s">
        <v>822</v>
      </c>
      <c r="G1496" s="23" t="s">
        <v>902</v>
      </c>
      <c r="H1496" s="2" t="s">
        <v>822</v>
      </c>
      <c r="J1496" s="31">
        <v>36.325901000000002</v>
      </c>
      <c r="K1496" s="31">
        <v>25.942899700000002</v>
      </c>
      <c r="L1496" s="31"/>
      <c r="M1496" s="31" t="s">
        <v>854</v>
      </c>
      <c r="N1496" s="6" t="s">
        <v>856</v>
      </c>
    </row>
    <row r="1497" spans="1:14" ht="15" customHeight="1" x14ac:dyDescent="0.2">
      <c r="A1497" s="31">
        <v>1.041972298929964</v>
      </c>
      <c r="B1497" s="31"/>
      <c r="C1497" s="2" t="s">
        <v>855</v>
      </c>
      <c r="D1497" s="31">
        <f t="shared" si="55"/>
        <v>0.20422657059027297</v>
      </c>
      <c r="F1497" s="2" t="s">
        <v>822</v>
      </c>
      <c r="G1497" s="23" t="s">
        <v>902</v>
      </c>
      <c r="H1497" s="2" t="s">
        <v>822</v>
      </c>
      <c r="J1497" s="31">
        <v>34.722499800000001</v>
      </c>
      <c r="K1497" s="31">
        <v>-11.162500400000001</v>
      </c>
      <c r="L1497" s="31"/>
      <c r="M1497" s="31" t="s">
        <v>854</v>
      </c>
      <c r="N1497" s="6" t="s">
        <v>856</v>
      </c>
    </row>
    <row r="1498" spans="1:14" ht="15" customHeight="1" x14ac:dyDescent="0.2">
      <c r="A1498" s="31">
        <v>1.041603399001239</v>
      </c>
      <c r="B1498" s="31"/>
      <c r="C1498" s="2" t="s">
        <v>855</v>
      </c>
      <c r="D1498" s="31">
        <f t="shared" si="55"/>
        <v>0.20415426620424285</v>
      </c>
      <c r="F1498" s="2" t="s">
        <v>822</v>
      </c>
      <c r="G1498" s="23" t="s">
        <v>902</v>
      </c>
      <c r="H1498" s="2" t="s">
        <v>822</v>
      </c>
      <c r="J1498" s="31">
        <v>36.963699300000002</v>
      </c>
      <c r="K1498" s="31">
        <v>1.5142601</v>
      </c>
      <c r="L1498" s="31"/>
      <c r="M1498" s="31" t="s">
        <v>854</v>
      </c>
      <c r="N1498" s="6" t="s">
        <v>856</v>
      </c>
    </row>
    <row r="1499" spans="1:14" ht="15" customHeight="1" x14ac:dyDescent="0.2">
      <c r="A1499" s="31">
        <v>1.0415451544790759</v>
      </c>
      <c r="B1499" s="31"/>
      <c r="C1499" s="2" t="s">
        <v>855</v>
      </c>
      <c r="D1499" s="31">
        <f t="shared" si="55"/>
        <v>0.20414285027789889</v>
      </c>
      <c r="F1499" s="2" t="s">
        <v>822</v>
      </c>
      <c r="G1499" s="23" t="s">
        <v>902</v>
      </c>
      <c r="H1499" s="2" t="s">
        <v>822</v>
      </c>
      <c r="J1499" s="31">
        <v>25.346399300000002</v>
      </c>
      <c r="K1499" s="31">
        <v>-19.3924007</v>
      </c>
      <c r="L1499" s="31"/>
      <c r="M1499" s="31" t="s">
        <v>854</v>
      </c>
      <c r="N1499" s="6" t="s">
        <v>856</v>
      </c>
    </row>
    <row r="1500" spans="1:14" ht="15" customHeight="1" x14ac:dyDescent="0.2">
      <c r="A1500" s="31">
        <v>1.041373877027272</v>
      </c>
      <c r="B1500" s="31"/>
      <c r="C1500" s="2" t="s">
        <v>855</v>
      </c>
      <c r="D1500" s="31">
        <f t="shared" si="55"/>
        <v>0.20410927989734531</v>
      </c>
      <c r="F1500" s="2" t="s">
        <v>822</v>
      </c>
      <c r="G1500" s="23" t="s">
        <v>902</v>
      </c>
      <c r="H1500" s="2" t="s">
        <v>822</v>
      </c>
      <c r="J1500" s="31">
        <v>45.700599699999998</v>
      </c>
      <c r="K1500" s="31">
        <v>-1.6665601000000001</v>
      </c>
      <c r="L1500" s="31"/>
      <c r="M1500" s="31" t="s">
        <v>854</v>
      </c>
      <c r="N1500" s="6" t="s">
        <v>856</v>
      </c>
    </row>
    <row r="1501" spans="1:14" ht="15" customHeight="1" x14ac:dyDescent="0.2">
      <c r="A1501" s="31">
        <v>1.041251999336865</v>
      </c>
      <c r="B1501" s="31"/>
      <c r="C1501" s="2" t="s">
        <v>855</v>
      </c>
      <c r="D1501" s="31">
        <f t="shared" si="55"/>
        <v>0.20408539187002553</v>
      </c>
      <c r="F1501" s="2" t="s">
        <v>822</v>
      </c>
      <c r="G1501" s="23" t="s">
        <v>902</v>
      </c>
      <c r="H1501" s="2" t="s">
        <v>822</v>
      </c>
      <c r="J1501" s="31">
        <v>44.658901200000003</v>
      </c>
      <c r="K1501" s="31">
        <v>-8.7942599999999995</v>
      </c>
      <c r="L1501" s="31"/>
      <c r="M1501" s="31" t="s">
        <v>854</v>
      </c>
      <c r="N1501" s="6" t="s">
        <v>856</v>
      </c>
    </row>
    <row r="1502" spans="1:14" ht="15" customHeight="1" x14ac:dyDescent="0.2">
      <c r="A1502" s="31">
        <v>1.0409288279507829</v>
      </c>
      <c r="B1502" s="31"/>
      <c r="C1502" s="2" t="s">
        <v>855</v>
      </c>
      <c r="D1502" s="31">
        <f t="shared" si="55"/>
        <v>0.20402205027835346</v>
      </c>
      <c r="F1502" s="2" t="s">
        <v>822</v>
      </c>
      <c r="G1502" s="23" t="s">
        <v>902</v>
      </c>
      <c r="H1502" s="2" t="s">
        <v>822</v>
      </c>
      <c r="J1502" s="31">
        <v>43.783698999999999</v>
      </c>
      <c r="K1502" s="31">
        <v>-11.3214998</v>
      </c>
      <c r="L1502" s="31"/>
      <c r="M1502" s="31" t="s">
        <v>854</v>
      </c>
      <c r="N1502" s="6" t="s">
        <v>856</v>
      </c>
    </row>
    <row r="1503" spans="1:14" ht="15" customHeight="1" x14ac:dyDescent="0.2">
      <c r="A1503" s="31">
        <v>1.040677651732268</v>
      </c>
      <c r="B1503" s="31"/>
      <c r="C1503" s="2" t="s">
        <v>855</v>
      </c>
      <c r="D1503" s="31">
        <f t="shared" si="55"/>
        <v>0.20397281973952452</v>
      </c>
      <c r="F1503" s="2" t="s">
        <v>822</v>
      </c>
      <c r="G1503" s="23" t="s">
        <v>902</v>
      </c>
      <c r="H1503" s="2" t="s">
        <v>822</v>
      </c>
      <c r="J1503" s="31">
        <v>42.814998600000003</v>
      </c>
      <c r="K1503" s="31">
        <v>-29.265800500000001</v>
      </c>
      <c r="L1503" s="31"/>
      <c r="M1503" s="31" t="s">
        <v>854</v>
      </c>
      <c r="N1503" s="6" t="s">
        <v>856</v>
      </c>
    </row>
    <row r="1504" spans="1:14" ht="15" customHeight="1" x14ac:dyDescent="0.2">
      <c r="A1504" s="31">
        <v>1.0402360495434559</v>
      </c>
      <c r="B1504" s="31"/>
      <c r="C1504" s="2" t="s">
        <v>855</v>
      </c>
      <c r="D1504" s="31">
        <f t="shared" si="55"/>
        <v>0.20388626571051738</v>
      </c>
      <c r="F1504" s="2" t="s">
        <v>822</v>
      </c>
      <c r="G1504" s="23" t="s">
        <v>902</v>
      </c>
      <c r="H1504" s="2" t="s">
        <v>822</v>
      </c>
      <c r="J1504" s="31">
        <v>36.6847992</v>
      </c>
      <c r="K1504" s="31">
        <v>-11.199999800000001</v>
      </c>
      <c r="L1504" s="31"/>
      <c r="M1504" s="31" t="s">
        <v>854</v>
      </c>
      <c r="N1504" s="6" t="s">
        <v>856</v>
      </c>
    </row>
    <row r="1505" spans="1:14" ht="15" customHeight="1" x14ac:dyDescent="0.2">
      <c r="A1505" s="31">
        <v>1.0395461009451139</v>
      </c>
      <c r="B1505" s="31"/>
      <c r="C1505" s="2" t="s">
        <v>855</v>
      </c>
      <c r="D1505" s="31">
        <f t="shared" si="55"/>
        <v>0.20375103578524234</v>
      </c>
      <c r="F1505" s="2" t="s">
        <v>822</v>
      </c>
      <c r="G1505" s="23" t="s">
        <v>902</v>
      </c>
      <c r="H1505" s="2" t="s">
        <v>822</v>
      </c>
      <c r="J1505" s="31">
        <v>45.323299400000003</v>
      </c>
      <c r="K1505" s="31">
        <v>-16.477500899999999</v>
      </c>
      <c r="L1505" s="31"/>
      <c r="M1505" s="31" t="s">
        <v>854</v>
      </c>
      <c r="N1505" s="6" t="s">
        <v>856</v>
      </c>
    </row>
    <row r="1506" spans="1:14" ht="15" customHeight="1" x14ac:dyDescent="0.2">
      <c r="A1506" s="31">
        <v>1.0391378943534899</v>
      </c>
      <c r="B1506" s="31"/>
      <c r="C1506" s="2" t="s">
        <v>855</v>
      </c>
      <c r="D1506" s="31">
        <f t="shared" si="55"/>
        <v>0.20367102729328404</v>
      </c>
      <c r="F1506" s="2" t="s">
        <v>822</v>
      </c>
      <c r="G1506" s="23" t="s">
        <v>902</v>
      </c>
      <c r="H1506" s="2" t="s">
        <v>822</v>
      </c>
      <c r="J1506" s="31">
        <v>36.060001399999997</v>
      </c>
      <c r="K1506" s="31">
        <v>21.5680008</v>
      </c>
      <c r="L1506" s="31"/>
      <c r="M1506" s="31" t="s">
        <v>854</v>
      </c>
      <c r="N1506" s="6" t="s">
        <v>856</v>
      </c>
    </row>
    <row r="1507" spans="1:14" ht="15" customHeight="1" x14ac:dyDescent="0.2">
      <c r="A1507" s="31">
        <v>1.0387321670062359</v>
      </c>
      <c r="B1507" s="31"/>
      <c r="C1507" s="2" t="s">
        <v>855</v>
      </c>
      <c r="D1507" s="31">
        <f t="shared" si="55"/>
        <v>0.20359150473322224</v>
      </c>
      <c r="F1507" s="2" t="s">
        <v>822</v>
      </c>
      <c r="G1507" s="23" t="s">
        <v>902</v>
      </c>
      <c r="H1507" s="2" t="s">
        <v>822</v>
      </c>
      <c r="J1507" s="31">
        <v>41.445598599999997</v>
      </c>
      <c r="K1507" s="31">
        <v>-17.176000599999998</v>
      </c>
      <c r="L1507" s="31"/>
      <c r="M1507" s="31" t="s">
        <v>854</v>
      </c>
      <c r="N1507" s="6" t="s">
        <v>856</v>
      </c>
    </row>
    <row r="1508" spans="1:14" ht="15" customHeight="1" x14ac:dyDescent="0.2">
      <c r="A1508" s="31">
        <v>1.0377326614498501</v>
      </c>
      <c r="B1508" s="31"/>
      <c r="C1508" s="2" t="s">
        <v>855</v>
      </c>
      <c r="D1508" s="31">
        <f t="shared" si="55"/>
        <v>0.20339560164417061</v>
      </c>
      <c r="F1508" s="2" t="s">
        <v>822</v>
      </c>
      <c r="G1508" s="23" t="s">
        <v>902</v>
      </c>
      <c r="H1508" s="2" t="s">
        <v>822</v>
      </c>
      <c r="J1508" s="31">
        <v>40.736598999999998</v>
      </c>
      <c r="K1508" s="31">
        <v>-14.5039997</v>
      </c>
      <c r="L1508" s="31"/>
      <c r="M1508" s="31" t="s">
        <v>854</v>
      </c>
      <c r="N1508" s="6" t="s">
        <v>856</v>
      </c>
    </row>
    <row r="1509" spans="1:14" ht="15" customHeight="1" x14ac:dyDescent="0.2">
      <c r="A1509" s="31">
        <v>1.037359801313517</v>
      </c>
      <c r="B1509" s="31"/>
      <c r="C1509" s="2" t="s">
        <v>855</v>
      </c>
      <c r="D1509" s="31">
        <f t="shared" si="55"/>
        <v>0.20332252105744933</v>
      </c>
      <c r="F1509" s="2" t="s">
        <v>822</v>
      </c>
      <c r="G1509" s="23" t="s">
        <v>902</v>
      </c>
      <c r="H1509" s="2" t="s">
        <v>822</v>
      </c>
      <c r="J1509" s="31">
        <v>44.076000200000003</v>
      </c>
      <c r="K1509" s="31">
        <v>-20.516000699999999</v>
      </c>
      <c r="L1509" s="31"/>
      <c r="M1509" s="31" t="s">
        <v>854</v>
      </c>
      <c r="N1509" s="6" t="s">
        <v>856</v>
      </c>
    </row>
    <row r="1510" spans="1:14" ht="15" customHeight="1" x14ac:dyDescent="0.2">
      <c r="A1510" s="31">
        <v>1.037035755853261</v>
      </c>
      <c r="B1510" s="31"/>
      <c r="C1510" s="2" t="s">
        <v>855</v>
      </c>
      <c r="D1510" s="31">
        <f t="shared" si="55"/>
        <v>0.20325900814723916</v>
      </c>
      <c r="F1510" s="2" t="s">
        <v>822</v>
      </c>
      <c r="G1510" s="23" t="s">
        <v>902</v>
      </c>
      <c r="H1510" s="2" t="s">
        <v>822</v>
      </c>
      <c r="J1510" s="31">
        <v>37.914001499999998</v>
      </c>
      <c r="K1510" s="31">
        <v>20.874300000000002</v>
      </c>
      <c r="L1510" s="31"/>
      <c r="M1510" s="31" t="s">
        <v>854</v>
      </c>
      <c r="N1510" s="6" t="s">
        <v>856</v>
      </c>
    </row>
    <row r="1511" spans="1:14" ht="15" customHeight="1" x14ac:dyDescent="0.2">
      <c r="A1511" s="31">
        <v>1.0366533182983679</v>
      </c>
      <c r="B1511" s="31"/>
      <c r="C1511" s="2" t="s">
        <v>855</v>
      </c>
      <c r="D1511" s="31">
        <f t="shared" si="55"/>
        <v>0.20318405038648013</v>
      </c>
      <c r="F1511" s="2" t="s">
        <v>822</v>
      </c>
      <c r="G1511" s="23" t="s">
        <v>902</v>
      </c>
      <c r="H1511" s="2" t="s">
        <v>822</v>
      </c>
      <c r="J1511" s="31">
        <v>54.237701399999999</v>
      </c>
      <c r="K1511" s="31">
        <v>14.8610001</v>
      </c>
      <c r="L1511" s="31"/>
      <c r="M1511" s="31" t="s">
        <v>854</v>
      </c>
      <c r="N1511" s="6" t="s">
        <v>856</v>
      </c>
    </row>
    <row r="1512" spans="1:14" ht="15" customHeight="1" x14ac:dyDescent="0.2">
      <c r="A1512" s="31">
        <v>1.036581721284751</v>
      </c>
      <c r="B1512" s="31"/>
      <c r="C1512" s="2" t="s">
        <v>855</v>
      </c>
      <c r="D1512" s="31">
        <f t="shared" si="55"/>
        <v>0.2031700173718112</v>
      </c>
      <c r="F1512" s="2" t="s">
        <v>822</v>
      </c>
      <c r="G1512" s="23" t="s">
        <v>902</v>
      </c>
      <c r="H1512" s="2" t="s">
        <v>822</v>
      </c>
      <c r="J1512" s="31">
        <v>31.4139996</v>
      </c>
      <c r="K1512" s="31">
        <v>-39.874500300000001</v>
      </c>
      <c r="L1512" s="31"/>
      <c r="M1512" s="31" t="s">
        <v>854</v>
      </c>
      <c r="N1512" s="6" t="s">
        <v>856</v>
      </c>
    </row>
    <row r="1513" spans="1:14" ht="15" customHeight="1" x14ac:dyDescent="0.2">
      <c r="A1513" s="31">
        <v>1.0364442378830281</v>
      </c>
      <c r="B1513" s="31"/>
      <c r="C1513" s="2" t="s">
        <v>855</v>
      </c>
      <c r="D1513" s="31">
        <f t="shared" si="55"/>
        <v>0.2031430706250735</v>
      </c>
      <c r="F1513" s="2" t="s">
        <v>822</v>
      </c>
      <c r="G1513" s="23" t="s">
        <v>902</v>
      </c>
      <c r="H1513" s="2" t="s">
        <v>822</v>
      </c>
      <c r="J1513" s="31">
        <v>31.5804996</v>
      </c>
      <c r="K1513" s="31">
        <v>15.7212</v>
      </c>
      <c r="L1513" s="31"/>
      <c r="M1513" s="31" t="s">
        <v>854</v>
      </c>
      <c r="N1513" s="6" t="s">
        <v>856</v>
      </c>
    </row>
    <row r="1514" spans="1:14" ht="15" customHeight="1" x14ac:dyDescent="0.2">
      <c r="A1514" s="31">
        <v>1.0361190063976999</v>
      </c>
      <c r="B1514" s="31"/>
      <c r="C1514" s="2" t="s">
        <v>855</v>
      </c>
      <c r="D1514" s="31">
        <f t="shared" si="55"/>
        <v>0.2030793252539492</v>
      </c>
      <c r="F1514" s="2" t="s">
        <v>822</v>
      </c>
      <c r="G1514" s="23" t="s">
        <v>902</v>
      </c>
      <c r="H1514" s="2" t="s">
        <v>822</v>
      </c>
      <c r="J1514" s="31">
        <v>44.794899000000001</v>
      </c>
      <c r="K1514" s="31">
        <v>-5.1592202</v>
      </c>
      <c r="L1514" s="31"/>
      <c r="M1514" s="31" t="s">
        <v>854</v>
      </c>
      <c r="N1514" s="6" t="s">
        <v>856</v>
      </c>
    </row>
    <row r="1515" spans="1:14" ht="15" customHeight="1" x14ac:dyDescent="0.2">
      <c r="A1515" s="31">
        <v>1.036009089167659</v>
      </c>
      <c r="B1515" s="31"/>
      <c r="C1515" s="2" t="s">
        <v>855</v>
      </c>
      <c r="D1515" s="31">
        <f t="shared" si="55"/>
        <v>0.20305778147686118</v>
      </c>
      <c r="F1515" s="2" t="s">
        <v>822</v>
      </c>
      <c r="G1515" s="23" t="s">
        <v>902</v>
      </c>
      <c r="H1515" s="2" t="s">
        <v>822</v>
      </c>
      <c r="J1515" s="31">
        <v>32.315799699999999</v>
      </c>
      <c r="K1515" s="31">
        <v>-41.577701599999997</v>
      </c>
      <c r="L1515" s="31"/>
      <c r="M1515" s="31" t="s">
        <v>854</v>
      </c>
      <c r="N1515" s="6" t="s">
        <v>856</v>
      </c>
    </row>
    <row r="1516" spans="1:14" ht="15" customHeight="1" x14ac:dyDescent="0.2">
      <c r="A1516" s="31">
        <v>1.0357248619393149</v>
      </c>
      <c r="B1516" s="31"/>
      <c r="C1516" s="2" t="s">
        <v>855</v>
      </c>
      <c r="D1516" s="31">
        <f t="shared" si="55"/>
        <v>0.20300207294010572</v>
      </c>
      <c r="F1516" s="2" t="s">
        <v>822</v>
      </c>
      <c r="G1516" s="23" t="s">
        <v>902</v>
      </c>
      <c r="H1516" s="2" t="s">
        <v>822</v>
      </c>
      <c r="J1516" s="31">
        <v>35.826499900000002</v>
      </c>
      <c r="K1516" s="31">
        <v>30.9214001</v>
      </c>
      <c r="L1516" s="31"/>
      <c r="M1516" s="31" t="s">
        <v>854</v>
      </c>
      <c r="N1516" s="6" t="s">
        <v>856</v>
      </c>
    </row>
    <row r="1517" spans="1:14" ht="15" customHeight="1" x14ac:dyDescent="0.2">
      <c r="A1517" s="31">
        <v>1.035406479061594</v>
      </c>
      <c r="B1517" s="31"/>
      <c r="C1517" s="2" t="s">
        <v>855</v>
      </c>
      <c r="D1517" s="31">
        <f t="shared" si="55"/>
        <v>0.20293966989607243</v>
      </c>
      <c r="F1517" s="2" t="s">
        <v>822</v>
      </c>
      <c r="G1517" s="23" t="s">
        <v>902</v>
      </c>
      <c r="H1517" s="2" t="s">
        <v>822</v>
      </c>
      <c r="J1517" s="31">
        <v>28.2049007</v>
      </c>
      <c r="K1517" s="31">
        <v>-17.0816002</v>
      </c>
      <c r="L1517" s="31"/>
      <c r="M1517" s="31" t="s">
        <v>854</v>
      </c>
      <c r="N1517" s="6" t="s">
        <v>856</v>
      </c>
    </row>
    <row r="1518" spans="1:14" ht="15" customHeight="1" x14ac:dyDescent="0.2">
      <c r="A1518" s="31">
        <v>1.034504393049954</v>
      </c>
      <c r="B1518" s="31"/>
      <c r="C1518" s="2" t="s">
        <v>855</v>
      </c>
      <c r="D1518" s="31">
        <f t="shared" si="55"/>
        <v>0.20276286103779098</v>
      </c>
      <c r="F1518" s="2" t="s">
        <v>822</v>
      </c>
      <c r="G1518" s="23" t="s">
        <v>902</v>
      </c>
      <c r="H1518" s="2" t="s">
        <v>822</v>
      </c>
      <c r="J1518" s="31">
        <v>42.088001300000002</v>
      </c>
      <c r="K1518" s="31">
        <v>8.6529102000000009</v>
      </c>
      <c r="L1518" s="31"/>
      <c r="M1518" s="31" t="s">
        <v>854</v>
      </c>
      <c r="N1518" s="6" t="s">
        <v>856</v>
      </c>
    </row>
    <row r="1519" spans="1:14" ht="15" customHeight="1" x14ac:dyDescent="0.2">
      <c r="A1519" s="31">
        <v>1.0340937279680571</v>
      </c>
      <c r="B1519" s="31"/>
      <c r="C1519" s="2" t="s">
        <v>855</v>
      </c>
      <c r="D1519" s="31">
        <f t="shared" si="55"/>
        <v>0.20268237068173919</v>
      </c>
      <c r="F1519" s="2" t="s">
        <v>822</v>
      </c>
      <c r="G1519" s="23" t="s">
        <v>902</v>
      </c>
      <c r="H1519" s="2" t="s">
        <v>822</v>
      </c>
      <c r="J1519" s="31">
        <v>37.192901599999999</v>
      </c>
      <c r="K1519" s="31">
        <v>-10.4292002</v>
      </c>
      <c r="L1519" s="31"/>
      <c r="M1519" s="31" t="s">
        <v>854</v>
      </c>
      <c r="N1519" s="6" t="s">
        <v>856</v>
      </c>
    </row>
    <row r="1520" spans="1:14" ht="15" customHeight="1" x14ac:dyDescent="0.2">
      <c r="A1520" s="31">
        <v>1.0337472376625101</v>
      </c>
      <c r="B1520" s="31"/>
      <c r="C1520" s="2" t="s">
        <v>855</v>
      </c>
      <c r="D1520" s="31">
        <f t="shared" si="55"/>
        <v>0.20261445858185198</v>
      </c>
      <c r="F1520" s="2" t="s">
        <v>822</v>
      </c>
      <c r="G1520" s="23" t="s">
        <v>902</v>
      </c>
      <c r="H1520" s="2" t="s">
        <v>822</v>
      </c>
      <c r="J1520" s="31">
        <v>55.259498600000001</v>
      </c>
      <c r="K1520" s="31">
        <v>20.402700400000001</v>
      </c>
      <c r="L1520" s="31"/>
      <c r="M1520" s="31" t="s">
        <v>854</v>
      </c>
      <c r="N1520" s="6" t="s">
        <v>856</v>
      </c>
    </row>
    <row r="1521" spans="1:14" ht="15" customHeight="1" x14ac:dyDescent="0.2">
      <c r="A1521" s="31">
        <v>1.033572781109483</v>
      </c>
      <c r="B1521" s="31"/>
      <c r="C1521" s="2" t="s">
        <v>855</v>
      </c>
      <c r="D1521" s="31">
        <f t="shared" si="55"/>
        <v>0.20258026509745869</v>
      </c>
      <c r="F1521" s="2" t="s">
        <v>822</v>
      </c>
      <c r="G1521" s="23" t="s">
        <v>902</v>
      </c>
      <c r="H1521" s="2" t="s">
        <v>822</v>
      </c>
      <c r="J1521" s="31">
        <v>35.634899099999998</v>
      </c>
      <c r="K1521" s="31">
        <v>-35.831401800000002</v>
      </c>
      <c r="L1521" s="31"/>
      <c r="M1521" s="31" t="s">
        <v>854</v>
      </c>
      <c r="N1521" s="6" t="s">
        <v>856</v>
      </c>
    </row>
    <row r="1522" spans="1:14" ht="15" customHeight="1" x14ac:dyDescent="0.2">
      <c r="A1522" s="31">
        <v>1.033421948448191</v>
      </c>
      <c r="B1522" s="31"/>
      <c r="C1522" s="2" t="s">
        <v>855</v>
      </c>
      <c r="D1522" s="31">
        <f t="shared" si="55"/>
        <v>0.20255070189584545</v>
      </c>
      <c r="F1522" s="2" t="s">
        <v>822</v>
      </c>
      <c r="G1522" s="23" t="s">
        <v>902</v>
      </c>
      <c r="H1522" s="2" t="s">
        <v>822</v>
      </c>
      <c r="J1522" s="31">
        <v>28.861000099999998</v>
      </c>
      <c r="K1522" s="31">
        <v>-11.4211998</v>
      </c>
      <c r="L1522" s="31"/>
      <c r="M1522" s="31" t="s">
        <v>854</v>
      </c>
      <c r="N1522" s="6" t="s">
        <v>856</v>
      </c>
    </row>
    <row r="1523" spans="1:14" ht="15" customHeight="1" x14ac:dyDescent="0.2">
      <c r="A1523" s="31">
        <v>1.0333833788093341</v>
      </c>
      <c r="B1523" s="31"/>
      <c r="C1523" s="2" t="s">
        <v>855</v>
      </c>
      <c r="D1523" s="31">
        <f t="shared" si="55"/>
        <v>0.20254314224662948</v>
      </c>
      <c r="F1523" s="2" t="s">
        <v>822</v>
      </c>
      <c r="G1523" s="23" t="s">
        <v>902</v>
      </c>
      <c r="H1523" s="2" t="s">
        <v>822</v>
      </c>
      <c r="J1523" s="31">
        <v>34.055999800000002</v>
      </c>
      <c r="K1523" s="31">
        <v>-11.8319998</v>
      </c>
      <c r="L1523" s="31"/>
      <c r="M1523" s="31" t="s">
        <v>854</v>
      </c>
      <c r="N1523" s="6" t="s">
        <v>856</v>
      </c>
    </row>
    <row r="1524" spans="1:14" ht="15" customHeight="1" x14ac:dyDescent="0.2">
      <c r="A1524" s="31">
        <v>1.033157498158038</v>
      </c>
      <c r="B1524" s="31"/>
      <c r="C1524" s="2" t="s">
        <v>855</v>
      </c>
      <c r="D1524" s="31">
        <f t="shared" si="55"/>
        <v>0.20249886963897545</v>
      </c>
      <c r="F1524" s="2" t="s">
        <v>822</v>
      </c>
      <c r="G1524" s="23" t="s">
        <v>902</v>
      </c>
      <c r="H1524" s="2" t="s">
        <v>822</v>
      </c>
      <c r="J1524" s="31">
        <v>38.731998400000002</v>
      </c>
      <c r="K1524" s="31">
        <v>-12.5</v>
      </c>
      <c r="L1524" s="31"/>
      <c r="M1524" s="31" t="s">
        <v>854</v>
      </c>
      <c r="N1524" s="6" t="s">
        <v>856</v>
      </c>
    </row>
    <row r="1525" spans="1:14" ht="15" customHeight="1" x14ac:dyDescent="0.2">
      <c r="A1525" s="31">
        <v>1.0328940765831709</v>
      </c>
      <c r="B1525" s="31"/>
      <c r="C1525" s="2" t="s">
        <v>855</v>
      </c>
      <c r="D1525" s="31">
        <f t="shared" si="55"/>
        <v>0.20244723901030151</v>
      </c>
      <c r="F1525" s="2" t="s">
        <v>822</v>
      </c>
      <c r="G1525" s="23" t="s">
        <v>902</v>
      </c>
      <c r="H1525" s="2" t="s">
        <v>822</v>
      </c>
      <c r="J1525" s="31">
        <v>36.060001399999997</v>
      </c>
      <c r="K1525" s="31">
        <v>-27.195999100000002</v>
      </c>
      <c r="L1525" s="31"/>
      <c r="M1525" s="31" t="s">
        <v>854</v>
      </c>
      <c r="N1525" s="6" t="s">
        <v>856</v>
      </c>
    </row>
    <row r="1526" spans="1:14" ht="15" customHeight="1" x14ac:dyDescent="0.2">
      <c r="A1526" s="31">
        <v>1.032479107066185</v>
      </c>
      <c r="B1526" s="31"/>
      <c r="C1526" s="2" t="s">
        <v>855</v>
      </c>
      <c r="D1526" s="31">
        <f t="shared" si="55"/>
        <v>0.20236590498497226</v>
      </c>
      <c r="F1526" s="2" t="s">
        <v>822</v>
      </c>
      <c r="G1526" s="23" t="s">
        <v>902</v>
      </c>
      <c r="H1526" s="2" t="s">
        <v>822</v>
      </c>
      <c r="J1526" s="31">
        <v>40.402599299999999</v>
      </c>
      <c r="K1526" s="31">
        <v>-37.0718994</v>
      </c>
      <c r="L1526" s="31"/>
      <c r="M1526" s="31" t="s">
        <v>854</v>
      </c>
      <c r="N1526" s="6" t="s">
        <v>856</v>
      </c>
    </row>
    <row r="1527" spans="1:14" ht="15" customHeight="1" x14ac:dyDescent="0.2">
      <c r="A1527" s="31">
        <v>1.032419240540728</v>
      </c>
      <c r="B1527" s="31"/>
      <c r="C1527" s="2" t="s">
        <v>855</v>
      </c>
      <c r="D1527" s="31">
        <f t="shared" si="55"/>
        <v>0.2023541711459827</v>
      </c>
      <c r="F1527" s="2" t="s">
        <v>822</v>
      </c>
      <c r="G1527" s="23" t="s">
        <v>902</v>
      </c>
      <c r="H1527" s="2" t="s">
        <v>822</v>
      </c>
      <c r="J1527" s="31">
        <v>41.403999300000002</v>
      </c>
      <c r="K1527" s="31">
        <v>-39.888000499999997</v>
      </c>
      <c r="L1527" s="31"/>
      <c r="M1527" s="31" t="s">
        <v>854</v>
      </c>
      <c r="N1527" s="6" t="s">
        <v>856</v>
      </c>
    </row>
    <row r="1528" spans="1:14" ht="15" customHeight="1" x14ac:dyDescent="0.2">
      <c r="A1528" s="31">
        <v>1.0321344047550769</v>
      </c>
      <c r="B1528" s="31"/>
      <c r="C1528" s="2" t="s">
        <v>855</v>
      </c>
      <c r="D1528" s="31">
        <f t="shared" ref="D1528:D1559" si="56" xml:space="preserve"> A1528 * 0.196</f>
        <v>0.20229834333199509</v>
      </c>
      <c r="F1528" s="2" t="s">
        <v>822</v>
      </c>
      <c r="G1528" s="23" t="s">
        <v>902</v>
      </c>
      <c r="H1528" s="2" t="s">
        <v>822</v>
      </c>
      <c r="J1528" s="31">
        <v>35.446998600000001</v>
      </c>
      <c r="K1528" s="31">
        <v>-13.196700099999999</v>
      </c>
      <c r="L1528" s="31"/>
      <c r="M1528" s="31" t="s">
        <v>854</v>
      </c>
      <c r="N1528" s="6" t="s">
        <v>856</v>
      </c>
    </row>
    <row r="1529" spans="1:14" ht="15" customHeight="1" x14ac:dyDescent="0.2">
      <c r="A1529" s="31">
        <v>1.032093708937825</v>
      </c>
      <c r="B1529" s="31"/>
      <c r="C1529" s="2" t="s">
        <v>855</v>
      </c>
      <c r="D1529" s="31">
        <f t="shared" si="56"/>
        <v>0.20229036695181371</v>
      </c>
      <c r="F1529" s="2" t="s">
        <v>822</v>
      </c>
      <c r="G1529" s="23" t="s">
        <v>902</v>
      </c>
      <c r="H1529" s="2" t="s">
        <v>822</v>
      </c>
      <c r="J1529" s="31">
        <v>40.147300700000002</v>
      </c>
      <c r="K1529" s="31">
        <v>-8.9579401000000001</v>
      </c>
      <c r="L1529" s="31"/>
      <c r="M1529" s="31" t="s">
        <v>854</v>
      </c>
      <c r="N1529" s="6" t="s">
        <v>856</v>
      </c>
    </row>
    <row r="1530" spans="1:14" ht="15" customHeight="1" x14ac:dyDescent="0.2">
      <c r="A1530" s="31">
        <v>1.031837184481087</v>
      </c>
      <c r="B1530" s="31"/>
      <c r="C1530" s="2" t="s">
        <v>855</v>
      </c>
      <c r="D1530" s="31">
        <f t="shared" si="56"/>
        <v>0.20224008815829306</v>
      </c>
      <c r="F1530" s="2" t="s">
        <v>822</v>
      </c>
      <c r="G1530" s="23" t="s">
        <v>902</v>
      </c>
      <c r="H1530" s="2" t="s">
        <v>822</v>
      </c>
      <c r="J1530" s="31">
        <v>43.694599199999999</v>
      </c>
      <c r="K1530" s="31">
        <v>-8.1030301999999992</v>
      </c>
      <c r="L1530" s="31"/>
      <c r="M1530" s="31" t="s">
        <v>854</v>
      </c>
      <c r="N1530" s="6" t="s">
        <v>856</v>
      </c>
    </row>
    <row r="1531" spans="1:14" ht="15" customHeight="1" x14ac:dyDescent="0.2">
      <c r="A1531" s="31">
        <v>1.0317637737249421</v>
      </c>
      <c r="B1531" s="31"/>
      <c r="C1531" s="2" t="s">
        <v>855</v>
      </c>
      <c r="D1531" s="31">
        <f t="shared" si="56"/>
        <v>0.20222569965008866</v>
      </c>
      <c r="F1531" s="2" t="s">
        <v>822</v>
      </c>
      <c r="G1531" s="23" t="s">
        <v>902</v>
      </c>
      <c r="H1531" s="2" t="s">
        <v>822</v>
      </c>
      <c r="J1531" s="31">
        <v>36.4325981</v>
      </c>
      <c r="K1531" s="31">
        <v>21.930499999999999</v>
      </c>
      <c r="L1531" s="31"/>
      <c r="M1531" s="31" t="s">
        <v>854</v>
      </c>
      <c r="N1531" s="6" t="s">
        <v>856</v>
      </c>
    </row>
    <row r="1532" spans="1:14" ht="15" customHeight="1" x14ac:dyDescent="0.2">
      <c r="A1532" s="31">
        <v>1.0314667913031199</v>
      </c>
      <c r="B1532" s="31"/>
      <c r="C1532" s="2" t="s">
        <v>855</v>
      </c>
      <c r="D1532" s="31">
        <f t="shared" si="56"/>
        <v>0.20216749109541152</v>
      </c>
      <c r="F1532" s="2" t="s">
        <v>822</v>
      </c>
      <c r="G1532" s="23" t="s">
        <v>902</v>
      </c>
      <c r="H1532" s="2" t="s">
        <v>822</v>
      </c>
      <c r="J1532" s="31">
        <v>34.268798799999999</v>
      </c>
      <c r="K1532" s="31">
        <v>20.995799999999999</v>
      </c>
      <c r="L1532" s="31"/>
      <c r="M1532" s="31" t="s">
        <v>854</v>
      </c>
      <c r="N1532" s="6" t="s">
        <v>856</v>
      </c>
    </row>
    <row r="1533" spans="1:14" ht="15" customHeight="1" x14ac:dyDescent="0.2">
      <c r="A1533" s="31">
        <v>1.031406364390659</v>
      </c>
      <c r="B1533" s="31"/>
      <c r="C1533" s="2" t="s">
        <v>855</v>
      </c>
      <c r="D1533" s="31">
        <f t="shared" si="56"/>
        <v>0.20215564742056918</v>
      </c>
      <c r="F1533" s="2" t="s">
        <v>822</v>
      </c>
      <c r="G1533" s="23" t="s">
        <v>902</v>
      </c>
      <c r="H1533" s="2" t="s">
        <v>822</v>
      </c>
      <c r="J1533" s="31">
        <v>25.523099899999998</v>
      </c>
      <c r="K1533" s="31">
        <v>54.793701200000001</v>
      </c>
      <c r="L1533" s="31"/>
      <c r="M1533" s="31" t="s">
        <v>854</v>
      </c>
      <c r="N1533" s="6" t="s">
        <v>856</v>
      </c>
    </row>
    <row r="1534" spans="1:14" ht="15" customHeight="1" x14ac:dyDescent="0.2">
      <c r="A1534" s="31">
        <v>1.0306818827568289</v>
      </c>
      <c r="B1534" s="31"/>
      <c r="C1534" s="2" t="s">
        <v>855</v>
      </c>
      <c r="D1534" s="31">
        <f t="shared" si="56"/>
        <v>0.20201364902033847</v>
      </c>
      <c r="F1534" s="2" t="s">
        <v>822</v>
      </c>
      <c r="G1534" s="23" t="s">
        <v>902</v>
      </c>
      <c r="H1534" s="2" t="s">
        <v>822</v>
      </c>
      <c r="J1534" s="31">
        <v>42.740001700000001</v>
      </c>
      <c r="K1534" s="31">
        <v>-37.883998900000002</v>
      </c>
      <c r="L1534" s="31"/>
      <c r="M1534" s="31" t="s">
        <v>854</v>
      </c>
      <c r="N1534" s="6" t="s">
        <v>856</v>
      </c>
    </row>
    <row r="1535" spans="1:14" ht="15" customHeight="1" x14ac:dyDescent="0.2">
      <c r="A1535" s="31">
        <v>1.030463046043308</v>
      </c>
      <c r="B1535" s="31"/>
      <c r="C1535" s="2" t="s">
        <v>855</v>
      </c>
      <c r="D1535" s="31">
        <f t="shared" si="56"/>
        <v>0.20197075702448836</v>
      </c>
      <c r="F1535" s="2" t="s">
        <v>822</v>
      </c>
      <c r="G1535" s="23" t="s">
        <v>902</v>
      </c>
      <c r="H1535" s="2" t="s">
        <v>822</v>
      </c>
      <c r="J1535" s="31">
        <v>30.606100099999999</v>
      </c>
      <c r="K1535" s="31">
        <v>-11.029299699999999</v>
      </c>
      <c r="L1535" s="31"/>
      <c r="M1535" s="31" t="s">
        <v>854</v>
      </c>
      <c r="N1535" s="6" t="s">
        <v>856</v>
      </c>
    </row>
    <row r="1536" spans="1:14" ht="15" customHeight="1" x14ac:dyDescent="0.2">
      <c r="A1536" s="31">
        <v>1.0304407126182711</v>
      </c>
      <c r="B1536" s="31"/>
      <c r="C1536" s="2" t="s">
        <v>855</v>
      </c>
      <c r="D1536" s="31">
        <f t="shared" si="56"/>
        <v>0.20196637967318115</v>
      </c>
      <c r="F1536" s="2" t="s">
        <v>822</v>
      </c>
      <c r="G1536" s="23" t="s">
        <v>902</v>
      </c>
      <c r="H1536" s="2" t="s">
        <v>822</v>
      </c>
      <c r="J1536" s="31">
        <v>42.534301800000001</v>
      </c>
      <c r="K1536" s="31">
        <v>8.1675395999999996</v>
      </c>
      <c r="L1536" s="31"/>
      <c r="M1536" s="31" t="s">
        <v>854</v>
      </c>
      <c r="N1536" s="6" t="s">
        <v>856</v>
      </c>
    </row>
    <row r="1537" spans="1:14" ht="15" customHeight="1" x14ac:dyDescent="0.2">
      <c r="A1537" s="31">
        <v>1.029574804828574</v>
      </c>
      <c r="B1537" s="31"/>
      <c r="C1537" s="2" t="s">
        <v>855</v>
      </c>
      <c r="D1537" s="31">
        <f t="shared" si="56"/>
        <v>0.20179666174640051</v>
      </c>
      <c r="F1537" s="2" t="s">
        <v>822</v>
      </c>
      <c r="G1537" s="23" t="s">
        <v>902</v>
      </c>
      <c r="H1537" s="2" t="s">
        <v>822</v>
      </c>
      <c r="J1537" s="31">
        <v>28.0440006</v>
      </c>
      <c r="K1537" s="31">
        <v>-30.8700008</v>
      </c>
      <c r="L1537" s="31"/>
      <c r="M1537" s="31" t="s">
        <v>854</v>
      </c>
      <c r="N1537" s="6" t="s">
        <v>856</v>
      </c>
    </row>
    <row r="1538" spans="1:14" ht="15" customHeight="1" x14ac:dyDescent="0.2">
      <c r="A1538" s="31">
        <v>1.029326684373183</v>
      </c>
      <c r="B1538" s="31"/>
      <c r="C1538" s="2" t="s">
        <v>855</v>
      </c>
      <c r="D1538" s="31">
        <f t="shared" si="56"/>
        <v>0.20174803013714387</v>
      </c>
      <c r="F1538" s="2" t="s">
        <v>822</v>
      </c>
      <c r="G1538" s="23" t="s">
        <v>902</v>
      </c>
      <c r="H1538" s="2" t="s">
        <v>822</v>
      </c>
      <c r="J1538" s="31">
        <v>36.060001399999997</v>
      </c>
      <c r="K1538" s="31">
        <v>-10.4960003</v>
      </c>
      <c r="L1538" s="31"/>
      <c r="M1538" s="31" t="s">
        <v>854</v>
      </c>
      <c r="N1538" s="6" t="s">
        <v>856</v>
      </c>
    </row>
    <row r="1539" spans="1:14" ht="15" customHeight="1" x14ac:dyDescent="0.2">
      <c r="A1539" s="31">
        <v>1.0290017542750669</v>
      </c>
      <c r="B1539" s="31"/>
      <c r="C1539" s="2" t="s">
        <v>855</v>
      </c>
      <c r="D1539" s="31">
        <f t="shared" si="56"/>
        <v>0.20168434383791312</v>
      </c>
      <c r="F1539" s="2" t="s">
        <v>822</v>
      </c>
      <c r="G1539" s="23" t="s">
        <v>902</v>
      </c>
      <c r="H1539" s="2" t="s">
        <v>822</v>
      </c>
      <c r="J1539" s="31">
        <v>28.0193005</v>
      </c>
      <c r="K1539" s="31">
        <v>-27.8873997</v>
      </c>
      <c r="L1539" s="31"/>
      <c r="M1539" s="31" t="s">
        <v>854</v>
      </c>
      <c r="N1539" s="6" t="s">
        <v>856</v>
      </c>
    </row>
    <row r="1540" spans="1:14" ht="15" customHeight="1" x14ac:dyDescent="0.2">
      <c r="A1540" s="31">
        <v>1.0285081083564991</v>
      </c>
      <c r="B1540" s="31"/>
      <c r="C1540" s="2" t="s">
        <v>855</v>
      </c>
      <c r="D1540" s="31">
        <f t="shared" si="56"/>
        <v>0.20158758923787382</v>
      </c>
      <c r="F1540" s="2" t="s">
        <v>822</v>
      </c>
      <c r="G1540" s="23" t="s">
        <v>902</v>
      </c>
      <c r="H1540" s="2" t="s">
        <v>822</v>
      </c>
      <c r="J1540" s="31">
        <v>26.6446991</v>
      </c>
      <c r="K1540" s="31">
        <v>53.609298699999997</v>
      </c>
      <c r="L1540" s="31"/>
      <c r="M1540" s="31" t="s">
        <v>854</v>
      </c>
      <c r="N1540" s="6" t="s">
        <v>856</v>
      </c>
    </row>
    <row r="1541" spans="1:14" ht="15" customHeight="1" x14ac:dyDescent="0.2">
      <c r="A1541" s="31">
        <v>1.028120782064861</v>
      </c>
      <c r="B1541" s="31"/>
      <c r="C1541" s="2" t="s">
        <v>855</v>
      </c>
      <c r="D1541" s="31">
        <f t="shared" si="56"/>
        <v>0.20151167328471276</v>
      </c>
      <c r="F1541" s="2" t="s">
        <v>822</v>
      </c>
      <c r="G1541" s="23" t="s">
        <v>902</v>
      </c>
      <c r="H1541" s="2" t="s">
        <v>822</v>
      </c>
      <c r="J1541" s="31">
        <v>44.069400799999997</v>
      </c>
      <c r="K1541" s="31">
        <v>-21.849199299999999</v>
      </c>
      <c r="L1541" s="31"/>
      <c r="M1541" s="31" t="s">
        <v>854</v>
      </c>
      <c r="N1541" s="6" t="s">
        <v>856</v>
      </c>
    </row>
    <row r="1542" spans="1:14" ht="15" customHeight="1" x14ac:dyDescent="0.2">
      <c r="A1542" s="31">
        <v>1.027965776567789</v>
      </c>
      <c r="B1542" s="31"/>
      <c r="C1542" s="2" t="s">
        <v>855</v>
      </c>
      <c r="D1542" s="31">
        <f t="shared" si="56"/>
        <v>0.20148129220728664</v>
      </c>
      <c r="F1542" s="2" t="s">
        <v>822</v>
      </c>
      <c r="G1542" s="23" t="s">
        <v>902</v>
      </c>
      <c r="H1542" s="2" t="s">
        <v>822</v>
      </c>
      <c r="J1542" s="31">
        <v>38.312599200000001</v>
      </c>
      <c r="K1542" s="31">
        <v>-38.519401600000002</v>
      </c>
      <c r="L1542" s="31"/>
      <c r="M1542" s="31" t="s">
        <v>854</v>
      </c>
      <c r="N1542" s="6" t="s">
        <v>856</v>
      </c>
    </row>
    <row r="1543" spans="1:14" ht="15" customHeight="1" x14ac:dyDescent="0.2">
      <c r="A1543" s="31">
        <v>1.0278524196509571</v>
      </c>
      <c r="B1543" s="31"/>
      <c r="C1543" s="2" t="s">
        <v>855</v>
      </c>
      <c r="D1543" s="31">
        <f t="shared" si="56"/>
        <v>0.2014590742515876</v>
      </c>
      <c r="F1543" s="2" t="s">
        <v>822</v>
      </c>
      <c r="G1543" s="23" t="s">
        <v>902</v>
      </c>
      <c r="H1543" s="2" t="s">
        <v>822</v>
      </c>
      <c r="J1543" s="31">
        <v>31.352899600000001</v>
      </c>
      <c r="K1543" s="31">
        <v>16.3034</v>
      </c>
      <c r="L1543" s="31"/>
      <c r="M1543" s="31" t="s">
        <v>854</v>
      </c>
      <c r="N1543" s="6" t="s">
        <v>856</v>
      </c>
    </row>
    <row r="1544" spans="1:14" ht="15" customHeight="1" x14ac:dyDescent="0.2">
      <c r="A1544" s="31">
        <v>1.027218266489035</v>
      </c>
      <c r="B1544" s="31"/>
      <c r="C1544" s="2" t="s">
        <v>855</v>
      </c>
      <c r="D1544" s="31">
        <f t="shared" si="56"/>
        <v>0.20133478023185086</v>
      </c>
      <c r="F1544" s="2" t="s">
        <v>822</v>
      </c>
      <c r="G1544" s="23" t="s">
        <v>902</v>
      </c>
      <c r="H1544" s="2" t="s">
        <v>822</v>
      </c>
      <c r="J1544" s="31">
        <v>32.051998099999999</v>
      </c>
      <c r="K1544" s="31">
        <v>-13.8360004</v>
      </c>
      <c r="L1544" s="31"/>
      <c r="M1544" s="31" t="s">
        <v>854</v>
      </c>
      <c r="N1544" s="6" t="s">
        <v>856</v>
      </c>
    </row>
    <row r="1545" spans="1:14" ht="15" customHeight="1" x14ac:dyDescent="0.2">
      <c r="A1545" s="31">
        <v>1.0271280465798649</v>
      </c>
      <c r="B1545" s="31"/>
      <c r="C1545" s="2" t="s">
        <v>855</v>
      </c>
      <c r="D1545" s="31">
        <f t="shared" si="56"/>
        <v>0.20131709712965354</v>
      </c>
      <c r="F1545" s="2" t="s">
        <v>822</v>
      </c>
      <c r="G1545" s="23" t="s">
        <v>902</v>
      </c>
      <c r="H1545" s="2" t="s">
        <v>822</v>
      </c>
      <c r="J1545" s="31">
        <v>36.057701100000003</v>
      </c>
      <c r="K1545" s="31">
        <v>-1.56227</v>
      </c>
      <c r="L1545" s="31"/>
      <c r="M1545" s="31" t="s">
        <v>854</v>
      </c>
      <c r="N1545" s="6" t="s">
        <v>856</v>
      </c>
    </row>
    <row r="1546" spans="1:14" ht="15" customHeight="1" x14ac:dyDescent="0.2">
      <c r="A1546" s="31">
        <v>1.027102588577615</v>
      </c>
      <c r="B1546" s="31"/>
      <c r="C1546" s="2" t="s">
        <v>855</v>
      </c>
      <c r="D1546" s="31">
        <f t="shared" si="56"/>
        <v>0.20131210736121255</v>
      </c>
      <c r="F1546" s="2" t="s">
        <v>822</v>
      </c>
      <c r="G1546" s="23" t="s">
        <v>902</v>
      </c>
      <c r="H1546" s="2" t="s">
        <v>822</v>
      </c>
      <c r="J1546" s="31">
        <v>29.737300900000001</v>
      </c>
      <c r="K1546" s="31">
        <v>-26.808299999999999</v>
      </c>
      <c r="L1546" s="31"/>
      <c r="M1546" s="31" t="s">
        <v>854</v>
      </c>
      <c r="N1546" s="6" t="s">
        <v>856</v>
      </c>
    </row>
    <row r="1547" spans="1:14" ht="15" customHeight="1" x14ac:dyDescent="0.2">
      <c r="A1547" s="31">
        <v>1.026919450979136</v>
      </c>
      <c r="B1547" s="31"/>
      <c r="C1547" s="2" t="s">
        <v>855</v>
      </c>
      <c r="D1547" s="31">
        <f t="shared" si="56"/>
        <v>0.20127621239191065</v>
      </c>
      <c r="F1547" s="2" t="s">
        <v>822</v>
      </c>
      <c r="G1547" s="23" t="s">
        <v>902</v>
      </c>
      <c r="H1547" s="2" t="s">
        <v>822</v>
      </c>
      <c r="J1547" s="31">
        <v>43.031299599999997</v>
      </c>
      <c r="K1547" s="31">
        <v>-10.6288996</v>
      </c>
      <c r="L1547" s="31"/>
      <c r="M1547" s="31" t="s">
        <v>854</v>
      </c>
      <c r="N1547" s="6" t="s">
        <v>856</v>
      </c>
    </row>
    <row r="1548" spans="1:14" ht="15" customHeight="1" x14ac:dyDescent="0.2">
      <c r="A1548" s="31">
        <v>1.0267221618491831</v>
      </c>
      <c r="B1548" s="31"/>
      <c r="C1548" s="2" t="s">
        <v>855</v>
      </c>
      <c r="D1548" s="31">
        <f t="shared" si="56"/>
        <v>0.2012375437224399</v>
      </c>
      <c r="F1548" s="2" t="s">
        <v>822</v>
      </c>
      <c r="G1548" s="23" t="s">
        <v>902</v>
      </c>
      <c r="H1548" s="2" t="s">
        <v>822</v>
      </c>
      <c r="J1548" s="31">
        <v>37.7527008</v>
      </c>
      <c r="K1548" s="31">
        <v>0.50641800000000003</v>
      </c>
      <c r="L1548" s="31"/>
      <c r="M1548" s="31" t="s">
        <v>854</v>
      </c>
      <c r="N1548" s="6" t="s">
        <v>856</v>
      </c>
    </row>
    <row r="1549" spans="1:14" ht="15" customHeight="1" x14ac:dyDescent="0.2">
      <c r="A1549" s="31">
        <v>1.026662291621206</v>
      </c>
      <c r="B1549" s="31"/>
      <c r="C1549" s="2" t="s">
        <v>855</v>
      </c>
      <c r="D1549" s="31">
        <f t="shared" si="56"/>
        <v>0.2012258091577564</v>
      </c>
      <c r="F1549" s="2" t="s">
        <v>822</v>
      </c>
      <c r="G1549" s="23" t="s">
        <v>902</v>
      </c>
      <c r="H1549" s="2" t="s">
        <v>822</v>
      </c>
      <c r="J1549" s="31">
        <v>27.759700800000001</v>
      </c>
      <c r="K1549" s="31">
        <v>-26.747400299999999</v>
      </c>
      <c r="L1549" s="31"/>
      <c r="M1549" s="31" t="s">
        <v>854</v>
      </c>
      <c r="N1549" s="6" t="s">
        <v>856</v>
      </c>
    </row>
    <row r="1550" spans="1:14" ht="15" customHeight="1" x14ac:dyDescent="0.2">
      <c r="A1550" s="31">
        <v>1.0265215932970451</v>
      </c>
      <c r="B1550" s="31"/>
      <c r="C1550" s="2" t="s">
        <v>855</v>
      </c>
      <c r="D1550" s="31">
        <f t="shared" si="56"/>
        <v>0.20119823228622083</v>
      </c>
      <c r="F1550" s="2" t="s">
        <v>822</v>
      </c>
      <c r="G1550" s="23" t="s">
        <v>902</v>
      </c>
      <c r="H1550" s="2" t="s">
        <v>822</v>
      </c>
      <c r="J1550" s="31">
        <v>41.377399400000002</v>
      </c>
      <c r="K1550" s="31">
        <v>-9.8821200999999999</v>
      </c>
      <c r="L1550" s="31"/>
      <c r="M1550" s="31" t="s">
        <v>854</v>
      </c>
      <c r="N1550" s="6" t="s">
        <v>856</v>
      </c>
    </row>
    <row r="1551" spans="1:14" ht="15" customHeight="1" x14ac:dyDescent="0.2">
      <c r="A1551" s="31">
        <v>1.026043349129284</v>
      </c>
      <c r="B1551" s="31"/>
      <c r="C1551" s="2" t="s">
        <v>855</v>
      </c>
      <c r="D1551" s="31">
        <f t="shared" si="56"/>
        <v>0.20110449642933967</v>
      </c>
      <c r="F1551" s="2" t="s">
        <v>822</v>
      </c>
      <c r="G1551" s="23" t="s">
        <v>902</v>
      </c>
      <c r="H1551" s="2" t="s">
        <v>822</v>
      </c>
      <c r="J1551" s="31">
        <v>45.8423996</v>
      </c>
      <c r="K1551" s="31">
        <v>-4.0835499999999998</v>
      </c>
      <c r="L1551" s="31"/>
      <c r="M1551" s="31" t="s">
        <v>854</v>
      </c>
      <c r="N1551" s="6" t="s">
        <v>856</v>
      </c>
    </row>
    <row r="1552" spans="1:14" ht="15" customHeight="1" x14ac:dyDescent="0.2">
      <c r="A1552" s="31">
        <v>1.025856946434154</v>
      </c>
      <c r="B1552" s="31"/>
      <c r="C1552" s="2" t="s">
        <v>855</v>
      </c>
      <c r="D1552" s="31">
        <f t="shared" si="56"/>
        <v>0.20106796150109421</v>
      </c>
      <c r="F1552" s="2" t="s">
        <v>822</v>
      </c>
      <c r="G1552" s="23" t="s">
        <v>902</v>
      </c>
      <c r="H1552" s="2" t="s">
        <v>822</v>
      </c>
      <c r="J1552" s="31">
        <v>32.585399600000002</v>
      </c>
      <c r="K1552" s="31">
        <v>-41.2837982</v>
      </c>
      <c r="L1552" s="31"/>
      <c r="M1552" s="31" t="s">
        <v>854</v>
      </c>
      <c r="N1552" s="6" t="s">
        <v>856</v>
      </c>
    </row>
    <row r="1553" spans="1:14" ht="15" customHeight="1" x14ac:dyDescent="0.2">
      <c r="A1553" s="31">
        <v>1.0253323942090731</v>
      </c>
      <c r="B1553" s="31"/>
      <c r="C1553" s="2" t="s">
        <v>855</v>
      </c>
      <c r="D1553" s="31">
        <f t="shared" si="56"/>
        <v>0.20096514926497833</v>
      </c>
      <c r="F1553" s="2" t="s">
        <v>822</v>
      </c>
      <c r="G1553" s="23" t="s">
        <v>902</v>
      </c>
      <c r="H1553" s="2" t="s">
        <v>822</v>
      </c>
      <c r="J1553" s="31">
        <v>38.731998400000002</v>
      </c>
      <c r="K1553" s="31">
        <v>-14.5039997</v>
      </c>
      <c r="L1553" s="31"/>
      <c r="M1553" s="31" t="s">
        <v>854</v>
      </c>
      <c r="N1553" s="6" t="s">
        <v>856</v>
      </c>
    </row>
    <row r="1554" spans="1:14" ht="15" customHeight="1" x14ac:dyDescent="0.2">
      <c r="A1554" s="31">
        <v>1.025322001168022</v>
      </c>
      <c r="B1554" s="31"/>
      <c r="C1554" s="2" t="s">
        <v>855</v>
      </c>
      <c r="D1554" s="31">
        <f t="shared" si="56"/>
        <v>0.20096311222893232</v>
      </c>
      <c r="F1554" s="2" t="s">
        <v>822</v>
      </c>
      <c r="G1554" s="23" t="s">
        <v>902</v>
      </c>
      <c r="H1554" s="2" t="s">
        <v>822</v>
      </c>
      <c r="J1554" s="31">
        <v>36.875801099999997</v>
      </c>
      <c r="K1554" s="31">
        <v>-9.8571100000000005</v>
      </c>
      <c r="L1554" s="31"/>
      <c r="M1554" s="31" t="s">
        <v>854</v>
      </c>
      <c r="N1554" s="6" t="s">
        <v>856</v>
      </c>
    </row>
    <row r="1555" spans="1:14" ht="15" customHeight="1" x14ac:dyDescent="0.2">
      <c r="A1555" s="31">
        <v>1.0249710501999221</v>
      </c>
      <c r="B1555" s="31"/>
      <c r="C1555" s="2" t="s">
        <v>855</v>
      </c>
      <c r="D1555" s="31">
        <f t="shared" si="56"/>
        <v>0.20089432583918473</v>
      </c>
      <c r="F1555" s="2" t="s">
        <v>822</v>
      </c>
      <c r="G1555" s="23" t="s">
        <v>902</v>
      </c>
      <c r="H1555" s="2" t="s">
        <v>822</v>
      </c>
      <c r="J1555" s="31">
        <v>54.582401300000001</v>
      </c>
      <c r="K1555" s="31">
        <v>18.856000900000002</v>
      </c>
      <c r="L1555" s="31"/>
      <c r="M1555" s="31" t="s">
        <v>854</v>
      </c>
      <c r="N1555" s="6" t="s">
        <v>856</v>
      </c>
    </row>
    <row r="1556" spans="1:14" ht="15" customHeight="1" x14ac:dyDescent="0.2">
      <c r="A1556" s="31">
        <v>1.024948834423806</v>
      </c>
      <c r="B1556" s="31"/>
      <c r="C1556" s="2" t="s">
        <v>855</v>
      </c>
      <c r="D1556" s="31">
        <f t="shared" si="56"/>
        <v>0.20088997154706598</v>
      </c>
      <c r="F1556" s="2" t="s">
        <v>822</v>
      </c>
      <c r="G1556" s="23" t="s">
        <v>902</v>
      </c>
      <c r="H1556" s="2" t="s">
        <v>822</v>
      </c>
      <c r="J1556" s="31">
        <v>30.7084999</v>
      </c>
      <c r="K1556" s="31">
        <v>-10.8894997</v>
      </c>
      <c r="L1556" s="31"/>
      <c r="M1556" s="31" t="s">
        <v>854</v>
      </c>
      <c r="N1556" s="6" t="s">
        <v>856</v>
      </c>
    </row>
    <row r="1557" spans="1:14" ht="15" customHeight="1" x14ac:dyDescent="0.2">
      <c r="A1557" s="31">
        <v>1.0247850314515821</v>
      </c>
      <c r="B1557" s="31"/>
      <c r="C1557" s="2" t="s">
        <v>855</v>
      </c>
      <c r="D1557" s="31">
        <f t="shared" si="56"/>
        <v>0.2008578661645101</v>
      </c>
      <c r="F1557" s="2" t="s">
        <v>822</v>
      </c>
      <c r="G1557" s="23" t="s">
        <v>902</v>
      </c>
      <c r="H1557" s="2" t="s">
        <v>822</v>
      </c>
      <c r="J1557" s="31">
        <v>46.196601899999997</v>
      </c>
      <c r="K1557" s="31">
        <v>-4.0794100999999996</v>
      </c>
      <c r="L1557" s="31"/>
      <c r="M1557" s="31" t="s">
        <v>854</v>
      </c>
      <c r="N1557" s="6" t="s">
        <v>856</v>
      </c>
    </row>
    <row r="1558" spans="1:14" ht="15" customHeight="1" x14ac:dyDescent="0.2">
      <c r="A1558" s="31">
        <v>1.024740397059422</v>
      </c>
      <c r="B1558" s="31"/>
      <c r="C1558" s="2" t="s">
        <v>855</v>
      </c>
      <c r="D1558" s="31">
        <f t="shared" si="56"/>
        <v>0.20084911782364673</v>
      </c>
      <c r="F1558" s="2" t="s">
        <v>822</v>
      </c>
      <c r="G1558" s="23" t="s">
        <v>902</v>
      </c>
      <c r="H1558" s="2" t="s">
        <v>822</v>
      </c>
      <c r="J1558" s="31">
        <v>44.557300599999998</v>
      </c>
      <c r="K1558" s="31">
        <v>-7.1718798000000001</v>
      </c>
      <c r="L1558" s="31"/>
      <c r="M1558" s="31" t="s">
        <v>854</v>
      </c>
      <c r="N1558" s="6" t="s">
        <v>856</v>
      </c>
    </row>
    <row r="1559" spans="1:14" ht="15" customHeight="1" x14ac:dyDescent="0.2">
      <c r="A1559" s="31">
        <v>1.024678803889953</v>
      </c>
      <c r="B1559" s="31"/>
      <c r="C1559" s="2" t="s">
        <v>855</v>
      </c>
      <c r="D1559" s="31">
        <f t="shared" si="56"/>
        <v>0.20083704556243079</v>
      </c>
      <c r="F1559" s="2" t="s">
        <v>822</v>
      </c>
      <c r="G1559" s="23" t="s">
        <v>902</v>
      </c>
      <c r="H1559" s="2" t="s">
        <v>822</v>
      </c>
      <c r="J1559" s="31">
        <v>42.154598200000002</v>
      </c>
      <c r="K1559" s="31">
        <v>-10.2122002</v>
      </c>
      <c r="L1559" s="31"/>
      <c r="M1559" s="31" t="s">
        <v>854</v>
      </c>
      <c r="N1559" s="6" t="s">
        <v>856</v>
      </c>
    </row>
    <row r="1560" spans="1:14" ht="15" customHeight="1" x14ac:dyDescent="0.2">
      <c r="A1560" s="31">
        <v>1.0245158100115981</v>
      </c>
      <c r="B1560" s="31"/>
      <c r="C1560" s="2" t="s">
        <v>855</v>
      </c>
      <c r="D1560" s="31">
        <f t="shared" ref="D1560:D1591" si="57" xml:space="preserve"> A1560 * 0.196</f>
        <v>0.20080509876227323</v>
      </c>
      <c r="F1560" s="2" t="s">
        <v>822</v>
      </c>
      <c r="G1560" s="23" t="s">
        <v>902</v>
      </c>
      <c r="H1560" s="2" t="s">
        <v>822</v>
      </c>
      <c r="J1560" s="31">
        <v>39.359600100000002</v>
      </c>
      <c r="K1560" s="31">
        <v>-18.345199600000001</v>
      </c>
      <c r="L1560" s="31"/>
      <c r="M1560" s="31" t="s">
        <v>854</v>
      </c>
      <c r="N1560" s="6" t="s">
        <v>856</v>
      </c>
    </row>
    <row r="1561" spans="1:14" ht="15" customHeight="1" x14ac:dyDescent="0.2">
      <c r="A1561" s="31">
        <v>1.024255130507953</v>
      </c>
      <c r="B1561" s="31"/>
      <c r="C1561" s="2" t="s">
        <v>855</v>
      </c>
      <c r="D1561" s="31">
        <f t="shared" si="57"/>
        <v>0.2007540055795588</v>
      </c>
      <c r="F1561" s="2" t="s">
        <v>822</v>
      </c>
      <c r="G1561" s="23" t="s">
        <v>902</v>
      </c>
      <c r="H1561" s="2" t="s">
        <v>822</v>
      </c>
      <c r="J1561" s="31">
        <v>36.513401000000002</v>
      </c>
      <c r="K1561" s="31">
        <v>-14.5151997</v>
      </c>
      <c r="L1561" s="31"/>
      <c r="M1561" s="31" t="s">
        <v>854</v>
      </c>
      <c r="N1561" s="6" t="s">
        <v>856</v>
      </c>
    </row>
    <row r="1562" spans="1:14" ht="15" customHeight="1" x14ac:dyDescent="0.2">
      <c r="A1562" s="31">
        <v>1.023579540688961</v>
      </c>
      <c r="B1562" s="31"/>
      <c r="C1562" s="2" t="s">
        <v>855</v>
      </c>
      <c r="D1562" s="31">
        <f t="shared" si="57"/>
        <v>0.20062158997503635</v>
      </c>
      <c r="F1562" s="2" t="s">
        <v>822</v>
      </c>
      <c r="G1562" s="23" t="s">
        <v>902</v>
      </c>
      <c r="H1562" s="2" t="s">
        <v>822</v>
      </c>
      <c r="J1562" s="31">
        <v>39.057399699999998</v>
      </c>
      <c r="K1562" s="31">
        <v>23.222299599999999</v>
      </c>
      <c r="L1562" s="31"/>
      <c r="M1562" s="31" t="s">
        <v>854</v>
      </c>
      <c r="N1562" s="6" t="s">
        <v>856</v>
      </c>
    </row>
    <row r="1563" spans="1:14" ht="15" customHeight="1" x14ac:dyDescent="0.2">
      <c r="A1563" s="31">
        <v>1.0229934264505121</v>
      </c>
      <c r="B1563" s="31"/>
      <c r="C1563" s="2" t="s">
        <v>855</v>
      </c>
      <c r="D1563" s="31">
        <f t="shared" si="57"/>
        <v>0.20050671158430036</v>
      </c>
      <c r="F1563" s="2" t="s">
        <v>822</v>
      </c>
      <c r="G1563" s="23" t="s">
        <v>902</v>
      </c>
      <c r="H1563" s="2" t="s">
        <v>822</v>
      </c>
      <c r="J1563" s="31">
        <v>36.652400999999998</v>
      </c>
      <c r="K1563" s="31">
        <v>-16.472499800000001</v>
      </c>
      <c r="L1563" s="31"/>
      <c r="M1563" s="31" t="s">
        <v>854</v>
      </c>
      <c r="N1563" s="6" t="s">
        <v>856</v>
      </c>
    </row>
    <row r="1564" spans="1:14" ht="15" customHeight="1" x14ac:dyDescent="0.2">
      <c r="A1564" s="31">
        <v>1.021546937328274</v>
      </c>
      <c r="B1564" s="31"/>
      <c r="C1564" s="2" t="s">
        <v>855</v>
      </c>
      <c r="D1564" s="31">
        <f t="shared" si="57"/>
        <v>0.2002231997163417</v>
      </c>
      <c r="F1564" s="2" t="s">
        <v>822</v>
      </c>
      <c r="G1564" s="23" t="s">
        <v>902</v>
      </c>
      <c r="H1564" s="2" t="s">
        <v>822</v>
      </c>
      <c r="J1564" s="31">
        <v>40.356201200000001</v>
      </c>
      <c r="K1564" s="31">
        <v>-35.9463005</v>
      </c>
      <c r="L1564" s="31"/>
      <c r="M1564" s="31" t="s">
        <v>854</v>
      </c>
      <c r="N1564" s="6" t="s">
        <v>856</v>
      </c>
    </row>
    <row r="1565" spans="1:14" ht="15" customHeight="1" x14ac:dyDescent="0.2">
      <c r="A1565" s="31">
        <v>1.0213194156109049</v>
      </c>
      <c r="B1565" s="31"/>
      <c r="C1565" s="2" t="s">
        <v>855</v>
      </c>
      <c r="D1565" s="31">
        <f t="shared" si="57"/>
        <v>0.20017860545973737</v>
      </c>
      <c r="F1565" s="2" t="s">
        <v>822</v>
      </c>
      <c r="G1565" s="23" t="s">
        <v>902</v>
      </c>
      <c r="H1565" s="2" t="s">
        <v>822</v>
      </c>
      <c r="J1565" s="31">
        <v>44.9906006</v>
      </c>
      <c r="K1565" s="31">
        <v>-1.37016</v>
      </c>
      <c r="L1565" s="31"/>
      <c r="M1565" s="31" t="s">
        <v>854</v>
      </c>
      <c r="N1565" s="6" t="s">
        <v>856</v>
      </c>
    </row>
    <row r="1566" spans="1:14" ht="15" customHeight="1" x14ac:dyDescent="0.2">
      <c r="A1566" s="31">
        <v>1.021045107704238</v>
      </c>
      <c r="B1566" s="31"/>
      <c r="C1566" s="2" t="s">
        <v>855</v>
      </c>
      <c r="D1566" s="31">
        <f t="shared" si="57"/>
        <v>0.20012484111003065</v>
      </c>
      <c r="F1566" s="2" t="s">
        <v>822</v>
      </c>
      <c r="G1566" s="23" t="s">
        <v>902</v>
      </c>
      <c r="H1566" s="2" t="s">
        <v>822</v>
      </c>
      <c r="J1566" s="31">
        <v>37.897701300000001</v>
      </c>
      <c r="K1566" s="31">
        <v>-20.7273006</v>
      </c>
      <c r="L1566" s="31"/>
      <c r="M1566" s="31" t="s">
        <v>854</v>
      </c>
      <c r="N1566" s="6" t="s">
        <v>856</v>
      </c>
    </row>
    <row r="1567" spans="1:14" ht="15" customHeight="1" x14ac:dyDescent="0.2">
      <c r="A1567" s="31">
        <v>1.021040172325107</v>
      </c>
      <c r="B1567" s="31"/>
      <c r="C1567" s="2" t="s">
        <v>855</v>
      </c>
      <c r="D1567" s="31">
        <f t="shared" si="57"/>
        <v>0.200123873775721</v>
      </c>
      <c r="F1567" s="2" t="s">
        <v>822</v>
      </c>
      <c r="G1567" s="23" t="s">
        <v>902</v>
      </c>
      <c r="H1567" s="2" t="s">
        <v>822</v>
      </c>
      <c r="J1567" s="31">
        <v>40.083301499999997</v>
      </c>
      <c r="K1567" s="31">
        <v>7.3761701999999998</v>
      </c>
      <c r="L1567" s="31"/>
      <c r="M1567" s="31" t="s">
        <v>854</v>
      </c>
      <c r="N1567" s="6" t="s">
        <v>856</v>
      </c>
    </row>
    <row r="1568" spans="1:14" ht="15" customHeight="1" x14ac:dyDescent="0.2">
      <c r="A1568" s="31">
        <v>1.020625202007311</v>
      </c>
      <c r="B1568" s="31"/>
      <c r="C1568" s="2" t="s">
        <v>855</v>
      </c>
      <c r="D1568" s="31">
        <f t="shared" si="57"/>
        <v>0.20004253959343296</v>
      </c>
      <c r="F1568" s="2" t="s">
        <v>822</v>
      </c>
      <c r="G1568" s="23" t="s">
        <v>902</v>
      </c>
      <c r="H1568" s="2" t="s">
        <v>822</v>
      </c>
      <c r="J1568" s="31">
        <v>29.7749004</v>
      </c>
      <c r="K1568" s="31">
        <v>-24.250900300000001</v>
      </c>
      <c r="L1568" s="31"/>
      <c r="M1568" s="31" t="s">
        <v>854</v>
      </c>
      <c r="N1568" s="6" t="s">
        <v>856</v>
      </c>
    </row>
    <row r="1569" spans="1:14" ht="15" customHeight="1" x14ac:dyDescent="0.2">
      <c r="A1569" s="31">
        <v>1.0205721105672501</v>
      </c>
      <c r="B1569" s="31"/>
      <c r="C1569" s="2" t="s">
        <v>855</v>
      </c>
      <c r="D1569" s="31">
        <f t="shared" si="57"/>
        <v>0.20003213367118103</v>
      </c>
      <c r="F1569" s="2" t="s">
        <v>822</v>
      </c>
      <c r="G1569" s="23" t="s">
        <v>902</v>
      </c>
      <c r="H1569" s="2" t="s">
        <v>822</v>
      </c>
      <c r="J1569" s="31">
        <v>59.7212982</v>
      </c>
      <c r="K1569" s="31">
        <v>25.3243999</v>
      </c>
      <c r="L1569" s="31"/>
      <c r="M1569" s="31" t="s">
        <v>854</v>
      </c>
      <c r="N1569" s="6" t="s">
        <v>856</v>
      </c>
    </row>
    <row r="1570" spans="1:14" ht="15" customHeight="1" x14ac:dyDescent="0.2">
      <c r="A1570" s="31">
        <v>1.0204243920673539</v>
      </c>
      <c r="B1570" s="31"/>
      <c r="C1570" s="2" t="s">
        <v>855</v>
      </c>
      <c r="D1570" s="31">
        <f t="shared" si="57"/>
        <v>0.20000318084520138</v>
      </c>
      <c r="F1570" s="2" t="s">
        <v>822</v>
      </c>
      <c r="G1570" s="23" t="s">
        <v>902</v>
      </c>
      <c r="H1570" s="2" t="s">
        <v>822</v>
      </c>
      <c r="J1570" s="31">
        <v>36.728000600000001</v>
      </c>
      <c r="K1570" s="31">
        <v>-19.8481007</v>
      </c>
      <c r="L1570" s="31"/>
      <c r="M1570" s="31" t="s">
        <v>854</v>
      </c>
      <c r="N1570" s="6" t="s">
        <v>856</v>
      </c>
    </row>
    <row r="1571" spans="1:14" ht="15" customHeight="1" x14ac:dyDescent="0.2">
      <c r="A1571" s="31">
        <v>1.020247530081136</v>
      </c>
      <c r="B1571" s="31"/>
      <c r="C1571" s="2" t="s">
        <v>855</v>
      </c>
      <c r="D1571" s="31">
        <f t="shared" si="57"/>
        <v>0.19996851589590267</v>
      </c>
      <c r="F1571" s="2" t="s">
        <v>822</v>
      </c>
      <c r="G1571" s="23" t="s">
        <v>902</v>
      </c>
      <c r="H1571" s="2" t="s">
        <v>822</v>
      </c>
      <c r="J1571" s="31">
        <v>41.160301199999999</v>
      </c>
      <c r="K1571" s="31">
        <v>3.6021399000000001</v>
      </c>
      <c r="L1571" s="31"/>
      <c r="M1571" s="31" t="s">
        <v>854</v>
      </c>
      <c r="N1571" s="6" t="s">
        <v>856</v>
      </c>
    </row>
    <row r="1572" spans="1:14" ht="15" customHeight="1" x14ac:dyDescent="0.2">
      <c r="A1572" s="31">
        <v>1.0199800560689329</v>
      </c>
      <c r="B1572" s="31"/>
      <c r="C1572" s="2" t="s">
        <v>855</v>
      </c>
      <c r="D1572" s="31">
        <f t="shared" si="57"/>
        <v>0.19991609098951085</v>
      </c>
      <c r="F1572" s="2" t="s">
        <v>822</v>
      </c>
      <c r="G1572" s="23" t="s">
        <v>902</v>
      </c>
      <c r="H1572" s="2" t="s">
        <v>822</v>
      </c>
      <c r="J1572" s="31">
        <v>36.867698699999998</v>
      </c>
      <c r="K1572" s="31">
        <v>18.947900799999999</v>
      </c>
      <c r="L1572" s="31"/>
      <c r="M1572" s="31" t="s">
        <v>854</v>
      </c>
      <c r="N1572" s="6" t="s">
        <v>856</v>
      </c>
    </row>
    <row r="1573" spans="1:14" ht="15" customHeight="1" x14ac:dyDescent="0.2">
      <c r="A1573" s="31">
        <v>1.019498236545882</v>
      </c>
      <c r="B1573" s="31"/>
      <c r="C1573" s="2" t="s">
        <v>855</v>
      </c>
      <c r="D1573" s="31">
        <f t="shared" si="57"/>
        <v>0.19982165436299287</v>
      </c>
      <c r="F1573" s="2" t="s">
        <v>822</v>
      </c>
      <c r="G1573" s="23" t="s">
        <v>902</v>
      </c>
      <c r="H1573" s="2" t="s">
        <v>822</v>
      </c>
      <c r="J1573" s="31">
        <v>41.159698499999998</v>
      </c>
      <c r="K1573" s="31">
        <v>-9.5096197</v>
      </c>
      <c r="L1573" s="31"/>
      <c r="M1573" s="31" t="s">
        <v>854</v>
      </c>
      <c r="N1573" s="6" t="s">
        <v>856</v>
      </c>
    </row>
    <row r="1574" spans="1:14" ht="15" customHeight="1" x14ac:dyDescent="0.2">
      <c r="A1574" s="31">
        <v>1.019235041572556</v>
      </c>
      <c r="B1574" s="31"/>
      <c r="C1574" s="2" t="s">
        <v>855</v>
      </c>
      <c r="D1574" s="31">
        <f t="shared" si="57"/>
        <v>0.19977006814822099</v>
      </c>
      <c r="F1574" s="2" t="s">
        <v>822</v>
      </c>
      <c r="G1574" s="23" t="s">
        <v>902</v>
      </c>
      <c r="H1574" s="2" t="s">
        <v>822</v>
      </c>
      <c r="J1574" s="31">
        <v>33.505798300000002</v>
      </c>
      <c r="K1574" s="31">
        <v>-8.4804001000000007</v>
      </c>
      <c r="L1574" s="31"/>
      <c r="M1574" s="31" t="s">
        <v>854</v>
      </c>
      <c r="N1574" s="6" t="s">
        <v>856</v>
      </c>
    </row>
    <row r="1575" spans="1:14" ht="15" customHeight="1" x14ac:dyDescent="0.2">
      <c r="A1575" s="31">
        <v>1.0191738578032159</v>
      </c>
      <c r="B1575" s="31"/>
      <c r="C1575" s="2" t="s">
        <v>855</v>
      </c>
      <c r="D1575" s="31">
        <f t="shared" si="57"/>
        <v>0.19975807612943033</v>
      </c>
      <c r="F1575" s="2" t="s">
        <v>822</v>
      </c>
      <c r="G1575" s="23" t="s">
        <v>902</v>
      </c>
      <c r="H1575" s="2" t="s">
        <v>822</v>
      </c>
      <c r="J1575" s="31">
        <v>27.375999499999999</v>
      </c>
      <c r="K1575" s="31">
        <v>-23.187999699999999</v>
      </c>
      <c r="L1575" s="31"/>
      <c r="M1575" s="31" t="s">
        <v>854</v>
      </c>
      <c r="N1575" s="6" t="s">
        <v>856</v>
      </c>
    </row>
    <row r="1576" spans="1:14" ht="15" customHeight="1" x14ac:dyDescent="0.2">
      <c r="A1576" s="31">
        <v>1.0190657192810679</v>
      </c>
      <c r="B1576" s="31"/>
      <c r="C1576" s="2" t="s">
        <v>855</v>
      </c>
      <c r="D1576" s="31">
        <f t="shared" si="57"/>
        <v>0.19973688097908932</v>
      </c>
      <c r="F1576" s="2" t="s">
        <v>822</v>
      </c>
      <c r="G1576" s="23" t="s">
        <v>902</v>
      </c>
      <c r="H1576" s="2" t="s">
        <v>822</v>
      </c>
      <c r="J1576" s="31">
        <v>37.567199700000003</v>
      </c>
      <c r="K1576" s="31">
        <v>-14.5030003</v>
      </c>
      <c r="L1576" s="31"/>
      <c r="M1576" s="31" t="s">
        <v>854</v>
      </c>
      <c r="N1576" s="6" t="s">
        <v>856</v>
      </c>
    </row>
    <row r="1577" spans="1:14" ht="15" customHeight="1" x14ac:dyDescent="0.2">
      <c r="A1577" s="31">
        <v>1.0189114671558801</v>
      </c>
      <c r="B1577" s="31"/>
      <c r="C1577" s="2" t="s">
        <v>855</v>
      </c>
      <c r="D1577" s="31">
        <f t="shared" si="57"/>
        <v>0.19970664756255252</v>
      </c>
      <c r="F1577" s="2" t="s">
        <v>822</v>
      </c>
      <c r="G1577" s="23" t="s">
        <v>902</v>
      </c>
      <c r="H1577" s="2" t="s">
        <v>822</v>
      </c>
      <c r="J1577" s="31">
        <v>38.0807991</v>
      </c>
      <c r="K1577" s="31">
        <v>14.8212996</v>
      </c>
      <c r="L1577" s="31"/>
      <c r="M1577" s="31" t="s">
        <v>854</v>
      </c>
      <c r="N1577" s="6" t="s">
        <v>856</v>
      </c>
    </row>
    <row r="1578" spans="1:14" ht="15" customHeight="1" x14ac:dyDescent="0.2">
      <c r="A1578" s="31">
        <v>1.018221027584415</v>
      </c>
      <c r="B1578" s="31"/>
      <c r="C1578" s="2" t="s">
        <v>855</v>
      </c>
      <c r="D1578" s="31">
        <f t="shared" si="57"/>
        <v>0.19957132140654535</v>
      </c>
      <c r="F1578" s="2" t="s">
        <v>822</v>
      </c>
      <c r="G1578" s="23" t="s">
        <v>902</v>
      </c>
      <c r="H1578" s="2" t="s">
        <v>822</v>
      </c>
      <c r="J1578" s="31">
        <v>43.410701799999998</v>
      </c>
      <c r="K1578" s="31">
        <v>-34.546501200000002</v>
      </c>
      <c r="L1578" s="31"/>
      <c r="M1578" s="31" t="s">
        <v>854</v>
      </c>
      <c r="N1578" s="6" t="s">
        <v>856</v>
      </c>
    </row>
    <row r="1579" spans="1:14" ht="15" customHeight="1" x14ac:dyDescent="0.2">
      <c r="A1579" s="31">
        <v>1.0180382717153831</v>
      </c>
      <c r="B1579" s="31"/>
      <c r="C1579" s="2" t="s">
        <v>855</v>
      </c>
      <c r="D1579" s="31">
        <f t="shared" si="57"/>
        <v>0.19953550125621508</v>
      </c>
      <c r="F1579" s="2" t="s">
        <v>822</v>
      </c>
      <c r="G1579" s="23" t="s">
        <v>902</v>
      </c>
      <c r="H1579" s="2" t="s">
        <v>822</v>
      </c>
      <c r="J1579" s="31">
        <v>31.384000799999999</v>
      </c>
      <c r="K1579" s="31">
        <v>-15.171999899999999</v>
      </c>
      <c r="L1579" s="31"/>
      <c r="M1579" s="31" t="s">
        <v>854</v>
      </c>
      <c r="N1579" s="6" t="s">
        <v>856</v>
      </c>
    </row>
    <row r="1580" spans="1:14" ht="15" customHeight="1" x14ac:dyDescent="0.2">
      <c r="A1580" s="31">
        <v>1.0180018523151451</v>
      </c>
      <c r="B1580" s="31"/>
      <c r="C1580" s="2" t="s">
        <v>855</v>
      </c>
      <c r="D1580" s="31">
        <f t="shared" si="57"/>
        <v>0.19952836305376845</v>
      </c>
      <c r="F1580" s="2" t="s">
        <v>822</v>
      </c>
      <c r="G1580" s="23" t="s">
        <v>902</v>
      </c>
      <c r="H1580" s="2" t="s">
        <v>822</v>
      </c>
      <c r="J1580" s="31">
        <v>40.193500499999999</v>
      </c>
      <c r="K1580" s="31">
        <v>22.6637001</v>
      </c>
      <c r="L1580" s="31"/>
      <c r="M1580" s="31" t="s">
        <v>854</v>
      </c>
      <c r="N1580" s="6" t="s">
        <v>856</v>
      </c>
    </row>
    <row r="1581" spans="1:14" ht="15" customHeight="1" x14ac:dyDescent="0.2">
      <c r="A1581" s="31">
        <v>1.0179527566138951</v>
      </c>
      <c r="B1581" s="31"/>
      <c r="C1581" s="2" t="s">
        <v>855</v>
      </c>
      <c r="D1581" s="31">
        <f t="shared" si="57"/>
        <v>0.19951874029632344</v>
      </c>
      <c r="F1581" s="2" t="s">
        <v>822</v>
      </c>
      <c r="G1581" s="23" t="s">
        <v>902</v>
      </c>
      <c r="H1581" s="2" t="s">
        <v>822</v>
      </c>
      <c r="J1581" s="31">
        <v>43.998401600000001</v>
      </c>
      <c r="K1581" s="31">
        <v>-30.416900600000002</v>
      </c>
      <c r="L1581" s="31"/>
      <c r="M1581" s="31" t="s">
        <v>854</v>
      </c>
      <c r="N1581" s="6" t="s">
        <v>856</v>
      </c>
    </row>
    <row r="1582" spans="1:14" ht="15" customHeight="1" x14ac:dyDescent="0.2">
      <c r="A1582" s="31">
        <v>1.0178019427691709</v>
      </c>
      <c r="B1582" s="31"/>
      <c r="C1582" s="2" t="s">
        <v>855</v>
      </c>
      <c r="D1582" s="31">
        <f t="shared" si="57"/>
        <v>0.19948918078275751</v>
      </c>
      <c r="F1582" s="2" t="s">
        <v>822</v>
      </c>
      <c r="G1582" s="23" t="s">
        <v>902</v>
      </c>
      <c r="H1582" s="2" t="s">
        <v>822</v>
      </c>
      <c r="J1582" s="31">
        <v>36.913898500000002</v>
      </c>
      <c r="K1582" s="31">
        <v>9.6054896999999997</v>
      </c>
      <c r="L1582" s="31"/>
      <c r="M1582" s="31" t="s">
        <v>854</v>
      </c>
      <c r="N1582" s="6" t="s">
        <v>856</v>
      </c>
    </row>
    <row r="1583" spans="1:14" ht="15" customHeight="1" x14ac:dyDescent="0.2">
      <c r="A1583" s="31">
        <v>1.0177649772490249</v>
      </c>
      <c r="B1583" s="31"/>
      <c r="C1583" s="2" t="s">
        <v>855</v>
      </c>
      <c r="D1583" s="31">
        <f t="shared" si="57"/>
        <v>0.1994819355408089</v>
      </c>
      <c r="F1583" s="2" t="s">
        <v>822</v>
      </c>
      <c r="G1583" s="23" t="s">
        <v>902</v>
      </c>
      <c r="H1583" s="2" t="s">
        <v>822</v>
      </c>
      <c r="J1583" s="31">
        <v>35.874298099999997</v>
      </c>
      <c r="K1583" s="31">
        <v>29.998699200000001</v>
      </c>
      <c r="L1583" s="31"/>
      <c r="M1583" s="31" t="s">
        <v>854</v>
      </c>
      <c r="N1583" s="6" t="s">
        <v>856</v>
      </c>
    </row>
    <row r="1584" spans="1:14" ht="15" customHeight="1" x14ac:dyDescent="0.2">
      <c r="A1584" s="31">
        <v>1.0177091640589899</v>
      </c>
      <c r="B1584" s="31"/>
      <c r="C1584" s="2" t="s">
        <v>855</v>
      </c>
      <c r="D1584" s="31">
        <f t="shared" si="57"/>
        <v>0.19947099615556202</v>
      </c>
      <c r="F1584" s="2" t="s">
        <v>822</v>
      </c>
      <c r="G1584" s="23" t="s">
        <v>902</v>
      </c>
      <c r="H1584" s="2" t="s">
        <v>822</v>
      </c>
      <c r="J1584" s="31">
        <v>36.999000500000001</v>
      </c>
      <c r="K1584" s="31">
        <v>-9.1738195000000005</v>
      </c>
      <c r="L1584" s="31"/>
      <c r="M1584" s="31" t="s">
        <v>854</v>
      </c>
      <c r="N1584" s="6" t="s">
        <v>856</v>
      </c>
    </row>
    <row r="1585" spans="1:14" ht="15" customHeight="1" x14ac:dyDescent="0.2">
      <c r="A1585" s="31">
        <v>1.017328066210718</v>
      </c>
      <c r="B1585" s="31"/>
      <c r="C1585" s="2" t="s">
        <v>855</v>
      </c>
      <c r="D1585" s="31">
        <f t="shared" si="57"/>
        <v>0.19939630097730074</v>
      </c>
      <c r="F1585" s="2" t="s">
        <v>822</v>
      </c>
      <c r="G1585" s="23" t="s">
        <v>902</v>
      </c>
      <c r="H1585" s="2" t="s">
        <v>822</v>
      </c>
      <c r="J1585" s="31">
        <v>41.445598599999997</v>
      </c>
      <c r="K1585" s="31">
        <v>-16.507999399999999</v>
      </c>
      <c r="L1585" s="31"/>
      <c r="M1585" s="31" t="s">
        <v>854</v>
      </c>
      <c r="N1585" s="6" t="s">
        <v>856</v>
      </c>
    </row>
    <row r="1586" spans="1:14" ht="15" customHeight="1" x14ac:dyDescent="0.2">
      <c r="A1586" s="31">
        <v>1.017284806928701</v>
      </c>
      <c r="B1586" s="31"/>
      <c r="C1586" s="2" t="s">
        <v>855</v>
      </c>
      <c r="D1586" s="31">
        <f t="shared" si="57"/>
        <v>0.19938782215802542</v>
      </c>
      <c r="F1586" s="2" t="s">
        <v>822</v>
      </c>
      <c r="G1586" s="23" t="s">
        <v>902</v>
      </c>
      <c r="H1586" s="2" t="s">
        <v>822</v>
      </c>
      <c r="J1586" s="31">
        <v>41.571098300000003</v>
      </c>
      <c r="K1586" s="31">
        <v>-19.105199800000001</v>
      </c>
      <c r="L1586" s="31"/>
      <c r="M1586" s="31" t="s">
        <v>854</v>
      </c>
      <c r="N1586" s="6" t="s">
        <v>856</v>
      </c>
    </row>
    <row r="1587" spans="1:14" ht="15" customHeight="1" x14ac:dyDescent="0.2">
      <c r="A1587" s="31">
        <v>1.0171601663253069</v>
      </c>
      <c r="B1587" s="31"/>
      <c r="C1587" s="2" t="s">
        <v>855</v>
      </c>
      <c r="D1587" s="31">
        <f t="shared" si="57"/>
        <v>0.19936339259976016</v>
      </c>
      <c r="F1587" s="2" t="s">
        <v>822</v>
      </c>
      <c r="G1587" s="23" t="s">
        <v>902</v>
      </c>
      <c r="H1587" s="2" t="s">
        <v>822</v>
      </c>
      <c r="J1587" s="31">
        <v>39.135700200000002</v>
      </c>
      <c r="K1587" s="31">
        <v>8.3546305000000007</v>
      </c>
      <c r="L1587" s="31"/>
      <c r="M1587" s="31" t="s">
        <v>854</v>
      </c>
      <c r="N1587" s="6" t="s">
        <v>856</v>
      </c>
    </row>
    <row r="1588" spans="1:14" ht="15" customHeight="1" x14ac:dyDescent="0.2">
      <c r="A1588" s="31">
        <v>1.016867851683859</v>
      </c>
      <c r="B1588" s="31"/>
      <c r="C1588" s="2" t="s">
        <v>855</v>
      </c>
      <c r="D1588" s="31">
        <f t="shared" si="57"/>
        <v>0.19930609893003637</v>
      </c>
      <c r="F1588" s="2" t="s">
        <v>822</v>
      </c>
      <c r="G1588" s="23" t="s">
        <v>902</v>
      </c>
      <c r="H1588" s="2" t="s">
        <v>822</v>
      </c>
      <c r="J1588" s="31">
        <v>34.591098799999997</v>
      </c>
      <c r="K1588" s="31">
        <v>24.1830006</v>
      </c>
      <c r="L1588" s="31"/>
      <c r="M1588" s="31" t="s">
        <v>854</v>
      </c>
      <c r="N1588" s="6" t="s">
        <v>856</v>
      </c>
    </row>
    <row r="1589" spans="1:14" ht="15" customHeight="1" x14ac:dyDescent="0.2">
      <c r="A1589" s="31">
        <v>1.0168300942221531</v>
      </c>
      <c r="B1589" s="31"/>
      <c r="C1589" s="2" t="s">
        <v>855</v>
      </c>
      <c r="D1589" s="31">
        <f t="shared" si="57"/>
        <v>0.199298698467542</v>
      </c>
      <c r="F1589" s="2" t="s">
        <v>822</v>
      </c>
      <c r="G1589" s="23" t="s">
        <v>902</v>
      </c>
      <c r="H1589" s="2" t="s">
        <v>822</v>
      </c>
      <c r="J1589" s="31">
        <v>34.477699299999998</v>
      </c>
      <c r="K1589" s="31">
        <v>27.5984993</v>
      </c>
      <c r="L1589" s="31"/>
      <c r="M1589" s="31" t="s">
        <v>854</v>
      </c>
      <c r="N1589" s="6" t="s">
        <v>856</v>
      </c>
    </row>
    <row r="1590" spans="1:14" ht="15" customHeight="1" x14ac:dyDescent="0.2">
      <c r="A1590" s="31">
        <v>1.016375288039429</v>
      </c>
      <c r="B1590" s="31"/>
      <c r="C1590" s="2" t="s">
        <v>855</v>
      </c>
      <c r="D1590" s="31">
        <f t="shared" si="57"/>
        <v>0.1992095564557281</v>
      </c>
      <c r="F1590" s="2" t="s">
        <v>822</v>
      </c>
      <c r="G1590" s="23" t="s">
        <v>902</v>
      </c>
      <c r="H1590" s="2" t="s">
        <v>822</v>
      </c>
      <c r="J1590" s="31">
        <v>41.378601099999997</v>
      </c>
      <c r="K1590" s="31">
        <v>-11.1613998</v>
      </c>
      <c r="L1590" s="31"/>
      <c r="M1590" s="31" t="s">
        <v>854</v>
      </c>
      <c r="N1590" s="6" t="s">
        <v>856</v>
      </c>
    </row>
    <row r="1591" spans="1:14" ht="15" customHeight="1" x14ac:dyDescent="0.2">
      <c r="A1591" s="31">
        <v>1.0152821442719311</v>
      </c>
      <c r="B1591" s="31"/>
      <c r="C1591" s="2" t="s">
        <v>855</v>
      </c>
      <c r="D1591" s="31">
        <f t="shared" si="57"/>
        <v>0.1989953002772985</v>
      </c>
      <c r="F1591" s="2" t="s">
        <v>822</v>
      </c>
      <c r="G1591" s="23" t="s">
        <v>902</v>
      </c>
      <c r="H1591" s="2" t="s">
        <v>822</v>
      </c>
      <c r="J1591" s="31">
        <v>54.488498700000001</v>
      </c>
      <c r="K1591" s="31">
        <v>18.7478008</v>
      </c>
      <c r="L1591" s="31"/>
      <c r="M1591" s="31" t="s">
        <v>854</v>
      </c>
      <c r="N1591" s="6" t="s">
        <v>856</v>
      </c>
    </row>
    <row r="1592" spans="1:14" ht="15" customHeight="1" x14ac:dyDescent="0.2">
      <c r="A1592" s="31">
        <v>1.0144604207489929</v>
      </c>
      <c r="B1592" s="31"/>
      <c r="C1592" s="2" t="s">
        <v>855</v>
      </c>
      <c r="D1592" s="31">
        <f t="shared" ref="D1592:D1599" si="58" xml:space="preserve"> A1592 * 0.196</f>
        <v>0.19883424246680262</v>
      </c>
      <c r="F1592" s="2" t="s">
        <v>822</v>
      </c>
      <c r="G1592" s="23" t="s">
        <v>902</v>
      </c>
      <c r="H1592" s="2" t="s">
        <v>822</v>
      </c>
      <c r="J1592" s="31">
        <v>55.122501399999997</v>
      </c>
      <c r="K1592" s="31">
        <v>17.959600399999999</v>
      </c>
      <c r="L1592" s="31"/>
      <c r="M1592" s="31" t="s">
        <v>854</v>
      </c>
      <c r="N1592" s="6" t="s">
        <v>856</v>
      </c>
    </row>
    <row r="1593" spans="1:14" ht="15" customHeight="1" x14ac:dyDescent="0.2">
      <c r="A1593" s="31">
        <v>1.0133892364070261</v>
      </c>
      <c r="B1593" s="31"/>
      <c r="C1593" s="2" t="s">
        <v>855</v>
      </c>
      <c r="D1593" s="31">
        <f t="shared" si="58"/>
        <v>0.19862429033577711</v>
      </c>
      <c r="F1593" s="2" t="s">
        <v>822</v>
      </c>
      <c r="G1593" s="23" t="s">
        <v>902</v>
      </c>
      <c r="H1593" s="2" t="s">
        <v>822</v>
      </c>
      <c r="J1593" s="31">
        <v>40.823101000000001</v>
      </c>
      <c r="K1593" s="31">
        <v>11.374500299999999</v>
      </c>
      <c r="L1593" s="31"/>
      <c r="M1593" s="31" t="s">
        <v>854</v>
      </c>
      <c r="N1593" s="6" t="s">
        <v>856</v>
      </c>
    </row>
    <row r="1594" spans="1:14" ht="15" customHeight="1" x14ac:dyDescent="0.2">
      <c r="A1594" s="31">
        <v>1.013209212669226</v>
      </c>
      <c r="B1594" s="31"/>
      <c r="C1594" s="2" t="s">
        <v>855</v>
      </c>
      <c r="D1594" s="31">
        <f t="shared" si="58"/>
        <v>0.19858900568316831</v>
      </c>
      <c r="F1594" s="2" t="s">
        <v>822</v>
      </c>
      <c r="G1594" s="23" t="s">
        <v>902</v>
      </c>
      <c r="H1594" s="2" t="s">
        <v>822</v>
      </c>
      <c r="J1594" s="31">
        <v>43.032199900000002</v>
      </c>
      <c r="K1594" s="31">
        <v>8.5145903000000001</v>
      </c>
      <c r="L1594" s="31"/>
      <c r="M1594" s="31" t="s">
        <v>854</v>
      </c>
      <c r="N1594" s="6" t="s">
        <v>856</v>
      </c>
    </row>
    <row r="1595" spans="1:14" ht="15" customHeight="1" x14ac:dyDescent="0.2">
      <c r="A1595" s="31">
        <v>1.013159295434263</v>
      </c>
      <c r="B1595" s="31"/>
      <c r="C1595" s="2" t="s">
        <v>855</v>
      </c>
      <c r="D1595" s="31">
        <f t="shared" si="58"/>
        <v>0.19857922190511554</v>
      </c>
      <c r="F1595" s="2" t="s">
        <v>822</v>
      </c>
      <c r="G1595" s="23" t="s">
        <v>902</v>
      </c>
      <c r="H1595" s="2" t="s">
        <v>822</v>
      </c>
      <c r="J1595" s="31">
        <v>44.133998900000002</v>
      </c>
      <c r="K1595" s="31">
        <v>-9.1554499000000007</v>
      </c>
      <c r="L1595" s="31"/>
      <c r="M1595" s="31" t="s">
        <v>854</v>
      </c>
      <c r="N1595" s="6" t="s">
        <v>856</v>
      </c>
    </row>
    <row r="1596" spans="1:14" ht="15" customHeight="1" x14ac:dyDescent="0.2">
      <c r="A1596" s="31">
        <v>1.012866982797435</v>
      </c>
      <c r="B1596" s="31"/>
      <c r="C1596" s="2" t="s">
        <v>855</v>
      </c>
      <c r="D1596" s="31">
        <f t="shared" si="58"/>
        <v>0.19852192862829726</v>
      </c>
      <c r="F1596" s="2" t="s">
        <v>822</v>
      </c>
      <c r="G1596" s="23" t="s">
        <v>902</v>
      </c>
      <c r="H1596" s="2" t="s">
        <v>822</v>
      </c>
      <c r="J1596" s="31">
        <v>44.2433014</v>
      </c>
      <c r="K1596" s="31">
        <v>-36.982399000000001</v>
      </c>
      <c r="L1596" s="31"/>
      <c r="M1596" s="31" t="s">
        <v>854</v>
      </c>
      <c r="N1596" s="6" t="s">
        <v>856</v>
      </c>
    </row>
    <row r="1597" spans="1:14" ht="15" customHeight="1" x14ac:dyDescent="0.2">
      <c r="A1597" s="31">
        <v>1.012827225194012</v>
      </c>
      <c r="B1597" s="31"/>
      <c r="C1597" s="2" t="s">
        <v>855</v>
      </c>
      <c r="D1597" s="31">
        <f t="shared" si="58"/>
        <v>0.19851413613802638</v>
      </c>
      <c r="F1597" s="2" t="s">
        <v>822</v>
      </c>
      <c r="G1597" s="23" t="s">
        <v>902</v>
      </c>
      <c r="H1597" s="2" t="s">
        <v>822</v>
      </c>
      <c r="J1597" s="31">
        <v>27.405700700000001</v>
      </c>
      <c r="K1597" s="31">
        <v>-18.660800900000002</v>
      </c>
      <c r="L1597" s="31"/>
      <c r="M1597" s="31" t="s">
        <v>854</v>
      </c>
      <c r="N1597" s="6" t="s">
        <v>856</v>
      </c>
    </row>
    <row r="1598" spans="1:14" ht="15" customHeight="1" x14ac:dyDescent="0.2">
      <c r="A1598" s="31">
        <v>1.012660567690618</v>
      </c>
      <c r="B1598" s="31"/>
      <c r="C1598" s="2" t="s">
        <v>855</v>
      </c>
      <c r="D1598" s="31">
        <f t="shared" si="58"/>
        <v>0.19848147126736113</v>
      </c>
      <c r="F1598" s="2" t="s">
        <v>822</v>
      </c>
      <c r="G1598" s="23" t="s">
        <v>902</v>
      </c>
      <c r="H1598" s="2" t="s">
        <v>822</v>
      </c>
      <c r="J1598" s="31">
        <v>44.052398699999998</v>
      </c>
      <c r="K1598" s="31">
        <v>-13.7973003</v>
      </c>
      <c r="L1598" s="31"/>
      <c r="M1598" s="31" t="s">
        <v>854</v>
      </c>
      <c r="N1598" s="6" t="s">
        <v>856</v>
      </c>
    </row>
    <row r="1599" spans="1:14" ht="15" customHeight="1" x14ac:dyDescent="0.2">
      <c r="A1599" s="31">
        <v>1.0119105724595869</v>
      </c>
      <c r="B1599" s="31"/>
      <c r="C1599" s="2" t="s">
        <v>855</v>
      </c>
      <c r="D1599" s="31">
        <f t="shared" si="58"/>
        <v>0.19833447220207906</v>
      </c>
      <c r="F1599" s="2" t="s">
        <v>822</v>
      </c>
      <c r="G1599" s="23" t="s">
        <v>902</v>
      </c>
      <c r="H1599" s="2" t="s">
        <v>822</v>
      </c>
      <c r="J1599" s="31">
        <v>41.282299000000002</v>
      </c>
      <c r="K1599" s="31">
        <v>-19.2345009</v>
      </c>
      <c r="L1599" s="31"/>
      <c r="M1599" s="31" t="s">
        <v>854</v>
      </c>
      <c r="N1599" s="6" t="s">
        <v>856</v>
      </c>
    </row>
    <row r="1600" spans="1:14" ht="15" customHeight="1" x14ac:dyDescent="0.2">
      <c r="A1600" s="22">
        <v>0.19816041015854324</v>
      </c>
      <c r="B1600" s="22"/>
      <c r="C1600" s="2" t="s">
        <v>891</v>
      </c>
      <c r="D1600" s="2">
        <f>A1600</f>
        <v>0.19816041015854324</v>
      </c>
      <c r="F1600" s="2">
        <v>2023</v>
      </c>
      <c r="G1600" s="23" t="s">
        <v>902</v>
      </c>
      <c r="H1600" s="2" t="s">
        <v>771</v>
      </c>
      <c r="I1600" s="23" t="s">
        <v>189</v>
      </c>
      <c r="J1600" s="23">
        <v>58077389</v>
      </c>
      <c r="K1600" s="23">
        <v>11813521</v>
      </c>
      <c r="L1600" s="23" t="s">
        <v>819</v>
      </c>
      <c r="M1600" s="2" t="s">
        <v>825</v>
      </c>
      <c r="N1600" s="6" t="s">
        <v>828</v>
      </c>
    </row>
    <row r="1601" spans="1:14" ht="15" customHeight="1" x14ac:dyDescent="0.2">
      <c r="A1601" s="31">
        <v>1.010976850595821</v>
      </c>
      <c r="B1601" s="31"/>
      <c r="C1601" s="2" t="s">
        <v>855</v>
      </c>
      <c r="D1601" s="31">
        <f t="shared" ref="D1601:D1607" si="59" xml:space="preserve"> A1601 * 0.196</f>
        <v>0.19815146271678091</v>
      </c>
      <c r="F1601" s="2" t="s">
        <v>822</v>
      </c>
      <c r="G1601" s="23" t="s">
        <v>902</v>
      </c>
      <c r="H1601" s="2" t="s">
        <v>822</v>
      </c>
      <c r="J1601" s="31">
        <v>26.2735004</v>
      </c>
      <c r="K1601" s="31">
        <v>-16.0121994</v>
      </c>
      <c r="L1601" s="31"/>
      <c r="M1601" s="31" t="s">
        <v>854</v>
      </c>
      <c r="N1601" s="6" t="s">
        <v>856</v>
      </c>
    </row>
    <row r="1602" spans="1:14" ht="15" customHeight="1" x14ac:dyDescent="0.2">
      <c r="A1602" s="31">
        <v>1.010785463261171</v>
      </c>
      <c r="B1602" s="31"/>
      <c r="C1602" s="2" t="s">
        <v>855</v>
      </c>
      <c r="D1602" s="31">
        <f t="shared" si="59"/>
        <v>0.19811395079918953</v>
      </c>
      <c r="F1602" s="2" t="s">
        <v>822</v>
      </c>
      <c r="G1602" s="23" t="s">
        <v>902</v>
      </c>
      <c r="H1602" s="2" t="s">
        <v>822</v>
      </c>
      <c r="J1602" s="31">
        <v>42.071998600000001</v>
      </c>
      <c r="K1602" s="31">
        <v>-33.875999499999999</v>
      </c>
      <c r="L1602" s="31"/>
      <c r="M1602" s="31" t="s">
        <v>854</v>
      </c>
      <c r="N1602" s="6" t="s">
        <v>856</v>
      </c>
    </row>
    <row r="1603" spans="1:14" ht="15" customHeight="1" x14ac:dyDescent="0.2">
      <c r="A1603" s="31">
        <v>1.010778084576951</v>
      </c>
      <c r="B1603" s="31"/>
      <c r="C1603" s="2" t="s">
        <v>855</v>
      </c>
      <c r="D1603" s="31">
        <f t="shared" si="59"/>
        <v>0.1981125045770824</v>
      </c>
      <c r="F1603" s="2" t="s">
        <v>822</v>
      </c>
      <c r="G1603" s="23" t="s">
        <v>902</v>
      </c>
      <c r="H1603" s="2" t="s">
        <v>822</v>
      </c>
      <c r="J1603" s="31">
        <v>42.071998600000001</v>
      </c>
      <c r="K1603" s="31">
        <v>-15.171999899999999</v>
      </c>
      <c r="L1603" s="31"/>
      <c r="M1603" s="31" t="s">
        <v>854</v>
      </c>
      <c r="N1603" s="6" t="s">
        <v>856</v>
      </c>
    </row>
    <row r="1604" spans="1:14" ht="15" customHeight="1" x14ac:dyDescent="0.2">
      <c r="A1604" s="31">
        <v>1.010145704317287</v>
      </c>
      <c r="B1604" s="31"/>
      <c r="C1604" s="2" t="s">
        <v>855</v>
      </c>
      <c r="D1604" s="31">
        <f t="shared" si="59"/>
        <v>0.19798855804618826</v>
      </c>
      <c r="F1604" s="2" t="s">
        <v>822</v>
      </c>
      <c r="G1604" s="23" t="s">
        <v>902</v>
      </c>
      <c r="H1604" s="2" t="s">
        <v>822</v>
      </c>
      <c r="J1604" s="31">
        <v>34.055999800000002</v>
      </c>
      <c r="K1604" s="31">
        <v>-21.851999299999999</v>
      </c>
      <c r="L1604" s="31"/>
      <c r="M1604" s="31" t="s">
        <v>854</v>
      </c>
      <c r="N1604" s="6" t="s">
        <v>856</v>
      </c>
    </row>
    <row r="1605" spans="1:14" ht="15" customHeight="1" x14ac:dyDescent="0.2">
      <c r="A1605" s="31">
        <v>1.0100539769763091</v>
      </c>
      <c r="B1605" s="31"/>
      <c r="C1605" s="2" t="s">
        <v>855</v>
      </c>
      <c r="D1605" s="31">
        <f t="shared" si="59"/>
        <v>0.19797057948735658</v>
      </c>
      <c r="F1605" s="2" t="s">
        <v>822</v>
      </c>
      <c r="G1605" s="23" t="s">
        <v>902</v>
      </c>
      <c r="H1605" s="2" t="s">
        <v>822</v>
      </c>
      <c r="J1605" s="31">
        <v>40.737598400000003</v>
      </c>
      <c r="K1605" s="31">
        <v>-8.9188805000000002</v>
      </c>
      <c r="L1605" s="31"/>
      <c r="M1605" s="31" t="s">
        <v>854</v>
      </c>
      <c r="N1605" s="6" t="s">
        <v>856</v>
      </c>
    </row>
    <row r="1606" spans="1:14" ht="15" customHeight="1" x14ac:dyDescent="0.2">
      <c r="A1606" s="31">
        <v>1.0096579507827279</v>
      </c>
      <c r="B1606" s="31"/>
      <c r="C1606" s="2" t="s">
        <v>855</v>
      </c>
      <c r="D1606" s="31">
        <f t="shared" si="59"/>
        <v>0.19789295835341467</v>
      </c>
      <c r="F1606" s="2" t="s">
        <v>822</v>
      </c>
      <c r="G1606" s="23" t="s">
        <v>902</v>
      </c>
      <c r="H1606" s="2" t="s">
        <v>822</v>
      </c>
      <c r="J1606" s="31">
        <v>41.584301000000004</v>
      </c>
      <c r="K1606" s="31">
        <v>8.7603702999999999</v>
      </c>
      <c r="L1606" s="31"/>
      <c r="M1606" s="31" t="s">
        <v>854</v>
      </c>
      <c r="N1606" s="6" t="s">
        <v>856</v>
      </c>
    </row>
    <row r="1607" spans="1:14" ht="15" customHeight="1" x14ac:dyDescent="0.2">
      <c r="A1607" s="31">
        <v>1.0092298639969419</v>
      </c>
      <c r="B1607" s="31"/>
      <c r="C1607" s="2" t="s">
        <v>855</v>
      </c>
      <c r="D1607" s="31">
        <f t="shared" si="59"/>
        <v>0.19780905334340063</v>
      </c>
      <c r="F1607" s="2" t="s">
        <v>822</v>
      </c>
      <c r="G1607" s="23" t="s">
        <v>902</v>
      </c>
      <c r="H1607" s="2" t="s">
        <v>822</v>
      </c>
      <c r="J1607" s="31">
        <v>32.775100700000003</v>
      </c>
      <c r="K1607" s="31">
        <v>20.4955006</v>
      </c>
      <c r="L1607" s="31"/>
      <c r="M1607" s="31" t="s">
        <v>854</v>
      </c>
      <c r="N1607" s="6" t="s">
        <v>856</v>
      </c>
    </row>
    <row r="1608" spans="1:14" ht="15" customHeight="1" x14ac:dyDescent="0.2">
      <c r="A1608" s="22">
        <v>0.19778120341064861</v>
      </c>
      <c r="B1608" s="22"/>
      <c r="C1608" s="2" t="s">
        <v>891</v>
      </c>
      <c r="D1608" s="2">
        <f>A1608</f>
        <v>0.19778120341064861</v>
      </c>
      <c r="F1608" s="2">
        <v>2023</v>
      </c>
      <c r="G1608" s="23" t="s">
        <v>902</v>
      </c>
      <c r="H1608" s="2" t="s">
        <v>771</v>
      </c>
      <c r="I1608" s="23" t="s">
        <v>189</v>
      </c>
      <c r="J1608" s="23">
        <v>58095349</v>
      </c>
      <c r="K1608" s="23">
        <v>11795931</v>
      </c>
      <c r="L1608" s="23" t="s">
        <v>819</v>
      </c>
      <c r="M1608" s="2" t="s">
        <v>825</v>
      </c>
      <c r="N1608" s="6" t="s">
        <v>828</v>
      </c>
    </row>
    <row r="1609" spans="1:14" ht="15" customHeight="1" x14ac:dyDescent="0.2">
      <c r="A1609" s="31">
        <v>1.009028092299477</v>
      </c>
      <c r="B1609" s="31"/>
      <c r="C1609" s="2" t="s">
        <v>855</v>
      </c>
      <c r="D1609" s="31">
        <f t="shared" ref="D1609:D1640" si="60" xml:space="preserve"> A1609 * 0.196</f>
        <v>0.19776950609069749</v>
      </c>
      <c r="F1609" s="2" t="s">
        <v>822</v>
      </c>
      <c r="G1609" s="23" t="s">
        <v>902</v>
      </c>
      <c r="H1609" s="2" t="s">
        <v>822</v>
      </c>
      <c r="J1609" s="31">
        <v>44.188800800000003</v>
      </c>
      <c r="K1609" s="31">
        <v>12.7851</v>
      </c>
      <c r="L1609" s="31"/>
      <c r="M1609" s="31" t="s">
        <v>854</v>
      </c>
      <c r="N1609" s="6" t="s">
        <v>856</v>
      </c>
    </row>
    <row r="1610" spans="1:14" ht="15" customHeight="1" x14ac:dyDescent="0.2">
      <c r="A1610" s="31">
        <v>1.008860300849211</v>
      </c>
      <c r="B1610" s="31"/>
      <c r="C1610" s="2" t="s">
        <v>855</v>
      </c>
      <c r="D1610" s="31">
        <f t="shared" si="60"/>
        <v>0.19773661896644534</v>
      </c>
      <c r="F1610" s="2" t="s">
        <v>822</v>
      </c>
      <c r="G1610" s="23" t="s">
        <v>902</v>
      </c>
      <c r="H1610" s="2" t="s">
        <v>822</v>
      </c>
      <c r="J1610" s="31">
        <v>36.686500500000001</v>
      </c>
      <c r="K1610" s="31">
        <v>-19.5168991</v>
      </c>
      <c r="L1610" s="31"/>
      <c r="M1610" s="31" t="s">
        <v>854</v>
      </c>
      <c r="N1610" s="6" t="s">
        <v>856</v>
      </c>
    </row>
    <row r="1611" spans="1:14" ht="15" customHeight="1" x14ac:dyDescent="0.2">
      <c r="A1611" s="31">
        <v>1.0088201047167289</v>
      </c>
      <c r="B1611" s="31"/>
      <c r="C1611" s="2" t="s">
        <v>855</v>
      </c>
      <c r="D1611" s="31">
        <f t="shared" si="60"/>
        <v>0.19772874052447886</v>
      </c>
      <c r="F1611" s="2" t="s">
        <v>822</v>
      </c>
      <c r="G1611" s="23" t="s">
        <v>902</v>
      </c>
      <c r="H1611" s="2" t="s">
        <v>822</v>
      </c>
      <c r="J1611" s="31">
        <v>37.084400199999997</v>
      </c>
      <c r="K1611" s="31">
        <v>-1.3280400000000001</v>
      </c>
      <c r="L1611" s="31"/>
      <c r="M1611" s="31" t="s">
        <v>854</v>
      </c>
      <c r="N1611" s="6" t="s">
        <v>856</v>
      </c>
    </row>
    <row r="1612" spans="1:14" ht="15" customHeight="1" x14ac:dyDescent="0.2">
      <c r="A1612" s="31">
        <v>1.0084349342739289</v>
      </c>
      <c r="B1612" s="31"/>
      <c r="C1612" s="2" t="s">
        <v>855</v>
      </c>
      <c r="D1612" s="31">
        <f t="shared" si="60"/>
        <v>0.19765324711769008</v>
      </c>
      <c r="F1612" s="2" t="s">
        <v>822</v>
      </c>
      <c r="G1612" s="23" t="s">
        <v>902</v>
      </c>
      <c r="H1612" s="2" t="s">
        <v>822</v>
      </c>
      <c r="J1612" s="31">
        <v>25.3719997</v>
      </c>
      <c r="K1612" s="31">
        <v>-33.208000200000001</v>
      </c>
      <c r="L1612" s="31"/>
      <c r="M1612" s="31" t="s">
        <v>854</v>
      </c>
      <c r="N1612" s="6" t="s">
        <v>856</v>
      </c>
    </row>
    <row r="1613" spans="1:14" ht="15" customHeight="1" x14ac:dyDescent="0.2">
      <c r="A1613" s="31">
        <v>1.008406319304908</v>
      </c>
      <c r="B1613" s="31"/>
      <c r="C1613" s="2" t="s">
        <v>855</v>
      </c>
      <c r="D1613" s="31">
        <f t="shared" si="60"/>
        <v>0.19764763858376197</v>
      </c>
      <c r="F1613" s="2" t="s">
        <v>822</v>
      </c>
      <c r="G1613" s="23" t="s">
        <v>902</v>
      </c>
      <c r="H1613" s="2" t="s">
        <v>822</v>
      </c>
      <c r="J1613" s="31">
        <v>26.771999399999999</v>
      </c>
      <c r="K1613" s="31">
        <v>-30.6040001</v>
      </c>
      <c r="L1613" s="31"/>
      <c r="M1613" s="31" t="s">
        <v>854</v>
      </c>
      <c r="N1613" s="6" t="s">
        <v>856</v>
      </c>
    </row>
    <row r="1614" spans="1:14" ht="15" customHeight="1" x14ac:dyDescent="0.2">
      <c r="A1614" s="31">
        <v>1.0068066227706809</v>
      </c>
      <c r="B1614" s="31"/>
      <c r="C1614" s="2" t="s">
        <v>855</v>
      </c>
      <c r="D1614" s="31">
        <f t="shared" si="60"/>
        <v>0.19733409806305346</v>
      </c>
      <c r="F1614" s="2" t="s">
        <v>822</v>
      </c>
      <c r="G1614" s="23" t="s">
        <v>902</v>
      </c>
      <c r="H1614" s="2" t="s">
        <v>822</v>
      </c>
      <c r="J1614" s="31">
        <v>37.3959999</v>
      </c>
      <c r="K1614" s="31">
        <v>-37.215999600000004</v>
      </c>
      <c r="L1614" s="31"/>
      <c r="M1614" s="31" t="s">
        <v>854</v>
      </c>
      <c r="N1614" s="6" t="s">
        <v>856</v>
      </c>
    </row>
    <row r="1615" spans="1:14" ht="15" customHeight="1" x14ac:dyDescent="0.2">
      <c r="A1615" s="31">
        <v>1.006358538599877</v>
      </c>
      <c r="B1615" s="31"/>
      <c r="C1615" s="2" t="s">
        <v>855</v>
      </c>
      <c r="D1615" s="31">
        <f t="shared" si="60"/>
        <v>0.19724627356557589</v>
      </c>
      <c r="F1615" s="2" t="s">
        <v>822</v>
      </c>
      <c r="G1615" s="23" t="s">
        <v>902</v>
      </c>
      <c r="H1615" s="2" t="s">
        <v>822</v>
      </c>
      <c r="J1615" s="31">
        <v>29.3504009</v>
      </c>
      <c r="K1615" s="31">
        <v>-10.3964005</v>
      </c>
      <c r="L1615" s="31"/>
      <c r="M1615" s="31" t="s">
        <v>854</v>
      </c>
      <c r="N1615" s="6" t="s">
        <v>856</v>
      </c>
    </row>
    <row r="1616" spans="1:14" ht="15" customHeight="1" x14ac:dyDescent="0.2">
      <c r="A1616" s="31">
        <v>1.00586779941924</v>
      </c>
      <c r="B1616" s="31"/>
      <c r="C1616" s="2" t="s">
        <v>855</v>
      </c>
      <c r="D1616" s="31">
        <f t="shared" si="60"/>
        <v>0.19715008868617104</v>
      </c>
      <c r="F1616" s="2" t="s">
        <v>822</v>
      </c>
      <c r="G1616" s="23" t="s">
        <v>902</v>
      </c>
      <c r="H1616" s="2" t="s">
        <v>822</v>
      </c>
      <c r="J1616" s="31">
        <v>25.554599799999998</v>
      </c>
      <c r="K1616" s="31">
        <v>52.683799700000002</v>
      </c>
      <c r="L1616" s="31"/>
      <c r="M1616" s="31" t="s">
        <v>854</v>
      </c>
      <c r="N1616" s="6" t="s">
        <v>856</v>
      </c>
    </row>
    <row r="1617" spans="1:14" ht="15" customHeight="1" x14ac:dyDescent="0.2">
      <c r="A1617" s="31">
        <v>1.0055825842226189</v>
      </c>
      <c r="B1617" s="31"/>
      <c r="C1617" s="2" t="s">
        <v>855</v>
      </c>
      <c r="D1617" s="31">
        <f t="shared" si="60"/>
        <v>0.19709418650763333</v>
      </c>
      <c r="F1617" s="2" t="s">
        <v>822</v>
      </c>
      <c r="G1617" s="23" t="s">
        <v>902</v>
      </c>
      <c r="H1617" s="2" t="s">
        <v>822</v>
      </c>
      <c r="J1617" s="31">
        <v>32.662300100000003</v>
      </c>
      <c r="K1617" s="31">
        <v>25.6371994</v>
      </c>
      <c r="L1617" s="31"/>
      <c r="M1617" s="31" t="s">
        <v>854</v>
      </c>
      <c r="N1617" s="6" t="s">
        <v>856</v>
      </c>
    </row>
    <row r="1618" spans="1:14" ht="15" customHeight="1" x14ac:dyDescent="0.2">
      <c r="A1618" s="31">
        <v>1.005536070760034</v>
      </c>
      <c r="B1618" s="31"/>
      <c r="C1618" s="2" t="s">
        <v>855</v>
      </c>
      <c r="D1618" s="31">
        <f t="shared" si="60"/>
        <v>0.19708506986896668</v>
      </c>
      <c r="F1618" s="2" t="s">
        <v>822</v>
      </c>
      <c r="G1618" s="23" t="s">
        <v>902</v>
      </c>
      <c r="H1618" s="2" t="s">
        <v>822</v>
      </c>
      <c r="J1618" s="31">
        <v>43.447700500000003</v>
      </c>
      <c r="K1618" s="31">
        <v>-20.4892006</v>
      </c>
      <c r="L1618" s="31"/>
      <c r="M1618" s="31" t="s">
        <v>854</v>
      </c>
      <c r="N1618" s="6" t="s">
        <v>856</v>
      </c>
    </row>
    <row r="1619" spans="1:14" ht="15" customHeight="1" x14ac:dyDescent="0.2">
      <c r="A1619" s="31">
        <v>1.0053399533535581</v>
      </c>
      <c r="B1619" s="31"/>
      <c r="C1619" s="2" t="s">
        <v>855</v>
      </c>
      <c r="D1619" s="31">
        <f t="shared" si="60"/>
        <v>0.1970466308572974</v>
      </c>
      <c r="F1619" s="2" t="s">
        <v>822</v>
      </c>
      <c r="G1619" s="23" t="s">
        <v>902</v>
      </c>
      <c r="H1619" s="2" t="s">
        <v>822</v>
      </c>
      <c r="J1619" s="31">
        <v>37.012599899999998</v>
      </c>
      <c r="K1619" s="31">
        <v>8.7019395999999993</v>
      </c>
      <c r="L1619" s="31"/>
      <c r="M1619" s="31" t="s">
        <v>854</v>
      </c>
      <c r="N1619" s="6" t="s">
        <v>856</v>
      </c>
    </row>
    <row r="1620" spans="1:14" ht="15" customHeight="1" x14ac:dyDescent="0.2">
      <c r="A1620" s="31">
        <v>1.0047656333220121</v>
      </c>
      <c r="B1620" s="31"/>
      <c r="C1620" s="2" t="s">
        <v>855</v>
      </c>
      <c r="D1620" s="31">
        <f t="shared" si="60"/>
        <v>0.19693406413111436</v>
      </c>
      <c r="F1620" s="2" t="s">
        <v>822</v>
      </c>
      <c r="G1620" s="23" t="s">
        <v>902</v>
      </c>
      <c r="H1620" s="2" t="s">
        <v>822</v>
      </c>
      <c r="J1620" s="31">
        <v>40.736000099999998</v>
      </c>
      <c r="K1620" s="31">
        <v>-12.1660004</v>
      </c>
      <c r="L1620" s="31"/>
      <c r="M1620" s="31" t="s">
        <v>854</v>
      </c>
      <c r="N1620" s="6" t="s">
        <v>856</v>
      </c>
    </row>
    <row r="1621" spans="1:14" ht="15" customHeight="1" x14ac:dyDescent="0.2">
      <c r="A1621" s="31">
        <v>1.004439679984402</v>
      </c>
      <c r="B1621" s="31"/>
      <c r="C1621" s="2" t="s">
        <v>855</v>
      </c>
      <c r="D1621" s="31">
        <f t="shared" si="60"/>
        <v>0.19687017727694278</v>
      </c>
      <c r="F1621" s="2" t="s">
        <v>822</v>
      </c>
      <c r="G1621" s="23" t="s">
        <v>902</v>
      </c>
      <c r="H1621" s="2" t="s">
        <v>822</v>
      </c>
      <c r="J1621" s="31">
        <v>43.572601300000002</v>
      </c>
      <c r="K1621" s="31">
        <v>-12.6731997</v>
      </c>
      <c r="L1621" s="31"/>
      <c r="M1621" s="31" t="s">
        <v>854</v>
      </c>
      <c r="N1621" s="6" t="s">
        <v>856</v>
      </c>
    </row>
    <row r="1622" spans="1:14" ht="15" customHeight="1" x14ac:dyDescent="0.2">
      <c r="A1622" s="31">
        <v>1.004205743128856</v>
      </c>
      <c r="B1622" s="31"/>
      <c r="C1622" s="2" t="s">
        <v>855</v>
      </c>
      <c r="D1622" s="31">
        <f t="shared" si="60"/>
        <v>0.19682432565325578</v>
      </c>
      <c r="F1622" s="2" t="s">
        <v>822</v>
      </c>
      <c r="G1622" s="23" t="s">
        <v>902</v>
      </c>
      <c r="H1622" s="2" t="s">
        <v>822</v>
      </c>
      <c r="J1622" s="31">
        <v>25.220600099999999</v>
      </c>
      <c r="K1622" s="31">
        <v>-20.516000699999999</v>
      </c>
      <c r="L1622" s="31"/>
      <c r="M1622" s="31" t="s">
        <v>854</v>
      </c>
      <c r="N1622" s="6" t="s">
        <v>856</v>
      </c>
    </row>
    <row r="1623" spans="1:14" ht="15" customHeight="1" x14ac:dyDescent="0.2">
      <c r="A1623" s="31">
        <v>1.004005593601617</v>
      </c>
      <c r="B1623" s="31"/>
      <c r="C1623" s="2" t="s">
        <v>855</v>
      </c>
      <c r="D1623" s="31">
        <f t="shared" si="60"/>
        <v>0.19678509634591695</v>
      </c>
      <c r="F1623" s="2" t="s">
        <v>822</v>
      </c>
      <c r="G1623" s="23" t="s">
        <v>902</v>
      </c>
      <c r="H1623" s="2" t="s">
        <v>822</v>
      </c>
      <c r="J1623" s="31">
        <v>26.7469006</v>
      </c>
      <c r="K1623" s="31">
        <v>-29.749200800000001</v>
      </c>
      <c r="L1623" s="31"/>
      <c r="M1623" s="31" t="s">
        <v>854</v>
      </c>
      <c r="N1623" s="6" t="s">
        <v>856</v>
      </c>
    </row>
    <row r="1624" spans="1:14" ht="15" customHeight="1" x14ac:dyDescent="0.2">
      <c r="A1624" s="31">
        <v>1.0039095125816551</v>
      </c>
      <c r="B1624" s="31"/>
      <c r="C1624" s="2" t="s">
        <v>855</v>
      </c>
      <c r="D1624" s="31">
        <f t="shared" si="60"/>
        <v>0.1967662644660044</v>
      </c>
      <c r="F1624" s="2" t="s">
        <v>822</v>
      </c>
      <c r="G1624" s="23" t="s">
        <v>902</v>
      </c>
      <c r="H1624" s="2" t="s">
        <v>822</v>
      </c>
      <c r="J1624" s="31">
        <v>27.653699899999999</v>
      </c>
      <c r="K1624" s="31">
        <v>-14.8414001</v>
      </c>
      <c r="L1624" s="31"/>
      <c r="M1624" s="31" t="s">
        <v>854</v>
      </c>
      <c r="N1624" s="6" t="s">
        <v>856</v>
      </c>
    </row>
    <row r="1625" spans="1:14" ht="15" customHeight="1" x14ac:dyDescent="0.2">
      <c r="A1625" s="31">
        <v>1.0033745648826931</v>
      </c>
      <c r="B1625" s="31"/>
      <c r="C1625" s="2" t="s">
        <v>855</v>
      </c>
      <c r="D1625" s="31">
        <f t="shared" si="60"/>
        <v>0.19666141471700785</v>
      </c>
      <c r="F1625" s="2" t="s">
        <v>822</v>
      </c>
      <c r="G1625" s="23" t="s">
        <v>902</v>
      </c>
      <c r="H1625" s="2" t="s">
        <v>822</v>
      </c>
      <c r="J1625" s="31">
        <v>37.340499899999998</v>
      </c>
      <c r="K1625" s="31">
        <v>0.20802499999999999</v>
      </c>
      <c r="L1625" s="31"/>
      <c r="M1625" s="31" t="s">
        <v>854</v>
      </c>
      <c r="N1625" s="6" t="s">
        <v>856</v>
      </c>
    </row>
    <row r="1626" spans="1:14" ht="15" customHeight="1" x14ac:dyDescent="0.2">
      <c r="A1626" s="31">
        <v>1.0032872450704029</v>
      </c>
      <c r="B1626" s="31"/>
      <c r="C1626" s="2" t="s">
        <v>855</v>
      </c>
      <c r="D1626" s="31">
        <f t="shared" si="60"/>
        <v>0.19664430003379899</v>
      </c>
      <c r="F1626" s="2" t="s">
        <v>822</v>
      </c>
      <c r="G1626" s="23" t="s">
        <v>902</v>
      </c>
      <c r="H1626" s="2" t="s">
        <v>822</v>
      </c>
      <c r="J1626" s="31">
        <v>32.051998099999999</v>
      </c>
      <c r="K1626" s="31">
        <v>-11.8319998</v>
      </c>
      <c r="L1626" s="31"/>
      <c r="M1626" s="31" t="s">
        <v>854</v>
      </c>
      <c r="N1626" s="6" t="s">
        <v>856</v>
      </c>
    </row>
    <row r="1627" spans="1:14" ht="15" customHeight="1" x14ac:dyDescent="0.2">
      <c r="A1627" s="31">
        <v>1.0030973752981589</v>
      </c>
      <c r="B1627" s="31"/>
      <c r="C1627" s="2" t="s">
        <v>855</v>
      </c>
      <c r="D1627" s="31">
        <f t="shared" si="60"/>
        <v>0.19660708555843914</v>
      </c>
      <c r="F1627" s="2" t="s">
        <v>822</v>
      </c>
      <c r="G1627" s="23" t="s">
        <v>902</v>
      </c>
      <c r="H1627" s="2" t="s">
        <v>822</v>
      </c>
      <c r="J1627" s="31">
        <v>35.129699700000003</v>
      </c>
      <c r="K1627" s="31">
        <v>-2.4375200000000001</v>
      </c>
      <c r="L1627" s="31"/>
      <c r="M1627" s="31" t="s">
        <v>854</v>
      </c>
      <c r="N1627" s="6" t="s">
        <v>856</v>
      </c>
    </row>
    <row r="1628" spans="1:14" ht="15" customHeight="1" x14ac:dyDescent="0.2">
      <c r="A1628" s="31">
        <v>1.0030904751355549</v>
      </c>
      <c r="B1628" s="31"/>
      <c r="C1628" s="2" t="s">
        <v>855</v>
      </c>
      <c r="D1628" s="31">
        <f t="shared" si="60"/>
        <v>0.19660573312656879</v>
      </c>
      <c r="F1628" s="2" t="s">
        <v>822</v>
      </c>
      <c r="G1628" s="23" t="s">
        <v>902</v>
      </c>
      <c r="H1628" s="2" t="s">
        <v>822</v>
      </c>
      <c r="J1628" s="31">
        <v>28.0440006</v>
      </c>
      <c r="K1628" s="31">
        <v>-21.851999299999999</v>
      </c>
      <c r="L1628" s="31"/>
      <c r="M1628" s="31" t="s">
        <v>854</v>
      </c>
      <c r="N1628" s="6" t="s">
        <v>856</v>
      </c>
    </row>
    <row r="1629" spans="1:14" ht="15" customHeight="1" x14ac:dyDescent="0.2">
      <c r="A1629" s="31">
        <v>1.002836921604946</v>
      </c>
      <c r="B1629" s="31"/>
      <c r="C1629" s="2" t="s">
        <v>855</v>
      </c>
      <c r="D1629" s="31">
        <f t="shared" si="60"/>
        <v>0.19655603663456941</v>
      </c>
      <c r="F1629" s="2" t="s">
        <v>822</v>
      </c>
      <c r="G1629" s="23" t="s">
        <v>902</v>
      </c>
      <c r="H1629" s="2" t="s">
        <v>822</v>
      </c>
      <c r="J1629" s="31">
        <v>33.342201199999998</v>
      </c>
      <c r="K1629" s="31">
        <v>-41.6255989</v>
      </c>
      <c r="L1629" s="31"/>
      <c r="M1629" s="31" t="s">
        <v>854</v>
      </c>
      <c r="N1629" s="6" t="s">
        <v>856</v>
      </c>
    </row>
    <row r="1630" spans="1:14" ht="15" customHeight="1" x14ac:dyDescent="0.2">
      <c r="A1630" s="31">
        <v>1.0027554596748141</v>
      </c>
      <c r="B1630" s="31"/>
      <c r="C1630" s="2" t="s">
        <v>855</v>
      </c>
      <c r="D1630" s="31">
        <f t="shared" si="60"/>
        <v>0.19654007009626356</v>
      </c>
      <c r="F1630" s="2" t="s">
        <v>822</v>
      </c>
      <c r="G1630" s="23" t="s">
        <v>902</v>
      </c>
      <c r="H1630" s="2" t="s">
        <v>822</v>
      </c>
      <c r="J1630" s="31">
        <v>40.0564003</v>
      </c>
      <c r="K1630" s="31">
        <v>6.2143997999999998</v>
      </c>
      <c r="L1630" s="31"/>
      <c r="M1630" s="31" t="s">
        <v>854</v>
      </c>
      <c r="N1630" s="6" t="s">
        <v>856</v>
      </c>
    </row>
    <row r="1631" spans="1:14" ht="15" customHeight="1" x14ac:dyDescent="0.2">
      <c r="A1631" s="31">
        <v>1.0023456862031139</v>
      </c>
      <c r="B1631" s="31"/>
      <c r="C1631" s="2" t="s">
        <v>855</v>
      </c>
      <c r="D1631" s="31">
        <f t="shared" si="60"/>
        <v>0.19645975449581032</v>
      </c>
      <c r="F1631" s="2" t="s">
        <v>822</v>
      </c>
      <c r="G1631" s="23" t="s">
        <v>902</v>
      </c>
      <c r="H1631" s="2" t="s">
        <v>822</v>
      </c>
      <c r="J1631" s="31">
        <v>40.889499700000002</v>
      </c>
      <c r="K1631" s="31">
        <v>-42.563201900000003</v>
      </c>
      <c r="L1631" s="31"/>
      <c r="M1631" s="31" t="s">
        <v>854</v>
      </c>
      <c r="N1631" s="6" t="s">
        <v>856</v>
      </c>
    </row>
    <row r="1632" spans="1:14" ht="15" customHeight="1" x14ac:dyDescent="0.2">
      <c r="A1632" s="31">
        <v>1.0023215326208179</v>
      </c>
      <c r="B1632" s="31"/>
      <c r="C1632" s="2" t="s">
        <v>855</v>
      </c>
      <c r="D1632" s="31">
        <f t="shared" si="60"/>
        <v>0.19645502039368032</v>
      </c>
      <c r="F1632" s="2" t="s">
        <v>822</v>
      </c>
      <c r="G1632" s="23" t="s">
        <v>902</v>
      </c>
      <c r="H1632" s="2" t="s">
        <v>822</v>
      </c>
      <c r="J1632" s="31">
        <v>35.350399000000003</v>
      </c>
      <c r="K1632" s="31">
        <v>33.574901599999997</v>
      </c>
      <c r="L1632" s="31"/>
      <c r="M1632" s="31" t="s">
        <v>854</v>
      </c>
      <c r="N1632" s="6" t="s">
        <v>856</v>
      </c>
    </row>
    <row r="1633" spans="1:14" ht="15" customHeight="1" x14ac:dyDescent="0.2">
      <c r="A1633" s="31">
        <v>1.0021684620615761</v>
      </c>
      <c r="B1633" s="31"/>
      <c r="C1633" s="2" t="s">
        <v>855</v>
      </c>
      <c r="D1633" s="31">
        <f t="shared" si="60"/>
        <v>0.19642501856406891</v>
      </c>
      <c r="F1633" s="2" t="s">
        <v>822</v>
      </c>
      <c r="G1633" s="23" t="s">
        <v>902</v>
      </c>
      <c r="H1633" s="2" t="s">
        <v>822</v>
      </c>
      <c r="J1633" s="31">
        <v>29.4272995</v>
      </c>
      <c r="K1633" s="31">
        <v>47.867099799999998</v>
      </c>
      <c r="L1633" s="31"/>
      <c r="M1633" s="31" t="s">
        <v>854</v>
      </c>
      <c r="N1633" s="6" t="s">
        <v>856</v>
      </c>
    </row>
    <row r="1634" spans="1:14" ht="15" customHeight="1" x14ac:dyDescent="0.2">
      <c r="A1634" s="31">
        <v>1.0021150114304871</v>
      </c>
      <c r="B1634" s="31"/>
      <c r="C1634" s="2" t="s">
        <v>855</v>
      </c>
      <c r="D1634" s="31">
        <f t="shared" si="60"/>
        <v>0.19641454224037547</v>
      </c>
      <c r="F1634" s="2" t="s">
        <v>822</v>
      </c>
      <c r="G1634" s="23" t="s">
        <v>902</v>
      </c>
      <c r="H1634" s="2" t="s">
        <v>822</v>
      </c>
      <c r="J1634" s="31">
        <v>40.0680008</v>
      </c>
      <c r="K1634" s="31">
        <v>-22.558200800000002</v>
      </c>
      <c r="L1634" s="31"/>
      <c r="M1634" s="31" t="s">
        <v>854</v>
      </c>
      <c r="N1634" s="6" t="s">
        <v>856</v>
      </c>
    </row>
    <row r="1635" spans="1:14" ht="15" customHeight="1" x14ac:dyDescent="0.2">
      <c r="A1635" s="31">
        <v>1.0021120774358669</v>
      </c>
      <c r="B1635" s="31"/>
      <c r="C1635" s="2" t="s">
        <v>855</v>
      </c>
      <c r="D1635" s="31">
        <f t="shared" si="60"/>
        <v>0.19641396717742993</v>
      </c>
      <c r="F1635" s="2" t="s">
        <v>822</v>
      </c>
      <c r="G1635" s="23" t="s">
        <v>902</v>
      </c>
      <c r="H1635" s="2" t="s">
        <v>822</v>
      </c>
      <c r="J1635" s="31">
        <v>31.253499999999999</v>
      </c>
      <c r="K1635" s="31">
        <v>32.931800799999998</v>
      </c>
      <c r="L1635" s="31"/>
      <c r="M1635" s="31" t="s">
        <v>854</v>
      </c>
      <c r="N1635" s="6" t="s">
        <v>856</v>
      </c>
    </row>
    <row r="1636" spans="1:14" ht="15" customHeight="1" x14ac:dyDescent="0.2">
      <c r="A1636" s="31">
        <v>1.001603102471849</v>
      </c>
      <c r="B1636" s="31"/>
      <c r="C1636" s="2" t="s">
        <v>855</v>
      </c>
      <c r="D1636" s="31">
        <f t="shared" si="60"/>
        <v>0.19631420808448241</v>
      </c>
      <c r="F1636" s="2" t="s">
        <v>822</v>
      </c>
      <c r="G1636" s="23" t="s">
        <v>902</v>
      </c>
      <c r="H1636" s="2" t="s">
        <v>822</v>
      </c>
      <c r="J1636" s="31">
        <v>26.708000200000001</v>
      </c>
      <c r="K1636" s="31">
        <v>-31.8719997</v>
      </c>
      <c r="L1636" s="31"/>
      <c r="M1636" s="31" t="s">
        <v>854</v>
      </c>
      <c r="N1636" s="6" t="s">
        <v>856</v>
      </c>
    </row>
    <row r="1637" spans="1:14" ht="15" customHeight="1" x14ac:dyDescent="0.2">
      <c r="A1637" s="31">
        <v>1.001489740327006</v>
      </c>
      <c r="B1637" s="31"/>
      <c r="C1637" s="2" t="s">
        <v>855</v>
      </c>
      <c r="D1637" s="31">
        <f t="shared" si="60"/>
        <v>0.19629198910409318</v>
      </c>
      <c r="F1637" s="2" t="s">
        <v>822</v>
      </c>
      <c r="G1637" s="23" t="s">
        <v>902</v>
      </c>
      <c r="H1637" s="2" t="s">
        <v>822</v>
      </c>
      <c r="J1637" s="31">
        <v>37.3959999</v>
      </c>
      <c r="K1637" s="31">
        <v>-11.8319998</v>
      </c>
      <c r="L1637" s="31"/>
      <c r="M1637" s="31" t="s">
        <v>854</v>
      </c>
      <c r="N1637" s="6" t="s">
        <v>856</v>
      </c>
    </row>
    <row r="1638" spans="1:14" ht="15" customHeight="1" x14ac:dyDescent="0.2">
      <c r="A1638" s="31">
        <v>1.0013342755643371</v>
      </c>
      <c r="B1638" s="31"/>
      <c r="C1638" s="2" t="s">
        <v>855</v>
      </c>
      <c r="D1638" s="31">
        <f t="shared" si="60"/>
        <v>0.19626151801061006</v>
      </c>
      <c r="F1638" s="2" t="s">
        <v>822</v>
      </c>
      <c r="G1638" s="23" t="s">
        <v>902</v>
      </c>
      <c r="H1638" s="2" t="s">
        <v>822</v>
      </c>
      <c r="J1638" s="31">
        <v>29.382400499999999</v>
      </c>
      <c r="K1638" s="31">
        <v>-17.8451004</v>
      </c>
      <c r="L1638" s="31"/>
      <c r="M1638" s="31" t="s">
        <v>854</v>
      </c>
      <c r="N1638" s="6" t="s">
        <v>856</v>
      </c>
    </row>
    <row r="1639" spans="1:14" ht="15" customHeight="1" x14ac:dyDescent="0.2">
      <c r="A1639" s="31">
        <v>1.001126173292533</v>
      </c>
      <c r="B1639" s="31"/>
      <c r="C1639" s="2" t="s">
        <v>855</v>
      </c>
      <c r="D1639" s="31">
        <f t="shared" si="60"/>
        <v>0.19622072996533646</v>
      </c>
      <c r="F1639" s="2" t="s">
        <v>822</v>
      </c>
      <c r="G1639" s="23" t="s">
        <v>902</v>
      </c>
      <c r="H1639" s="2" t="s">
        <v>822</v>
      </c>
      <c r="J1639" s="31">
        <v>38.536201499999997</v>
      </c>
      <c r="K1639" s="31">
        <v>-41.290599800000003</v>
      </c>
      <c r="L1639" s="31"/>
      <c r="M1639" s="31" t="s">
        <v>854</v>
      </c>
      <c r="N1639" s="6" t="s">
        <v>856</v>
      </c>
    </row>
    <row r="1640" spans="1:14" ht="15" customHeight="1" x14ac:dyDescent="0.2">
      <c r="A1640" s="31">
        <v>1.000639822206024</v>
      </c>
      <c r="B1640" s="31"/>
      <c r="C1640" s="2" t="s">
        <v>855</v>
      </c>
      <c r="D1640" s="31">
        <f t="shared" si="60"/>
        <v>0.19612540515238072</v>
      </c>
      <c r="F1640" s="2" t="s">
        <v>822</v>
      </c>
      <c r="G1640" s="23" t="s">
        <v>902</v>
      </c>
      <c r="H1640" s="2" t="s">
        <v>822</v>
      </c>
      <c r="J1640" s="31">
        <v>32.001598399999999</v>
      </c>
      <c r="K1640" s="31">
        <v>-41.174400300000002</v>
      </c>
      <c r="L1640" s="31"/>
      <c r="M1640" s="31" t="s">
        <v>854</v>
      </c>
      <c r="N1640" s="6" t="s">
        <v>856</v>
      </c>
    </row>
    <row r="1641" spans="1:14" ht="15" customHeight="1" x14ac:dyDescent="0.2">
      <c r="A1641" s="31">
        <v>1.000633638142526</v>
      </c>
      <c r="B1641" s="31"/>
      <c r="C1641" s="2" t="s">
        <v>855</v>
      </c>
      <c r="D1641" s="31">
        <f t="shared" ref="D1641:D1672" si="61" xml:space="preserve"> A1641 * 0.196</f>
        <v>0.19612419307593512</v>
      </c>
      <c r="F1641" s="2" t="s">
        <v>822</v>
      </c>
      <c r="G1641" s="23" t="s">
        <v>902</v>
      </c>
      <c r="H1641" s="2" t="s">
        <v>822</v>
      </c>
      <c r="J1641" s="31">
        <v>37.886299100000002</v>
      </c>
      <c r="K1641" s="31">
        <v>-21.436300299999999</v>
      </c>
      <c r="L1641" s="31"/>
      <c r="M1641" s="31" t="s">
        <v>854</v>
      </c>
      <c r="N1641" s="6" t="s">
        <v>856</v>
      </c>
    </row>
    <row r="1642" spans="1:14" ht="15" customHeight="1" x14ac:dyDescent="0.2">
      <c r="A1642" s="31">
        <v>1.0005524832023991</v>
      </c>
      <c r="B1642" s="31"/>
      <c r="C1642" s="2" t="s">
        <v>855</v>
      </c>
      <c r="D1642" s="31">
        <f t="shared" si="61"/>
        <v>0.19610828670767022</v>
      </c>
      <c r="F1642" s="2" t="s">
        <v>822</v>
      </c>
      <c r="G1642" s="23" t="s">
        <v>902</v>
      </c>
      <c r="H1642" s="2" t="s">
        <v>822</v>
      </c>
      <c r="J1642" s="31">
        <v>39.6957016</v>
      </c>
      <c r="K1642" s="31">
        <v>-16.226400399999999</v>
      </c>
      <c r="L1642" s="31"/>
      <c r="M1642" s="31" t="s">
        <v>854</v>
      </c>
      <c r="N1642" s="6" t="s">
        <v>856</v>
      </c>
    </row>
    <row r="1643" spans="1:14" ht="15" customHeight="1" x14ac:dyDescent="0.2">
      <c r="A1643" s="31">
        <v>1.0005423111859659</v>
      </c>
      <c r="B1643" s="31"/>
      <c r="C1643" s="2" t="s">
        <v>855</v>
      </c>
      <c r="D1643" s="31">
        <f t="shared" si="61"/>
        <v>0.19610629299244933</v>
      </c>
      <c r="F1643" s="2" t="s">
        <v>822</v>
      </c>
      <c r="G1643" s="23" t="s">
        <v>902</v>
      </c>
      <c r="H1643" s="2" t="s">
        <v>822</v>
      </c>
      <c r="J1643" s="31">
        <v>40.402599299999999</v>
      </c>
      <c r="K1643" s="31">
        <v>-15.509200099999999</v>
      </c>
      <c r="L1643" s="31"/>
      <c r="M1643" s="31" t="s">
        <v>854</v>
      </c>
      <c r="N1643" s="6" t="s">
        <v>856</v>
      </c>
    </row>
    <row r="1644" spans="1:14" ht="15" customHeight="1" x14ac:dyDescent="0.2">
      <c r="A1644" s="31">
        <v>1.0002784108282541</v>
      </c>
      <c r="B1644" s="31"/>
      <c r="C1644" s="2" t="s">
        <v>855</v>
      </c>
      <c r="D1644" s="31">
        <f t="shared" si="61"/>
        <v>0.1960545685223378</v>
      </c>
      <c r="F1644" s="2" t="s">
        <v>822</v>
      </c>
      <c r="G1644" s="23" t="s">
        <v>902</v>
      </c>
      <c r="H1644" s="2" t="s">
        <v>822</v>
      </c>
      <c r="J1644" s="31">
        <v>61.771900199999997</v>
      </c>
      <c r="K1644" s="31">
        <v>19.1833992</v>
      </c>
      <c r="L1644" s="31"/>
      <c r="M1644" s="31" t="s">
        <v>854</v>
      </c>
      <c r="N1644" s="6" t="s">
        <v>856</v>
      </c>
    </row>
    <row r="1645" spans="1:14" ht="15" customHeight="1" x14ac:dyDescent="0.2">
      <c r="A1645" s="31">
        <v>1.0001184973405119</v>
      </c>
      <c r="B1645" s="31"/>
      <c r="C1645" s="2" t="s">
        <v>855</v>
      </c>
      <c r="D1645" s="31">
        <f t="shared" si="61"/>
        <v>0.19602322547874035</v>
      </c>
      <c r="F1645" s="2" t="s">
        <v>822</v>
      </c>
      <c r="G1645" s="23" t="s">
        <v>902</v>
      </c>
      <c r="H1645" s="2" t="s">
        <v>822</v>
      </c>
      <c r="J1645" s="31">
        <v>31.384000799999999</v>
      </c>
      <c r="K1645" s="31">
        <v>-17.176000599999998</v>
      </c>
      <c r="L1645" s="31"/>
      <c r="M1645" s="31" t="s">
        <v>854</v>
      </c>
      <c r="N1645" s="6" t="s">
        <v>856</v>
      </c>
    </row>
    <row r="1646" spans="1:14" ht="15" customHeight="1" x14ac:dyDescent="0.2">
      <c r="A1646" s="31">
        <v>0.99990101828056754</v>
      </c>
      <c r="B1646" s="31"/>
      <c r="C1646" s="2" t="s">
        <v>855</v>
      </c>
      <c r="D1646" s="31">
        <f t="shared" si="61"/>
        <v>0.19598059958299124</v>
      </c>
      <c r="F1646" s="2" t="s">
        <v>822</v>
      </c>
      <c r="G1646" s="23" t="s">
        <v>902</v>
      </c>
      <c r="H1646" s="2" t="s">
        <v>822</v>
      </c>
      <c r="J1646" s="31">
        <v>45.264800999999999</v>
      </c>
      <c r="K1646" s="31">
        <v>-1.8964099999999999</v>
      </c>
      <c r="L1646" s="31"/>
      <c r="M1646" s="31" t="s">
        <v>854</v>
      </c>
      <c r="N1646" s="6" t="s">
        <v>856</v>
      </c>
    </row>
    <row r="1647" spans="1:14" ht="15" customHeight="1" x14ac:dyDescent="0.2">
      <c r="A1647" s="31">
        <v>0.99965557394037896</v>
      </c>
      <c r="B1647" s="31"/>
      <c r="C1647" s="2" t="s">
        <v>855</v>
      </c>
      <c r="D1647" s="31">
        <f t="shared" si="61"/>
        <v>0.19593249249231429</v>
      </c>
      <c r="F1647" s="2" t="s">
        <v>822</v>
      </c>
      <c r="G1647" s="23" t="s">
        <v>902</v>
      </c>
      <c r="H1647" s="2" t="s">
        <v>822</v>
      </c>
      <c r="J1647" s="31">
        <v>41.445598599999997</v>
      </c>
      <c r="K1647" s="31">
        <v>-15.171999899999999</v>
      </c>
      <c r="L1647" s="31"/>
      <c r="M1647" s="31" t="s">
        <v>854</v>
      </c>
      <c r="N1647" s="6" t="s">
        <v>856</v>
      </c>
    </row>
    <row r="1648" spans="1:14" ht="15" customHeight="1" x14ac:dyDescent="0.2">
      <c r="A1648" s="31">
        <v>0.99922000049042847</v>
      </c>
      <c r="B1648" s="31"/>
      <c r="C1648" s="2" t="s">
        <v>855</v>
      </c>
      <c r="D1648" s="31">
        <f t="shared" si="61"/>
        <v>0.19584712009612398</v>
      </c>
      <c r="F1648" s="2" t="s">
        <v>822</v>
      </c>
      <c r="G1648" s="23" t="s">
        <v>902</v>
      </c>
      <c r="H1648" s="2" t="s">
        <v>822</v>
      </c>
      <c r="J1648" s="31">
        <v>45.379398299999998</v>
      </c>
      <c r="K1648" s="31">
        <v>-18.860200899999999</v>
      </c>
      <c r="L1648" s="31"/>
      <c r="M1648" s="31" t="s">
        <v>854</v>
      </c>
      <c r="N1648" s="6" t="s">
        <v>856</v>
      </c>
    </row>
    <row r="1649" spans="1:14" ht="15" customHeight="1" x14ac:dyDescent="0.2">
      <c r="A1649" s="31">
        <v>0.99890089956407102</v>
      </c>
      <c r="B1649" s="31"/>
      <c r="C1649" s="2" t="s">
        <v>855</v>
      </c>
      <c r="D1649" s="31">
        <f t="shared" si="61"/>
        <v>0.19578457631455792</v>
      </c>
      <c r="F1649" s="2" t="s">
        <v>822</v>
      </c>
      <c r="G1649" s="23" t="s">
        <v>902</v>
      </c>
      <c r="H1649" s="2" t="s">
        <v>822</v>
      </c>
      <c r="J1649" s="31">
        <v>34.083000200000001</v>
      </c>
      <c r="K1649" s="31">
        <v>-23.052099200000001</v>
      </c>
      <c r="L1649" s="31"/>
      <c r="M1649" s="31" t="s">
        <v>854</v>
      </c>
      <c r="N1649" s="6" t="s">
        <v>856</v>
      </c>
    </row>
    <row r="1650" spans="1:14" ht="15" customHeight="1" x14ac:dyDescent="0.2">
      <c r="A1650" s="31">
        <v>0.99860376117801786</v>
      </c>
      <c r="B1650" s="31"/>
      <c r="C1650" s="2" t="s">
        <v>855</v>
      </c>
      <c r="D1650" s="31">
        <f t="shared" si="61"/>
        <v>0.1957263371908915</v>
      </c>
      <c r="F1650" s="2" t="s">
        <v>822</v>
      </c>
      <c r="G1650" s="23" t="s">
        <v>902</v>
      </c>
      <c r="H1650" s="2" t="s">
        <v>822</v>
      </c>
      <c r="J1650" s="31">
        <v>35.342899299999999</v>
      </c>
      <c r="K1650" s="31">
        <v>-33.211200699999999</v>
      </c>
      <c r="L1650" s="31"/>
      <c r="M1650" s="31" t="s">
        <v>854</v>
      </c>
      <c r="N1650" s="6" t="s">
        <v>856</v>
      </c>
    </row>
    <row r="1651" spans="1:14" ht="15" customHeight="1" x14ac:dyDescent="0.2">
      <c r="A1651" s="31">
        <v>0.99858855143631697</v>
      </c>
      <c r="B1651" s="31"/>
      <c r="C1651" s="2" t="s">
        <v>855</v>
      </c>
      <c r="D1651" s="31">
        <f t="shared" si="61"/>
        <v>0.19572335608151814</v>
      </c>
      <c r="F1651" s="2" t="s">
        <v>822</v>
      </c>
      <c r="G1651" s="23" t="s">
        <v>902</v>
      </c>
      <c r="H1651" s="2" t="s">
        <v>822</v>
      </c>
      <c r="J1651" s="31">
        <v>25.1742992</v>
      </c>
      <c r="K1651" s="31">
        <v>-19.389799100000001</v>
      </c>
      <c r="L1651" s="31"/>
      <c r="M1651" s="31" t="s">
        <v>854</v>
      </c>
      <c r="N1651" s="6" t="s">
        <v>856</v>
      </c>
    </row>
    <row r="1652" spans="1:14" ht="15" customHeight="1" x14ac:dyDescent="0.2">
      <c r="A1652" s="31">
        <v>0.99849841270912609</v>
      </c>
      <c r="B1652" s="31"/>
      <c r="C1652" s="2" t="s">
        <v>855</v>
      </c>
      <c r="D1652" s="31">
        <f t="shared" si="61"/>
        <v>0.19570568889098872</v>
      </c>
      <c r="F1652" s="2" t="s">
        <v>822</v>
      </c>
      <c r="G1652" s="23" t="s">
        <v>902</v>
      </c>
      <c r="H1652" s="2" t="s">
        <v>822</v>
      </c>
      <c r="J1652" s="31">
        <v>40.736000099999998</v>
      </c>
      <c r="K1652" s="31">
        <v>-21.851999299999999</v>
      </c>
      <c r="L1652" s="31"/>
      <c r="M1652" s="31" t="s">
        <v>854</v>
      </c>
      <c r="N1652" s="6" t="s">
        <v>856</v>
      </c>
    </row>
    <row r="1653" spans="1:14" ht="15" customHeight="1" x14ac:dyDescent="0.2">
      <c r="A1653" s="31">
        <v>0.99822174552071297</v>
      </c>
      <c r="B1653" s="31"/>
      <c r="C1653" s="2" t="s">
        <v>855</v>
      </c>
      <c r="D1653" s="31">
        <f t="shared" si="61"/>
        <v>0.19565146212205975</v>
      </c>
      <c r="F1653" s="2" t="s">
        <v>822</v>
      </c>
      <c r="G1653" s="23" t="s">
        <v>902</v>
      </c>
      <c r="H1653" s="2" t="s">
        <v>822</v>
      </c>
      <c r="J1653" s="31">
        <v>30.830099100000002</v>
      </c>
      <c r="K1653" s="31">
        <v>18.352399800000001</v>
      </c>
      <c r="L1653" s="31"/>
      <c r="M1653" s="31" t="s">
        <v>854</v>
      </c>
      <c r="N1653" s="6" t="s">
        <v>856</v>
      </c>
    </row>
    <row r="1654" spans="1:14" ht="15" customHeight="1" x14ac:dyDescent="0.2">
      <c r="A1654" s="31">
        <v>0.99795654221078434</v>
      </c>
      <c r="B1654" s="31"/>
      <c r="C1654" s="2" t="s">
        <v>855</v>
      </c>
      <c r="D1654" s="31">
        <f t="shared" si="61"/>
        <v>0.19559948227331372</v>
      </c>
      <c r="F1654" s="2" t="s">
        <v>822</v>
      </c>
      <c r="G1654" s="23" t="s">
        <v>902</v>
      </c>
      <c r="H1654" s="2" t="s">
        <v>822</v>
      </c>
      <c r="J1654" s="31">
        <v>41.403999300000002</v>
      </c>
      <c r="K1654" s="31">
        <v>-40.555999800000002</v>
      </c>
      <c r="L1654" s="31"/>
      <c r="M1654" s="31" t="s">
        <v>854</v>
      </c>
      <c r="N1654" s="6" t="s">
        <v>856</v>
      </c>
    </row>
    <row r="1655" spans="1:14" ht="15" customHeight="1" x14ac:dyDescent="0.2">
      <c r="A1655" s="31">
        <v>0.99770064525933444</v>
      </c>
      <c r="B1655" s="31"/>
      <c r="C1655" s="2" t="s">
        <v>855</v>
      </c>
      <c r="D1655" s="31">
        <f t="shared" si="61"/>
        <v>0.19554932647082957</v>
      </c>
      <c r="F1655" s="2" t="s">
        <v>822</v>
      </c>
      <c r="G1655" s="23" t="s">
        <v>902</v>
      </c>
      <c r="H1655" s="2" t="s">
        <v>822</v>
      </c>
      <c r="J1655" s="31">
        <v>39.355701400000001</v>
      </c>
      <c r="K1655" s="31">
        <v>-21.4612999</v>
      </c>
      <c r="L1655" s="31"/>
      <c r="M1655" s="31" t="s">
        <v>854</v>
      </c>
      <c r="N1655" s="6" t="s">
        <v>856</v>
      </c>
    </row>
    <row r="1656" spans="1:14" ht="15" customHeight="1" x14ac:dyDescent="0.2">
      <c r="A1656" s="31">
        <v>0.99768591734495549</v>
      </c>
      <c r="B1656" s="31"/>
      <c r="C1656" s="2" t="s">
        <v>855</v>
      </c>
      <c r="D1656" s="31">
        <f t="shared" si="61"/>
        <v>0.19554643979961128</v>
      </c>
      <c r="F1656" s="2" t="s">
        <v>822</v>
      </c>
      <c r="G1656" s="23" t="s">
        <v>902</v>
      </c>
      <c r="H1656" s="2" t="s">
        <v>822</v>
      </c>
      <c r="J1656" s="31">
        <v>46.086799599999999</v>
      </c>
      <c r="K1656" s="31">
        <v>-1.7344199</v>
      </c>
      <c r="L1656" s="31"/>
      <c r="M1656" s="31" t="s">
        <v>854</v>
      </c>
      <c r="N1656" s="6" t="s">
        <v>856</v>
      </c>
    </row>
    <row r="1657" spans="1:14" ht="15" customHeight="1" x14ac:dyDescent="0.2">
      <c r="A1657" s="31">
        <v>0.99757213200457506</v>
      </c>
      <c r="B1657" s="31"/>
      <c r="C1657" s="2" t="s">
        <v>855</v>
      </c>
      <c r="D1657" s="31">
        <f t="shared" si="61"/>
        <v>0.19552413787289671</v>
      </c>
      <c r="F1657" s="2" t="s">
        <v>822</v>
      </c>
      <c r="G1657" s="23" t="s">
        <v>902</v>
      </c>
      <c r="H1657" s="2" t="s">
        <v>822</v>
      </c>
      <c r="J1657" s="31">
        <v>41.320598599999997</v>
      </c>
      <c r="K1657" s="31">
        <v>-37.971801800000001</v>
      </c>
      <c r="L1657" s="31"/>
      <c r="M1657" s="31" t="s">
        <v>854</v>
      </c>
      <c r="N1657" s="6" t="s">
        <v>856</v>
      </c>
    </row>
    <row r="1658" spans="1:14" ht="15" customHeight="1" x14ac:dyDescent="0.2">
      <c r="A1658" s="31">
        <v>0.99755734299030052</v>
      </c>
      <c r="B1658" s="31"/>
      <c r="C1658" s="2" t="s">
        <v>855</v>
      </c>
      <c r="D1658" s="31">
        <f t="shared" si="61"/>
        <v>0.1955212392260989</v>
      </c>
      <c r="F1658" s="2" t="s">
        <v>822</v>
      </c>
      <c r="G1658" s="23" t="s">
        <v>902</v>
      </c>
      <c r="H1658" s="2" t="s">
        <v>822</v>
      </c>
      <c r="J1658" s="31">
        <v>41.403999300000002</v>
      </c>
      <c r="K1658" s="31">
        <v>-33.875999499999999</v>
      </c>
      <c r="L1658" s="31"/>
      <c r="M1658" s="31" t="s">
        <v>854</v>
      </c>
      <c r="N1658" s="6" t="s">
        <v>856</v>
      </c>
    </row>
    <row r="1659" spans="1:14" ht="15" customHeight="1" x14ac:dyDescent="0.2">
      <c r="A1659" s="31">
        <v>0.99723576358022892</v>
      </c>
      <c r="B1659" s="31"/>
      <c r="C1659" s="2" t="s">
        <v>855</v>
      </c>
      <c r="D1659" s="31">
        <f t="shared" si="61"/>
        <v>0.19545820966172486</v>
      </c>
      <c r="F1659" s="2" t="s">
        <v>822</v>
      </c>
      <c r="G1659" s="23" t="s">
        <v>902</v>
      </c>
      <c r="H1659" s="2" t="s">
        <v>822</v>
      </c>
      <c r="J1659" s="31">
        <v>34.719200100000002</v>
      </c>
      <c r="K1659" s="31">
        <v>-14.4605999</v>
      </c>
      <c r="L1659" s="31"/>
      <c r="M1659" s="31" t="s">
        <v>854</v>
      </c>
      <c r="N1659" s="6" t="s">
        <v>856</v>
      </c>
    </row>
    <row r="1660" spans="1:14" ht="15" customHeight="1" x14ac:dyDescent="0.2">
      <c r="A1660" s="31">
        <v>0.99607375022274691</v>
      </c>
      <c r="B1660" s="31"/>
      <c r="C1660" s="2" t="s">
        <v>855</v>
      </c>
      <c r="D1660" s="31">
        <f t="shared" si="61"/>
        <v>0.19523045504365841</v>
      </c>
      <c r="F1660" s="2" t="s">
        <v>822</v>
      </c>
      <c r="G1660" s="23" t="s">
        <v>902</v>
      </c>
      <c r="H1660" s="2" t="s">
        <v>822</v>
      </c>
      <c r="J1660" s="31">
        <v>31.916400899999999</v>
      </c>
      <c r="K1660" s="31">
        <v>15.5475998</v>
      </c>
      <c r="L1660" s="31"/>
      <c r="M1660" s="31" t="s">
        <v>854</v>
      </c>
      <c r="N1660" s="6" t="s">
        <v>856</v>
      </c>
    </row>
    <row r="1661" spans="1:14" ht="15" customHeight="1" x14ac:dyDescent="0.2">
      <c r="A1661" s="31">
        <v>0.99605583272231957</v>
      </c>
      <c r="B1661" s="31"/>
      <c r="C1661" s="2" t="s">
        <v>855</v>
      </c>
      <c r="D1661" s="31">
        <f t="shared" si="61"/>
        <v>0.19522694321357464</v>
      </c>
      <c r="F1661" s="2" t="s">
        <v>822</v>
      </c>
      <c r="G1661" s="23" t="s">
        <v>902</v>
      </c>
      <c r="H1661" s="2" t="s">
        <v>822</v>
      </c>
      <c r="J1661" s="31">
        <v>28.354600900000001</v>
      </c>
      <c r="K1661" s="31">
        <v>-14.209799800000001</v>
      </c>
      <c r="L1661" s="31"/>
      <c r="M1661" s="31" t="s">
        <v>854</v>
      </c>
      <c r="N1661" s="6" t="s">
        <v>856</v>
      </c>
    </row>
    <row r="1662" spans="1:14" ht="15" customHeight="1" x14ac:dyDescent="0.2">
      <c r="A1662" s="31">
        <v>0.99590415635544627</v>
      </c>
      <c r="B1662" s="31"/>
      <c r="C1662" s="2" t="s">
        <v>855</v>
      </c>
      <c r="D1662" s="31">
        <f t="shared" si="61"/>
        <v>0.19519721464566747</v>
      </c>
      <c r="F1662" s="2" t="s">
        <v>822</v>
      </c>
      <c r="G1662" s="23" t="s">
        <v>902</v>
      </c>
      <c r="H1662" s="2" t="s">
        <v>822</v>
      </c>
      <c r="J1662" s="31">
        <v>46.080001799999998</v>
      </c>
      <c r="K1662" s="31">
        <v>-13.8360004</v>
      </c>
      <c r="L1662" s="31"/>
      <c r="M1662" s="31" t="s">
        <v>854</v>
      </c>
      <c r="N1662" s="6" t="s">
        <v>856</v>
      </c>
    </row>
    <row r="1663" spans="1:14" ht="15" customHeight="1" x14ac:dyDescent="0.2">
      <c r="A1663" s="31">
        <v>0.99575483288347111</v>
      </c>
      <c r="B1663" s="31"/>
      <c r="C1663" s="2" t="s">
        <v>855</v>
      </c>
      <c r="D1663" s="31">
        <f t="shared" si="61"/>
        <v>0.19516794724516034</v>
      </c>
      <c r="F1663" s="2" t="s">
        <v>822</v>
      </c>
      <c r="G1663" s="23" t="s">
        <v>902</v>
      </c>
      <c r="H1663" s="2" t="s">
        <v>822</v>
      </c>
      <c r="J1663" s="31">
        <v>36.957298299999998</v>
      </c>
      <c r="K1663" s="31">
        <v>7.7333398000000004</v>
      </c>
      <c r="L1663" s="31"/>
      <c r="M1663" s="31" t="s">
        <v>854</v>
      </c>
      <c r="N1663" s="6" t="s">
        <v>856</v>
      </c>
    </row>
    <row r="1664" spans="1:14" ht="15" customHeight="1" x14ac:dyDescent="0.2">
      <c r="A1664" s="31">
        <v>0.99550633818362233</v>
      </c>
      <c r="B1664" s="31"/>
      <c r="C1664" s="2" t="s">
        <v>855</v>
      </c>
      <c r="D1664" s="31">
        <f t="shared" si="61"/>
        <v>0.19511924228399</v>
      </c>
      <c r="F1664" s="2" t="s">
        <v>822</v>
      </c>
      <c r="G1664" s="23" t="s">
        <v>902</v>
      </c>
      <c r="H1664" s="2" t="s">
        <v>822</v>
      </c>
      <c r="J1664" s="31">
        <v>30.7159996</v>
      </c>
      <c r="K1664" s="31">
        <v>-29.5340004</v>
      </c>
      <c r="L1664" s="31"/>
      <c r="M1664" s="31" t="s">
        <v>854</v>
      </c>
      <c r="N1664" s="6" t="s">
        <v>856</v>
      </c>
    </row>
    <row r="1665" spans="1:14" ht="15" customHeight="1" x14ac:dyDescent="0.2">
      <c r="A1665" s="31">
        <v>0.99523880469108783</v>
      </c>
      <c r="B1665" s="31"/>
      <c r="C1665" s="2" t="s">
        <v>855</v>
      </c>
      <c r="D1665" s="31">
        <f t="shared" si="61"/>
        <v>0.19506680571945323</v>
      </c>
      <c r="F1665" s="2" t="s">
        <v>822</v>
      </c>
      <c r="G1665" s="23" t="s">
        <v>902</v>
      </c>
      <c r="H1665" s="2" t="s">
        <v>822</v>
      </c>
      <c r="J1665" s="31">
        <v>38.442001300000001</v>
      </c>
      <c r="K1665" s="31">
        <v>-30.530700700000001</v>
      </c>
      <c r="L1665" s="31"/>
      <c r="M1665" s="31" t="s">
        <v>854</v>
      </c>
      <c r="N1665" s="6" t="s">
        <v>856</v>
      </c>
    </row>
    <row r="1666" spans="1:14" ht="15" customHeight="1" x14ac:dyDescent="0.2">
      <c r="A1666" s="31">
        <v>0.99506363594167557</v>
      </c>
      <c r="B1666" s="31"/>
      <c r="C1666" s="2" t="s">
        <v>855</v>
      </c>
      <c r="D1666" s="31">
        <f t="shared" si="61"/>
        <v>0.19503247264456841</v>
      </c>
      <c r="F1666" s="2" t="s">
        <v>822</v>
      </c>
      <c r="G1666" s="23" t="s">
        <v>902</v>
      </c>
      <c r="H1666" s="2" t="s">
        <v>822</v>
      </c>
      <c r="J1666" s="31">
        <v>40.402599299999999</v>
      </c>
      <c r="K1666" s="31">
        <v>-35.212001800000003</v>
      </c>
      <c r="L1666" s="31"/>
      <c r="M1666" s="31" t="s">
        <v>854</v>
      </c>
      <c r="N1666" s="6" t="s">
        <v>856</v>
      </c>
    </row>
    <row r="1667" spans="1:14" ht="15" customHeight="1" x14ac:dyDescent="0.2">
      <c r="A1667" s="31">
        <v>0.99487718566002137</v>
      </c>
      <c r="B1667" s="31"/>
      <c r="C1667" s="2" t="s">
        <v>855</v>
      </c>
      <c r="D1667" s="31">
        <f t="shared" si="61"/>
        <v>0.19499592838936419</v>
      </c>
      <c r="F1667" s="2" t="s">
        <v>822</v>
      </c>
      <c r="G1667" s="23" t="s">
        <v>902</v>
      </c>
      <c r="H1667" s="2" t="s">
        <v>822</v>
      </c>
      <c r="J1667" s="31">
        <v>32.410800899999998</v>
      </c>
      <c r="K1667" s="31">
        <v>15.2994003</v>
      </c>
      <c r="L1667" s="31"/>
      <c r="M1667" s="31" t="s">
        <v>854</v>
      </c>
      <c r="N1667" s="6" t="s">
        <v>856</v>
      </c>
    </row>
    <row r="1668" spans="1:14" ht="15" customHeight="1" x14ac:dyDescent="0.2">
      <c r="A1668" s="31">
        <v>0.99484391874140299</v>
      </c>
      <c r="B1668" s="31"/>
      <c r="C1668" s="2" t="s">
        <v>855</v>
      </c>
      <c r="D1668" s="31">
        <f t="shared" si="61"/>
        <v>0.194989408073315</v>
      </c>
      <c r="F1668" s="2" t="s">
        <v>822</v>
      </c>
      <c r="G1668" s="23" t="s">
        <v>902</v>
      </c>
      <c r="H1668" s="2" t="s">
        <v>822</v>
      </c>
      <c r="J1668" s="31">
        <v>46.131301899999997</v>
      </c>
      <c r="K1668" s="31">
        <v>-9.4459896000000008</v>
      </c>
      <c r="L1668" s="31"/>
      <c r="M1668" s="31" t="s">
        <v>854</v>
      </c>
      <c r="N1668" s="6" t="s">
        <v>856</v>
      </c>
    </row>
    <row r="1669" spans="1:14" ht="15" customHeight="1" x14ac:dyDescent="0.2">
      <c r="A1669" s="31">
        <v>0.9944660972242293</v>
      </c>
      <c r="B1669" s="31"/>
      <c r="C1669" s="2" t="s">
        <v>855</v>
      </c>
      <c r="D1669" s="31">
        <f t="shared" si="61"/>
        <v>0.19491535505594895</v>
      </c>
      <c r="F1669" s="2" t="s">
        <v>822</v>
      </c>
      <c r="G1669" s="23" t="s">
        <v>902</v>
      </c>
      <c r="H1669" s="2" t="s">
        <v>822</v>
      </c>
      <c r="J1669" s="31">
        <v>35.357601199999998</v>
      </c>
      <c r="K1669" s="31">
        <v>-35.917499499999998</v>
      </c>
      <c r="L1669" s="31"/>
      <c r="M1669" s="31" t="s">
        <v>854</v>
      </c>
      <c r="N1669" s="6" t="s">
        <v>856</v>
      </c>
    </row>
    <row r="1670" spans="1:14" ht="15" customHeight="1" x14ac:dyDescent="0.2">
      <c r="A1670" s="31">
        <v>0.99434891799822622</v>
      </c>
      <c r="B1670" s="31"/>
      <c r="C1670" s="2" t="s">
        <v>855</v>
      </c>
      <c r="D1670" s="31">
        <f t="shared" si="61"/>
        <v>0.19489238792765234</v>
      </c>
      <c r="F1670" s="2" t="s">
        <v>822</v>
      </c>
      <c r="G1670" s="23" t="s">
        <v>902</v>
      </c>
      <c r="H1670" s="2" t="s">
        <v>822</v>
      </c>
      <c r="J1670" s="31">
        <v>41.254100800000003</v>
      </c>
      <c r="K1670" s="31">
        <v>-11.9047003</v>
      </c>
      <c r="L1670" s="31"/>
      <c r="M1670" s="31" t="s">
        <v>854</v>
      </c>
      <c r="N1670" s="6" t="s">
        <v>856</v>
      </c>
    </row>
    <row r="1671" spans="1:14" ht="15" customHeight="1" x14ac:dyDescent="0.2">
      <c r="A1671" s="31">
        <v>0.99419299088546398</v>
      </c>
      <c r="B1671" s="31"/>
      <c r="C1671" s="2" t="s">
        <v>855</v>
      </c>
      <c r="D1671" s="31">
        <f t="shared" si="61"/>
        <v>0.19486182621355094</v>
      </c>
      <c r="F1671" s="2" t="s">
        <v>822</v>
      </c>
      <c r="G1671" s="23" t="s">
        <v>902</v>
      </c>
      <c r="H1671" s="2" t="s">
        <v>822</v>
      </c>
      <c r="J1671" s="31">
        <v>37.3959999</v>
      </c>
      <c r="K1671" s="31">
        <v>-37.883998900000002</v>
      </c>
      <c r="L1671" s="31"/>
      <c r="M1671" s="31" t="s">
        <v>854</v>
      </c>
      <c r="N1671" s="6" t="s">
        <v>856</v>
      </c>
    </row>
    <row r="1672" spans="1:14" ht="15" customHeight="1" x14ac:dyDescent="0.2">
      <c r="A1672" s="31">
        <v>0.99414448166531</v>
      </c>
      <c r="B1672" s="31"/>
      <c r="C1672" s="2" t="s">
        <v>855</v>
      </c>
      <c r="D1672" s="31">
        <f t="shared" si="61"/>
        <v>0.19485231840640077</v>
      </c>
      <c r="F1672" s="2" t="s">
        <v>822</v>
      </c>
      <c r="G1672" s="23" t="s">
        <v>902</v>
      </c>
      <c r="H1672" s="2" t="s">
        <v>822</v>
      </c>
      <c r="J1672" s="31">
        <v>39.041900599999998</v>
      </c>
      <c r="K1672" s="31">
        <v>-5.9463299999999997E-2</v>
      </c>
      <c r="L1672" s="31"/>
      <c r="M1672" s="31" t="s">
        <v>854</v>
      </c>
      <c r="N1672" s="6" t="s">
        <v>856</v>
      </c>
    </row>
    <row r="1673" spans="1:14" ht="15" customHeight="1" x14ac:dyDescent="0.2">
      <c r="A1673" s="31">
        <v>0.99412884619987962</v>
      </c>
      <c r="B1673" s="31"/>
      <c r="C1673" s="2" t="s">
        <v>855</v>
      </c>
      <c r="D1673" s="31">
        <f t="shared" ref="D1673:D1704" si="62" xml:space="preserve"> A1673 * 0.196</f>
        <v>0.1948492538551764</v>
      </c>
      <c r="F1673" s="2" t="s">
        <v>822</v>
      </c>
      <c r="G1673" s="23" t="s">
        <v>902</v>
      </c>
      <c r="H1673" s="2" t="s">
        <v>822</v>
      </c>
      <c r="J1673" s="31">
        <v>30.999700499999999</v>
      </c>
      <c r="K1673" s="31">
        <v>28.709800699999999</v>
      </c>
      <c r="L1673" s="31"/>
      <c r="M1673" s="31" t="s">
        <v>854</v>
      </c>
      <c r="N1673" s="6" t="s">
        <v>856</v>
      </c>
    </row>
    <row r="1674" spans="1:14" ht="15" customHeight="1" x14ac:dyDescent="0.2">
      <c r="A1674" s="31">
        <v>0.99412163257259512</v>
      </c>
      <c r="B1674" s="31"/>
      <c r="C1674" s="2" t="s">
        <v>855</v>
      </c>
      <c r="D1674" s="31">
        <f t="shared" si="62"/>
        <v>0.19484783998422864</v>
      </c>
      <c r="F1674" s="2" t="s">
        <v>822</v>
      </c>
      <c r="G1674" s="23" t="s">
        <v>902</v>
      </c>
      <c r="H1674" s="2" t="s">
        <v>822</v>
      </c>
      <c r="J1674" s="31">
        <v>29.0995998</v>
      </c>
      <c r="K1674" s="31">
        <v>49.847801199999999</v>
      </c>
      <c r="L1674" s="31"/>
      <c r="M1674" s="31" t="s">
        <v>854</v>
      </c>
      <c r="N1674" s="6" t="s">
        <v>856</v>
      </c>
    </row>
    <row r="1675" spans="1:14" ht="15" customHeight="1" x14ac:dyDescent="0.2">
      <c r="A1675" s="31">
        <v>0.99379560466740502</v>
      </c>
      <c r="B1675" s="31"/>
      <c r="C1675" s="2" t="s">
        <v>855</v>
      </c>
      <c r="D1675" s="31">
        <f t="shared" si="62"/>
        <v>0.19478393851481138</v>
      </c>
      <c r="F1675" s="2" t="s">
        <v>822</v>
      </c>
      <c r="G1675" s="23" t="s">
        <v>902</v>
      </c>
      <c r="H1675" s="2" t="s">
        <v>822</v>
      </c>
      <c r="J1675" s="31">
        <v>32.377300300000002</v>
      </c>
      <c r="K1675" s="31">
        <v>15.214400299999999</v>
      </c>
      <c r="L1675" s="31"/>
      <c r="M1675" s="31" t="s">
        <v>854</v>
      </c>
      <c r="N1675" s="6" t="s">
        <v>856</v>
      </c>
    </row>
    <row r="1676" spans="1:14" ht="15" customHeight="1" x14ac:dyDescent="0.2">
      <c r="A1676" s="31">
        <v>0.99352325422556198</v>
      </c>
      <c r="B1676" s="31"/>
      <c r="C1676" s="2" t="s">
        <v>855</v>
      </c>
      <c r="D1676" s="31">
        <f t="shared" si="62"/>
        <v>0.19473055782821017</v>
      </c>
      <c r="F1676" s="2" t="s">
        <v>822</v>
      </c>
      <c r="G1676" s="23" t="s">
        <v>902</v>
      </c>
      <c r="H1676" s="2" t="s">
        <v>822</v>
      </c>
      <c r="J1676" s="31">
        <v>60.547901199999998</v>
      </c>
      <c r="K1676" s="31">
        <v>20.8600998</v>
      </c>
      <c r="L1676" s="31"/>
      <c r="M1676" s="31" t="s">
        <v>854</v>
      </c>
      <c r="N1676" s="6" t="s">
        <v>856</v>
      </c>
    </row>
    <row r="1677" spans="1:14" ht="15" customHeight="1" x14ac:dyDescent="0.2">
      <c r="A1677" s="31">
        <v>0.99351960578068133</v>
      </c>
      <c r="B1677" s="31"/>
      <c r="C1677" s="2" t="s">
        <v>855</v>
      </c>
      <c r="D1677" s="31">
        <f t="shared" si="62"/>
        <v>0.19472984273301355</v>
      </c>
      <c r="F1677" s="2" t="s">
        <v>822</v>
      </c>
      <c r="G1677" s="23" t="s">
        <v>902</v>
      </c>
      <c r="H1677" s="2" t="s">
        <v>822</v>
      </c>
      <c r="J1677" s="31">
        <v>38.3578987</v>
      </c>
      <c r="K1677" s="31">
        <v>-39.141201000000002</v>
      </c>
      <c r="L1677" s="31"/>
      <c r="M1677" s="31" t="s">
        <v>854</v>
      </c>
      <c r="N1677" s="6" t="s">
        <v>856</v>
      </c>
    </row>
    <row r="1678" spans="1:14" ht="15" customHeight="1" x14ac:dyDescent="0.2">
      <c r="A1678" s="31">
        <v>0.99350395980343487</v>
      </c>
      <c r="B1678" s="31"/>
      <c r="C1678" s="2" t="s">
        <v>855</v>
      </c>
      <c r="D1678" s="31">
        <f t="shared" si="62"/>
        <v>0.19472677612147324</v>
      </c>
      <c r="F1678" s="2" t="s">
        <v>822</v>
      </c>
      <c r="G1678" s="23" t="s">
        <v>902</v>
      </c>
      <c r="H1678" s="2" t="s">
        <v>822</v>
      </c>
      <c r="J1678" s="31">
        <v>40.6554985</v>
      </c>
      <c r="K1678" s="31">
        <v>-26.132000000000001</v>
      </c>
      <c r="L1678" s="31"/>
      <c r="M1678" s="31" t="s">
        <v>854</v>
      </c>
      <c r="N1678" s="6" t="s">
        <v>856</v>
      </c>
    </row>
    <row r="1679" spans="1:14" ht="15" customHeight="1" x14ac:dyDescent="0.2">
      <c r="A1679" s="31">
        <v>0.99345813450037823</v>
      </c>
      <c r="B1679" s="31"/>
      <c r="C1679" s="2" t="s">
        <v>855</v>
      </c>
      <c r="D1679" s="31">
        <f t="shared" si="62"/>
        <v>0.19471779436207415</v>
      </c>
      <c r="F1679" s="2" t="s">
        <v>822</v>
      </c>
      <c r="G1679" s="23" t="s">
        <v>902</v>
      </c>
      <c r="H1679" s="2" t="s">
        <v>822</v>
      </c>
      <c r="J1679" s="31">
        <v>31.951400799999998</v>
      </c>
      <c r="K1679" s="31">
        <v>15.8346996</v>
      </c>
      <c r="L1679" s="31"/>
      <c r="M1679" s="31" t="s">
        <v>854</v>
      </c>
      <c r="N1679" s="6" t="s">
        <v>856</v>
      </c>
    </row>
    <row r="1680" spans="1:14" ht="15" customHeight="1" x14ac:dyDescent="0.2">
      <c r="A1680" s="31">
        <v>0.99321380848826679</v>
      </c>
      <c r="B1680" s="31"/>
      <c r="C1680" s="2" t="s">
        <v>855</v>
      </c>
      <c r="D1680" s="31">
        <f t="shared" si="62"/>
        <v>0.1946699064637003</v>
      </c>
      <c r="F1680" s="2" t="s">
        <v>822</v>
      </c>
      <c r="G1680" s="23" t="s">
        <v>902</v>
      </c>
      <c r="H1680" s="2" t="s">
        <v>822</v>
      </c>
      <c r="J1680" s="31">
        <v>37.3959999</v>
      </c>
      <c r="K1680" s="31">
        <v>-21.184000000000001</v>
      </c>
      <c r="L1680" s="31"/>
      <c r="M1680" s="31" t="s">
        <v>854</v>
      </c>
      <c r="N1680" s="6" t="s">
        <v>856</v>
      </c>
    </row>
    <row r="1681" spans="1:14" ht="15" customHeight="1" x14ac:dyDescent="0.2">
      <c r="A1681" s="31">
        <v>0.9928281682490635</v>
      </c>
      <c r="B1681" s="31"/>
      <c r="C1681" s="2" t="s">
        <v>855</v>
      </c>
      <c r="D1681" s="31">
        <f t="shared" si="62"/>
        <v>0.19459432097681645</v>
      </c>
      <c r="F1681" s="2" t="s">
        <v>822</v>
      </c>
      <c r="G1681" s="23" t="s">
        <v>902</v>
      </c>
      <c r="H1681" s="2" t="s">
        <v>822</v>
      </c>
      <c r="J1681" s="31">
        <v>46.039199799999999</v>
      </c>
      <c r="K1681" s="31">
        <v>-10.504899999999999</v>
      </c>
      <c r="L1681" s="31"/>
      <c r="M1681" s="31" t="s">
        <v>854</v>
      </c>
      <c r="N1681" s="6" t="s">
        <v>856</v>
      </c>
    </row>
    <row r="1682" spans="1:14" ht="15" customHeight="1" x14ac:dyDescent="0.2">
      <c r="A1682" s="31">
        <v>0.99281539906252025</v>
      </c>
      <c r="B1682" s="31"/>
      <c r="C1682" s="2" t="s">
        <v>855</v>
      </c>
      <c r="D1682" s="31">
        <f t="shared" si="62"/>
        <v>0.19459181821625399</v>
      </c>
      <c r="F1682" s="2" t="s">
        <v>822</v>
      </c>
      <c r="G1682" s="23" t="s">
        <v>902</v>
      </c>
      <c r="H1682" s="2" t="s">
        <v>822</v>
      </c>
      <c r="J1682" s="31">
        <v>33.388599399999997</v>
      </c>
      <c r="K1682" s="31">
        <v>26.2696991</v>
      </c>
      <c r="L1682" s="31"/>
      <c r="M1682" s="31" t="s">
        <v>854</v>
      </c>
      <c r="N1682" s="6" t="s">
        <v>856</v>
      </c>
    </row>
    <row r="1683" spans="1:14" ht="15" customHeight="1" x14ac:dyDescent="0.2">
      <c r="A1683" s="31">
        <v>0.99281481992950449</v>
      </c>
      <c r="B1683" s="31"/>
      <c r="C1683" s="2" t="s">
        <v>855</v>
      </c>
      <c r="D1683" s="31">
        <f t="shared" si="62"/>
        <v>0.19459170470618289</v>
      </c>
      <c r="F1683" s="2" t="s">
        <v>822</v>
      </c>
      <c r="G1683" s="23" t="s">
        <v>902</v>
      </c>
      <c r="H1683" s="2" t="s">
        <v>822</v>
      </c>
      <c r="J1683" s="31">
        <v>32.010799400000003</v>
      </c>
      <c r="K1683" s="31">
        <v>-31.920200300000001</v>
      </c>
      <c r="L1683" s="31"/>
      <c r="M1683" s="31" t="s">
        <v>854</v>
      </c>
      <c r="N1683" s="6" t="s">
        <v>856</v>
      </c>
    </row>
    <row r="1684" spans="1:14" ht="15" customHeight="1" x14ac:dyDescent="0.2">
      <c r="A1684" s="31">
        <v>0.99265698068319497</v>
      </c>
      <c r="B1684" s="31"/>
      <c r="C1684" s="2" t="s">
        <v>855</v>
      </c>
      <c r="D1684" s="31">
        <f t="shared" si="62"/>
        <v>0.19456076821390622</v>
      </c>
      <c r="F1684" s="2" t="s">
        <v>822</v>
      </c>
      <c r="G1684" s="23" t="s">
        <v>902</v>
      </c>
      <c r="H1684" s="2" t="s">
        <v>822</v>
      </c>
      <c r="J1684" s="31">
        <v>39.6935997</v>
      </c>
      <c r="K1684" s="31">
        <v>-18.345199600000001</v>
      </c>
      <c r="L1684" s="31"/>
      <c r="M1684" s="31" t="s">
        <v>854</v>
      </c>
      <c r="N1684" s="6" t="s">
        <v>856</v>
      </c>
    </row>
    <row r="1685" spans="1:14" ht="15" customHeight="1" x14ac:dyDescent="0.2">
      <c r="A1685" s="31">
        <v>0.99248819146682943</v>
      </c>
      <c r="B1685" s="31"/>
      <c r="C1685" s="2" t="s">
        <v>855</v>
      </c>
      <c r="D1685" s="31">
        <f t="shared" si="62"/>
        <v>0.19452768552749858</v>
      </c>
      <c r="F1685" s="2" t="s">
        <v>822</v>
      </c>
      <c r="G1685" s="23" t="s">
        <v>902</v>
      </c>
      <c r="H1685" s="2" t="s">
        <v>822</v>
      </c>
      <c r="J1685" s="31">
        <v>28.391000699999999</v>
      </c>
      <c r="K1685" s="31">
        <v>-15.2486</v>
      </c>
      <c r="L1685" s="31"/>
      <c r="M1685" s="31" t="s">
        <v>854</v>
      </c>
      <c r="N1685" s="6" t="s">
        <v>856</v>
      </c>
    </row>
    <row r="1686" spans="1:14" ht="15" customHeight="1" x14ac:dyDescent="0.2">
      <c r="A1686" s="31">
        <v>0.99245360081964551</v>
      </c>
      <c r="B1686" s="31"/>
      <c r="C1686" s="2" t="s">
        <v>855</v>
      </c>
      <c r="D1686" s="31">
        <f t="shared" si="62"/>
        <v>0.19452090576065054</v>
      </c>
      <c r="F1686" s="2" t="s">
        <v>822</v>
      </c>
      <c r="G1686" s="23" t="s">
        <v>902</v>
      </c>
      <c r="H1686" s="2" t="s">
        <v>822</v>
      </c>
      <c r="J1686" s="31">
        <v>42.071998600000001</v>
      </c>
      <c r="K1686" s="31">
        <v>-21.851999299999999</v>
      </c>
      <c r="L1686" s="31"/>
      <c r="M1686" s="31" t="s">
        <v>854</v>
      </c>
      <c r="N1686" s="6" t="s">
        <v>856</v>
      </c>
    </row>
    <row r="1687" spans="1:14" ht="15" customHeight="1" x14ac:dyDescent="0.2">
      <c r="A1687" s="31">
        <v>0.99243450136525135</v>
      </c>
      <c r="B1687" s="31"/>
      <c r="C1687" s="2" t="s">
        <v>855</v>
      </c>
      <c r="D1687" s="31">
        <f t="shared" si="62"/>
        <v>0.19451716226758928</v>
      </c>
      <c r="F1687" s="2" t="s">
        <v>822</v>
      </c>
      <c r="G1687" s="23" t="s">
        <v>902</v>
      </c>
      <c r="H1687" s="2" t="s">
        <v>822</v>
      </c>
      <c r="J1687" s="31">
        <v>39.492198899999998</v>
      </c>
      <c r="K1687" s="31">
        <v>-10.618100200000001</v>
      </c>
      <c r="L1687" s="31"/>
      <c r="M1687" s="31" t="s">
        <v>854</v>
      </c>
      <c r="N1687" s="6" t="s">
        <v>856</v>
      </c>
    </row>
    <row r="1688" spans="1:14" ht="15" customHeight="1" x14ac:dyDescent="0.2">
      <c r="A1688" s="31">
        <v>0.99236170171391913</v>
      </c>
      <c r="B1688" s="31"/>
      <c r="C1688" s="2" t="s">
        <v>855</v>
      </c>
      <c r="D1688" s="31">
        <f t="shared" si="62"/>
        <v>0.19450289353592815</v>
      </c>
      <c r="F1688" s="2" t="s">
        <v>822</v>
      </c>
      <c r="G1688" s="23" t="s">
        <v>902</v>
      </c>
      <c r="H1688" s="2" t="s">
        <v>822</v>
      </c>
      <c r="J1688" s="31">
        <v>37.890899699999999</v>
      </c>
      <c r="K1688" s="31">
        <v>12.373999599999999</v>
      </c>
      <c r="L1688" s="31"/>
      <c r="M1688" s="31" t="s">
        <v>854</v>
      </c>
      <c r="N1688" s="6" t="s">
        <v>856</v>
      </c>
    </row>
    <row r="1689" spans="1:14" ht="15" customHeight="1" x14ac:dyDescent="0.2">
      <c r="A1689" s="31">
        <v>0.99204957030717122</v>
      </c>
      <c r="B1689" s="31"/>
      <c r="C1689" s="2" t="s">
        <v>855</v>
      </c>
      <c r="D1689" s="31">
        <f t="shared" si="62"/>
        <v>0.19444171578020555</v>
      </c>
      <c r="F1689" s="2" t="s">
        <v>822</v>
      </c>
      <c r="G1689" s="23" t="s">
        <v>902</v>
      </c>
      <c r="H1689" s="2" t="s">
        <v>822</v>
      </c>
      <c r="J1689" s="31">
        <v>37.566101099999997</v>
      </c>
      <c r="K1689" s="31">
        <v>15.2298002</v>
      </c>
      <c r="L1689" s="31"/>
      <c r="M1689" s="31" t="s">
        <v>854</v>
      </c>
      <c r="N1689" s="6" t="s">
        <v>856</v>
      </c>
    </row>
    <row r="1690" spans="1:14" ht="15" customHeight="1" x14ac:dyDescent="0.2">
      <c r="A1690" s="31">
        <v>0.99203131538564349</v>
      </c>
      <c r="B1690" s="31"/>
      <c r="C1690" s="2" t="s">
        <v>855</v>
      </c>
      <c r="D1690" s="31">
        <f t="shared" si="62"/>
        <v>0.19443813781558614</v>
      </c>
      <c r="F1690" s="2" t="s">
        <v>822</v>
      </c>
      <c r="G1690" s="23" t="s">
        <v>902</v>
      </c>
      <c r="H1690" s="2" t="s">
        <v>822</v>
      </c>
      <c r="J1690" s="31">
        <v>27.8689003</v>
      </c>
      <c r="K1690" s="31">
        <v>-27.250900300000001</v>
      </c>
      <c r="L1690" s="31"/>
      <c r="M1690" s="31" t="s">
        <v>854</v>
      </c>
      <c r="N1690" s="6" t="s">
        <v>856</v>
      </c>
    </row>
    <row r="1691" spans="1:14" ht="15" customHeight="1" x14ac:dyDescent="0.2">
      <c r="A1691" s="31">
        <v>0.99189535963181785</v>
      </c>
      <c r="B1691" s="31"/>
      <c r="C1691" s="2" t="s">
        <v>855</v>
      </c>
      <c r="D1691" s="31">
        <f t="shared" si="62"/>
        <v>0.19441149048783632</v>
      </c>
      <c r="F1691" s="2" t="s">
        <v>822</v>
      </c>
      <c r="G1691" s="23" t="s">
        <v>902</v>
      </c>
      <c r="H1691" s="2" t="s">
        <v>822</v>
      </c>
      <c r="J1691" s="31">
        <v>38.063999199999998</v>
      </c>
      <c r="K1691" s="31">
        <v>-37.215999600000004</v>
      </c>
      <c r="L1691" s="31"/>
      <c r="M1691" s="31" t="s">
        <v>854</v>
      </c>
      <c r="N1691" s="6" t="s">
        <v>856</v>
      </c>
    </row>
    <row r="1692" spans="1:14" ht="15" customHeight="1" x14ac:dyDescent="0.2">
      <c r="A1692" s="31">
        <v>0.99126132584905335</v>
      </c>
      <c r="B1692" s="31"/>
      <c r="C1692" s="2" t="s">
        <v>855</v>
      </c>
      <c r="D1692" s="31">
        <f t="shared" si="62"/>
        <v>0.19428721986641445</v>
      </c>
      <c r="F1692" s="2" t="s">
        <v>822</v>
      </c>
      <c r="G1692" s="23" t="s">
        <v>902</v>
      </c>
      <c r="H1692" s="2" t="s">
        <v>822</v>
      </c>
      <c r="J1692" s="31">
        <v>40.911399799999998</v>
      </c>
      <c r="K1692" s="31">
        <v>5.0702800999999997</v>
      </c>
      <c r="L1692" s="31"/>
      <c r="M1692" s="31" t="s">
        <v>854</v>
      </c>
      <c r="N1692" s="6" t="s">
        <v>856</v>
      </c>
    </row>
    <row r="1693" spans="1:14" ht="15" customHeight="1" x14ac:dyDescent="0.2">
      <c r="A1693" s="31">
        <v>0.9910572203682364</v>
      </c>
      <c r="B1693" s="31"/>
      <c r="C1693" s="2" t="s">
        <v>855</v>
      </c>
      <c r="D1693" s="31">
        <f t="shared" si="62"/>
        <v>0.19424721519217433</v>
      </c>
      <c r="F1693" s="2" t="s">
        <v>822</v>
      </c>
      <c r="G1693" s="23" t="s">
        <v>902</v>
      </c>
      <c r="H1693" s="2" t="s">
        <v>822</v>
      </c>
      <c r="J1693" s="31">
        <v>30.048000300000002</v>
      </c>
      <c r="K1693" s="31">
        <v>-19.847999600000001</v>
      </c>
      <c r="L1693" s="31"/>
      <c r="M1693" s="31" t="s">
        <v>854</v>
      </c>
      <c r="N1693" s="6" t="s">
        <v>856</v>
      </c>
    </row>
    <row r="1694" spans="1:14" ht="15" customHeight="1" x14ac:dyDescent="0.2">
      <c r="A1694" s="31">
        <v>0.99077765149805952</v>
      </c>
      <c r="B1694" s="31"/>
      <c r="C1694" s="2" t="s">
        <v>855</v>
      </c>
      <c r="D1694" s="31">
        <f t="shared" si="62"/>
        <v>0.19419241969361967</v>
      </c>
      <c r="F1694" s="2" t="s">
        <v>822</v>
      </c>
      <c r="G1694" s="23" t="s">
        <v>902</v>
      </c>
      <c r="H1694" s="2" t="s">
        <v>822</v>
      </c>
      <c r="J1694" s="31">
        <v>45.207801799999999</v>
      </c>
      <c r="K1694" s="31">
        <v>-10.2496004</v>
      </c>
      <c r="L1694" s="31"/>
      <c r="M1694" s="31" t="s">
        <v>854</v>
      </c>
      <c r="N1694" s="6" t="s">
        <v>856</v>
      </c>
    </row>
    <row r="1695" spans="1:14" ht="15" customHeight="1" x14ac:dyDescent="0.2">
      <c r="A1695" s="31">
        <v>0.99057012435777414</v>
      </c>
      <c r="B1695" s="31"/>
      <c r="C1695" s="2" t="s">
        <v>855</v>
      </c>
      <c r="D1695" s="31">
        <f t="shared" si="62"/>
        <v>0.19415174437412375</v>
      </c>
      <c r="F1695" s="2" t="s">
        <v>822</v>
      </c>
      <c r="G1695" s="23" t="s">
        <v>902</v>
      </c>
      <c r="H1695" s="2" t="s">
        <v>822</v>
      </c>
      <c r="J1695" s="31">
        <v>37.780799899999998</v>
      </c>
      <c r="K1695" s="31">
        <v>-18.341100699999998</v>
      </c>
      <c r="L1695" s="31"/>
      <c r="M1695" s="31" t="s">
        <v>854</v>
      </c>
      <c r="N1695" s="6" t="s">
        <v>856</v>
      </c>
    </row>
    <row r="1696" spans="1:14" ht="15" customHeight="1" x14ac:dyDescent="0.2">
      <c r="A1696" s="31">
        <v>0.99044817128147133</v>
      </c>
      <c r="B1696" s="31"/>
      <c r="C1696" s="2" t="s">
        <v>855</v>
      </c>
      <c r="D1696" s="31">
        <f t="shared" si="62"/>
        <v>0.19412784157116839</v>
      </c>
      <c r="F1696" s="2" t="s">
        <v>822</v>
      </c>
      <c r="G1696" s="23" t="s">
        <v>902</v>
      </c>
      <c r="H1696" s="2" t="s">
        <v>822</v>
      </c>
      <c r="J1696" s="31">
        <v>40.028301200000001</v>
      </c>
      <c r="K1696" s="31">
        <v>1.3626699</v>
      </c>
      <c r="L1696" s="31"/>
      <c r="M1696" s="31" t="s">
        <v>854</v>
      </c>
      <c r="N1696" s="6" t="s">
        <v>856</v>
      </c>
    </row>
    <row r="1697" spans="1:14" ht="15" customHeight="1" x14ac:dyDescent="0.2">
      <c r="A1697" s="31">
        <v>0.9904000364900829</v>
      </c>
      <c r="B1697" s="31"/>
      <c r="C1697" s="2" t="s">
        <v>855</v>
      </c>
      <c r="D1697" s="31">
        <f t="shared" si="62"/>
        <v>0.19411840715205625</v>
      </c>
      <c r="F1697" s="2" t="s">
        <v>822</v>
      </c>
      <c r="G1697" s="23" t="s">
        <v>902</v>
      </c>
      <c r="H1697" s="2" t="s">
        <v>822</v>
      </c>
      <c r="J1697" s="31">
        <v>34.3395996</v>
      </c>
      <c r="K1697" s="31">
        <v>27.530599599999999</v>
      </c>
      <c r="L1697" s="31"/>
      <c r="M1697" s="31" t="s">
        <v>854</v>
      </c>
      <c r="N1697" s="6" t="s">
        <v>856</v>
      </c>
    </row>
    <row r="1698" spans="1:14" ht="15" customHeight="1" x14ac:dyDescent="0.2">
      <c r="A1698" s="31">
        <v>0.99028804692441952</v>
      </c>
      <c r="B1698" s="31"/>
      <c r="C1698" s="2" t="s">
        <v>855</v>
      </c>
      <c r="D1698" s="31">
        <f t="shared" si="62"/>
        <v>0.19409645719718624</v>
      </c>
      <c r="F1698" s="2" t="s">
        <v>822</v>
      </c>
      <c r="G1698" s="23" t="s">
        <v>902</v>
      </c>
      <c r="H1698" s="2" t="s">
        <v>822</v>
      </c>
      <c r="J1698" s="31">
        <v>40.402599299999999</v>
      </c>
      <c r="K1698" s="31">
        <v>-24.5240002</v>
      </c>
      <c r="L1698" s="31"/>
      <c r="M1698" s="31" t="s">
        <v>854</v>
      </c>
      <c r="N1698" s="6" t="s">
        <v>856</v>
      </c>
    </row>
    <row r="1699" spans="1:14" ht="15" customHeight="1" x14ac:dyDescent="0.2">
      <c r="A1699" s="31">
        <v>0.99006899427613215</v>
      </c>
      <c r="B1699" s="31"/>
      <c r="C1699" s="2" t="s">
        <v>855</v>
      </c>
      <c r="D1699" s="31">
        <f t="shared" si="62"/>
        <v>0.19405352287812191</v>
      </c>
      <c r="F1699" s="2" t="s">
        <v>822</v>
      </c>
      <c r="G1699" s="23" t="s">
        <v>902</v>
      </c>
      <c r="H1699" s="2" t="s">
        <v>822</v>
      </c>
      <c r="J1699" s="31">
        <v>32.720001199999999</v>
      </c>
      <c r="K1699" s="31">
        <v>-19.847999600000001</v>
      </c>
      <c r="L1699" s="31"/>
      <c r="M1699" s="31" t="s">
        <v>854</v>
      </c>
      <c r="N1699" s="6" t="s">
        <v>856</v>
      </c>
    </row>
    <row r="1700" spans="1:14" ht="15" customHeight="1" x14ac:dyDescent="0.2">
      <c r="A1700" s="31">
        <v>0.98977716099572088</v>
      </c>
      <c r="B1700" s="31"/>
      <c r="C1700" s="2" t="s">
        <v>855</v>
      </c>
      <c r="D1700" s="31">
        <f t="shared" si="62"/>
        <v>0.1939963235551613</v>
      </c>
      <c r="F1700" s="2" t="s">
        <v>822</v>
      </c>
      <c r="G1700" s="23" t="s">
        <v>902</v>
      </c>
      <c r="H1700" s="2" t="s">
        <v>822</v>
      </c>
      <c r="J1700" s="31">
        <v>54.733200099999998</v>
      </c>
      <c r="K1700" s="31">
        <v>16.6564999</v>
      </c>
      <c r="L1700" s="31"/>
      <c r="M1700" s="31" t="s">
        <v>854</v>
      </c>
      <c r="N1700" s="6" t="s">
        <v>856</v>
      </c>
    </row>
    <row r="1701" spans="1:14" ht="15" customHeight="1" x14ac:dyDescent="0.2">
      <c r="A1701" s="31">
        <v>0.98938976972381076</v>
      </c>
      <c r="B1701" s="31"/>
      <c r="C1701" s="2" t="s">
        <v>855</v>
      </c>
      <c r="D1701" s="31">
        <f t="shared" si="62"/>
        <v>0.19392039486586693</v>
      </c>
      <c r="F1701" s="2" t="s">
        <v>822</v>
      </c>
      <c r="G1701" s="23" t="s">
        <v>902</v>
      </c>
      <c r="H1701" s="2" t="s">
        <v>822</v>
      </c>
      <c r="J1701" s="31">
        <v>36.041000400000001</v>
      </c>
      <c r="K1701" s="31">
        <v>-42.573898300000003</v>
      </c>
      <c r="L1701" s="31"/>
      <c r="M1701" s="31" t="s">
        <v>854</v>
      </c>
      <c r="N1701" s="6" t="s">
        <v>856</v>
      </c>
    </row>
    <row r="1702" spans="1:14" ht="15" customHeight="1" x14ac:dyDescent="0.2">
      <c r="A1702" s="31">
        <v>0.98937697959432302</v>
      </c>
      <c r="B1702" s="31"/>
      <c r="C1702" s="2" t="s">
        <v>855</v>
      </c>
      <c r="D1702" s="31">
        <f t="shared" si="62"/>
        <v>0.19391788800048732</v>
      </c>
      <c r="F1702" s="2" t="s">
        <v>822</v>
      </c>
      <c r="G1702" s="23" t="s">
        <v>902</v>
      </c>
      <c r="H1702" s="2" t="s">
        <v>822</v>
      </c>
      <c r="J1702" s="31">
        <v>42.071998600000001</v>
      </c>
      <c r="K1702" s="31">
        <v>-21.184000000000001</v>
      </c>
      <c r="L1702" s="31"/>
      <c r="M1702" s="31" t="s">
        <v>854</v>
      </c>
      <c r="N1702" s="6" t="s">
        <v>856</v>
      </c>
    </row>
    <row r="1703" spans="1:14" ht="15" customHeight="1" x14ac:dyDescent="0.2">
      <c r="A1703" s="31">
        <v>0.98880593410563744</v>
      </c>
      <c r="B1703" s="31"/>
      <c r="C1703" s="2" t="s">
        <v>855</v>
      </c>
      <c r="D1703" s="31">
        <f t="shared" si="62"/>
        <v>0.19380596308470494</v>
      </c>
      <c r="F1703" s="2" t="s">
        <v>822</v>
      </c>
      <c r="G1703" s="23" t="s">
        <v>902</v>
      </c>
      <c r="H1703" s="2" t="s">
        <v>822</v>
      </c>
      <c r="J1703" s="31">
        <v>44.469898200000003</v>
      </c>
      <c r="K1703" s="31">
        <v>12.466600400000001</v>
      </c>
      <c r="L1703" s="31"/>
      <c r="M1703" s="31" t="s">
        <v>854</v>
      </c>
      <c r="N1703" s="6" t="s">
        <v>856</v>
      </c>
    </row>
    <row r="1704" spans="1:14" ht="15" customHeight="1" x14ac:dyDescent="0.2">
      <c r="A1704" s="31">
        <v>0.98875140502567838</v>
      </c>
      <c r="B1704" s="31"/>
      <c r="C1704" s="2" t="s">
        <v>855</v>
      </c>
      <c r="D1704" s="31">
        <f t="shared" si="62"/>
        <v>0.19379527538503297</v>
      </c>
      <c r="F1704" s="2" t="s">
        <v>822</v>
      </c>
      <c r="G1704" s="23" t="s">
        <v>902</v>
      </c>
      <c r="H1704" s="2" t="s">
        <v>822</v>
      </c>
      <c r="J1704" s="31">
        <v>34.727100399999998</v>
      </c>
      <c r="K1704" s="31">
        <v>-42.741500899999998</v>
      </c>
      <c r="L1704" s="31"/>
      <c r="M1704" s="31" t="s">
        <v>854</v>
      </c>
      <c r="N1704" s="6" t="s">
        <v>856</v>
      </c>
    </row>
    <row r="1705" spans="1:14" ht="15" customHeight="1" x14ac:dyDescent="0.2">
      <c r="A1705" s="31">
        <v>0.98836591468198176</v>
      </c>
      <c r="B1705" s="31"/>
      <c r="C1705" s="2" t="s">
        <v>855</v>
      </c>
      <c r="D1705" s="31">
        <f t="shared" ref="D1705:D1729" si="63" xml:space="preserve"> A1705 * 0.196</f>
        <v>0.19371971927766843</v>
      </c>
      <c r="F1705" s="2" t="s">
        <v>822</v>
      </c>
      <c r="G1705" s="23" t="s">
        <v>902</v>
      </c>
      <c r="H1705" s="2" t="s">
        <v>822</v>
      </c>
      <c r="J1705" s="31">
        <v>37.832099900000003</v>
      </c>
      <c r="K1705" s="31">
        <v>0.89671100000000004</v>
      </c>
      <c r="L1705" s="31"/>
      <c r="M1705" s="31" t="s">
        <v>854</v>
      </c>
      <c r="N1705" s="6" t="s">
        <v>856</v>
      </c>
    </row>
    <row r="1706" spans="1:14" ht="15" customHeight="1" x14ac:dyDescent="0.2">
      <c r="A1706" s="31">
        <v>0.98826934553100565</v>
      </c>
      <c r="B1706" s="31"/>
      <c r="C1706" s="2" t="s">
        <v>855</v>
      </c>
      <c r="D1706" s="31">
        <f t="shared" si="63"/>
        <v>0.19370079172407711</v>
      </c>
      <c r="F1706" s="2" t="s">
        <v>822</v>
      </c>
      <c r="G1706" s="23" t="s">
        <v>902</v>
      </c>
      <c r="H1706" s="2" t="s">
        <v>822</v>
      </c>
      <c r="J1706" s="31">
        <v>37.103698700000002</v>
      </c>
      <c r="K1706" s="31">
        <v>-30.569599199999999</v>
      </c>
      <c r="L1706" s="31"/>
      <c r="M1706" s="31" t="s">
        <v>854</v>
      </c>
      <c r="N1706" s="6" t="s">
        <v>856</v>
      </c>
    </row>
    <row r="1707" spans="1:14" ht="15" customHeight="1" x14ac:dyDescent="0.2">
      <c r="A1707" s="31">
        <v>0.9877894589745454</v>
      </c>
      <c r="B1707" s="31"/>
      <c r="C1707" s="2" t="s">
        <v>855</v>
      </c>
      <c r="D1707" s="31">
        <f t="shared" si="63"/>
        <v>0.1936067339590109</v>
      </c>
      <c r="F1707" s="2" t="s">
        <v>822</v>
      </c>
      <c r="G1707" s="23" t="s">
        <v>902</v>
      </c>
      <c r="H1707" s="2" t="s">
        <v>822</v>
      </c>
      <c r="J1707" s="31">
        <v>45.346500399999996</v>
      </c>
      <c r="K1707" s="31">
        <v>-3.1130800000000001</v>
      </c>
      <c r="L1707" s="31"/>
      <c r="M1707" s="31" t="s">
        <v>854</v>
      </c>
      <c r="N1707" s="6" t="s">
        <v>856</v>
      </c>
    </row>
    <row r="1708" spans="1:14" ht="15" customHeight="1" x14ac:dyDescent="0.2">
      <c r="A1708" s="31">
        <v>0.987743751242811</v>
      </c>
      <c r="B1708" s="31"/>
      <c r="C1708" s="2" t="s">
        <v>855</v>
      </c>
      <c r="D1708" s="31">
        <f t="shared" si="63"/>
        <v>0.19359777524359095</v>
      </c>
      <c r="F1708" s="2" t="s">
        <v>822</v>
      </c>
      <c r="G1708" s="23" t="s">
        <v>902</v>
      </c>
      <c r="H1708" s="2" t="s">
        <v>822</v>
      </c>
      <c r="J1708" s="31">
        <v>44.515899699999999</v>
      </c>
      <c r="K1708" s="31">
        <v>-6.5102200999999997</v>
      </c>
      <c r="L1708" s="31"/>
      <c r="M1708" s="31" t="s">
        <v>854</v>
      </c>
      <c r="N1708" s="6" t="s">
        <v>856</v>
      </c>
    </row>
    <row r="1709" spans="1:14" ht="15" customHeight="1" x14ac:dyDescent="0.2">
      <c r="A1709" s="31">
        <v>0.98758944915072655</v>
      </c>
      <c r="B1709" s="31"/>
      <c r="C1709" s="2" t="s">
        <v>855</v>
      </c>
      <c r="D1709" s="31">
        <f t="shared" si="63"/>
        <v>0.19356753203354241</v>
      </c>
      <c r="F1709" s="2" t="s">
        <v>822</v>
      </c>
      <c r="G1709" s="23" t="s">
        <v>902</v>
      </c>
      <c r="H1709" s="2" t="s">
        <v>822</v>
      </c>
      <c r="J1709" s="31">
        <v>45.614398999999999</v>
      </c>
      <c r="K1709" s="31">
        <v>-10.0401001</v>
      </c>
      <c r="L1709" s="31"/>
      <c r="M1709" s="31" t="s">
        <v>854</v>
      </c>
      <c r="N1709" s="6" t="s">
        <v>856</v>
      </c>
    </row>
    <row r="1710" spans="1:14" ht="15" customHeight="1" x14ac:dyDescent="0.2">
      <c r="A1710" s="31">
        <v>0.98720432280496218</v>
      </c>
      <c r="B1710" s="31"/>
      <c r="C1710" s="2" t="s">
        <v>855</v>
      </c>
      <c r="D1710" s="31">
        <f t="shared" si="63"/>
        <v>0.19349204726977259</v>
      </c>
      <c r="F1710" s="2" t="s">
        <v>822</v>
      </c>
      <c r="G1710" s="23" t="s">
        <v>902</v>
      </c>
      <c r="H1710" s="2" t="s">
        <v>822</v>
      </c>
      <c r="J1710" s="31">
        <v>27.169700599999999</v>
      </c>
      <c r="K1710" s="31">
        <v>51.541801499999998</v>
      </c>
      <c r="L1710" s="31"/>
      <c r="M1710" s="31" t="s">
        <v>854</v>
      </c>
      <c r="N1710" s="6" t="s">
        <v>856</v>
      </c>
    </row>
    <row r="1711" spans="1:14" ht="15" customHeight="1" x14ac:dyDescent="0.2">
      <c r="A1711" s="31">
        <v>0.98696928152658281</v>
      </c>
      <c r="B1711" s="31"/>
      <c r="C1711" s="2" t="s">
        <v>855</v>
      </c>
      <c r="D1711" s="31">
        <f t="shared" si="63"/>
        <v>0.19344597917921025</v>
      </c>
      <c r="F1711" s="2" t="s">
        <v>822</v>
      </c>
      <c r="G1711" s="23" t="s">
        <v>902</v>
      </c>
      <c r="H1711" s="2" t="s">
        <v>822</v>
      </c>
      <c r="J1711" s="31">
        <v>56.307399699999998</v>
      </c>
      <c r="K1711" s="31">
        <v>18.0702</v>
      </c>
      <c r="L1711" s="31"/>
      <c r="M1711" s="31" t="s">
        <v>854</v>
      </c>
      <c r="N1711" s="6" t="s">
        <v>856</v>
      </c>
    </row>
    <row r="1712" spans="1:14" ht="15" customHeight="1" x14ac:dyDescent="0.2">
      <c r="A1712" s="31">
        <v>0.98665558052712088</v>
      </c>
      <c r="B1712" s="31"/>
      <c r="C1712" s="2" t="s">
        <v>855</v>
      </c>
      <c r="D1712" s="31">
        <f t="shared" si="63"/>
        <v>0.19338449378331571</v>
      </c>
      <c r="F1712" s="2" t="s">
        <v>822</v>
      </c>
      <c r="G1712" s="23" t="s">
        <v>902</v>
      </c>
      <c r="H1712" s="2" t="s">
        <v>822</v>
      </c>
      <c r="J1712" s="31">
        <v>40.0680008</v>
      </c>
      <c r="K1712" s="31">
        <v>-35.483501400000002</v>
      </c>
      <c r="L1712" s="31"/>
      <c r="M1712" s="31" t="s">
        <v>854</v>
      </c>
      <c r="N1712" s="6" t="s">
        <v>856</v>
      </c>
    </row>
    <row r="1713" spans="1:14" ht="15" customHeight="1" x14ac:dyDescent="0.2">
      <c r="A1713" s="31">
        <v>0.98664866601125989</v>
      </c>
      <c r="B1713" s="31"/>
      <c r="C1713" s="2" t="s">
        <v>855</v>
      </c>
      <c r="D1713" s="31">
        <f t="shared" si="63"/>
        <v>0.19338313853820693</v>
      </c>
      <c r="F1713" s="2" t="s">
        <v>822</v>
      </c>
      <c r="G1713" s="23" t="s">
        <v>902</v>
      </c>
      <c r="H1713" s="2" t="s">
        <v>822</v>
      </c>
      <c r="J1713" s="31">
        <v>55.524898499999999</v>
      </c>
      <c r="K1713" s="31">
        <v>18.582799900000001</v>
      </c>
      <c r="L1713" s="31"/>
      <c r="M1713" s="31" t="s">
        <v>854</v>
      </c>
      <c r="N1713" s="6" t="s">
        <v>856</v>
      </c>
    </row>
    <row r="1714" spans="1:14" ht="15" customHeight="1" x14ac:dyDescent="0.2">
      <c r="A1714" s="31">
        <v>0.98656270321187678</v>
      </c>
      <c r="B1714" s="31"/>
      <c r="C1714" s="2" t="s">
        <v>855</v>
      </c>
      <c r="D1714" s="31">
        <f t="shared" si="63"/>
        <v>0.19336628982952786</v>
      </c>
      <c r="F1714" s="2" t="s">
        <v>822</v>
      </c>
      <c r="G1714" s="23" t="s">
        <v>902</v>
      </c>
      <c r="H1714" s="2" t="s">
        <v>822</v>
      </c>
      <c r="J1714" s="31">
        <v>42.8771019</v>
      </c>
      <c r="K1714" s="31">
        <v>-10.0374002</v>
      </c>
      <c r="L1714" s="31"/>
      <c r="M1714" s="31" t="s">
        <v>854</v>
      </c>
      <c r="N1714" s="6" t="s">
        <v>856</v>
      </c>
    </row>
    <row r="1715" spans="1:14" ht="15" customHeight="1" x14ac:dyDescent="0.2">
      <c r="A1715" s="31">
        <v>0.98653422853610329</v>
      </c>
      <c r="B1715" s="31"/>
      <c r="C1715" s="2" t="s">
        <v>855</v>
      </c>
      <c r="D1715" s="31">
        <f t="shared" si="63"/>
        <v>0.19336070879307626</v>
      </c>
      <c r="F1715" s="2" t="s">
        <v>822</v>
      </c>
      <c r="G1715" s="23" t="s">
        <v>902</v>
      </c>
      <c r="H1715" s="2" t="s">
        <v>822</v>
      </c>
      <c r="J1715" s="31">
        <v>33.388000499999997</v>
      </c>
      <c r="K1715" s="31">
        <v>-20.516000699999999</v>
      </c>
      <c r="L1715" s="31"/>
      <c r="M1715" s="31" t="s">
        <v>854</v>
      </c>
      <c r="N1715" s="6" t="s">
        <v>856</v>
      </c>
    </row>
    <row r="1716" spans="1:14" ht="15" customHeight="1" x14ac:dyDescent="0.2">
      <c r="A1716" s="31">
        <v>0.98620738747470826</v>
      </c>
      <c r="B1716" s="31"/>
      <c r="C1716" s="2" t="s">
        <v>855</v>
      </c>
      <c r="D1716" s="31">
        <f t="shared" si="63"/>
        <v>0.19329664794504284</v>
      </c>
      <c r="F1716" s="2" t="s">
        <v>822</v>
      </c>
      <c r="G1716" s="23" t="s">
        <v>902</v>
      </c>
      <c r="H1716" s="2" t="s">
        <v>822</v>
      </c>
      <c r="J1716" s="31">
        <v>35.391998299999997</v>
      </c>
      <c r="K1716" s="31">
        <v>20.2320004</v>
      </c>
      <c r="L1716" s="31"/>
      <c r="M1716" s="31" t="s">
        <v>854</v>
      </c>
      <c r="N1716" s="6" t="s">
        <v>856</v>
      </c>
    </row>
    <row r="1717" spans="1:14" ht="15" customHeight="1" x14ac:dyDescent="0.2">
      <c r="A1717" s="31">
        <v>0.98609667789503874</v>
      </c>
      <c r="B1717" s="31"/>
      <c r="C1717" s="2" t="s">
        <v>855</v>
      </c>
      <c r="D1717" s="31">
        <f t="shared" si="63"/>
        <v>0.1932749488674276</v>
      </c>
      <c r="F1717" s="2" t="s">
        <v>822</v>
      </c>
      <c r="G1717" s="23" t="s">
        <v>902</v>
      </c>
      <c r="H1717" s="2" t="s">
        <v>822</v>
      </c>
      <c r="J1717" s="31">
        <v>32.710300400000001</v>
      </c>
      <c r="K1717" s="31">
        <v>-17.329700500000001</v>
      </c>
      <c r="L1717" s="31"/>
      <c r="M1717" s="31" t="s">
        <v>854</v>
      </c>
      <c r="N1717" s="6" t="s">
        <v>856</v>
      </c>
    </row>
    <row r="1718" spans="1:14" ht="15" customHeight="1" x14ac:dyDescent="0.2">
      <c r="A1718" s="31">
        <v>0.98608411613246538</v>
      </c>
      <c r="B1718" s="31"/>
      <c r="C1718" s="2" t="s">
        <v>855</v>
      </c>
      <c r="D1718" s="31">
        <f t="shared" si="63"/>
        <v>0.19327248676196324</v>
      </c>
      <c r="F1718" s="2" t="s">
        <v>822</v>
      </c>
      <c r="G1718" s="23" t="s">
        <v>902</v>
      </c>
      <c r="H1718" s="2" t="s">
        <v>822</v>
      </c>
      <c r="J1718" s="31">
        <v>34.632198299999999</v>
      </c>
      <c r="K1718" s="31">
        <v>31.569000200000001</v>
      </c>
      <c r="L1718" s="31"/>
      <c r="M1718" s="31" t="s">
        <v>854</v>
      </c>
      <c r="N1718" s="6" t="s">
        <v>856</v>
      </c>
    </row>
    <row r="1719" spans="1:14" ht="15" customHeight="1" x14ac:dyDescent="0.2">
      <c r="A1719" s="31">
        <v>0.98591997719763469</v>
      </c>
      <c r="B1719" s="31"/>
      <c r="C1719" s="2" t="s">
        <v>855</v>
      </c>
      <c r="D1719" s="31">
        <f t="shared" si="63"/>
        <v>0.1932403155307364</v>
      </c>
      <c r="F1719" s="2" t="s">
        <v>822</v>
      </c>
      <c r="G1719" s="23" t="s">
        <v>902</v>
      </c>
      <c r="H1719" s="2" t="s">
        <v>822</v>
      </c>
      <c r="J1719" s="31">
        <v>33.3987999</v>
      </c>
      <c r="K1719" s="31">
        <v>-41.955100999999999</v>
      </c>
      <c r="L1719" s="31"/>
      <c r="M1719" s="31" t="s">
        <v>854</v>
      </c>
      <c r="N1719" s="6" t="s">
        <v>856</v>
      </c>
    </row>
    <row r="1720" spans="1:14" ht="15" customHeight="1" x14ac:dyDescent="0.2">
      <c r="A1720" s="31">
        <v>0.98584000522914972</v>
      </c>
      <c r="B1720" s="31"/>
      <c r="C1720" s="2" t="s">
        <v>855</v>
      </c>
      <c r="D1720" s="31">
        <f t="shared" si="63"/>
        <v>0.19322464102491335</v>
      </c>
      <c r="F1720" s="2" t="s">
        <v>822</v>
      </c>
      <c r="G1720" s="23" t="s">
        <v>902</v>
      </c>
      <c r="H1720" s="2" t="s">
        <v>822</v>
      </c>
      <c r="J1720" s="31">
        <v>27.680999799999999</v>
      </c>
      <c r="K1720" s="31">
        <v>-16.052600900000002</v>
      </c>
      <c r="L1720" s="31"/>
      <c r="M1720" s="31" t="s">
        <v>854</v>
      </c>
      <c r="N1720" s="6" t="s">
        <v>856</v>
      </c>
    </row>
    <row r="1721" spans="1:14" ht="15" customHeight="1" x14ac:dyDescent="0.2">
      <c r="A1721" s="31">
        <v>0.98577698530403124</v>
      </c>
      <c r="B1721" s="31"/>
      <c r="C1721" s="2" t="s">
        <v>855</v>
      </c>
      <c r="D1721" s="31">
        <f t="shared" si="63"/>
        <v>0.19321228911959012</v>
      </c>
      <c r="F1721" s="2" t="s">
        <v>822</v>
      </c>
      <c r="G1721" s="23" t="s">
        <v>902</v>
      </c>
      <c r="H1721" s="2" t="s">
        <v>822</v>
      </c>
      <c r="J1721" s="31">
        <v>39.5807991</v>
      </c>
      <c r="K1721" s="31">
        <v>-10.2122002</v>
      </c>
      <c r="L1721" s="31"/>
      <c r="M1721" s="31" t="s">
        <v>854</v>
      </c>
      <c r="N1721" s="6" t="s">
        <v>856</v>
      </c>
    </row>
    <row r="1722" spans="1:14" ht="15" customHeight="1" x14ac:dyDescent="0.2">
      <c r="A1722" s="31">
        <v>0.98572552393279755</v>
      </c>
      <c r="B1722" s="31"/>
      <c r="C1722" s="2" t="s">
        <v>855</v>
      </c>
      <c r="D1722" s="31">
        <f t="shared" si="63"/>
        <v>0.19320220269082833</v>
      </c>
      <c r="F1722" s="2" t="s">
        <v>822</v>
      </c>
      <c r="G1722" s="23" t="s">
        <v>902</v>
      </c>
      <c r="H1722" s="2" t="s">
        <v>822</v>
      </c>
      <c r="J1722" s="31">
        <v>37.585800200000001</v>
      </c>
      <c r="K1722" s="31">
        <v>12.5201998</v>
      </c>
      <c r="L1722" s="31"/>
      <c r="M1722" s="31" t="s">
        <v>854</v>
      </c>
      <c r="N1722" s="6" t="s">
        <v>856</v>
      </c>
    </row>
    <row r="1723" spans="1:14" ht="15" customHeight="1" x14ac:dyDescent="0.2">
      <c r="A1723" s="31">
        <v>0.98568873726212924</v>
      </c>
      <c r="B1723" s="31"/>
      <c r="C1723" s="2" t="s">
        <v>855</v>
      </c>
      <c r="D1723" s="31">
        <f t="shared" si="63"/>
        <v>0.19319499250337735</v>
      </c>
      <c r="F1723" s="2" t="s">
        <v>822</v>
      </c>
      <c r="G1723" s="23" t="s">
        <v>902</v>
      </c>
      <c r="H1723" s="2" t="s">
        <v>822</v>
      </c>
      <c r="J1723" s="31">
        <v>38.211101499999998</v>
      </c>
      <c r="K1723" s="31">
        <v>-29.738599799999999</v>
      </c>
      <c r="L1723" s="31"/>
      <c r="M1723" s="31" t="s">
        <v>854</v>
      </c>
      <c r="N1723" s="6" t="s">
        <v>856</v>
      </c>
    </row>
    <row r="1724" spans="1:14" ht="15" customHeight="1" x14ac:dyDescent="0.2">
      <c r="A1724" s="31">
        <v>0.98542037304158436</v>
      </c>
      <c r="B1724" s="31"/>
      <c r="C1724" s="2" t="s">
        <v>855</v>
      </c>
      <c r="D1724" s="31">
        <f t="shared" si="63"/>
        <v>0.19314239311615053</v>
      </c>
      <c r="F1724" s="2" t="s">
        <v>822</v>
      </c>
      <c r="G1724" s="23" t="s">
        <v>902</v>
      </c>
      <c r="H1724" s="2" t="s">
        <v>822</v>
      </c>
      <c r="J1724" s="31">
        <v>32.720001199999999</v>
      </c>
      <c r="K1724" s="31">
        <v>-10.4960003</v>
      </c>
      <c r="L1724" s="31"/>
      <c r="M1724" s="31" t="s">
        <v>854</v>
      </c>
      <c r="N1724" s="6" t="s">
        <v>856</v>
      </c>
    </row>
    <row r="1725" spans="1:14" ht="15" customHeight="1" x14ac:dyDescent="0.2">
      <c r="A1725" s="31">
        <v>0.98539042577327851</v>
      </c>
      <c r="B1725" s="31"/>
      <c r="C1725" s="2" t="s">
        <v>855</v>
      </c>
      <c r="D1725" s="31">
        <f t="shared" si="63"/>
        <v>0.1931365234515626</v>
      </c>
      <c r="F1725" s="2" t="s">
        <v>822</v>
      </c>
      <c r="G1725" s="23" t="s">
        <v>902</v>
      </c>
      <c r="H1725" s="2" t="s">
        <v>822</v>
      </c>
      <c r="J1725" s="31">
        <v>31.736499800000001</v>
      </c>
      <c r="K1725" s="31">
        <v>25.130600000000001</v>
      </c>
      <c r="L1725" s="31"/>
      <c r="M1725" s="31" t="s">
        <v>854</v>
      </c>
      <c r="N1725" s="6" t="s">
        <v>856</v>
      </c>
    </row>
    <row r="1726" spans="1:14" ht="15" customHeight="1" x14ac:dyDescent="0.2">
      <c r="A1726" s="31">
        <v>0.98537382564956499</v>
      </c>
      <c r="B1726" s="31"/>
      <c r="C1726" s="2" t="s">
        <v>855</v>
      </c>
      <c r="D1726" s="31">
        <f t="shared" si="63"/>
        <v>0.19313326982731474</v>
      </c>
      <c r="F1726" s="2" t="s">
        <v>822</v>
      </c>
      <c r="G1726" s="23" t="s">
        <v>902</v>
      </c>
      <c r="H1726" s="2" t="s">
        <v>822</v>
      </c>
      <c r="J1726" s="31">
        <v>26.040000899999999</v>
      </c>
      <c r="K1726" s="31">
        <v>-21.184000000000001</v>
      </c>
      <c r="L1726" s="31"/>
      <c r="M1726" s="31" t="s">
        <v>854</v>
      </c>
      <c r="N1726" s="6" t="s">
        <v>856</v>
      </c>
    </row>
    <row r="1727" spans="1:14" ht="15" customHeight="1" x14ac:dyDescent="0.2">
      <c r="A1727" s="31">
        <v>0.98534092096711368</v>
      </c>
      <c r="B1727" s="31"/>
      <c r="C1727" s="2" t="s">
        <v>855</v>
      </c>
      <c r="D1727" s="31">
        <f t="shared" si="63"/>
        <v>0.19312682050955429</v>
      </c>
      <c r="F1727" s="2" t="s">
        <v>822</v>
      </c>
      <c r="G1727" s="23" t="s">
        <v>902</v>
      </c>
      <c r="H1727" s="2" t="s">
        <v>822</v>
      </c>
      <c r="J1727" s="31">
        <v>36.243099200000003</v>
      </c>
      <c r="K1727" s="31">
        <v>-34.757598899999998</v>
      </c>
      <c r="L1727" s="31"/>
      <c r="M1727" s="31" t="s">
        <v>854</v>
      </c>
      <c r="N1727" s="6" t="s">
        <v>856</v>
      </c>
    </row>
    <row r="1728" spans="1:14" ht="15" customHeight="1" x14ac:dyDescent="0.2">
      <c r="A1728" s="31">
        <v>0.98503331486825807</v>
      </c>
      <c r="B1728" s="31"/>
      <c r="C1728" s="2" t="s">
        <v>855</v>
      </c>
      <c r="D1728" s="31">
        <f t="shared" si="63"/>
        <v>0.19306652971417859</v>
      </c>
      <c r="F1728" s="2" t="s">
        <v>822</v>
      </c>
      <c r="G1728" s="23" t="s">
        <v>902</v>
      </c>
      <c r="H1728" s="2" t="s">
        <v>822</v>
      </c>
      <c r="J1728" s="31">
        <v>39.400001500000002</v>
      </c>
      <c r="K1728" s="31">
        <v>-18.679199199999999</v>
      </c>
      <c r="L1728" s="31"/>
      <c r="M1728" s="31" t="s">
        <v>854</v>
      </c>
      <c r="N1728" s="6" t="s">
        <v>856</v>
      </c>
    </row>
    <row r="1729" spans="1:14" ht="15" customHeight="1" x14ac:dyDescent="0.2">
      <c r="A1729" s="31">
        <v>0.98460036194421352</v>
      </c>
      <c r="B1729" s="31"/>
      <c r="C1729" s="2" t="s">
        <v>855</v>
      </c>
      <c r="D1729" s="31">
        <f t="shared" si="63"/>
        <v>0.19298167094106586</v>
      </c>
      <c r="F1729" s="2" t="s">
        <v>822</v>
      </c>
      <c r="G1729" s="23" t="s">
        <v>902</v>
      </c>
      <c r="H1729" s="2" t="s">
        <v>822</v>
      </c>
      <c r="J1729" s="31">
        <v>38.731998400000002</v>
      </c>
      <c r="K1729" s="31">
        <v>-35.212001800000003</v>
      </c>
      <c r="L1729" s="31"/>
      <c r="M1729" s="31" t="s">
        <v>854</v>
      </c>
      <c r="N1729" s="6" t="s">
        <v>856</v>
      </c>
    </row>
    <row r="1730" spans="1:14" ht="15" customHeight="1" x14ac:dyDescent="0.2">
      <c r="A1730" s="22">
        <v>0.19296639564493767</v>
      </c>
      <c r="B1730" s="22"/>
      <c r="C1730" s="2" t="s">
        <v>891</v>
      </c>
      <c r="D1730" s="2">
        <f>A1730</f>
        <v>0.19296639564493767</v>
      </c>
      <c r="F1730" s="2">
        <v>2023</v>
      </c>
      <c r="G1730" s="23" t="s">
        <v>902</v>
      </c>
      <c r="H1730" s="2" t="s">
        <v>769</v>
      </c>
      <c r="I1730" s="23" t="s">
        <v>189</v>
      </c>
      <c r="J1730" s="23">
        <v>58062434</v>
      </c>
      <c r="K1730" s="23">
        <v>11782704</v>
      </c>
      <c r="L1730" s="23" t="s">
        <v>819</v>
      </c>
      <c r="M1730" s="2" t="s">
        <v>825</v>
      </c>
      <c r="N1730" s="6" t="s">
        <v>828</v>
      </c>
    </row>
    <row r="1731" spans="1:14" ht="15" customHeight="1" x14ac:dyDescent="0.2">
      <c r="A1731" s="31">
        <v>0.98449261170061608</v>
      </c>
      <c r="B1731" s="31"/>
      <c r="C1731" s="2" t="s">
        <v>855</v>
      </c>
      <c r="D1731" s="31">
        <f t="shared" ref="D1731:D1762" si="64" xml:space="preserve"> A1731 * 0.196</f>
        <v>0.19296055189332076</v>
      </c>
      <c r="F1731" s="2" t="s">
        <v>822</v>
      </c>
      <c r="G1731" s="23" t="s">
        <v>902</v>
      </c>
      <c r="H1731" s="2" t="s">
        <v>822</v>
      </c>
      <c r="J1731" s="31">
        <v>27.503499999999999</v>
      </c>
      <c r="K1731" s="31">
        <v>49.988201099999998</v>
      </c>
      <c r="L1731" s="31"/>
      <c r="M1731" s="31" t="s">
        <v>854</v>
      </c>
      <c r="N1731" s="6" t="s">
        <v>856</v>
      </c>
    </row>
    <row r="1732" spans="1:14" ht="15" customHeight="1" x14ac:dyDescent="0.2">
      <c r="A1732" s="31">
        <v>0.98445178124210619</v>
      </c>
      <c r="B1732" s="31"/>
      <c r="C1732" s="2" t="s">
        <v>855</v>
      </c>
      <c r="D1732" s="31">
        <f t="shared" si="64"/>
        <v>0.19295254912345283</v>
      </c>
      <c r="F1732" s="2" t="s">
        <v>822</v>
      </c>
      <c r="G1732" s="23" t="s">
        <v>902</v>
      </c>
      <c r="H1732" s="2" t="s">
        <v>822</v>
      </c>
      <c r="J1732" s="31">
        <v>32.720001199999999</v>
      </c>
      <c r="K1732" s="31">
        <v>-33.208000200000001</v>
      </c>
      <c r="L1732" s="31"/>
      <c r="M1732" s="31" t="s">
        <v>854</v>
      </c>
      <c r="N1732" s="6" t="s">
        <v>856</v>
      </c>
    </row>
    <row r="1733" spans="1:14" ht="15" customHeight="1" x14ac:dyDescent="0.2">
      <c r="A1733" s="31">
        <v>0.98383239693813374</v>
      </c>
      <c r="B1733" s="31"/>
      <c r="C1733" s="2" t="s">
        <v>855</v>
      </c>
      <c r="D1733" s="31">
        <f t="shared" si="64"/>
        <v>0.19283114979987423</v>
      </c>
      <c r="F1733" s="2" t="s">
        <v>822</v>
      </c>
      <c r="G1733" s="23" t="s">
        <v>902</v>
      </c>
      <c r="H1733" s="2" t="s">
        <v>822</v>
      </c>
      <c r="J1733" s="31">
        <v>28.0440006</v>
      </c>
      <c r="K1733" s="31">
        <v>-29.200000800000002</v>
      </c>
      <c r="L1733" s="31"/>
      <c r="M1733" s="31" t="s">
        <v>854</v>
      </c>
      <c r="N1733" s="6" t="s">
        <v>856</v>
      </c>
    </row>
    <row r="1734" spans="1:14" ht="15" customHeight="1" x14ac:dyDescent="0.2">
      <c r="A1734" s="31">
        <v>0.98371715441625351</v>
      </c>
      <c r="B1734" s="31"/>
      <c r="C1734" s="2" t="s">
        <v>855</v>
      </c>
      <c r="D1734" s="31">
        <f t="shared" si="64"/>
        <v>0.19280856226558571</v>
      </c>
      <c r="F1734" s="2" t="s">
        <v>822</v>
      </c>
      <c r="G1734" s="23" t="s">
        <v>902</v>
      </c>
      <c r="H1734" s="2" t="s">
        <v>822</v>
      </c>
      <c r="J1734" s="31">
        <v>38.064800300000002</v>
      </c>
      <c r="K1734" s="31">
        <v>8.1928301000000001</v>
      </c>
      <c r="L1734" s="31"/>
      <c r="M1734" s="31" t="s">
        <v>854</v>
      </c>
      <c r="N1734" s="6" t="s">
        <v>856</v>
      </c>
    </row>
    <row r="1735" spans="1:14" ht="15" customHeight="1" x14ac:dyDescent="0.2">
      <c r="A1735" s="31">
        <v>0.98362825389552677</v>
      </c>
      <c r="B1735" s="31"/>
      <c r="C1735" s="2" t="s">
        <v>855</v>
      </c>
      <c r="D1735" s="31">
        <f t="shared" si="64"/>
        <v>0.19279113776352325</v>
      </c>
      <c r="F1735" s="2" t="s">
        <v>822</v>
      </c>
      <c r="G1735" s="23" t="s">
        <v>902</v>
      </c>
      <c r="H1735" s="2" t="s">
        <v>822</v>
      </c>
      <c r="J1735" s="31">
        <v>39.882701900000001</v>
      </c>
      <c r="K1735" s="31">
        <v>3.3452101000000001</v>
      </c>
      <c r="L1735" s="31"/>
      <c r="M1735" s="31" t="s">
        <v>854</v>
      </c>
      <c r="N1735" s="6" t="s">
        <v>856</v>
      </c>
    </row>
    <row r="1736" spans="1:14" ht="15" customHeight="1" x14ac:dyDescent="0.2">
      <c r="A1736" s="31">
        <v>0.98353788059563041</v>
      </c>
      <c r="B1736" s="31"/>
      <c r="C1736" s="2" t="s">
        <v>855</v>
      </c>
      <c r="D1736" s="31">
        <f t="shared" si="64"/>
        <v>0.19277342459674357</v>
      </c>
      <c r="F1736" s="2" t="s">
        <v>822</v>
      </c>
      <c r="G1736" s="23" t="s">
        <v>902</v>
      </c>
      <c r="H1736" s="2" t="s">
        <v>822</v>
      </c>
      <c r="J1736" s="31">
        <v>43.853500400000001</v>
      </c>
      <c r="K1736" s="31">
        <v>-14.192399999999999</v>
      </c>
      <c r="L1736" s="31"/>
      <c r="M1736" s="31" t="s">
        <v>854</v>
      </c>
      <c r="N1736" s="6" t="s">
        <v>856</v>
      </c>
    </row>
    <row r="1737" spans="1:14" ht="15" customHeight="1" x14ac:dyDescent="0.2">
      <c r="A1737" s="31">
        <v>0.98340064081440492</v>
      </c>
      <c r="B1737" s="31"/>
      <c r="C1737" s="2" t="s">
        <v>855</v>
      </c>
      <c r="D1737" s="31">
        <f t="shared" si="64"/>
        <v>0.19274652559962338</v>
      </c>
      <c r="F1737" s="2" t="s">
        <v>822</v>
      </c>
      <c r="G1737" s="23" t="s">
        <v>902</v>
      </c>
      <c r="H1737" s="2" t="s">
        <v>822</v>
      </c>
      <c r="J1737" s="31">
        <v>36.925800299999999</v>
      </c>
      <c r="K1737" s="31">
        <v>2.1926100000000002</v>
      </c>
      <c r="L1737" s="31"/>
      <c r="M1737" s="31" t="s">
        <v>854</v>
      </c>
      <c r="N1737" s="6" t="s">
        <v>856</v>
      </c>
    </row>
    <row r="1738" spans="1:14" ht="15" customHeight="1" x14ac:dyDescent="0.2">
      <c r="A1738" s="31">
        <v>0.98336322214918959</v>
      </c>
      <c r="B1738" s="31"/>
      <c r="C1738" s="2" t="s">
        <v>855</v>
      </c>
      <c r="D1738" s="31">
        <f t="shared" si="64"/>
        <v>0.19273919154124117</v>
      </c>
      <c r="F1738" s="2" t="s">
        <v>822</v>
      </c>
      <c r="G1738" s="23" t="s">
        <v>902</v>
      </c>
      <c r="H1738" s="2" t="s">
        <v>822</v>
      </c>
      <c r="J1738" s="31">
        <v>30.923200600000001</v>
      </c>
      <c r="K1738" s="31">
        <v>-41.929401400000003</v>
      </c>
      <c r="L1738" s="31"/>
      <c r="M1738" s="31" t="s">
        <v>854</v>
      </c>
      <c r="N1738" s="6" t="s">
        <v>856</v>
      </c>
    </row>
    <row r="1739" spans="1:14" ht="15" customHeight="1" x14ac:dyDescent="0.2">
      <c r="A1739" s="31">
        <v>0.98303089247295716</v>
      </c>
      <c r="B1739" s="31"/>
      <c r="C1739" s="2" t="s">
        <v>855</v>
      </c>
      <c r="D1739" s="31">
        <f t="shared" si="64"/>
        <v>0.19267405492469961</v>
      </c>
      <c r="F1739" s="2" t="s">
        <v>822</v>
      </c>
      <c r="G1739" s="23" t="s">
        <v>902</v>
      </c>
      <c r="H1739" s="2" t="s">
        <v>822</v>
      </c>
      <c r="J1739" s="31">
        <v>40.0680008</v>
      </c>
      <c r="K1739" s="31">
        <v>-22.224199299999999</v>
      </c>
      <c r="L1739" s="31"/>
      <c r="M1739" s="31" t="s">
        <v>854</v>
      </c>
      <c r="N1739" s="6" t="s">
        <v>856</v>
      </c>
    </row>
    <row r="1740" spans="1:14" ht="15" customHeight="1" x14ac:dyDescent="0.2">
      <c r="A1740" s="31">
        <v>0.98300342011378705</v>
      </c>
      <c r="B1740" s="31"/>
      <c r="C1740" s="2" t="s">
        <v>855</v>
      </c>
      <c r="D1740" s="31">
        <f t="shared" si="64"/>
        <v>0.19266867034230226</v>
      </c>
      <c r="F1740" s="2" t="s">
        <v>822</v>
      </c>
      <c r="G1740" s="23" t="s">
        <v>902</v>
      </c>
      <c r="H1740" s="2" t="s">
        <v>822</v>
      </c>
      <c r="J1740" s="31">
        <v>55.193901099999998</v>
      </c>
      <c r="K1740" s="31">
        <v>15.229499799999999</v>
      </c>
      <c r="L1740" s="31"/>
      <c r="M1740" s="31" t="s">
        <v>854</v>
      </c>
      <c r="N1740" s="6" t="s">
        <v>856</v>
      </c>
    </row>
    <row r="1741" spans="1:14" ht="15" customHeight="1" x14ac:dyDescent="0.2">
      <c r="A1741" s="31">
        <v>0.98297790824729336</v>
      </c>
      <c r="B1741" s="31"/>
      <c r="C1741" s="2" t="s">
        <v>855</v>
      </c>
      <c r="D1741" s="31">
        <f t="shared" si="64"/>
        <v>0.1926636700164695</v>
      </c>
      <c r="F1741" s="2" t="s">
        <v>822</v>
      </c>
      <c r="G1741" s="23" t="s">
        <v>902</v>
      </c>
      <c r="H1741" s="2" t="s">
        <v>822</v>
      </c>
      <c r="J1741" s="31">
        <v>44.918998700000003</v>
      </c>
      <c r="K1741" s="31">
        <v>-2.6956201000000002</v>
      </c>
      <c r="L1741" s="31"/>
      <c r="M1741" s="31" t="s">
        <v>854</v>
      </c>
      <c r="N1741" s="6" t="s">
        <v>856</v>
      </c>
    </row>
    <row r="1742" spans="1:14" ht="15" customHeight="1" x14ac:dyDescent="0.2">
      <c r="A1742" s="31">
        <v>0.98283663929318921</v>
      </c>
      <c r="B1742" s="31"/>
      <c r="C1742" s="2" t="s">
        <v>855</v>
      </c>
      <c r="D1742" s="31">
        <f t="shared" si="64"/>
        <v>0.19263598130146509</v>
      </c>
      <c r="F1742" s="2" t="s">
        <v>822</v>
      </c>
      <c r="G1742" s="23" t="s">
        <v>902</v>
      </c>
      <c r="H1742" s="2" t="s">
        <v>822</v>
      </c>
      <c r="J1742" s="31">
        <v>40.402599299999999</v>
      </c>
      <c r="K1742" s="31">
        <v>-36.548000299999998</v>
      </c>
      <c r="L1742" s="31"/>
      <c r="M1742" s="31" t="s">
        <v>854</v>
      </c>
      <c r="N1742" s="6" t="s">
        <v>856</v>
      </c>
    </row>
    <row r="1743" spans="1:14" ht="15" customHeight="1" x14ac:dyDescent="0.2">
      <c r="A1743" s="31">
        <v>0.9822384161931027</v>
      </c>
      <c r="B1743" s="31"/>
      <c r="C1743" s="2" t="s">
        <v>855</v>
      </c>
      <c r="D1743" s="31">
        <f t="shared" si="64"/>
        <v>0.19251872957384814</v>
      </c>
      <c r="F1743" s="2" t="s">
        <v>822</v>
      </c>
      <c r="G1743" s="23" t="s">
        <v>902</v>
      </c>
      <c r="H1743" s="2" t="s">
        <v>822</v>
      </c>
      <c r="J1743" s="31">
        <v>42.097999600000001</v>
      </c>
      <c r="K1743" s="31">
        <v>-37.909999800000001</v>
      </c>
      <c r="L1743" s="31"/>
      <c r="M1743" s="31" t="s">
        <v>854</v>
      </c>
      <c r="N1743" s="6" t="s">
        <v>856</v>
      </c>
    </row>
    <row r="1744" spans="1:14" ht="15" customHeight="1" x14ac:dyDescent="0.2">
      <c r="A1744" s="31">
        <v>0.98212475795553589</v>
      </c>
      <c r="B1744" s="31"/>
      <c r="C1744" s="2" t="s">
        <v>855</v>
      </c>
      <c r="D1744" s="31">
        <f t="shared" si="64"/>
        <v>0.19249645255928505</v>
      </c>
      <c r="F1744" s="2" t="s">
        <v>822</v>
      </c>
      <c r="G1744" s="23" t="s">
        <v>902</v>
      </c>
      <c r="H1744" s="2" t="s">
        <v>822</v>
      </c>
      <c r="J1744" s="31">
        <v>29.3799992</v>
      </c>
      <c r="K1744" s="31">
        <v>-29.200000800000002</v>
      </c>
      <c r="L1744" s="31"/>
      <c r="M1744" s="31" t="s">
        <v>854</v>
      </c>
      <c r="N1744" s="6" t="s">
        <v>856</v>
      </c>
    </row>
    <row r="1745" spans="1:14" ht="15" customHeight="1" x14ac:dyDescent="0.2">
      <c r="A1745" s="31">
        <v>0.98195134705324449</v>
      </c>
      <c r="B1745" s="31"/>
      <c r="C1745" s="2" t="s">
        <v>855</v>
      </c>
      <c r="D1745" s="31">
        <f t="shared" si="64"/>
        <v>0.19246246402243594</v>
      </c>
      <c r="F1745" s="2" t="s">
        <v>822</v>
      </c>
      <c r="G1745" s="23" t="s">
        <v>902</v>
      </c>
      <c r="H1745" s="2" t="s">
        <v>822</v>
      </c>
      <c r="J1745" s="31">
        <v>35.9906006</v>
      </c>
      <c r="K1745" s="31">
        <v>-35.186698900000003</v>
      </c>
      <c r="L1745" s="31"/>
      <c r="M1745" s="31" t="s">
        <v>854</v>
      </c>
      <c r="N1745" s="6" t="s">
        <v>856</v>
      </c>
    </row>
    <row r="1746" spans="1:14" ht="15" customHeight="1" x14ac:dyDescent="0.2">
      <c r="A1746" s="31">
        <v>0.98193346020393291</v>
      </c>
      <c r="B1746" s="31"/>
      <c r="C1746" s="2" t="s">
        <v>855</v>
      </c>
      <c r="D1746" s="31">
        <f t="shared" si="64"/>
        <v>0.19245895819997086</v>
      </c>
      <c r="F1746" s="2" t="s">
        <v>822</v>
      </c>
      <c r="G1746" s="23" t="s">
        <v>902</v>
      </c>
      <c r="H1746" s="2" t="s">
        <v>822</v>
      </c>
      <c r="J1746" s="31">
        <v>40.736598999999998</v>
      </c>
      <c r="K1746" s="31">
        <v>-35.212001800000003</v>
      </c>
      <c r="L1746" s="31"/>
      <c r="M1746" s="31" t="s">
        <v>854</v>
      </c>
      <c r="N1746" s="6" t="s">
        <v>856</v>
      </c>
    </row>
    <row r="1747" spans="1:14" ht="15" customHeight="1" x14ac:dyDescent="0.2">
      <c r="A1747" s="31">
        <v>0.98134789421692714</v>
      </c>
      <c r="B1747" s="31"/>
      <c r="C1747" s="2" t="s">
        <v>855</v>
      </c>
      <c r="D1747" s="31">
        <f t="shared" si="64"/>
        <v>0.19234418726651772</v>
      </c>
      <c r="F1747" s="2" t="s">
        <v>822</v>
      </c>
      <c r="G1747" s="23" t="s">
        <v>902</v>
      </c>
      <c r="H1747" s="2" t="s">
        <v>822</v>
      </c>
      <c r="J1747" s="31">
        <v>29.445699699999999</v>
      </c>
      <c r="K1747" s="31">
        <v>-24.007299400000001</v>
      </c>
      <c r="L1747" s="31"/>
      <c r="M1747" s="31" t="s">
        <v>854</v>
      </c>
      <c r="N1747" s="6" t="s">
        <v>856</v>
      </c>
    </row>
    <row r="1748" spans="1:14" ht="15" customHeight="1" x14ac:dyDescent="0.2">
      <c r="A1748" s="31">
        <v>0.9809966483991579</v>
      </c>
      <c r="B1748" s="31"/>
      <c r="C1748" s="2" t="s">
        <v>855</v>
      </c>
      <c r="D1748" s="31">
        <f t="shared" si="64"/>
        <v>0.19227534308623495</v>
      </c>
      <c r="F1748" s="2" t="s">
        <v>822</v>
      </c>
      <c r="G1748" s="23" t="s">
        <v>902</v>
      </c>
      <c r="H1748" s="2" t="s">
        <v>822</v>
      </c>
      <c r="J1748" s="31">
        <v>42.360401199999998</v>
      </c>
      <c r="K1748" s="31">
        <v>14.437600099999999</v>
      </c>
      <c r="L1748" s="31"/>
      <c r="M1748" s="31" t="s">
        <v>854</v>
      </c>
      <c r="N1748" s="6" t="s">
        <v>856</v>
      </c>
    </row>
    <row r="1749" spans="1:14" ht="15" customHeight="1" x14ac:dyDescent="0.2">
      <c r="A1749" s="31">
        <v>0.98077570707471462</v>
      </c>
      <c r="B1749" s="31"/>
      <c r="C1749" s="2" t="s">
        <v>855</v>
      </c>
      <c r="D1749" s="31">
        <f t="shared" si="64"/>
        <v>0.19223203858664406</v>
      </c>
      <c r="F1749" s="2" t="s">
        <v>822</v>
      </c>
      <c r="G1749" s="23" t="s">
        <v>902</v>
      </c>
      <c r="H1749" s="2" t="s">
        <v>822</v>
      </c>
      <c r="J1749" s="31">
        <v>28.392200500000001</v>
      </c>
      <c r="K1749" s="31">
        <v>-14.1637001</v>
      </c>
      <c r="L1749" s="31"/>
      <c r="M1749" s="31" t="s">
        <v>854</v>
      </c>
      <c r="N1749" s="6" t="s">
        <v>856</v>
      </c>
    </row>
    <row r="1750" spans="1:14" ht="15" customHeight="1" x14ac:dyDescent="0.2">
      <c r="A1750" s="31">
        <v>0.98066670617027807</v>
      </c>
      <c r="B1750" s="31"/>
      <c r="C1750" s="2" t="s">
        <v>855</v>
      </c>
      <c r="D1750" s="31">
        <f t="shared" si="64"/>
        <v>0.1922106744093745</v>
      </c>
      <c r="F1750" s="2" t="s">
        <v>822</v>
      </c>
      <c r="G1750" s="23" t="s">
        <v>902</v>
      </c>
      <c r="H1750" s="2" t="s">
        <v>822</v>
      </c>
      <c r="J1750" s="31">
        <v>40.289901700000001</v>
      </c>
      <c r="K1750" s="31">
        <v>5.6490798</v>
      </c>
      <c r="L1750" s="31"/>
      <c r="M1750" s="31" t="s">
        <v>854</v>
      </c>
      <c r="N1750" s="6" t="s">
        <v>856</v>
      </c>
    </row>
    <row r="1751" spans="1:14" ht="15" customHeight="1" x14ac:dyDescent="0.2">
      <c r="A1751" s="31">
        <v>0.98065775856917692</v>
      </c>
      <c r="B1751" s="31"/>
      <c r="C1751" s="2" t="s">
        <v>855</v>
      </c>
      <c r="D1751" s="31">
        <f t="shared" si="64"/>
        <v>0.19220892067955869</v>
      </c>
      <c r="F1751" s="2" t="s">
        <v>822</v>
      </c>
      <c r="G1751" s="23" t="s">
        <v>902</v>
      </c>
      <c r="H1751" s="2" t="s">
        <v>822</v>
      </c>
      <c r="J1751" s="31">
        <v>35.391998299999997</v>
      </c>
      <c r="K1751" s="31">
        <v>-9.1599997999999996</v>
      </c>
      <c r="L1751" s="31"/>
      <c r="M1751" s="31" t="s">
        <v>854</v>
      </c>
      <c r="N1751" s="6" t="s">
        <v>856</v>
      </c>
    </row>
    <row r="1752" spans="1:14" ht="15" customHeight="1" x14ac:dyDescent="0.2">
      <c r="A1752" s="31">
        <v>0.98019276299100633</v>
      </c>
      <c r="B1752" s="31"/>
      <c r="C1752" s="2" t="s">
        <v>855</v>
      </c>
      <c r="D1752" s="31">
        <f t="shared" si="64"/>
        <v>0.19211778154623724</v>
      </c>
      <c r="F1752" s="2" t="s">
        <v>822</v>
      </c>
      <c r="G1752" s="23" t="s">
        <v>902</v>
      </c>
      <c r="H1752" s="2" t="s">
        <v>822</v>
      </c>
      <c r="J1752" s="31">
        <v>38.279201499999999</v>
      </c>
      <c r="K1752" s="31">
        <v>8.5508203999999992</v>
      </c>
      <c r="L1752" s="31"/>
      <c r="M1752" s="31" t="s">
        <v>854</v>
      </c>
      <c r="N1752" s="6" t="s">
        <v>856</v>
      </c>
    </row>
    <row r="1753" spans="1:14" ht="15" customHeight="1" x14ac:dyDescent="0.2">
      <c r="A1753" s="31">
        <v>0.97997807730731801</v>
      </c>
      <c r="B1753" s="31"/>
      <c r="C1753" s="2" t="s">
        <v>855</v>
      </c>
      <c r="D1753" s="31">
        <f t="shared" si="64"/>
        <v>0.19207570315223435</v>
      </c>
      <c r="F1753" s="2" t="s">
        <v>822</v>
      </c>
      <c r="G1753" s="23" t="s">
        <v>902</v>
      </c>
      <c r="H1753" s="2" t="s">
        <v>822</v>
      </c>
      <c r="J1753" s="31">
        <v>38.063999199999998</v>
      </c>
      <c r="K1753" s="31">
        <v>-35.546001400000002</v>
      </c>
      <c r="L1753" s="31"/>
      <c r="M1753" s="31" t="s">
        <v>854</v>
      </c>
      <c r="N1753" s="6" t="s">
        <v>856</v>
      </c>
    </row>
    <row r="1754" spans="1:14" ht="15" customHeight="1" x14ac:dyDescent="0.2">
      <c r="A1754" s="31">
        <v>0.97982175211813216</v>
      </c>
      <c r="B1754" s="31"/>
      <c r="C1754" s="2" t="s">
        <v>855</v>
      </c>
      <c r="D1754" s="31">
        <f t="shared" si="64"/>
        <v>0.1920450634151539</v>
      </c>
      <c r="F1754" s="2" t="s">
        <v>822</v>
      </c>
      <c r="G1754" s="23" t="s">
        <v>902</v>
      </c>
      <c r="H1754" s="2" t="s">
        <v>822</v>
      </c>
      <c r="J1754" s="31">
        <v>31.537399300000001</v>
      </c>
      <c r="K1754" s="31">
        <v>-11.472800299999999</v>
      </c>
      <c r="L1754" s="31"/>
      <c r="M1754" s="31" t="s">
        <v>854</v>
      </c>
      <c r="N1754" s="6" t="s">
        <v>856</v>
      </c>
    </row>
    <row r="1755" spans="1:14" ht="15" customHeight="1" x14ac:dyDescent="0.2">
      <c r="A1755" s="31">
        <v>0.97968907558000196</v>
      </c>
      <c r="B1755" s="31"/>
      <c r="C1755" s="2" t="s">
        <v>855</v>
      </c>
      <c r="D1755" s="31">
        <f t="shared" si="64"/>
        <v>0.19201905881368039</v>
      </c>
      <c r="F1755" s="2" t="s">
        <v>822</v>
      </c>
      <c r="G1755" s="23" t="s">
        <v>902</v>
      </c>
      <c r="H1755" s="2" t="s">
        <v>822</v>
      </c>
      <c r="J1755" s="31">
        <v>36.143199899999999</v>
      </c>
      <c r="K1755" s="31">
        <v>-39.916301699999998</v>
      </c>
      <c r="L1755" s="31"/>
      <c r="M1755" s="31" t="s">
        <v>854</v>
      </c>
      <c r="N1755" s="6" t="s">
        <v>856</v>
      </c>
    </row>
    <row r="1756" spans="1:14" ht="15" customHeight="1" x14ac:dyDescent="0.2">
      <c r="A1756" s="31">
        <v>0.97870347654510925</v>
      </c>
      <c r="B1756" s="31"/>
      <c r="C1756" s="2" t="s">
        <v>855</v>
      </c>
      <c r="D1756" s="31">
        <f t="shared" si="64"/>
        <v>0.19182588140284143</v>
      </c>
      <c r="F1756" s="2" t="s">
        <v>822</v>
      </c>
      <c r="G1756" s="23" t="s">
        <v>902</v>
      </c>
      <c r="H1756" s="2" t="s">
        <v>822</v>
      </c>
      <c r="J1756" s="31">
        <v>42.536300699999998</v>
      </c>
      <c r="K1756" s="31">
        <v>-10.0755997</v>
      </c>
      <c r="L1756" s="31"/>
      <c r="M1756" s="31" t="s">
        <v>854</v>
      </c>
      <c r="N1756" s="6" t="s">
        <v>856</v>
      </c>
    </row>
    <row r="1757" spans="1:14" ht="15" customHeight="1" x14ac:dyDescent="0.2">
      <c r="A1757" s="31">
        <v>0.97863859717813506</v>
      </c>
      <c r="B1757" s="31"/>
      <c r="C1757" s="2" t="s">
        <v>855</v>
      </c>
      <c r="D1757" s="31">
        <f t="shared" si="64"/>
        <v>0.19181316504691448</v>
      </c>
      <c r="F1757" s="2" t="s">
        <v>822</v>
      </c>
      <c r="G1757" s="23" t="s">
        <v>902</v>
      </c>
      <c r="H1757" s="2" t="s">
        <v>822</v>
      </c>
      <c r="J1757" s="31">
        <v>34.055999800000002</v>
      </c>
      <c r="K1757" s="31">
        <v>-25.860000599999999</v>
      </c>
      <c r="L1757" s="31"/>
      <c r="M1757" s="31" t="s">
        <v>854</v>
      </c>
      <c r="N1757" s="6" t="s">
        <v>856</v>
      </c>
    </row>
    <row r="1758" spans="1:14" ht="15" customHeight="1" x14ac:dyDescent="0.2">
      <c r="A1758" s="31">
        <v>0.97854258113767212</v>
      </c>
      <c r="B1758" s="31"/>
      <c r="C1758" s="2" t="s">
        <v>855</v>
      </c>
      <c r="D1758" s="31">
        <f t="shared" si="64"/>
        <v>0.19179434590298375</v>
      </c>
      <c r="F1758" s="2" t="s">
        <v>822</v>
      </c>
      <c r="G1758" s="23" t="s">
        <v>902</v>
      </c>
      <c r="H1758" s="2" t="s">
        <v>822</v>
      </c>
      <c r="J1758" s="31">
        <v>46.447898899999998</v>
      </c>
      <c r="K1758" s="31">
        <v>-11.3515997</v>
      </c>
      <c r="L1758" s="31"/>
      <c r="M1758" s="31" t="s">
        <v>854</v>
      </c>
      <c r="N1758" s="6" t="s">
        <v>856</v>
      </c>
    </row>
    <row r="1759" spans="1:14" ht="15" customHeight="1" x14ac:dyDescent="0.2">
      <c r="A1759" s="31">
        <v>0.97822841573916752</v>
      </c>
      <c r="B1759" s="31"/>
      <c r="C1759" s="2" t="s">
        <v>855</v>
      </c>
      <c r="D1759" s="31">
        <f t="shared" si="64"/>
        <v>0.19173276948487683</v>
      </c>
      <c r="F1759" s="2" t="s">
        <v>822</v>
      </c>
      <c r="G1759" s="23" t="s">
        <v>902</v>
      </c>
      <c r="H1759" s="2" t="s">
        <v>822</v>
      </c>
      <c r="J1759" s="31">
        <v>44.076000200000003</v>
      </c>
      <c r="K1759" s="31">
        <v>-15.8400002</v>
      </c>
      <c r="L1759" s="31"/>
      <c r="M1759" s="31" t="s">
        <v>854</v>
      </c>
      <c r="N1759" s="6" t="s">
        <v>856</v>
      </c>
    </row>
    <row r="1760" spans="1:14" ht="15" customHeight="1" x14ac:dyDescent="0.2">
      <c r="A1760" s="31">
        <v>0.97821627488766871</v>
      </c>
      <c r="B1760" s="31"/>
      <c r="C1760" s="2" t="s">
        <v>855</v>
      </c>
      <c r="D1760" s="31">
        <f t="shared" si="64"/>
        <v>0.19173038987798308</v>
      </c>
      <c r="F1760" s="2" t="s">
        <v>822</v>
      </c>
      <c r="G1760" s="23" t="s">
        <v>902</v>
      </c>
      <c r="H1760" s="2" t="s">
        <v>822</v>
      </c>
      <c r="J1760" s="31">
        <v>42.071998600000001</v>
      </c>
      <c r="K1760" s="31">
        <v>-14.5039997</v>
      </c>
      <c r="L1760" s="31"/>
      <c r="M1760" s="31" t="s">
        <v>854</v>
      </c>
      <c r="N1760" s="6" t="s">
        <v>856</v>
      </c>
    </row>
    <row r="1761" spans="1:14" ht="15" customHeight="1" x14ac:dyDescent="0.2">
      <c r="A1761" s="31">
        <v>0.97797534284624676</v>
      </c>
      <c r="B1761" s="31"/>
      <c r="C1761" s="2" t="s">
        <v>855</v>
      </c>
      <c r="D1761" s="31">
        <f t="shared" si="64"/>
        <v>0.19168316719786438</v>
      </c>
      <c r="F1761" s="2" t="s">
        <v>822</v>
      </c>
      <c r="G1761" s="23" t="s">
        <v>902</v>
      </c>
      <c r="H1761" s="2" t="s">
        <v>822</v>
      </c>
      <c r="J1761" s="31">
        <v>41.069999699999997</v>
      </c>
      <c r="K1761" s="31">
        <v>-23.856300399999999</v>
      </c>
      <c r="L1761" s="31"/>
      <c r="M1761" s="31" t="s">
        <v>854</v>
      </c>
      <c r="N1761" s="6" t="s">
        <v>856</v>
      </c>
    </row>
    <row r="1762" spans="1:14" ht="15" customHeight="1" x14ac:dyDescent="0.2">
      <c r="A1762" s="31">
        <v>0.97788760051212487</v>
      </c>
      <c r="B1762" s="31"/>
      <c r="C1762" s="2" t="s">
        <v>855</v>
      </c>
      <c r="D1762" s="31">
        <f t="shared" si="64"/>
        <v>0.19166596970037647</v>
      </c>
      <c r="F1762" s="2" t="s">
        <v>822</v>
      </c>
      <c r="G1762" s="23" t="s">
        <v>902</v>
      </c>
      <c r="H1762" s="2" t="s">
        <v>822</v>
      </c>
      <c r="J1762" s="31">
        <v>43.282501199999999</v>
      </c>
      <c r="K1762" s="31">
        <v>-12.3374004</v>
      </c>
      <c r="L1762" s="31"/>
      <c r="M1762" s="31" t="s">
        <v>854</v>
      </c>
      <c r="N1762" s="6" t="s">
        <v>856</v>
      </c>
    </row>
    <row r="1763" spans="1:14" ht="15" customHeight="1" x14ac:dyDescent="0.2">
      <c r="A1763" s="31">
        <v>0.97758622968634035</v>
      </c>
      <c r="B1763" s="31"/>
      <c r="C1763" s="2" t="s">
        <v>855</v>
      </c>
      <c r="D1763" s="31">
        <f t="shared" ref="D1763:D1794" si="65" xml:space="preserve"> A1763 * 0.196</f>
        <v>0.19160690101852271</v>
      </c>
      <c r="F1763" s="2" t="s">
        <v>822</v>
      </c>
      <c r="G1763" s="23" t="s">
        <v>902</v>
      </c>
      <c r="H1763" s="2" t="s">
        <v>822</v>
      </c>
      <c r="J1763" s="31">
        <v>54.5326004</v>
      </c>
      <c r="K1763" s="31">
        <v>16.3003006</v>
      </c>
      <c r="L1763" s="31"/>
      <c r="M1763" s="31" t="s">
        <v>854</v>
      </c>
      <c r="N1763" s="6" t="s">
        <v>856</v>
      </c>
    </row>
    <row r="1764" spans="1:14" ht="15" customHeight="1" x14ac:dyDescent="0.2">
      <c r="A1764" s="31">
        <v>0.97750235767376759</v>
      </c>
      <c r="B1764" s="31"/>
      <c r="C1764" s="2" t="s">
        <v>855</v>
      </c>
      <c r="D1764" s="31">
        <f t="shared" si="65"/>
        <v>0.19159046210405845</v>
      </c>
      <c r="F1764" s="2" t="s">
        <v>822</v>
      </c>
      <c r="G1764" s="23" t="s">
        <v>902</v>
      </c>
      <c r="H1764" s="2" t="s">
        <v>822</v>
      </c>
      <c r="J1764" s="31">
        <v>56.471198999999999</v>
      </c>
      <c r="K1764" s="31">
        <v>17.356800100000001</v>
      </c>
      <c r="L1764" s="31"/>
      <c r="M1764" s="31" t="s">
        <v>854</v>
      </c>
      <c r="N1764" s="6" t="s">
        <v>856</v>
      </c>
    </row>
    <row r="1765" spans="1:14" ht="15" customHeight="1" x14ac:dyDescent="0.2">
      <c r="A1765" s="31">
        <v>0.9773477119432662</v>
      </c>
      <c r="B1765" s="31"/>
      <c r="C1765" s="2" t="s">
        <v>855</v>
      </c>
      <c r="D1765" s="31">
        <f t="shared" si="65"/>
        <v>0.19156015154088019</v>
      </c>
      <c r="F1765" s="2" t="s">
        <v>822</v>
      </c>
      <c r="G1765" s="23" t="s">
        <v>902</v>
      </c>
      <c r="H1765" s="2" t="s">
        <v>822</v>
      </c>
      <c r="J1765" s="31">
        <v>25.405899000000002</v>
      </c>
      <c r="K1765" s="31">
        <v>55.395599400000002</v>
      </c>
      <c r="L1765" s="31"/>
      <c r="M1765" s="31" t="s">
        <v>854</v>
      </c>
      <c r="N1765" s="6" t="s">
        <v>856</v>
      </c>
    </row>
    <row r="1766" spans="1:14" ht="15" customHeight="1" x14ac:dyDescent="0.2">
      <c r="A1766" s="31">
        <v>0.97733242649432117</v>
      </c>
      <c r="B1766" s="31"/>
      <c r="C1766" s="2" t="s">
        <v>855</v>
      </c>
      <c r="D1766" s="31">
        <f t="shared" si="65"/>
        <v>0.19155715559288697</v>
      </c>
      <c r="F1766" s="2" t="s">
        <v>822</v>
      </c>
      <c r="G1766" s="23" t="s">
        <v>902</v>
      </c>
      <c r="H1766" s="2" t="s">
        <v>822</v>
      </c>
      <c r="J1766" s="31">
        <v>29.3799992</v>
      </c>
      <c r="K1766" s="31">
        <v>-21.851999299999999</v>
      </c>
      <c r="L1766" s="31"/>
      <c r="M1766" s="31" t="s">
        <v>854</v>
      </c>
      <c r="N1766" s="6" t="s">
        <v>856</v>
      </c>
    </row>
    <row r="1767" spans="1:14" ht="15" customHeight="1" x14ac:dyDescent="0.2">
      <c r="A1767" s="31">
        <v>0.9771257236438734</v>
      </c>
      <c r="B1767" s="31"/>
      <c r="C1767" s="2" t="s">
        <v>855</v>
      </c>
      <c r="D1767" s="31">
        <f t="shared" si="65"/>
        <v>0.1915166418341992</v>
      </c>
      <c r="F1767" s="2" t="s">
        <v>822</v>
      </c>
      <c r="G1767" s="23" t="s">
        <v>902</v>
      </c>
      <c r="H1767" s="2" t="s">
        <v>822</v>
      </c>
      <c r="J1767" s="31">
        <v>35.7433014</v>
      </c>
      <c r="K1767" s="31">
        <v>-40.268398300000001</v>
      </c>
      <c r="L1767" s="31"/>
      <c r="M1767" s="31" t="s">
        <v>854</v>
      </c>
      <c r="N1767" s="6" t="s">
        <v>856</v>
      </c>
    </row>
    <row r="1768" spans="1:14" ht="15" customHeight="1" x14ac:dyDescent="0.2">
      <c r="A1768" s="31">
        <v>0.97694997513585347</v>
      </c>
      <c r="B1768" s="31"/>
      <c r="C1768" s="2" t="s">
        <v>855</v>
      </c>
      <c r="D1768" s="31">
        <f t="shared" si="65"/>
        <v>0.19148219512662729</v>
      </c>
      <c r="F1768" s="2" t="s">
        <v>822</v>
      </c>
      <c r="G1768" s="23" t="s">
        <v>902</v>
      </c>
      <c r="H1768" s="2" t="s">
        <v>822</v>
      </c>
      <c r="J1768" s="31">
        <v>42.338100400000002</v>
      </c>
      <c r="K1768" s="31">
        <v>-11.8942003</v>
      </c>
      <c r="L1768" s="31"/>
      <c r="M1768" s="31" t="s">
        <v>854</v>
      </c>
      <c r="N1768" s="6" t="s">
        <v>856</v>
      </c>
    </row>
    <row r="1769" spans="1:14" ht="15" customHeight="1" x14ac:dyDescent="0.2">
      <c r="A1769" s="31">
        <v>0.97656429596229533</v>
      </c>
      <c r="B1769" s="31"/>
      <c r="C1769" s="2" t="s">
        <v>855</v>
      </c>
      <c r="D1769" s="31">
        <f t="shared" si="65"/>
        <v>0.1914066020086099</v>
      </c>
      <c r="F1769" s="2" t="s">
        <v>822</v>
      </c>
      <c r="G1769" s="23" t="s">
        <v>902</v>
      </c>
      <c r="H1769" s="2" t="s">
        <v>822</v>
      </c>
      <c r="J1769" s="31">
        <v>42.529598200000002</v>
      </c>
      <c r="K1769" s="31">
        <v>6.7628398000000001</v>
      </c>
      <c r="L1769" s="31"/>
      <c r="M1769" s="31" t="s">
        <v>854</v>
      </c>
      <c r="N1769" s="6" t="s">
        <v>856</v>
      </c>
    </row>
    <row r="1770" spans="1:14" ht="15" customHeight="1" x14ac:dyDescent="0.2">
      <c r="A1770" s="31">
        <v>0.97566661369318464</v>
      </c>
      <c r="B1770" s="31"/>
      <c r="C1770" s="2" t="s">
        <v>855</v>
      </c>
      <c r="D1770" s="31">
        <f t="shared" si="65"/>
        <v>0.19123065628386421</v>
      </c>
      <c r="F1770" s="2" t="s">
        <v>822</v>
      </c>
      <c r="G1770" s="23" t="s">
        <v>902</v>
      </c>
      <c r="H1770" s="2" t="s">
        <v>822</v>
      </c>
      <c r="J1770" s="31">
        <v>28.8008995</v>
      </c>
      <c r="K1770" s="31">
        <v>-16.5538998</v>
      </c>
      <c r="L1770" s="31"/>
      <c r="M1770" s="31" t="s">
        <v>854</v>
      </c>
      <c r="N1770" s="6" t="s">
        <v>856</v>
      </c>
    </row>
    <row r="1771" spans="1:14" ht="15" customHeight="1" x14ac:dyDescent="0.2">
      <c r="A1771" s="31">
        <v>0.97540943385875067</v>
      </c>
      <c r="B1771" s="31"/>
      <c r="C1771" s="2" t="s">
        <v>855</v>
      </c>
      <c r="D1771" s="31">
        <f t="shared" si="65"/>
        <v>0.19118024903631514</v>
      </c>
      <c r="F1771" s="2" t="s">
        <v>822</v>
      </c>
      <c r="G1771" s="23" t="s">
        <v>902</v>
      </c>
      <c r="H1771" s="2" t="s">
        <v>822</v>
      </c>
      <c r="J1771" s="31">
        <v>41.411701200000003</v>
      </c>
      <c r="K1771" s="31">
        <v>-27.2021999</v>
      </c>
      <c r="L1771" s="31"/>
      <c r="M1771" s="31" t="s">
        <v>854</v>
      </c>
      <c r="N1771" s="6" t="s">
        <v>856</v>
      </c>
    </row>
    <row r="1772" spans="1:14" ht="15" customHeight="1" x14ac:dyDescent="0.2">
      <c r="A1772" s="31">
        <v>0.97521575646599024</v>
      </c>
      <c r="B1772" s="31"/>
      <c r="C1772" s="2" t="s">
        <v>855</v>
      </c>
      <c r="D1772" s="31">
        <f t="shared" si="65"/>
        <v>0.19114228826733409</v>
      </c>
      <c r="F1772" s="2" t="s">
        <v>822</v>
      </c>
      <c r="G1772" s="23" t="s">
        <v>902</v>
      </c>
      <c r="H1772" s="2" t="s">
        <v>822</v>
      </c>
      <c r="J1772" s="31">
        <v>40.0066986</v>
      </c>
      <c r="K1772" s="31">
        <v>18.7145996</v>
      </c>
      <c r="L1772" s="31"/>
      <c r="M1772" s="31" t="s">
        <v>854</v>
      </c>
      <c r="N1772" s="6" t="s">
        <v>856</v>
      </c>
    </row>
    <row r="1773" spans="1:14" ht="15" customHeight="1" x14ac:dyDescent="0.2">
      <c r="A1773" s="31">
        <v>0.97473107193354092</v>
      </c>
      <c r="B1773" s="31"/>
      <c r="C1773" s="2" t="s">
        <v>855</v>
      </c>
      <c r="D1773" s="31">
        <f t="shared" si="65"/>
        <v>0.19104729009897403</v>
      </c>
      <c r="F1773" s="2" t="s">
        <v>822</v>
      </c>
      <c r="G1773" s="23" t="s">
        <v>902</v>
      </c>
      <c r="H1773" s="2" t="s">
        <v>822</v>
      </c>
      <c r="J1773" s="31">
        <v>39.366100299999999</v>
      </c>
      <c r="K1773" s="31">
        <v>12.193499600000001</v>
      </c>
      <c r="L1773" s="31"/>
      <c r="M1773" s="31" t="s">
        <v>854</v>
      </c>
      <c r="N1773" s="6" t="s">
        <v>856</v>
      </c>
    </row>
    <row r="1774" spans="1:14" ht="15" customHeight="1" x14ac:dyDescent="0.2">
      <c r="A1774" s="31">
        <v>0.97466122400460353</v>
      </c>
      <c r="B1774" s="31"/>
      <c r="C1774" s="2" t="s">
        <v>855</v>
      </c>
      <c r="D1774" s="31">
        <f t="shared" si="65"/>
        <v>0.19103359990490229</v>
      </c>
      <c r="F1774" s="2" t="s">
        <v>822</v>
      </c>
      <c r="G1774" s="23" t="s">
        <v>902</v>
      </c>
      <c r="H1774" s="2" t="s">
        <v>822</v>
      </c>
      <c r="J1774" s="31">
        <v>41.7478981</v>
      </c>
      <c r="K1774" s="31">
        <v>-13.510199500000001</v>
      </c>
      <c r="L1774" s="31"/>
      <c r="M1774" s="31" t="s">
        <v>854</v>
      </c>
      <c r="N1774" s="6" t="s">
        <v>856</v>
      </c>
    </row>
    <row r="1775" spans="1:14" ht="15" customHeight="1" x14ac:dyDescent="0.2">
      <c r="A1775" s="31">
        <v>0.97464790027399517</v>
      </c>
      <c r="B1775" s="31"/>
      <c r="C1775" s="2" t="s">
        <v>855</v>
      </c>
      <c r="D1775" s="31">
        <f t="shared" si="65"/>
        <v>0.19103098845370306</v>
      </c>
      <c r="F1775" s="2" t="s">
        <v>822</v>
      </c>
      <c r="G1775" s="23" t="s">
        <v>902</v>
      </c>
      <c r="H1775" s="2" t="s">
        <v>822</v>
      </c>
      <c r="J1775" s="31">
        <v>34.723998999999999</v>
      </c>
      <c r="K1775" s="31">
        <v>-15.171999899999999</v>
      </c>
      <c r="L1775" s="31"/>
      <c r="M1775" s="31" t="s">
        <v>854</v>
      </c>
      <c r="N1775" s="6" t="s">
        <v>856</v>
      </c>
    </row>
    <row r="1776" spans="1:14" ht="15" customHeight="1" x14ac:dyDescent="0.2">
      <c r="A1776" s="31">
        <v>0.97451276665038777</v>
      </c>
      <c r="B1776" s="31"/>
      <c r="C1776" s="2" t="s">
        <v>855</v>
      </c>
      <c r="D1776" s="31">
        <f t="shared" si="65"/>
        <v>0.19100450226347601</v>
      </c>
      <c r="F1776" s="2" t="s">
        <v>822</v>
      </c>
      <c r="G1776" s="23" t="s">
        <v>902</v>
      </c>
      <c r="H1776" s="2" t="s">
        <v>822</v>
      </c>
      <c r="J1776" s="31">
        <v>54.588001300000002</v>
      </c>
      <c r="K1776" s="31">
        <v>19.174400299999999</v>
      </c>
      <c r="L1776" s="31"/>
      <c r="M1776" s="31" t="s">
        <v>854</v>
      </c>
      <c r="N1776" s="6" t="s">
        <v>856</v>
      </c>
    </row>
    <row r="1777" spans="1:14" ht="15" customHeight="1" x14ac:dyDescent="0.2">
      <c r="A1777" s="31">
        <v>0.97423752468064417</v>
      </c>
      <c r="B1777" s="31"/>
      <c r="C1777" s="2" t="s">
        <v>855</v>
      </c>
      <c r="D1777" s="31">
        <f t="shared" si="65"/>
        <v>0.19095055483740628</v>
      </c>
      <c r="F1777" s="2" t="s">
        <v>822</v>
      </c>
      <c r="G1777" s="23" t="s">
        <v>902</v>
      </c>
      <c r="H1777" s="2" t="s">
        <v>822</v>
      </c>
      <c r="J1777" s="31">
        <v>61.778801000000001</v>
      </c>
      <c r="K1777" s="31">
        <v>19.230400100000001</v>
      </c>
      <c r="L1777" s="31"/>
      <c r="M1777" s="31" t="s">
        <v>854</v>
      </c>
      <c r="N1777" s="6" t="s">
        <v>856</v>
      </c>
    </row>
    <row r="1778" spans="1:14" ht="15" customHeight="1" x14ac:dyDescent="0.2">
      <c r="A1778" s="31">
        <v>0.97409587032013489</v>
      </c>
      <c r="B1778" s="31"/>
      <c r="C1778" s="2" t="s">
        <v>855</v>
      </c>
      <c r="D1778" s="31">
        <f t="shared" si="65"/>
        <v>0.19092279058274644</v>
      </c>
      <c r="F1778" s="2" t="s">
        <v>822</v>
      </c>
      <c r="G1778" s="23" t="s">
        <v>902</v>
      </c>
      <c r="H1778" s="2" t="s">
        <v>822</v>
      </c>
      <c r="J1778" s="31">
        <v>31.415399600000001</v>
      </c>
      <c r="K1778" s="31">
        <v>-12.5007</v>
      </c>
      <c r="L1778" s="31"/>
      <c r="M1778" s="31" t="s">
        <v>854</v>
      </c>
      <c r="N1778" s="6" t="s">
        <v>856</v>
      </c>
    </row>
    <row r="1779" spans="1:14" ht="15" customHeight="1" x14ac:dyDescent="0.2">
      <c r="A1779" s="31">
        <v>0.9740501644328794</v>
      </c>
      <c r="B1779" s="31"/>
      <c r="C1779" s="2" t="s">
        <v>855</v>
      </c>
      <c r="D1779" s="31">
        <f t="shared" si="65"/>
        <v>0.19091383222884437</v>
      </c>
      <c r="F1779" s="2" t="s">
        <v>822</v>
      </c>
      <c r="G1779" s="23" t="s">
        <v>902</v>
      </c>
      <c r="H1779" s="2" t="s">
        <v>822</v>
      </c>
      <c r="J1779" s="31">
        <v>40.157798800000002</v>
      </c>
      <c r="K1779" s="31">
        <v>4.3411498000000002</v>
      </c>
      <c r="L1779" s="31"/>
      <c r="M1779" s="31" t="s">
        <v>854</v>
      </c>
      <c r="N1779" s="6" t="s">
        <v>856</v>
      </c>
    </row>
    <row r="1780" spans="1:14" ht="15" customHeight="1" x14ac:dyDescent="0.2">
      <c r="A1780" s="31">
        <v>0.97385499826593647</v>
      </c>
      <c r="B1780" s="31"/>
      <c r="C1780" s="2" t="s">
        <v>855</v>
      </c>
      <c r="D1780" s="31">
        <f t="shared" si="65"/>
        <v>0.19087557966012356</v>
      </c>
      <c r="F1780" s="2" t="s">
        <v>822</v>
      </c>
      <c r="G1780" s="23" t="s">
        <v>902</v>
      </c>
      <c r="H1780" s="2" t="s">
        <v>822</v>
      </c>
      <c r="J1780" s="31">
        <v>43.096698799999999</v>
      </c>
      <c r="K1780" s="31">
        <v>-16.041999799999999</v>
      </c>
      <c r="L1780" s="31"/>
      <c r="M1780" s="31" t="s">
        <v>854</v>
      </c>
      <c r="N1780" s="6" t="s">
        <v>856</v>
      </c>
    </row>
    <row r="1781" spans="1:14" ht="15" customHeight="1" x14ac:dyDescent="0.2">
      <c r="A1781" s="31">
        <v>0.97349908611798996</v>
      </c>
      <c r="B1781" s="31"/>
      <c r="C1781" s="2" t="s">
        <v>855</v>
      </c>
      <c r="D1781" s="31">
        <f t="shared" si="65"/>
        <v>0.19080582087912604</v>
      </c>
      <c r="F1781" s="2" t="s">
        <v>822</v>
      </c>
      <c r="G1781" s="23" t="s">
        <v>902</v>
      </c>
      <c r="H1781" s="2" t="s">
        <v>822</v>
      </c>
      <c r="J1781" s="31">
        <v>46.589298200000002</v>
      </c>
      <c r="K1781" s="31">
        <v>-5.6255797999999997</v>
      </c>
      <c r="L1781" s="31"/>
      <c r="M1781" s="31" t="s">
        <v>854</v>
      </c>
      <c r="N1781" s="6" t="s">
        <v>856</v>
      </c>
    </row>
    <row r="1782" spans="1:14" ht="15" customHeight="1" x14ac:dyDescent="0.2">
      <c r="A1782" s="31">
        <v>0.97336690265920622</v>
      </c>
      <c r="B1782" s="31"/>
      <c r="C1782" s="2" t="s">
        <v>855</v>
      </c>
      <c r="D1782" s="31">
        <f t="shared" si="65"/>
        <v>0.19077991292120441</v>
      </c>
      <c r="F1782" s="2" t="s">
        <v>822</v>
      </c>
      <c r="G1782" s="23" t="s">
        <v>902</v>
      </c>
      <c r="H1782" s="2" t="s">
        <v>822</v>
      </c>
      <c r="J1782" s="31">
        <v>30.955099100000002</v>
      </c>
      <c r="K1782" s="31">
        <v>-37.262401599999997</v>
      </c>
      <c r="L1782" s="31"/>
      <c r="M1782" s="31" t="s">
        <v>854</v>
      </c>
      <c r="N1782" s="6" t="s">
        <v>856</v>
      </c>
    </row>
    <row r="1783" spans="1:14" ht="15" customHeight="1" x14ac:dyDescent="0.2">
      <c r="A1783" s="31">
        <v>0.97331100861996644</v>
      </c>
      <c r="B1783" s="31"/>
      <c r="C1783" s="2" t="s">
        <v>855</v>
      </c>
      <c r="D1783" s="31">
        <f t="shared" si="65"/>
        <v>0.19076895768951344</v>
      </c>
      <c r="F1783" s="2" t="s">
        <v>822</v>
      </c>
      <c r="G1783" s="23" t="s">
        <v>902</v>
      </c>
      <c r="H1783" s="2" t="s">
        <v>822</v>
      </c>
      <c r="J1783" s="31">
        <v>36.544700599999999</v>
      </c>
      <c r="K1783" s="31">
        <v>0.16647999999999999</v>
      </c>
      <c r="L1783" s="31"/>
      <c r="M1783" s="31" t="s">
        <v>854</v>
      </c>
      <c r="N1783" s="6" t="s">
        <v>856</v>
      </c>
    </row>
    <row r="1784" spans="1:14" ht="15" customHeight="1" x14ac:dyDescent="0.2">
      <c r="A1784" s="31">
        <v>0.9730861316017172</v>
      </c>
      <c r="B1784" s="31"/>
      <c r="C1784" s="2" t="s">
        <v>855</v>
      </c>
      <c r="D1784" s="31">
        <f t="shared" si="65"/>
        <v>0.19072488179393657</v>
      </c>
      <c r="F1784" s="2" t="s">
        <v>822</v>
      </c>
      <c r="G1784" s="23" t="s">
        <v>902</v>
      </c>
      <c r="H1784" s="2" t="s">
        <v>822</v>
      </c>
      <c r="J1784" s="31">
        <v>57.3014984</v>
      </c>
      <c r="K1784" s="31">
        <v>21.235799799999999</v>
      </c>
      <c r="L1784" s="31"/>
      <c r="M1784" s="31" t="s">
        <v>854</v>
      </c>
      <c r="N1784" s="6" t="s">
        <v>856</v>
      </c>
    </row>
    <row r="1785" spans="1:14" ht="15" customHeight="1" x14ac:dyDescent="0.2">
      <c r="A1785" s="31">
        <v>0.97304492934409714</v>
      </c>
      <c r="B1785" s="31"/>
      <c r="C1785" s="2" t="s">
        <v>855</v>
      </c>
      <c r="D1785" s="31">
        <f t="shared" si="65"/>
        <v>0.19071680615144304</v>
      </c>
      <c r="F1785" s="2" t="s">
        <v>822</v>
      </c>
      <c r="G1785" s="23" t="s">
        <v>902</v>
      </c>
      <c r="H1785" s="2" t="s">
        <v>822</v>
      </c>
      <c r="J1785" s="31">
        <v>43.599201200000003</v>
      </c>
      <c r="K1785" s="31">
        <v>-41.001098599999999</v>
      </c>
      <c r="L1785" s="31"/>
      <c r="M1785" s="31" t="s">
        <v>854</v>
      </c>
      <c r="N1785" s="6" t="s">
        <v>856</v>
      </c>
    </row>
    <row r="1786" spans="1:14" ht="15" customHeight="1" x14ac:dyDescent="0.2">
      <c r="A1786" s="31">
        <v>0.97285640140177698</v>
      </c>
      <c r="B1786" s="31"/>
      <c r="C1786" s="2" t="s">
        <v>855</v>
      </c>
      <c r="D1786" s="31">
        <f t="shared" si="65"/>
        <v>0.19067985467474829</v>
      </c>
      <c r="F1786" s="2" t="s">
        <v>822</v>
      </c>
      <c r="G1786" s="23" t="s">
        <v>902</v>
      </c>
      <c r="H1786" s="2" t="s">
        <v>822</v>
      </c>
      <c r="J1786" s="31">
        <v>32.2057991</v>
      </c>
      <c r="K1786" s="31">
        <v>23.948799099999999</v>
      </c>
      <c r="L1786" s="31"/>
      <c r="M1786" s="31" t="s">
        <v>854</v>
      </c>
      <c r="N1786" s="6" t="s">
        <v>856</v>
      </c>
    </row>
    <row r="1787" spans="1:14" ht="15" customHeight="1" x14ac:dyDescent="0.2">
      <c r="A1787" s="31">
        <v>0.97217554406137163</v>
      </c>
      <c r="B1787" s="31"/>
      <c r="C1787" s="2" t="s">
        <v>855</v>
      </c>
      <c r="D1787" s="31">
        <f t="shared" si="65"/>
        <v>0.19054640663602884</v>
      </c>
      <c r="F1787" s="2" t="s">
        <v>822</v>
      </c>
      <c r="G1787" s="23" t="s">
        <v>902</v>
      </c>
      <c r="H1787" s="2" t="s">
        <v>822</v>
      </c>
      <c r="J1787" s="31">
        <v>58.476501499999998</v>
      </c>
      <c r="K1787" s="31">
        <v>19.267099399999999</v>
      </c>
      <c r="L1787" s="31"/>
      <c r="M1787" s="31" t="s">
        <v>854</v>
      </c>
      <c r="N1787" s="6" t="s">
        <v>856</v>
      </c>
    </row>
    <row r="1788" spans="1:14" ht="15" customHeight="1" x14ac:dyDescent="0.2">
      <c r="A1788" s="31">
        <v>0.97200785498702247</v>
      </c>
      <c r="B1788" s="31"/>
      <c r="C1788" s="2" t="s">
        <v>855</v>
      </c>
      <c r="D1788" s="31">
        <f t="shared" si="65"/>
        <v>0.1905135395774564</v>
      </c>
      <c r="F1788" s="2" t="s">
        <v>822</v>
      </c>
      <c r="G1788" s="23" t="s">
        <v>902</v>
      </c>
      <c r="H1788" s="2" t="s">
        <v>822</v>
      </c>
      <c r="J1788" s="31">
        <v>39.1465988</v>
      </c>
      <c r="K1788" s="31">
        <v>9.2238302000000001</v>
      </c>
      <c r="L1788" s="31"/>
      <c r="M1788" s="31" t="s">
        <v>854</v>
      </c>
      <c r="N1788" s="6" t="s">
        <v>856</v>
      </c>
    </row>
    <row r="1789" spans="1:14" ht="15" customHeight="1" x14ac:dyDescent="0.2">
      <c r="A1789" s="31">
        <v>0.97188591630968701</v>
      </c>
      <c r="B1789" s="31"/>
      <c r="C1789" s="2" t="s">
        <v>855</v>
      </c>
      <c r="D1789" s="31">
        <f t="shared" si="65"/>
        <v>0.19048963959669865</v>
      </c>
      <c r="F1789" s="2" t="s">
        <v>822</v>
      </c>
      <c r="G1789" s="23" t="s">
        <v>902</v>
      </c>
      <c r="H1789" s="2" t="s">
        <v>822</v>
      </c>
      <c r="J1789" s="31">
        <v>43.5154991</v>
      </c>
      <c r="K1789" s="31">
        <v>-13.1520004</v>
      </c>
      <c r="L1789" s="31"/>
      <c r="M1789" s="31" t="s">
        <v>854</v>
      </c>
      <c r="N1789" s="6" t="s">
        <v>856</v>
      </c>
    </row>
    <row r="1790" spans="1:14" ht="15" customHeight="1" x14ac:dyDescent="0.2">
      <c r="A1790" s="31">
        <v>0.97183942122988509</v>
      </c>
      <c r="B1790" s="31"/>
      <c r="C1790" s="2" t="s">
        <v>855</v>
      </c>
      <c r="D1790" s="31">
        <f t="shared" si="65"/>
        <v>0.19048052656105749</v>
      </c>
      <c r="F1790" s="2" t="s">
        <v>822</v>
      </c>
      <c r="G1790" s="23" t="s">
        <v>902</v>
      </c>
      <c r="H1790" s="2" t="s">
        <v>822</v>
      </c>
      <c r="J1790" s="31">
        <v>35.2450981</v>
      </c>
      <c r="K1790" s="31">
        <v>-19.699800499999998</v>
      </c>
      <c r="L1790" s="31"/>
      <c r="M1790" s="31" t="s">
        <v>854</v>
      </c>
      <c r="N1790" s="6" t="s">
        <v>856</v>
      </c>
    </row>
    <row r="1791" spans="1:14" ht="15" customHeight="1" x14ac:dyDescent="0.2">
      <c r="A1791" s="31">
        <v>0.9718369843290845</v>
      </c>
      <c r="B1791" s="31"/>
      <c r="C1791" s="2" t="s">
        <v>855</v>
      </c>
      <c r="D1791" s="31">
        <f t="shared" si="65"/>
        <v>0.19048004892850057</v>
      </c>
      <c r="F1791" s="2" t="s">
        <v>822</v>
      </c>
      <c r="G1791" s="23" t="s">
        <v>902</v>
      </c>
      <c r="H1791" s="2" t="s">
        <v>822</v>
      </c>
      <c r="J1791" s="31">
        <v>56.166099500000001</v>
      </c>
      <c r="K1791" s="31">
        <v>17.666900600000002</v>
      </c>
      <c r="L1791" s="31"/>
      <c r="M1791" s="31" t="s">
        <v>854</v>
      </c>
      <c r="N1791" s="6" t="s">
        <v>856</v>
      </c>
    </row>
    <row r="1792" spans="1:14" ht="15" customHeight="1" x14ac:dyDescent="0.2">
      <c r="A1792" s="31">
        <v>0.97167399237845009</v>
      </c>
      <c r="B1792" s="31"/>
      <c r="C1792" s="2" t="s">
        <v>855</v>
      </c>
      <c r="D1792" s="31">
        <f t="shared" si="65"/>
        <v>0.19044810250617622</v>
      </c>
      <c r="F1792" s="2" t="s">
        <v>822</v>
      </c>
      <c r="G1792" s="23" t="s">
        <v>902</v>
      </c>
      <c r="H1792" s="2" t="s">
        <v>822</v>
      </c>
      <c r="J1792" s="31">
        <v>53.8307991</v>
      </c>
      <c r="K1792" s="31">
        <v>-6.0632400999999998</v>
      </c>
      <c r="L1792" s="31"/>
      <c r="M1792" s="31" t="s">
        <v>854</v>
      </c>
      <c r="N1792" s="6" t="s">
        <v>856</v>
      </c>
    </row>
    <row r="1793" spans="1:14" ht="15" customHeight="1" x14ac:dyDescent="0.2">
      <c r="A1793" s="31">
        <v>0.97141812805059502</v>
      </c>
      <c r="B1793" s="31"/>
      <c r="C1793" s="2" t="s">
        <v>855</v>
      </c>
      <c r="D1793" s="31">
        <f t="shared" si="65"/>
        <v>0.19039795309791663</v>
      </c>
      <c r="F1793" s="2" t="s">
        <v>822</v>
      </c>
      <c r="G1793" s="23" t="s">
        <v>902</v>
      </c>
      <c r="H1793" s="2" t="s">
        <v>822</v>
      </c>
      <c r="J1793" s="31">
        <v>39.400001500000002</v>
      </c>
      <c r="K1793" s="31">
        <v>-39.888000499999997</v>
      </c>
      <c r="L1793" s="31"/>
      <c r="M1793" s="31" t="s">
        <v>854</v>
      </c>
      <c r="N1793" s="6" t="s">
        <v>856</v>
      </c>
    </row>
    <row r="1794" spans="1:14" ht="15" customHeight="1" x14ac:dyDescent="0.2">
      <c r="A1794" s="31">
        <v>0.97132612007304941</v>
      </c>
      <c r="B1794" s="31"/>
      <c r="C1794" s="2" t="s">
        <v>855</v>
      </c>
      <c r="D1794" s="31">
        <f t="shared" si="65"/>
        <v>0.19037991953431768</v>
      </c>
      <c r="F1794" s="2" t="s">
        <v>822</v>
      </c>
      <c r="G1794" s="23" t="s">
        <v>902</v>
      </c>
      <c r="H1794" s="2" t="s">
        <v>822</v>
      </c>
      <c r="J1794" s="31">
        <v>32.051998099999999</v>
      </c>
      <c r="K1794" s="31">
        <v>-19.1800003</v>
      </c>
      <c r="L1794" s="31"/>
      <c r="M1794" s="31" t="s">
        <v>854</v>
      </c>
      <c r="N1794" s="6" t="s">
        <v>856</v>
      </c>
    </row>
    <row r="1795" spans="1:14" ht="15" customHeight="1" x14ac:dyDescent="0.2">
      <c r="A1795" s="31">
        <v>0.97111721133840601</v>
      </c>
      <c r="B1795" s="31"/>
      <c r="C1795" s="2" t="s">
        <v>855</v>
      </c>
      <c r="D1795" s="31">
        <f t="shared" ref="D1795:D1826" si="66" xml:space="preserve"> A1795 * 0.196</f>
        <v>0.19033897342232758</v>
      </c>
      <c r="F1795" s="2" t="s">
        <v>822</v>
      </c>
      <c r="G1795" s="23" t="s">
        <v>902</v>
      </c>
      <c r="H1795" s="2" t="s">
        <v>822</v>
      </c>
      <c r="J1795" s="31">
        <v>36.243000000000002</v>
      </c>
      <c r="K1795" s="31">
        <v>30.445900000000002</v>
      </c>
      <c r="L1795" s="31"/>
      <c r="M1795" s="31" t="s">
        <v>854</v>
      </c>
      <c r="N1795" s="6" t="s">
        <v>856</v>
      </c>
    </row>
    <row r="1796" spans="1:14" ht="15" customHeight="1" x14ac:dyDescent="0.2">
      <c r="A1796" s="31">
        <v>0.97110784223614766</v>
      </c>
      <c r="B1796" s="31"/>
      <c r="C1796" s="2" t="s">
        <v>855</v>
      </c>
      <c r="D1796" s="31">
        <f t="shared" si="66"/>
        <v>0.19033713707828495</v>
      </c>
      <c r="F1796" s="2" t="s">
        <v>822</v>
      </c>
      <c r="G1796" s="23" t="s">
        <v>902</v>
      </c>
      <c r="H1796" s="2" t="s">
        <v>822</v>
      </c>
      <c r="J1796" s="31">
        <v>42.020500200000001</v>
      </c>
      <c r="K1796" s="31">
        <v>-19.048599200000002</v>
      </c>
      <c r="L1796" s="31"/>
      <c r="M1796" s="31" t="s">
        <v>854</v>
      </c>
      <c r="N1796" s="6" t="s">
        <v>856</v>
      </c>
    </row>
    <row r="1797" spans="1:14" ht="15" customHeight="1" x14ac:dyDescent="0.2">
      <c r="A1797" s="31">
        <v>0.97093152323916287</v>
      </c>
      <c r="B1797" s="31"/>
      <c r="C1797" s="2" t="s">
        <v>855</v>
      </c>
      <c r="D1797" s="31">
        <f t="shared" si="66"/>
        <v>0.19030257855487592</v>
      </c>
      <c r="F1797" s="2" t="s">
        <v>822</v>
      </c>
      <c r="G1797" s="23" t="s">
        <v>902</v>
      </c>
      <c r="H1797" s="2" t="s">
        <v>822</v>
      </c>
      <c r="J1797" s="31">
        <v>37.392398800000002</v>
      </c>
      <c r="K1797" s="31">
        <v>-18.508899700000001</v>
      </c>
      <c r="L1797" s="31"/>
      <c r="M1797" s="31" t="s">
        <v>854</v>
      </c>
      <c r="N1797" s="6" t="s">
        <v>856</v>
      </c>
    </row>
    <row r="1798" spans="1:14" ht="15" customHeight="1" x14ac:dyDescent="0.2">
      <c r="A1798" s="31">
        <v>0.97055940014169795</v>
      </c>
      <c r="B1798" s="31"/>
      <c r="C1798" s="2" t="s">
        <v>855</v>
      </c>
      <c r="D1798" s="31">
        <f t="shared" si="66"/>
        <v>0.19022964242777279</v>
      </c>
      <c r="F1798" s="2" t="s">
        <v>822</v>
      </c>
      <c r="G1798" s="23" t="s">
        <v>902</v>
      </c>
      <c r="H1798" s="2" t="s">
        <v>822</v>
      </c>
      <c r="J1798" s="31">
        <v>26.040000899999999</v>
      </c>
      <c r="K1798" s="31">
        <v>-28.531999599999999</v>
      </c>
      <c r="L1798" s="31"/>
      <c r="M1798" s="31" t="s">
        <v>854</v>
      </c>
      <c r="N1798" s="6" t="s">
        <v>856</v>
      </c>
    </row>
    <row r="1799" spans="1:14" ht="15" customHeight="1" x14ac:dyDescent="0.2">
      <c r="A1799" s="31">
        <v>0.97039169689400395</v>
      </c>
      <c r="B1799" s="31"/>
      <c r="C1799" s="2" t="s">
        <v>855</v>
      </c>
      <c r="D1799" s="31">
        <f t="shared" si="66"/>
        <v>0.19019677259122478</v>
      </c>
      <c r="F1799" s="2" t="s">
        <v>822</v>
      </c>
      <c r="G1799" s="23" t="s">
        <v>902</v>
      </c>
      <c r="H1799" s="2" t="s">
        <v>822</v>
      </c>
      <c r="J1799" s="31">
        <v>26.040000899999999</v>
      </c>
      <c r="K1799" s="31">
        <v>-40.555999800000002</v>
      </c>
      <c r="L1799" s="31"/>
      <c r="M1799" s="31" t="s">
        <v>854</v>
      </c>
      <c r="N1799" s="6" t="s">
        <v>856</v>
      </c>
    </row>
    <row r="1800" spans="1:14" ht="15" customHeight="1" x14ac:dyDescent="0.2">
      <c r="A1800" s="31">
        <v>0.97010346424140526</v>
      </c>
      <c r="B1800" s="31"/>
      <c r="C1800" s="2" t="s">
        <v>855</v>
      </c>
      <c r="D1800" s="31">
        <f t="shared" si="66"/>
        <v>0.19014027899131544</v>
      </c>
      <c r="F1800" s="2" t="s">
        <v>822</v>
      </c>
      <c r="G1800" s="23" t="s">
        <v>902</v>
      </c>
      <c r="H1800" s="2" t="s">
        <v>822</v>
      </c>
      <c r="J1800" s="31">
        <v>25.3719997</v>
      </c>
      <c r="K1800" s="31">
        <v>-34.543998700000003</v>
      </c>
      <c r="L1800" s="31"/>
      <c r="M1800" s="31" t="s">
        <v>854</v>
      </c>
      <c r="N1800" s="6" t="s">
        <v>856</v>
      </c>
    </row>
    <row r="1801" spans="1:14" ht="15" customHeight="1" x14ac:dyDescent="0.2">
      <c r="A1801" s="31">
        <v>0.9697282144568361</v>
      </c>
      <c r="B1801" s="31"/>
      <c r="C1801" s="2" t="s">
        <v>855</v>
      </c>
      <c r="D1801" s="31">
        <f t="shared" si="66"/>
        <v>0.19006673003353988</v>
      </c>
      <c r="F1801" s="2" t="s">
        <v>822</v>
      </c>
      <c r="G1801" s="23" t="s">
        <v>902</v>
      </c>
      <c r="H1801" s="2" t="s">
        <v>822</v>
      </c>
      <c r="J1801" s="31">
        <v>41.830299400000001</v>
      </c>
      <c r="K1801" s="31">
        <v>-27.114099499999998</v>
      </c>
      <c r="L1801" s="31"/>
      <c r="M1801" s="31" t="s">
        <v>854</v>
      </c>
      <c r="N1801" s="6" t="s">
        <v>856</v>
      </c>
    </row>
    <row r="1802" spans="1:14" ht="15" customHeight="1" x14ac:dyDescent="0.2">
      <c r="A1802" s="31">
        <v>0.9693812859777956</v>
      </c>
      <c r="B1802" s="31"/>
      <c r="C1802" s="2" t="s">
        <v>855</v>
      </c>
      <c r="D1802" s="31">
        <f t="shared" si="66"/>
        <v>0.18999873205164794</v>
      </c>
      <c r="F1802" s="2" t="s">
        <v>822</v>
      </c>
      <c r="G1802" s="23" t="s">
        <v>902</v>
      </c>
      <c r="H1802" s="2" t="s">
        <v>822</v>
      </c>
      <c r="J1802" s="31">
        <v>61.060699499999998</v>
      </c>
      <c r="K1802" s="31">
        <v>17.343599300000001</v>
      </c>
      <c r="L1802" s="31"/>
      <c r="M1802" s="31" t="s">
        <v>854</v>
      </c>
      <c r="N1802" s="6" t="s">
        <v>856</v>
      </c>
    </row>
    <row r="1803" spans="1:14" ht="15" customHeight="1" x14ac:dyDescent="0.2">
      <c r="A1803" s="31">
        <v>0.96881644363247876</v>
      </c>
      <c r="B1803" s="31"/>
      <c r="C1803" s="2" t="s">
        <v>855</v>
      </c>
      <c r="D1803" s="31">
        <f t="shared" si="66"/>
        <v>0.18988802295196586</v>
      </c>
      <c r="F1803" s="2" t="s">
        <v>822</v>
      </c>
      <c r="G1803" s="23" t="s">
        <v>902</v>
      </c>
      <c r="H1803" s="2" t="s">
        <v>822</v>
      </c>
      <c r="J1803" s="31">
        <v>26.708000200000001</v>
      </c>
      <c r="K1803" s="31">
        <v>-19.847999600000001</v>
      </c>
      <c r="L1803" s="31"/>
      <c r="M1803" s="31" t="s">
        <v>854</v>
      </c>
      <c r="N1803" s="6" t="s">
        <v>856</v>
      </c>
    </row>
    <row r="1804" spans="1:14" ht="15" customHeight="1" x14ac:dyDescent="0.2">
      <c r="A1804" s="31">
        <v>0.96866382880291069</v>
      </c>
      <c r="B1804" s="31"/>
      <c r="C1804" s="2" t="s">
        <v>855</v>
      </c>
      <c r="D1804" s="31">
        <f t="shared" si="66"/>
        <v>0.18985811044537051</v>
      </c>
      <c r="F1804" s="2" t="s">
        <v>822</v>
      </c>
      <c r="G1804" s="23" t="s">
        <v>902</v>
      </c>
      <c r="H1804" s="2" t="s">
        <v>822</v>
      </c>
      <c r="J1804" s="31">
        <v>35.061698900000003</v>
      </c>
      <c r="K1804" s="31">
        <v>24.7423</v>
      </c>
      <c r="L1804" s="31"/>
      <c r="M1804" s="31" t="s">
        <v>854</v>
      </c>
      <c r="N1804" s="6" t="s">
        <v>856</v>
      </c>
    </row>
    <row r="1805" spans="1:14" ht="15" customHeight="1" x14ac:dyDescent="0.2">
      <c r="A1805" s="31">
        <v>0.96857546305529296</v>
      </c>
      <c r="B1805" s="31"/>
      <c r="C1805" s="2" t="s">
        <v>855</v>
      </c>
      <c r="D1805" s="31">
        <f t="shared" si="66"/>
        <v>0.18984079075883742</v>
      </c>
      <c r="F1805" s="2" t="s">
        <v>822</v>
      </c>
      <c r="G1805" s="23" t="s">
        <v>902</v>
      </c>
      <c r="H1805" s="2" t="s">
        <v>822</v>
      </c>
      <c r="J1805" s="31">
        <v>33.388000499999997</v>
      </c>
      <c r="K1805" s="31">
        <v>-22.520000499999998</v>
      </c>
      <c r="L1805" s="31"/>
      <c r="M1805" s="31" t="s">
        <v>854</v>
      </c>
      <c r="N1805" s="6" t="s">
        <v>856</v>
      </c>
    </row>
    <row r="1806" spans="1:14" ht="15" customHeight="1" x14ac:dyDescent="0.2">
      <c r="A1806" s="31">
        <v>0.96854481427712114</v>
      </c>
      <c r="B1806" s="31"/>
      <c r="C1806" s="2" t="s">
        <v>855</v>
      </c>
      <c r="D1806" s="31">
        <f t="shared" si="66"/>
        <v>0.18983478359831574</v>
      </c>
      <c r="F1806" s="2" t="s">
        <v>822</v>
      </c>
      <c r="G1806" s="23" t="s">
        <v>902</v>
      </c>
      <c r="H1806" s="2" t="s">
        <v>822</v>
      </c>
      <c r="J1806" s="31">
        <v>42.405998199999999</v>
      </c>
      <c r="K1806" s="31">
        <v>-25.860000599999999</v>
      </c>
      <c r="L1806" s="31"/>
      <c r="M1806" s="31" t="s">
        <v>854</v>
      </c>
      <c r="N1806" s="6" t="s">
        <v>856</v>
      </c>
    </row>
    <row r="1807" spans="1:14" ht="15" customHeight="1" x14ac:dyDescent="0.2">
      <c r="A1807" s="31">
        <v>0.96847085934520971</v>
      </c>
      <c r="B1807" s="31"/>
      <c r="C1807" s="2" t="s">
        <v>855</v>
      </c>
      <c r="D1807" s="31">
        <f t="shared" si="66"/>
        <v>0.1898202884316611</v>
      </c>
      <c r="F1807" s="2" t="s">
        <v>822</v>
      </c>
      <c r="G1807" s="23" t="s">
        <v>902</v>
      </c>
      <c r="H1807" s="2" t="s">
        <v>822</v>
      </c>
      <c r="J1807" s="31">
        <v>55.334899900000003</v>
      </c>
      <c r="K1807" s="31">
        <v>-7.4001598</v>
      </c>
      <c r="L1807" s="31"/>
      <c r="M1807" s="31" t="s">
        <v>854</v>
      </c>
      <c r="N1807" s="6" t="s">
        <v>856</v>
      </c>
    </row>
    <row r="1808" spans="1:14" ht="15" customHeight="1" x14ac:dyDescent="0.2">
      <c r="A1808" s="31">
        <v>0.9683135193449206</v>
      </c>
      <c r="B1808" s="31"/>
      <c r="C1808" s="2" t="s">
        <v>855</v>
      </c>
      <c r="D1808" s="31">
        <f t="shared" si="66"/>
        <v>0.18978944979160445</v>
      </c>
      <c r="F1808" s="2" t="s">
        <v>822</v>
      </c>
      <c r="G1808" s="23" t="s">
        <v>902</v>
      </c>
      <c r="H1808" s="2" t="s">
        <v>822</v>
      </c>
      <c r="J1808" s="31">
        <v>32.134998299999999</v>
      </c>
      <c r="K1808" s="31">
        <v>20.082799900000001</v>
      </c>
      <c r="L1808" s="31"/>
      <c r="M1808" s="31" t="s">
        <v>854</v>
      </c>
      <c r="N1808" s="6" t="s">
        <v>856</v>
      </c>
    </row>
    <row r="1809" spans="1:14" ht="15" customHeight="1" x14ac:dyDescent="0.2">
      <c r="A1809" s="31">
        <v>0.96821917821533676</v>
      </c>
      <c r="B1809" s="31"/>
      <c r="C1809" s="2" t="s">
        <v>855</v>
      </c>
      <c r="D1809" s="31">
        <f t="shared" si="66"/>
        <v>0.18977095893020601</v>
      </c>
      <c r="F1809" s="2" t="s">
        <v>822</v>
      </c>
      <c r="G1809" s="23" t="s">
        <v>902</v>
      </c>
      <c r="H1809" s="2" t="s">
        <v>822</v>
      </c>
      <c r="J1809" s="31">
        <v>31.2057991</v>
      </c>
      <c r="K1809" s="31">
        <v>29.112699500000002</v>
      </c>
      <c r="L1809" s="31"/>
      <c r="M1809" s="31" t="s">
        <v>854</v>
      </c>
      <c r="N1809" s="6" t="s">
        <v>856</v>
      </c>
    </row>
    <row r="1810" spans="1:14" ht="15" customHeight="1" x14ac:dyDescent="0.2">
      <c r="A1810" s="31">
        <v>0.96817192192520674</v>
      </c>
      <c r="B1810" s="31"/>
      <c r="C1810" s="2" t="s">
        <v>855</v>
      </c>
      <c r="D1810" s="31">
        <f t="shared" si="66"/>
        <v>0.18976169669734053</v>
      </c>
      <c r="F1810" s="2" t="s">
        <v>822</v>
      </c>
      <c r="G1810" s="23" t="s">
        <v>902</v>
      </c>
      <c r="H1810" s="2" t="s">
        <v>822</v>
      </c>
      <c r="J1810" s="31">
        <v>36.966899900000001</v>
      </c>
      <c r="K1810" s="31">
        <v>8.2079401000000001</v>
      </c>
      <c r="L1810" s="31"/>
      <c r="M1810" s="31" t="s">
        <v>854</v>
      </c>
      <c r="N1810" s="6" t="s">
        <v>856</v>
      </c>
    </row>
    <row r="1811" spans="1:14" ht="15" customHeight="1" x14ac:dyDescent="0.2">
      <c r="A1811" s="31">
        <v>0.967970288695577</v>
      </c>
      <c r="B1811" s="31"/>
      <c r="C1811" s="2" t="s">
        <v>855</v>
      </c>
      <c r="D1811" s="31">
        <f t="shared" si="66"/>
        <v>0.1897221765843331</v>
      </c>
      <c r="F1811" s="2" t="s">
        <v>822</v>
      </c>
      <c r="G1811" s="23" t="s">
        <v>902</v>
      </c>
      <c r="H1811" s="2" t="s">
        <v>822</v>
      </c>
      <c r="J1811" s="31">
        <v>30.7159996</v>
      </c>
      <c r="K1811" s="31">
        <v>-18.511999100000001</v>
      </c>
      <c r="L1811" s="31"/>
      <c r="M1811" s="31" t="s">
        <v>854</v>
      </c>
      <c r="N1811" s="6" t="s">
        <v>856</v>
      </c>
    </row>
    <row r="1812" spans="1:14" ht="15" customHeight="1" x14ac:dyDescent="0.2">
      <c r="A1812" s="31">
        <v>0.96789817662414845</v>
      </c>
      <c r="B1812" s="31"/>
      <c r="C1812" s="2" t="s">
        <v>855</v>
      </c>
      <c r="D1812" s="31">
        <f t="shared" si="66"/>
        <v>0.1897080426183331</v>
      </c>
      <c r="F1812" s="2" t="s">
        <v>822</v>
      </c>
      <c r="G1812" s="23" t="s">
        <v>902</v>
      </c>
      <c r="H1812" s="2" t="s">
        <v>822</v>
      </c>
      <c r="J1812" s="31">
        <v>34.433799700000002</v>
      </c>
      <c r="K1812" s="31">
        <v>-32.976600599999998</v>
      </c>
      <c r="L1812" s="31"/>
      <c r="M1812" s="31" t="s">
        <v>854</v>
      </c>
      <c r="N1812" s="6" t="s">
        <v>856</v>
      </c>
    </row>
    <row r="1813" spans="1:14" ht="15" customHeight="1" x14ac:dyDescent="0.2">
      <c r="A1813" s="31">
        <v>0.96776196040077733</v>
      </c>
      <c r="B1813" s="31"/>
      <c r="C1813" s="2" t="s">
        <v>855</v>
      </c>
      <c r="D1813" s="31">
        <f t="shared" si="66"/>
        <v>0.18968134423855237</v>
      </c>
      <c r="F1813" s="2" t="s">
        <v>822</v>
      </c>
      <c r="G1813" s="23" t="s">
        <v>902</v>
      </c>
      <c r="H1813" s="2" t="s">
        <v>822</v>
      </c>
      <c r="J1813" s="31">
        <v>55.9734993</v>
      </c>
      <c r="K1813" s="31">
        <v>11.342499699999999</v>
      </c>
      <c r="L1813" s="31"/>
      <c r="M1813" s="31" t="s">
        <v>854</v>
      </c>
      <c r="N1813" s="6" t="s">
        <v>856</v>
      </c>
    </row>
    <row r="1814" spans="1:14" ht="15" customHeight="1" x14ac:dyDescent="0.2">
      <c r="A1814" s="31">
        <v>0.96766458471226335</v>
      </c>
      <c r="B1814" s="31"/>
      <c r="C1814" s="2" t="s">
        <v>855</v>
      </c>
      <c r="D1814" s="31">
        <f t="shared" si="66"/>
        <v>0.18966225860360361</v>
      </c>
      <c r="F1814" s="2" t="s">
        <v>822</v>
      </c>
      <c r="G1814" s="23" t="s">
        <v>902</v>
      </c>
      <c r="H1814" s="2" t="s">
        <v>822</v>
      </c>
      <c r="J1814" s="31">
        <v>43.304901100000002</v>
      </c>
      <c r="K1814" s="31">
        <v>-33.175399800000001</v>
      </c>
      <c r="L1814" s="31"/>
      <c r="M1814" s="31" t="s">
        <v>854</v>
      </c>
      <c r="N1814" s="6" t="s">
        <v>856</v>
      </c>
    </row>
    <row r="1815" spans="1:14" ht="15" customHeight="1" x14ac:dyDescent="0.2">
      <c r="A1815" s="31">
        <v>0.96758222002714145</v>
      </c>
      <c r="B1815" s="31"/>
      <c r="C1815" s="2" t="s">
        <v>855</v>
      </c>
      <c r="D1815" s="31">
        <f t="shared" si="66"/>
        <v>0.18964611512531973</v>
      </c>
      <c r="F1815" s="2" t="s">
        <v>822</v>
      </c>
      <c r="G1815" s="23" t="s">
        <v>902</v>
      </c>
      <c r="H1815" s="2" t="s">
        <v>822</v>
      </c>
      <c r="J1815" s="31">
        <v>35.9618988</v>
      </c>
      <c r="K1815" s="31">
        <v>28.861099200000002</v>
      </c>
      <c r="L1815" s="31"/>
      <c r="M1815" s="31" t="s">
        <v>854</v>
      </c>
      <c r="N1815" s="6" t="s">
        <v>856</v>
      </c>
    </row>
    <row r="1816" spans="1:14" ht="15" customHeight="1" x14ac:dyDescent="0.2">
      <c r="A1816" s="31">
        <v>0.96746217151422509</v>
      </c>
      <c r="B1816" s="31"/>
      <c r="C1816" s="2" t="s">
        <v>855</v>
      </c>
      <c r="D1816" s="31">
        <f t="shared" si="66"/>
        <v>0.18962258561678813</v>
      </c>
      <c r="F1816" s="2" t="s">
        <v>822</v>
      </c>
      <c r="G1816" s="23" t="s">
        <v>902</v>
      </c>
      <c r="H1816" s="2" t="s">
        <v>822</v>
      </c>
      <c r="J1816" s="31">
        <v>43.392299700000002</v>
      </c>
      <c r="K1816" s="31">
        <v>-21.1723003</v>
      </c>
      <c r="L1816" s="31"/>
      <c r="M1816" s="31" t="s">
        <v>854</v>
      </c>
      <c r="N1816" s="6" t="s">
        <v>856</v>
      </c>
    </row>
    <row r="1817" spans="1:14" ht="15" customHeight="1" x14ac:dyDescent="0.2">
      <c r="A1817" s="31">
        <v>0.96733354477252098</v>
      </c>
      <c r="B1817" s="31"/>
      <c r="C1817" s="2" t="s">
        <v>855</v>
      </c>
      <c r="D1817" s="31">
        <f t="shared" si="66"/>
        <v>0.18959737477541411</v>
      </c>
      <c r="F1817" s="2" t="s">
        <v>822</v>
      </c>
      <c r="G1817" s="23" t="s">
        <v>902</v>
      </c>
      <c r="H1817" s="2" t="s">
        <v>822</v>
      </c>
      <c r="J1817" s="31">
        <v>42.154598200000002</v>
      </c>
      <c r="K1817" s="31">
        <v>6.7628398000000001</v>
      </c>
      <c r="L1817" s="31"/>
      <c r="M1817" s="31" t="s">
        <v>854</v>
      </c>
      <c r="N1817" s="6" t="s">
        <v>856</v>
      </c>
    </row>
    <row r="1818" spans="1:14" ht="15" customHeight="1" x14ac:dyDescent="0.2">
      <c r="A1818" s="31">
        <v>0.96716299463962818</v>
      </c>
      <c r="B1818" s="31"/>
      <c r="C1818" s="2" t="s">
        <v>855</v>
      </c>
      <c r="D1818" s="31">
        <f t="shared" si="66"/>
        <v>0.18956394694936712</v>
      </c>
      <c r="F1818" s="2" t="s">
        <v>822</v>
      </c>
      <c r="G1818" s="23" t="s">
        <v>902</v>
      </c>
      <c r="H1818" s="2" t="s">
        <v>822</v>
      </c>
      <c r="J1818" s="31">
        <v>45.305000300000003</v>
      </c>
      <c r="K1818" s="31">
        <v>-19.2635994</v>
      </c>
      <c r="L1818" s="31"/>
      <c r="M1818" s="31" t="s">
        <v>854</v>
      </c>
      <c r="N1818" s="6" t="s">
        <v>856</v>
      </c>
    </row>
    <row r="1819" spans="1:14" ht="15" customHeight="1" x14ac:dyDescent="0.2">
      <c r="A1819" s="31">
        <v>0.96704534016962629</v>
      </c>
      <c r="B1819" s="31"/>
      <c r="C1819" s="2" t="s">
        <v>855</v>
      </c>
      <c r="D1819" s="31">
        <f t="shared" si="66"/>
        <v>0.18954088667324676</v>
      </c>
      <c r="F1819" s="2" t="s">
        <v>822</v>
      </c>
      <c r="G1819" s="23" t="s">
        <v>902</v>
      </c>
      <c r="H1819" s="2" t="s">
        <v>822</v>
      </c>
      <c r="J1819" s="31">
        <v>39.3600998</v>
      </c>
      <c r="K1819" s="31">
        <v>-22.522899599999999</v>
      </c>
      <c r="L1819" s="31"/>
      <c r="M1819" s="31" t="s">
        <v>854</v>
      </c>
      <c r="N1819" s="6" t="s">
        <v>856</v>
      </c>
    </row>
    <row r="1820" spans="1:14" ht="15" customHeight="1" x14ac:dyDescent="0.2">
      <c r="A1820" s="31">
        <v>0.96703561905803159</v>
      </c>
      <c r="B1820" s="31"/>
      <c r="C1820" s="2" t="s">
        <v>855</v>
      </c>
      <c r="D1820" s="31">
        <f t="shared" si="66"/>
        <v>0.1895389813353742</v>
      </c>
      <c r="F1820" s="2" t="s">
        <v>822</v>
      </c>
      <c r="G1820" s="23" t="s">
        <v>902</v>
      </c>
      <c r="H1820" s="2" t="s">
        <v>822</v>
      </c>
      <c r="J1820" s="31">
        <v>59.8268013</v>
      </c>
      <c r="K1820" s="31">
        <v>26.284400900000001</v>
      </c>
      <c r="L1820" s="31"/>
      <c r="M1820" s="31" t="s">
        <v>854</v>
      </c>
      <c r="N1820" s="6" t="s">
        <v>856</v>
      </c>
    </row>
    <row r="1821" spans="1:14" ht="15" customHeight="1" x14ac:dyDescent="0.2">
      <c r="A1821" s="31">
        <v>0.96690135857686055</v>
      </c>
      <c r="B1821" s="31"/>
      <c r="C1821" s="2" t="s">
        <v>855</v>
      </c>
      <c r="D1821" s="31">
        <f t="shared" si="66"/>
        <v>0.18951266628106467</v>
      </c>
      <c r="F1821" s="2" t="s">
        <v>822</v>
      </c>
      <c r="G1821" s="23" t="s">
        <v>902</v>
      </c>
      <c r="H1821" s="2" t="s">
        <v>822</v>
      </c>
      <c r="J1821" s="31">
        <v>40.041198700000002</v>
      </c>
      <c r="K1821" s="31">
        <v>-29.5254002</v>
      </c>
      <c r="L1821" s="31"/>
      <c r="M1821" s="31" t="s">
        <v>854</v>
      </c>
      <c r="N1821" s="6" t="s">
        <v>856</v>
      </c>
    </row>
    <row r="1822" spans="1:14" ht="15" customHeight="1" x14ac:dyDescent="0.2">
      <c r="A1822" s="31">
        <v>0.96675205533472874</v>
      </c>
      <c r="B1822" s="31"/>
      <c r="C1822" s="2" t="s">
        <v>855</v>
      </c>
      <c r="D1822" s="31">
        <f t="shared" si="66"/>
        <v>0.18948340284560683</v>
      </c>
      <c r="F1822" s="2" t="s">
        <v>822</v>
      </c>
      <c r="G1822" s="23" t="s">
        <v>902</v>
      </c>
      <c r="H1822" s="2" t="s">
        <v>822</v>
      </c>
      <c r="J1822" s="31">
        <v>39.400001500000002</v>
      </c>
      <c r="K1822" s="31">
        <v>-11.1639996</v>
      </c>
      <c r="L1822" s="31"/>
      <c r="M1822" s="31" t="s">
        <v>854</v>
      </c>
      <c r="N1822" s="6" t="s">
        <v>856</v>
      </c>
    </row>
    <row r="1823" spans="1:14" ht="15" customHeight="1" x14ac:dyDescent="0.2">
      <c r="A1823" s="31">
        <v>0.96659956871316388</v>
      </c>
      <c r="B1823" s="31"/>
      <c r="C1823" s="2" t="s">
        <v>855</v>
      </c>
      <c r="D1823" s="31">
        <f t="shared" si="66"/>
        <v>0.18945351546778014</v>
      </c>
      <c r="F1823" s="2" t="s">
        <v>822</v>
      </c>
      <c r="G1823" s="23" t="s">
        <v>902</v>
      </c>
      <c r="H1823" s="2" t="s">
        <v>822</v>
      </c>
      <c r="J1823" s="31">
        <v>26.341600400000001</v>
      </c>
      <c r="K1823" s="31">
        <v>-30.3174992</v>
      </c>
      <c r="L1823" s="31"/>
      <c r="M1823" s="31" t="s">
        <v>854</v>
      </c>
      <c r="N1823" s="6" t="s">
        <v>856</v>
      </c>
    </row>
    <row r="1824" spans="1:14" ht="15" customHeight="1" x14ac:dyDescent="0.2">
      <c r="A1824" s="31">
        <v>0.96609134668520036</v>
      </c>
      <c r="B1824" s="31"/>
      <c r="C1824" s="2" t="s">
        <v>855</v>
      </c>
      <c r="D1824" s="31">
        <f t="shared" si="66"/>
        <v>0.18935390395029927</v>
      </c>
      <c r="F1824" s="2" t="s">
        <v>822</v>
      </c>
      <c r="G1824" s="23" t="s">
        <v>902</v>
      </c>
      <c r="H1824" s="2" t="s">
        <v>822</v>
      </c>
      <c r="J1824" s="31">
        <v>36.236801100000001</v>
      </c>
      <c r="K1824" s="31">
        <v>-41.8805008</v>
      </c>
      <c r="L1824" s="31"/>
      <c r="M1824" s="31" t="s">
        <v>854</v>
      </c>
      <c r="N1824" s="6" t="s">
        <v>856</v>
      </c>
    </row>
    <row r="1825" spans="1:14" ht="15" customHeight="1" x14ac:dyDescent="0.2">
      <c r="A1825" s="31">
        <v>0.9659394826288078</v>
      </c>
      <c r="B1825" s="31"/>
      <c r="C1825" s="2" t="s">
        <v>855</v>
      </c>
      <c r="D1825" s="31">
        <f t="shared" si="66"/>
        <v>0.18932413859524633</v>
      </c>
      <c r="F1825" s="2" t="s">
        <v>822</v>
      </c>
      <c r="G1825" s="23" t="s">
        <v>902</v>
      </c>
      <c r="H1825" s="2" t="s">
        <v>822</v>
      </c>
      <c r="J1825" s="31">
        <v>41.377399400000002</v>
      </c>
      <c r="K1825" s="31">
        <v>-28.390100499999999</v>
      </c>
      <c r="L1825" s="31"/>
      <c r="M1825" s="31" t="s">
        <v>854</v>
      </c>
      <c r="N1825" s="6" t="s">
        <v>856</v>
      </c>
    </row>
    <row r="1826" spans="1:14" ht="15" customHeight="1" x14ac:dyDescent="0.2">
      <c r="A1826" s="31">
        <v>0.96587335485385384</v>
      </c>
      <c r="B1826" s="31"/>
      <c r="C1826" s="2" t="s">
        <v>855</v>
      </c>
      <c r="D1826" s="31">
        <f t="shared" si="66"/>
        <v>0.18931117755135535</v>
      </c>
      <c r="F1826" s="2" t="s">
        <v>822</v>
      </c>
      <c r="G1826" s="23" t="s">
        <v>902</v>
      </c>
      <c r="H1826" s="2" t="s">
        <v>822</v>
      </c>
      <c r="J1826" s="31">
        <v>41.111598999999998</v>
      </c>
      <c r="K1826" s="31">
        <v>-17.176000599999998</v>
      </c>
      <c r="L1826" s="31"/>
      <c r="M1826" s="31" t="s">
        <v>854</v>
      </c>
      <c r="N1826" s="6" t="s">
        <v>856</v>
      </c>
    </row>
    <row r="1827" spans="1:14" ht="15" customHeight="1" x14ac:dyDescent="0.2">
      <c r="A1827" s="31">
        <v>0.96557830235174114</v>
      </c>
      <c r="B1827" s="31"/>
      <c r="C1827" s="2" t="s">
        <v>855</v>
      </c>
      <c r="D1827" s="31">
        <f t="shared" ref="D1827:D1861" si="67" xml:space="preserve"> A1827 * 0.196</f>
        <v>0.18925334726094126</v>
      </c>
      <c r="F1827" s="2" t="s">
        <v>822</v>
      </c>
      <c r="G1827" s="23" t="s">
        <v>902</v>
      </c>
      <c r="H1827" s="2" t="s">
        <v>822</v>
      </c>
      <c r="J1827" s="31">
        <v>42.5331993</v>
      </c>
      <c r="K1827" s="31">
        <v>-10.4225998</v>
      </c>
      <c r="L1827" s="31"/>
      <c r="M1827" s="31" t="s">
        <v>854</v>
      </c>
      <c r="N1827" s="6" t="s">
        <v>856</v>
      </c>
    </row>
    <row r="1828" spans="1:14" ht="15" customHeight="1" x14ac:dyDescent="0.2">
      <c r="A1828" s="31">
        <v>0.96513194823303183</v>
      </c>
      <c r="B1828" s="31"/>
      <c r="C1828" s="2" t="s">
        <v>855</v>
      </c>
      <c r="D1828" s="31">
        <f t="shared" si="67"/>
        <v>0.18916586185367423</v>
      </c>
      <c r="F1828" s="2" t="s">
        <v>822</v>
      </c>
      <c r="G1828" s="23" t="s">
        <v>902</v>
      </c>
      <c r="H1828" s="2" t="s">
        <v>822</v>
      </c>
      <c r="J1828" s="31">
        <v>40.930000300000003</v>
      </c>
      <c r="K1828" s="31">
        <v>-32.031101200000002</v>
      </c>
      <c r="L1828" s="31"/>
      <c r="M1828" s="31" t="s">
        <v>854</v>
      </c>
      <c r="N1828" s="6" t="s">
        <v>856</v>
      </c>
    </row>
    <row r="1829" spans="1:14" ht="15" customHeight="1" x14ac:dyDescent="0.2">
      <c r="A1829" s="31">
        <v>0.96483163930777116</v>
      </c>
      <c r="B1829" s="31"/>
      <c r="C1829" s="2" t="s">
        <v>855</v>
      </c>
      <c r="D1829" s="31">
        <f t="shared" si="67"/>
        <v>0.18910700130432315</v>
      </c>
      <c r="F1829" s="2" t="s">
        <v>822</v>
      </c>
      <c r="G1829" s="23" t="s">
        <v>902</v>
      </c>
      <c r="H1829" s="2" t="s">
        <v>822</v>
      </c>
      <c r="J1829" s="31">
        <v>42.756000499999999</v>
      </c>
      <c r="K1829" s="31">
        <v>-18.844299299999999</v>
      </c>
      <c r="L1829" s="31"/>
      <c r="M1829" s="31" t="s">
        <v>854</v>
      </c>
      <c r="N1829" s="6" t="s">
        <v>856</v>
      </c>
    </row>
    <row r="1830" spans="1:14" ht="15" customHeight="1" x14ac:dyDescent="0.2">
      <c r="A1830" s="31">
        <v>0.96433501775181607</v>
      </c>
      <c r="B1830" s="31"/>
      <c r="C1830" s="2" t="s">
        <v>855</v>
      </c>
      <c r="D1830" s="31">
        <f t="shared" si="67"/>
        <v>0.18900966347935597</v>
      </c>
      <c r="F1830" s="2" t="s">
        <v>822</v>
      </c>
      <c r="G1830" s="23" t="s">
        <v>902</v>
      </c>
      <c r="H1830" s="2" t="s">
        <v>822</v>
      </c>
      <c r="J1830" s="31">
        <v>28.063299199999999</v>
      </c>
      <c r="K1830" s="31">
        <v>-18.565900800000001</v>
      </c>
      <c r="L1830" s="31"/>
      <c r="M1830" s="31" t="s">
        <v>854</v>
      </c>
      <c r="N1830" s="6" t="s">
        <v>856</v>
      </c>
    </row>
    <row r="1831" spans="1:14" ht="15" customHeight="1" x14ac:dyDescent="0.2">
      <c r="A1831" s="31">
        <v>0.96430156886380058</v>
      </c>
      <c r="B1831" s="31"/>
      <c r="C1831" s="2" t="s">
        <v>855</v>
      </c>
      <c r="D1831" s="31">
        <f t="shared" si="67"/>
        <v>0.18900310749730492</v>
      </c>
      <c r="F1831" s="2" t="s">
        <v>822</v>
      </c>
      <c r="G1831" s="23" t="s">
        <v>902</v>
      </c>
      <c r="H1831" s="2" t="s">
        <v>822</v>
      </c>
      <c r="J1831" s="31">
        <v>36.946700999999997</v>
      </c>
      <c r="K1831" s="31">
        <v>6.0272297999999997</v>
      </c>
      <c r="L1831" s="31"/>
      <c r="M1831" s="31" t="s">
        <v>854</v>
      </c>
      <c r="N1831" s="6" t="s">
        <v>856</v>
      </c>
    </row>
    <row r="1832" spans="1:14" ht="15" customHeight="1" x14ac:dyDescent="0.2">
      <c r="A1832" s="31">
        <v>0.96429644727108932</v>
      </c>
      <c r="B1832" s="31"/>
      <c r="C1832" s="2" t="s">
        <v>855</v>
      </c>
      <c r="D1832" s="31">
        <f t="shared" si="67"/>
        <v>0.18900210366513351</v>
      </c>
      <c r="F1832" s="2" t="s">
        <v>822</v>
      </c>
      <c r="G1832" s="23" t="s">
        <v>902</v>
      </c>
      <c r="H1832" s="2" t="s">
        <v>822</v>
      </c>
      <c r="J1832" s="31">
        <v>42.740001700000001</v>
      </c>
      <c r="K1832" s="31">
        <v>-39.220001199999999</v>
      </c>
      <c r="L1832" s="31"/>
      <c r="M1832" s="31" t="s">
        <v>854</v>
      </c>
      <c r="N1832" s="6" t="s">
        <v>856</v>
      </c>
    </row>
    <row r="1833" spans="1:14" ht="15" customHeight="1" x14ac:dyDescent="0.2">
      <c r="A1833" s="31">
        <v>0.9640270177914666</v>
      </c>
      <c r="B1833" s="31"/>
      <c r="C1833" s="2" t="s">
        <v>855</v>
      </c>
      <c r="D1833" s="31">
        <f t="shared" si="67"/>
        <v>0.18894929548712747</v>
      </c>
      <c r="F1833" s="2" t="s">
        <v>822</v>
      </c>
      <c r="G1833" s="23" t="s">
        <v>902</v>
      </c>
      <c r="H1833" s="2" t="s">
        <v>822</v>
      </c>
      <c r="J1833" s="31">
        <v>40.847698200000004</v>
      </c>
      <c r="K1833" s="31">
        <v>-39.520900699999999</v>
      </c>
      <c r="L1833" s="31"/>
      <c r="M1833" s="31" t="s">
        <v>854</v>
      </c>
      <c r="N1833" s="6" t="s">
        <v>856</v>
      </c>
    </row>
    <row r="1834" spans="1:14" ht="15" customHeight="1" x14ac:dyDescent="0.2">
      <c r="A1834" s="31">
        <v>0.96364339369944907</v>
      </c>
      <c r="B1834" s="31"/>
      <c r="C1834" s="2" t="s">
        <v>855</v>
      </c>
      <c r="D1834" s="31">
        <f t="shared" si="67"/>
        <v>0.18887410516509204</v>
      </c>
      <c r="F1834" s="2" t="s">
        <v>822</v>
      </c>
      <c r="G1834" s="23" t="s">
        <v>902</v>
      </c>
      <c r="H1834" s="2" t="s">
        <v>822</v>
      </c>
      <c r="J1834" s="31">
        <v>29.3799992</v>
      </c>
      <c r="K1834" s="31">
        <v>-32.540000900000003</v>
      </c>
      <c r="L1834" s="31"/>
      <c r="M1834" s="31" t="s">
        <v>854</v>
      </c>
      <c r="N1834" s="6" t="s">
        <v>856</v>
      </c>
    </row>
    <row r="1835" spans="1:14" ht="15" customHeight="1" x14ac:dyDescent="0.2">
      <c r="A1835" s="31">
        <v>0.96355478013752949</v>
      </c>
      <c r="B1835" s="31"/>
      <c r="C1835" s="2" t="s">
        <v>855</v>
      </c>
      <c r="D1835" s="31">
        <f t="shared" si="67"/>
        <v>0.18885673690695579</v>
      </c>
      <c r="F1835" s="2" t="s">
        <v>822</v>
      </c>
      <c r="G1835" s="23" t="s">
        <v>902</v>
      </c>
      <c r="H1835" s="2" t="s">
        <v>822</v>
      </c>
      <c r="J1835" s="31">
        <v>35.534301800000001</v>
      </c>
      <c r="K1835" s="31">
        <v>26.822799700000001</v>
      </c>
      <c r="L1835" s="31"/>
      <c r="M1835" s="31" t="s">
        <v>854</v>
      </c>
      <c r="N1835" s="6" t="s">
        <v>856</v>
      </c>
    </row>
    <row r="1836" spans="1:14" ht="15" customHeight="1" x14ac:dyDescent="0.2">
      <c r="A1836" s="31">
        <v>0.96340207856821958</v>
      </c>
      <c r="B1836" s="31"/>
      <c r="C1836" s="2" t="s">
        <v>855</v>
      </c>
      <c r="D1836" s="31">
        <f t="shared" si="67"/>
        <v>0.18882680739937105</v>
      </c>
      <c r="F1836" s="2" t="s">
        <v>822</v>
      </c>
      <c r="G1836" s="23" t="s">
        <v>902</v>
      </c>
      <c r="H1836" s="2" t="s">
        <v>822</v>
      </c>
      <c r="J1836" s="31">
        <v>26.692100499999999</v>
      </c>
      <c r="K1836" s="31">
        <v>-15.509200099999999</v>
      </c>
      <c r="L1836" s="31"/>
      <c r="M1836" s="31" t="s">
        <v>854</v>
      </c>
      <c r="N1836" s="6" t="s">
        <v>856</v>
      </c>
    </row>
    <row r="1837" spans="1:14" ht="15" customHeight="1" x14ac:dyDescent="0.2">
      <c r="A1837" s="31">
        <v>0.96339816541661438</v>
      </c>
      <c r="B1837" s="31"/>
      <c r="C1837" s="2" t="s">
        <v>855</v>
      </c>
      <c r="D1837" s="31">
        <f t="shared" si="67"/>
        <v>0.18882604042165643</v>
      </c>
      <c r="F1837" s="2" t="s">
        <v>822</v>
      </c>
      <c r="G1837" s="23" t="s">
        <v>902</v>
      </c>
      <c r="H1837" s="2" t="s">
        <v>822</v>
      </c>
      <c r="J1837" s="31">
        <v>30.910800900000002</v>
      </c>
      <c r="K1837" s="31">
        <v>-27.369800600000001</v>
      </c>
      <c r="L1837" s="31"/>
      <c r="M1837" s="31" t="s">
        <v>854</v>
      </c>
      <c r="N1837" s="6" t="s">
        <v>856</v>
      </c>
    </row>
    <row r="1838" spans="1:14" ht="15" customHeight="1" x14ac:dyDescent="0.2">
      <c r="A1838" s="31">
        <v>0.96330326233034458</v>
      </c>
      <c r="B1838" s="31"/>
      <c r="C1838" s="2" t="s">
        <v>855</v>
      </c>
      <c r="D1838" s="31">
        <f t="shared" si="67"/>
        <v>0.18880743941674755</v>
      </c>
      <c r="F1838" s="2" t="s">
        <v>822</v>
      </c>
      <c r="G1838" s="23" t="s">
        <v>902</v>
      </c>
      <c r="H1838" s="2" t="s">
        <v>822</v>
      </c>
      <c r="J1838" s="31">
        <v>34.033401499999997</v>
      </c>
      <c r="K1838" s="31">
        <v>35.106800100000001</v>
      </c>
      <c r="L1838" s="31"/>
      <c r="M1838" s="31" t="s">
        <v>854</v>
      </c>
      <c r="N1838" s="6" t="s">
        <v>856</v>
      </c>
    </row>
    <row r="1839" spans="1:14" ht="15" customHeight="1" x14ac:dyDescent="0.2">
      <c r="A1839" s="31">
        <v>0.96323294700885143</v>
      </c>
      <c r="B1839" s="31"/>
      <c r="C1839" s="2" t="s">
        <v>855</v>
      </c>
      <c r="D1839" s="31">
        <f t="shared" si="67"/>
        <v>0.1887936576137349</v>
      </c>
      <c r="F1839" s="2" t="s">
        <v>822</v>
      </c>
      <c r="G1839" s="23" t="s">
        <v>902</v>
      </c>
      <c r="H1839" s="2" t="s">
        <v>822</v>
      </c>
      <c r="J1839" s="31">
        <v>40.772998800000003</v>
      </c>
      <c r="K1839" s="31">
        <v>6.1750898000000003</v>
      </c>
      <c r="L1839" s="31"/>
      <c r="M1839" s="31" t="s">
        <v>854</v>
      </c>
      <c r="N1839" s="6" t="s">
        <v>856</v>
      </c>
    </row>
    <row r="1840" spans="1:14" ht="15" customHeight="1" x14ac:dyDescent="0.2">
      <c r="A1840" s="31">
        <v>0.96274038544058216</v>
      </c>
      <c r="B1840" s="31"/>
      <c r="C1840" s="2" t="s">
        <v>855</v>
      </c>
      <c r="D1840" s="31">
        <f t="shared" si="67"/>
        <v>0.1886971155463541</v>
      </c>
      <c r="F1840" s="2" t="s">
        <v>822</v>
      </c>
      <c r="G1840" s="23" t="s">
        <v>902</v>
      </c>
      <c r="H1840" s="2" t="s">
        <v>822</v>
      </c>
      <c r="J1840" s="31">
        <v>38.528301200000001</v>
      </c>
      <c r="K1840" s="31">
        <v>-20.472200399999998</v>
      </c>
      <c r="L1840" s="31"/>
      <c r="M1840" s="31" t="s">
        <v>854</v>
      </c>
      <c r="N1840" s="6" t="s">
        <v>856</v>
      </c>
    </row>
    <row r="1841" spans="1:14" ht="15" customHeight="1" x14ac:dyDescent="0.2">
      <c r="A1841" s="31">
        <v>0.96234361520532374</v>
      </c>
      <c r="B1841" s="31"/>
      <c r="C1841" s="2" t="s">
        <v>855</v>
      </c>
      <c r="D1841" s="31">
        <f t="shared" si="67"/>
        <v>0.18861934858024346</v>
      </c>
      <c r="F1841" s="2" t="s">
        <v>822</v>
      </c>
      <c r="G1841" s="23" t="s">
        <v>902</v>
      </c>
      <c r="H1841" s="2" t="s">
        <v>822</v>
      </c>
      <c r="J1841" s="31">
        <v>39.400001500000002</v>
      </c>
      <c r="K1841" s="31">
        <v>6.8720001999999996</v>
      </c>
      <c r="L1841" s="31"/>
      <c r="M1841" s="31" t="s">
        <v>854</v>
      </c>
      <c r="N1841" s="6" t="s">
        <v>856</v>
      </c>
    </row>
    <row r="1842" spans="1:14" ht="15" customHeight="1" x14ac:dyDescent="0.2">
      <c r="A1842" s="31">
        <v>0.96197766804308604</v>
      </c>
      <c r="B1842" s="31"/>
      <c r="C1842" s="2" t="s">
        <v>855</v>
      </c>
      <c r="D1842" s="31">
        <f t="shared" si="67"/>
        <v>0.18854762293644486</v>
      </c>
      <c r="F1842" s="2" t="s">
        <v>822</v>
      </c>
      <c r="G1842" s="23" t="s">
        <v>902</v>
      </c>
      <c r="H1842" s="2" t="s">
        <v>822</v>
      </c>
      <c r="J1842" s="31">
        <v>44.632701900000001</v>
      </c>
      <c r="K1842" s="31">
        <v>-11.3853998</v>
      </c>
      <c r="L1842" s="31"/>
      <c r="M1842" s="31" t="s">
        <v>854</v>
      </c>
      <c r="N1842" s="6" t="s">
        <v>856</v>
      </c>
    </row>
    <row r="1843" spans="1:14" ht="15" customHeight="1" x14ac:dyDescent="0.2">
      <c r="A1843" s="31">
        <v>0.96188450588206909</v>
      </c>
      <c r="B1843" s="31"/>
      <c r="C1843" s="2" t="s">
        <v>855</v>
      </c>
      <c r="D1843" s="31">
        <f t="shared" si="67"/>
        <v>0.18852936315288554</v>
      </c>
      <c r="F1843" s="2" t="s">
        <v>822</v>
      </c>
      <c r="G1843" s="23" t="s">
        <v>902</v>
      </c>
      <c r="H1843" s="2" t="s">
        <v>822</v>
      </c>
      <c r="J1843" s="31">
        <v>35.574901599999997</v>
      </c>
      <c r="K1843" s="31">
        <v>27.118799200000002</v>
      </c>
      <c r="L1843" s="31"/>
      <c r="M1843" s="31" t="s">
        <v>854</v>
      </c>
      <c r="N1843" s="6" t="s">
        <v>856</v>
      </c>
    </row>
    <row r="1844" spans="1:14" ht="15" customHeight="1" x14ac:dyDescent="0.2">
      <c r="A1844" s="31">
        <v>0.96151066130886664</v>
      </c>
      <c r="B1844" s="31"/>
      <c r="C1844" s="2" t="s">
        <v>855</v>
      </c>
      <c r="D1844" s="31">
        <f t="shared" si="67"/>
        <v>0.18845608961653787</v>
      </c>
      <c r="F1844" s="2" t="s">
        <v>822</v>
      </c>
      <c r="G1844" s="23" t="s">
        <v>902</v>
      </c>
      <c r="H1844" s="2" t="s">
        <v>822</v>
      </c>
      <c r="J1844" s="31">
        <v>31.384000799999999</v>
      </c>
      <c r="K1844" s="31">
        <v>-19.1800003</v>
      </c>
      <c r="L1844" s="31"/>
      <c r="M1844" s="31" t="s">
        <v>854</v>
      </c>
      <c r="N1844" s="6" t="s">
        <v>856</v>
      </c>
    </row>
    <row r="1845" spans="1:14" ht="15" customHeight="1" x14ac:dyDescent="0.2">
      <c r="A1845" s="31">
        <v>0.96137169098779485</v>
      </c>
      <c r="B1845" s="31"/>
      <c r="C1845" s="2" t="s">
        <v>855</v>
      </c>
      <c r="D1845" s="31">
        <f t="shared" si="67"/>
        <v>0.1884288514336078</v>
      </c>
      <c r="F1845" s="2" t="s">
        <v>822</v>
      </c>
      <c r="G1845" s="23" t="s">
        <v>902</v>
      </c>
      <c r="H1845" s="2" t="s">
        <v>822</v>
      </c>
      <c r="J1845" s="31">
        <v>36.750900299999998</v>
      </c>
      <c r="K1845" s="31">
        <v>15.701399800000001</v>
      </c>
      <c r="L1845" s="31"/>
      <c r="M1845" s="31" t="s">
        <v>854</v>
      </c>
      <c r="N1845" s="6" t="s">
        <v>856</v>
      </c>
    </row>
    <row r="1846" spans="1:14" ht="15" customHeight="1" x14ac:dyDescent="0.2">
      <c r="A1846" s="31">
        <v>0.96137009705999754</v>
      </c>
      <c r="B1846" s="31"/>
      <c r="C1846" s="2" t="s">
        <v>855</v>
      </c>
      <c r="D1846" s="31">
        <f t="shared" si="67"/>
        <v>0.18842853902375953</v>
      </c>
      <c r="F1846" s="2" t="s">
        <v>822</v>
      </c>
      <c r="G1846" s="23" t="s">
        <v>902</v>
      </c>
      <c r="H1846" s="2" t="s">
        <v>822</v>
      </c>
      <c r="J1846" s="31">
        <v>44.073299400000003</v>
      </c>
      <c r="K1846" s="31">
        <v>-7.7810202000000004</v>
      </c>
      <c r="L1846" s="31"/>
      <c r="M1846" s="31" t="s">
        <v>854</v>
      </c>
      <c r="N1846" s="6" t="s">
        <v>856</v>
      </c>
    </row>
    <row r="1847" spans="1:14" ht="15" customHeight="1" x14ac:dyDescent="0.2">
      <c r="A1847" s="31">
        <v>0.96117796062854077</v>
      </c>
      <c r="B1847" s="31"/>
      <c r="C1847" s="2" t="s">
        <v>855</v>
      </c>
      <c r="D1847" s="31">
        <f t="shared" si="67"/>
        <v>0.18839088028319401</v>
      </c>
      <c r="F1847" s="2" t="s">
        <v>822</v>
      </c>
      <c r="G1847" s="23" t="s">
        <v>902</v>
      </c>
      <c r="H1847" s="2" t="s">
        <v>822</v>
      </c>
      <c r="J1847" s="31">
        <v>43.028999300000002</v>
      </c>
      <c r="K1847" s="31">
        <v>-17.732700300000001</v>
      </c>
      <c r="L1847" s="31"/>
      <c r="M1847" s="31" t="s">
        <v>854</v>
      </c>
      <c r="N1847" s="6" t="s">
        <v>856</v>
      </c>
    </row>
    <row r="1848" spans="1:14" ht="15" customHeight="1" x14ac:dyDescent="0.2">
      <c r="A1848" s="31">
        <v>0.96111535933021863</v>
      </c>
      <c r="B1848" s="31"/>
      <c r="C1848" s="2" t="s">
        <v>855</v>
      </c>
      <c r="D1848" s="31">
        <f t="shared" si="67"/>
        <v>0.18837861042872286</v>
      </c>
      <c r="F1848" s="2" t="s">
        <v>822</v>
      </c>
      <c r="G1848" s="23" t="s">
        <v>902</v>
      </c>
      <c r="H1848" s="2" t="s">
        <v>822</v>
      </c>
      <c r="J1848" s="31">
        <v>42.439899400000002</v>
      </c>
      <c r="K1848" s="31">
        <v>-32.2881012</v>
      </c>
      <c r="L1848" s="31"/>
      <c r="M1848" s="31" t="s">
        <v>854</v>
      </c>
      <c r="N1848" s="6" t="s">
        <v>856</v>
      </c>
    </row>
    <row r="1849" spans="1:14" ht="15" customHeight="1" x14ac:dyDescent="0.2">
      <c r="A1849" s="31">
        <v>0.96089363669233596</v>
      </c>
      <c r="B1849" s="31"/>
      <c r="C1849" s="2" t="s">
        <v>855</v>
      </c>
      <c r="D1849" s="31">
        <f t="shared" si="67"/>
        <v>0.18833515279169785</v>
      </c>
      <c r="F1849" s="2" t="s">
        <v>822</v>
      </c>
      <c r="G1849" s="23" t="s">
        <v>902</v>
      </c>
      <c r="H1849" s="2" t="s">
        <v>822</v>
      </c>
      <c r="J1849" s="31">
        <v>55.243099200000003</v>
      </c>
      <c r="K1849" s="31">
        <v>20.526100199999998</v>
      </c>
      <c r="L1849" s="31"/>
      <c r="M1849" s="31" t="s">
        <v>854</v>
      </c>
      <c r="N1849" s="6" t="s">
        <v>856</v>
      </c>
    </row>
    <row r="1850" spans="1:14" ht="15" customHeight="1" x14ac:dyDescent="0.2">
      <c r="A1850" s="31">
        <v>0.96086637787995666</v>
      </c>
      <c r="B1850" s="31"/>
      <c r="C1850" s="2" t="s">
        <v>855</v>
      </c>
      <c r="D1850" s="31">
        <f t="shared" si="67"/>
        <v>0.18832981006447153</v>
      </c>
      <c r="F1850" s="2" t="s">
        <v>822</v>
      </c>
      <c r="G1850" s="23" t="s">
        <v>902</v>
      </c>
      <c r="H1850" s="2" t="s">
        <v>822</v>
      </c>
      <c r="J1850" s="31">
        <v>45.499599500000002</v>
      </c>
      <c r="K1850" s="31">
        <v>-12.469799999999999</v>
      </c>
      <c r="L1850" s="31"/>
      <c r="M1850" s="31" t="s">
        <v>854</v>
      </c>
      <c r="N1850" s="6" t="s">
        <v>856</v>
      </c>
    </row>
    <row r="1851" spans="1:14" ht="15" customHeight="1" x14ac:dyDescent="0.2">
      <c r="A1851" s="31">
        <v>0.96071666722470517</v>
      </c>
      <c r="B1851" s="31"/>
      <c r="C1851" s="2" t="s">
        <v>855</v>
      </c>
      <c r="D1851" s="31">
        <f t="shared" si="67"/>
        <v>0.18830046677604223</v>
      </c>
      <c r="F1851" s="2" t="s">
        <v>822</v>
      </c>
      <c r="G1851" s="23" t="s">
        <v>902</v>
      </c>
      <c r="H1851" s="2" t="s">
        <v>822</v>
      </c>
      <c r="J1851" s="31">
        <v>42.1703987</v>
      </c>
      <c r="K1851" s="31">
        <v>-10.0752001</v>
      </c>
      <c r="L1851" s="31"/>
      <c r="M1851" s="31" t="s">
        <v>854</v>
      </c>
      <c r="N1851" s="6" t="s">
        <v>856</v>
      </c>
    </row>
    <row r="1852" spans="1:14" ht="15" customHeight="1" x14ac:dyDescent="0.2">
      <c r="A1852" s="31">
        <v>0.96044020963120214</v>
      </c>
      <c r="B1852" s="31"/>
      <c r="C1852" s="2" t="s">
        <v>855</v>
      </c>
      <c r="D1852" s="31">
        <f t="shared" si="67"/>
        <v>0.18824628108771563</v>
      </c>
      <c r="F1852" s="2" t="s">
        <v>822</v>
      </c>
      <c r="G1852" s="23" t="s">
        <v>902</v>
      </c>
      <c r="H1852" s="2" t="s">
        <v>822</v>
      </c>
      <c r="J1852" s="31">
        <v>59.830299400000001</v>
      </c>
      <c r="K1852" s="31">
        <v>26.530500400000001</v>
      </c>
      <c r="L1852" s="31"/>
      <c r="M1852" s="31" t="s">
        <v>854</v>
      </c>
      <c r="N1852" s="6" t="s">
        <v>856</v>
      </c>
    </row>
    <row r="1853" spans="1:14" ht="15" customHeight="1" x14ac:dyDescent="0.2">
      <c r="A1853" s="31">
        <v>0.96009126331925743</v>
      </c>
      <c r="B1853" s="31"/>
      <c r="C1853" s="2" t="s">
        <v>855</v>
      </c>
      <c r="D1853" s="31">
        <f t="shared" si="67"/>
        <v>0.18817788761057447</v>
      </c>
      <c r="F1853" s="2" t="s">
        <v>822</v>
      </c>
      <c r="G1853" s="23" t="s">
        <v>902</v>
      </c>
      <c r="H1853" s="2" t="s">
        <v>822</v>
      </c>
      <c r="J1853" s="31">
        <v>42.707500500000002</v>
      </c>
      <c r="K1853" s="31">
        <v>-17.8565006</v>
      </c>
      <c r="L1853" s="31"/>
      <c r="M1853" s="31" t="s">
        <v>854</v>
      </c>
      <c r="N1853" s="6" t="s">
        <v>856</v>
      </c>
    </row>
    <row r="1854" spans="1:14" ht="15" customHeight="1" x14ac:dyDescent="0.2">
      <c r="A1854" s="31">
        <v>0.95974356587493281</v>
      </c>
      <c r="B1854" s="31"/>
      <c r="C1854" s="2" t="s">
        <v>855</v>
      </c>
      <c r="D1854" s="31">
        <f t="shared" si="67"/>
        <v>0.18810973891148683</v>
      </c>
      <c r="F1854" s="2" t="s">
        <v>822</v>
      </c>
      <c r="G1854" s="23" t="s">
        <v>902</v>
      </c>
      <c r="H1854" s="2" t="s">
        <v>822</v>
      </c>
      <c r="J1854" s="31">
        <v>37.435501100000003</v>
      </c>
      <c r="K1854" s="31">
        <v>6.1882299999999999</v>
      </c>
      <c r="L1854" s="31"/>
      <c r="M1854" s="31" t="s">
        <v>854</v>
      </c>
      <c r="N1854" s="6" t="s">
        <v>856</v>
      </c>
    </row>
    <row r="1855" spans="1:14" ht="15" customHeight="1" x14ac:dyDescent="0.2">
      <c r="A1855" s="31">
        <v>0.95922512512351865</v>
      </c>
      <c r="B1855" s="31"/>
      <c r="C1855" s="2" t="s">
        <v>855</v>
      </c>
      <c r="D1855" s="31">
        <f t="shared" si="67"/>
        <v>0.18800812452420967</v>
      </c>
      <c r="F1855" s="2" t="s">
        <v>822</v>
      </c>
      <c r="G1855" s="23" t="s">
        <v>902</v>
      </c>
      <c r="H1855" s="2" t="s">
        <v>822</v>
      </c>
      <c r="J1855" s="31">
        <v>41.045700099999998</v>
      </c>
      <c r="K1855" s="31">
        <v>-9.5040598000000003</v>
      </c>
      <c r="L1855" s="31"/>
      <c r="M1855" s="31" t="s">
        <v>854</v>
      </c>
      <c r="N1855" s="6" t="s">
        <v>856</v>
      </c>
    </row>
    <row r="1856" spans="1:14" ht="15" customHeight="1" x14ac:dyDescent="0.2">
      <c r="A1856" s="31">
        <v>0.959144073839304</v>
      </c>
      <c r="B1856" s="31"/>
      <c r="C1856" s="2" t="s">
        <v>855</v>
      </c>
      <c r="D1856" s="31">
        <f t="shared" si="67"/>
        <v>0.1879922384725036</v>
      </c>
      <c r="F1856" s="2" t="s">
        <v>822</v>
      </c>
      <c r="G1856" s="23" t="s">
        <v>902</v>
      </c>
      <c r="H1856" s="2" t="s">
        <v>822</v>
      </c>
      <c r="J1856" s="31">
        <v>44.819900500000003</v>
      </c>
      <c r="K1856" s="31">
        <v>-12.6227999</v>
      </c>
      <c r="L1856" s="31"/>
      <c r="M1856" s="31" t="s">
        <v>854</v>
      </c>
      <c r="N1856" s="6" t="s">
        <v>856</v>
      </c>
    </row>
    <row r="1857" spans="1:14" ht="15" customHeight="1" x14ac:dyDescent="0.2">
      <c r="A1857" s="31">
        <v>0.95911706292353049</v>
      </c>
      <c r="B1857" s="31"/>
      <c r="C1857" s="2" t="s">
        <v>855</v>
      </c>
      <c r="D1857" s="31">
        <f t="shared" si="67"/>
        <v>0.187986944333012</v>
      </c>
      <c r="F1857" s="2" t="s">
        <v>822</v>
      </c>
      <c r="G1857" s="23" t="s">
        <v>902</v>
      </c>
      <c r="H1857" s="2" t="s">
        <v>822</v>
      </c>
      <c r="J1857" s="31">
        <v>40.069400799999997</v>
      </c>
      <c r="K1857" s="31">
        <v>-18.344299299999999</v>
      </c>
      <c r="L1857" s="31"/>
      <c r="M1857" s="31" t="s">
        <v>854</v>
      </c>
      <c r="N1857" s="6" t="s">
        <v>856</v>
      </c>
    </row>
    <row r="1858" spans="1:14" ht="15" customHeight="1" x14ac:dyDescent="0.2">
      <c r="A1858" s="31">
        <v>0.95907674508494689</v>
      </c>
      <c r="B1858" s="31"/>
      <c r="C1858" s="2" t="s">
        <v>855</v>
      </c>
      <c r="D1858" s="31">
        <f t="shared" si="67"/>
        <v>0.18797904203664959</v>
      </c>
      <c r="F1858" s="2" t="s">
        <v>822</v>
      </c>
      <c r="G1858" s="23" t="s">
        <v>902</v>
      </c>
      <c r="H1858" s="2" t="s">
        <v>822</v>
      </c>
      <c r="J1858" s="31">
        <v>39.971500399999996</v>
      </c>
      <c r="K1858" s="31">
        <v>-20.3561993</v>
      </c>
      <c r="L1858" s="31"/>
      <c r="M1858" s="31" t="s">
        <v>854</v>
      </c>
      <c r="N1858" s="6" t="s">
        <v>856</v>
      </c>
    </row>
    <row r="1859" spans="1:14" ht="15" customHeight="1" x14ac:dyDescent="0.2">
      <c r="A1859" s="31">
        <v>0.95898034815559341</v>
      </c>
      <c r="B1859" s="31"/>
      <c r="C1859" s="2" t="s">
        <v>855</v>
      </c>
      <c r="D1859" s="31">
        <f t="shared" si="67"/>
        <v>0.18796014823849633</v>
      </c>
      <c r="F1859" s="2" t="s">
        <v>822</v>
      </c>
      <c r="G1859" s="23" t="s">
        <v>902</v>
      </c>
      <c r="H1859" s="2" t="s">
        <v>822</v>
      </c>
      <c r="J1859" s="31">
        <v>29.496000299999999</v>
      </c>
      <c r="K1859" s="31">
        <v>-24.3647995</v>
      </c>
      <c r="L1859" s="31"/>
      <c r="M1859" s="31" t="s">
        <v>854</v>
      </c>
      <c r="N1859" s="6" t="s">
        <v>856</v>
      </c>
    </row>
    <row r="1860" spans="1:14" ht="15" customHeight="1" x14ac:dyDescent="0.2">
      <c r="A1860" s="31">
        <v>0.95897912187024148</v>
      </c>
      <c r="B1860" s="31"/>
      <c r="C1860" s="2" t="s">
        <v>855</v>
      </c>
      <c r="D1860" s="31">
        <f t="shared" si="67"/>
        <v>0.18795990788656733</v>
      </c>
      <c r="F1860" s="2" t="s">
        <v>822</v>
      </c>
      <c r="G1860" s="23" t="s">
        <v>902</v>
      </c>
      <c r="H1860" s="2" t="s">
        <v>822</v>
      </c>
      <c r="J1860" s="31">
        <v>37.204799700000002</v>
      </c>
      <c r="K1860" s="31">
        <v>-0.6492</v>
      </c>
      <c r="L1860" s="31"/>
      <c r="M1860" s="31" t="s">
        <v>854</v>
      </c>
      <c r="N1860" s="6" t="s">
        <v>856</v>
      </c>
    </row>
    <row r="1861" spans="1:14" ht="15" customHeight="1" x14ac:dyDescent="0.2">
      <c r="A1861" s="31">
        <v>0.95895070774383628</v>
      </c>
      <c r="B1861" s="31"/>
      <c r="C1861" s="2" t="s">
        <v>855</v>
      </c>
      <c r="D1861" s="31">
        <f t="shared" si="67"/>
        <v>0.18795433871779191</v>
      </c>
      <c r="F1861" s="2" t="s">
        <v>822</v>
      </c>
      <c r="G1861" s="23" t="s">
        <v>902</v>
      </c>
      <c r="H1861" s="2" t="s">
        <v>822</v>
      </c>
      <c r="J1861" s="31">
        <v>42.740001700000001</v>
      </c>
      <c r="K1861" s="31">
        <v>-13.1680002</v>
      </c>
      <c r="L1861" s="31"/>
      <c r="M1861" s="31" t="s">
        <v>854</v>
      </c>
      <c r="N1861" s="6" t="s">
        <v>856</v>
      </c>
    </row>
    <row r="1862" spans="1:14" ht="15" customHeight="1" x14ac:dyDescent="0.2">
      <c r="A1862" s="22">
        <v>0.18794757841486204</v>
      </c>
      <c r="B1862" s="22"/>
      <c r="C1862" s="2" t="s">
        <v>891</v>
      </c>
      <c r="D1862" s="2">
        <f>A1862</f>
        <v>0.18794757841486204</v>
      </c>
      <c r="F1862" s="2">
        <v>2023</v>
      </c>
      <c r="G1862" s="23" t="s">
        <v>902</v>
      </c>
      <c r="H1862" s="2" t="s">
        <v>771</v>
      </c>
      <c r="I1862" s="23" t="s">
        <v>189</v>
      </c>
      <c r="J1862" s="23">
        <v>58077391</v>
      </c>
      <c r="K1862" s="23">
        <v>11813541</v>
      </c>
      <c r="L1862" s="23" t="s">
        <v>819</v>
      </c>
      <c r="M1862" s="2" t="s">
        <v>825</v>
      </c>
      <c r="N1862" s="6" t="s">
        <v>828</v>
      </c>
    </row>
    <row r="1863" spans="1:14" ht="15" customHeight="1" x14ac:dyDescent="0.2">
      <c r="A1863" s="31">
        <v>0.9587588753924976</v>
      </c>
      <c r="B1863" s="31"/>
      <c r="C1863" s="2" t="s">
        <v>855</v>
      </c>
      <c r="D1863" s="31">
        <f t="shared" ref="D1863:D1894" si="68" xml:space="preserve"> A1863 * 0.196</f>
        <v>0.18791673957692953</v>
      </c>
      <c r="F1863" s="2" t="s">
        <v>822</v>
      </c>
      <c r="G1863" s="23" t="s">
        <v>902</v>
      </c>
      <c r="H1863" s="2" t="s">
        <v>822</v>
      </c>
      <c r="J1863" s="31">
        <v>43.380298600000003</v>
      </c>
      <c r="K1863" s="31">
        <v>-11.838700299999999</v>
      </c>
      <c r="L1863" s="31"/>
      <c r="M1863" s="31" t="s">
        <v>854</v>
      </c>
      <c r="N1863" s="6" t="s">
        <v>856</v>
      </c>
    </row>
    <row r="1864" spans="1:14" ht="15" customHeight="1" x14ac:dyDescent="0.2">
      <c r="A1864" s="31">
        <v>0.95851096144188574</v>
      </c>
      <c r="B1864" s="31"/>
      <c r="C1864" s="2" t="s">
        <v>855</v>
      </c>
      <c r="D1864" s="31">
        <f t="shared" si="68"/>
        <v>0.1878681484426096</v>
      </c>
      <c r="F1864" s="2" t="s">
        <v>822</v>
      </c>
      <c r="G1864" s="23" t="s">
        <v>902</v>
      </c>
      <c r="H1864" s="2" t="s">
        <v>822</v>
      </c>
      <c r="J1864" s="31">
        <v>36.698001900000001</v>
      </c>
      <c r="K1864" s="31">
        <v>-26.5235004</v>
      </c>
      <c r="L1864" s="31"/>
      <c r="M1864" s="31" t="s">
        <v>854</v>
      </c>
      <c r="N1864" s="6" t="s">
        <v>856</v>
      </c>
    </row>
    <row r="1865" spans="1:14" ht="15" customHeight="1" x14ac:dyDescent="0.2">
      <c r="A1865" s="31">
        <v>0.95842223806373805</v>
      </c>
      <c r="B1865" s="31"/>
      <c r="C1865" s="2" t="s">
        <v>855</v>
      </c>
      <c r="D1865" s="31">
        <f t="shared" si="68"/>
        <v>0.18785075866049267</v>
      </c>
      <c r="F1865" s="2" t="s">
        <v>822</v>
      </c>
      <c r="G1865" s="23" t="s">
        <v>902</v>
      </c>
      <c r="H1865" s="2" t="s">
        <v>822</v>
      </c>
      <c r="J1865" s="31">
        <v>35.957000700000002</v>
      </c>
      <c r="K1865" s="31">
        <v>31.5771008</v>
      </c>
      <c r="L1865" s="31"/>
      <c r="M1865" s="31" t="s">
        <v>854</v>
      </c>
      <c r="N1865" s="6" t="s">
        <v>856</v>
      </c>
    </row>
    <row r="1866" spans="1:14" ht="15" customHeight="1" x14ac:dyDescent="0.2">
      <c r="A1866" s="31">
        <v>0.95839796144503808</v>
      </c>
      <c r="B1866" s="31"/>
      <c r="C1866" s="2" t="s">
        <v>855</v>
      </c>
      <c r="D1866" s="31">
        <f t="shared" si="68"/>
        <v>0.18784600044322747</v>
      </c>
      <c r="F1866" s="2" t="s">
        <v>822</v>
      </c>
      <c r="G1866" s="23" t="s">
        <v>902</v>
      </c>
      <c r="H1866" s="2" t="s">
        <v>822</v>
      </c>
      <c r="J1866" s="31">
        <v>57.443901099999998</v>
      </c>
      <c r="K1866" s="31">
        <v>21.448900200000001</v>
      </c>
      <c r="L1866" s="31"/>
      <c r="M1866" s="31" t="s">
        <v>854</v>
      </c>
      <c r="N1866" s="6" t="s">
        <v>856</v>
      </c>
    </row>
    <row r="1867" spans="1:14" ht="15" customHeight="1" x14ac:dyDescent="0.2">
      <c r="A1867" s="31">
        <v>0.95838652537151214</v>
      </c>
      <c r="B1867" s="31"/>
      <c r="C1867" s="2" t="s">
        <v>855</v>
      </c>
      <c r="D1867" s="31">
        <f t="shared" si="68"/>
        <v>0.18784375897281638</v>
      </c>
      <c r="F1867" s="2" t="s">
        <v>822</v>
      </c>
      <c r="G1867" s="23" t="s">
        <v>902</v>
      </c>
      <c r="H1867" s="2" t="s">
        <v>822</v>
      </c>
      <c r="J1867" s="31">
        <v>44.088001300000002</v>
      </c>
      <c r="K1867" s="31">
        <v>-13.108499500000001</v>
      </c>
      <c r="L1867" s="31"/>
      <c r="M1867" s="31" t="s">
        <v>854</v>
      </c>
      <c r="N1867" s="6" t="s">
        <v>856</v>
      </c>
    </row>
    <row r="1868" spans="1:14" ht="15" customHeight="1" x14ac:dyDescent="0.2">
      <c r="A1868" s="31">
        <v>0.95828093263589498</v>
      </c>
      <c r="B1868" s="31"/>
      <c r="C1868" s="2" t="s">
        <v>855</v>
      </c>
      <c r="D1868" s="31">
        <f t="shared" si="68"/>
        <v>0.18782306279663541</v>
      </c>
      <c r="F1868" s="2" t="s">
        <v>822</v>
      </c>
      <c r="G1868" s="23" t="s">
        <v>902</v>
      </c>
      <c r="H1868" s="2" t="s">
        <v>822</v>
      </c>
      <c r="J1868" s="31">
        <v>32.051998099999999</v>
      </c>
      <c r="K1868" s="31">
        <v>-20.516000699999999</v>
      </c>
      <c r="L1868" s="31"/>
      <c r="M1868" s="31" t="s">
        <v>854</v>
      </c>
      <c r="N1868" s="6" t="s">
        <v>856</v>
      </c>
    </row>
    <row r="1869" spans="1:14" ht="15" customHeight="1" x14ac:dyDescent="0.2">
      <c r="A1869" s="31">
        <v>0.95805766930890246</v>
      </c>
      <c r="B1869" s="31"/>
      <c r="C1869" s="2" t="s">
        <v>855</v>
      </c>
      <c r="D1869" s="31">
        <f t="shared" si="68"/>
        <v>0.18777930318454489</v>
      </c>
      <c r="F1869" s="2" t="s">
        <v>822</v>
      </c>
      <c r="G1869" s="23" t="s">
        <v>902</v>
      </c>
      <c r="H1869" s="2" t="s">
        <v>822</v>
      </c>
      <c r="J1869" s="31">
        <v>46.408100099999999</v>
      </c>
      <c r="K1869" s="31">
        <v>-5.0102700999999996</v>
      </c>
      <c r="L1869" s="31"/>
      <c r="M1869" s="31" t="s">
        <v>854</v>
      </c>
      <c r="N1869" s="6" t="s">
        <v>856</v>
      </c>
    </row>
    <row r="1870" spans="1:14" ht="15" customHeight="1" x14ac:dyDescent="0.2">
      <c r="A1870" s="31">
        <v>0.9579709017151834</v>
      </c>
      <c r="B1870" s="31"/>
      <c r="C1870" s="2" t="s">
        <v>855</v>
      </c>
      <c r="D1870" s="31">
        <f t="shared" si="68"/>
        <v>0.18776229673617595</v>
      </c>
      <c r="F1870" s="2" t="s">
        <v>822</v>
      </c>
      <c r="G1870" s="23" t="s">
        <v>902</v>
      </c>
      <c r="H1870" s="2" t="s">
        <v>822</v>
      </c>
      <c r="J1870" s="31">
        <v>36.344699900000002</v>
      </c>
      <c r="K1870" s="31">
        <v>-38.566001900000003</v>
      </c>
      <c r="L1870" s="31"/>
      <c r="M1870" s="31" t="s">
        <v>854</v>
      </c>
      <c r="N1870" s="6" t="s">
        <v>856</v>
      </c>
    </row>
    <row r="1871" spans="1:14" ht="15" customHeight="1" x14ac:dyDescent="0.2">
      <c r="A1871" s="31">
        <v>0.95796378200095322</v>
      </c>
      <c r="B1871" s="31"/>
      <c r="C1871" s="2" t="s">
        <v>855</v>
      </c>
      <c r="D1871" s="31">
        <f t="shared" si="68"/>
        <v>0.18776090127218684</v>
      </c>
      <c r="F1871" s="2" t="s">
        <v>822</v>
      </c>
      <c r="G1871" s="23" t="s">
        <v>902</v>
      </c>
      <c r="H1871" s="2" t="s">
        <v>822</v>
      </c>
      <c r="J1871" s="31">
        <v>36.070201900000001</v>
      </c>
      <c r="K1871" s="31">
        <v>-27.717199300000001</v>
      </c>
      <c r="L1871" s="31"/>
      <c r="M1871" s="31" t="s">
        <v>854</v>
      </c>
      <c r="N1871" s="6" t="s">
        <v>856</v>
      </c>
    </row>
    <row r="1872" spans="1:14" ht="15" customHeight="1" x14ac:dyDescent="0.2">
      <c r="A1872" s="31">
        <v>0.95777976029683953</v>
      </c>
      <c r="B1872" s="31"/>
      <c r="C1872" s="2" t="s">
        <v>855</v>
      </c>
      <c r="D1872" s="31">
        <f t="shared" si="68"/>
        <v>0.18772483301818055</v>
      </c>
      <c r="F1872" s="2" t="s">
        <v>822</v>
      </c>
      <c r="G1872" s="23" t="s">
        <v>902</v>
      </c>
      <c r="H1872" s="2" t="s">
        <v>822</v>
      </c>
      <c r="J1872" s="31">
        <v>45.430999800000002</v>
      </c>
      <c r="K1872" s="31">
        <v>-10.5190001</v>
      </c>
      <c r="L1872" s="31"/>
      <c r="M1872" s="31" t="s">
        <v>854</v>
      </c>
      <c r="N1872" s="6" t="s">
        <v>856</v>
      </c>
    </row>
    <row r="1873" spans="1:14" ht="15" customHeight="1" x14ac:dyDescent="0.2">
      <c r="A1873" s="31">
        <v>0.9573619735084602</v>
      </c>
      <c r="B1873" s="31"/>
      <c r="C1873" s="2" t="s">
        <v>855</v>
      </c>
      <c r="D1873" s="31">
        <f t="shared" si="68"/>
        <v>0.1876429468076582</v>
      </c>
      <c r="F1873" s="2" t="s">
        <v>822</v>
      </c>
      <c r="G1873" s="23" t="s">
        <v>902</v>
      </c>
      <c r="H1873" s="2" t="s">
        <v>822</v>
      </c>
      <c r="J1873" s="31">
        <v>35.407398200000003</v>
      </c>
      <c r="K1873" s="31">
        <v>24.3957005</v>
      </c>
      <c r="L1873" s="31"/>
      <c r="M1873" s="31" t="s">
        <v>854</v>
      </c>
      <c r="N1873" s="6" t="s">
        <v>856</v>
      </c>
    </row>
    <row r="1874" spans="1:14" ht="15" customHeight="1" x14ac:dyDescent="0.2">
      <c r="A1874" s="31">
        <v>0.95710713138442505</v>
      </c>
      <c r="B1874" s="31"/>
      <c r="C1874" s="2" t="s">
        <v>855</v>
      </c>
      <c r="D1874" s="31">
        <f t="shared" si="68"/>
        <v>0.18759299775134733</v>
      </c>
      <c r="F1874" s="2" t="s">
        <v>822</v>
      </c>
      <c r="G1874" s="23" t="s">
        <v>902</v>
      </c>
      <c r="H1874" s="2" t="s">
        <v>822</v>
      </c>
      <c r="J1874" s="31">
        <v>36.142799400000001</v>
      </c>
      <c r="K1874" s="31">
        <v>-1.4874400000000001</v>
      </c>
      <c r="L1874" s="31"/>
      <c r="M1874" s="31" t="s">
        <v>854</v>
      </c>
      <c r="N1874" s="6" t="s">
        <v>856</v>
      </c>
    </row>
    <row r="1875" spans="1:14" ht="15" customHeight="1" x14ac:dyDescent="0.2">
      <c r="A1875" s="31">
        <v>0.95701916357285333</v>
      </c>
      <c r="B1875" s="31"/>
      <c r="C1875" s="2" t="s">
        <v>855</v>
      </c>
      <c r="D1875" s="31">
        <f t="shared" si="68"/>
        <v>0.18757575606027926</v>
      </c>
      <c r="F1875" s="2" t="s">
        <v>822</v>
      </c>
      <c r="G1875" s="23" t="s">
        <v>902</v>
      </c>
      <c r="H1875" s="2" t="s">
        <v>822</v>
      </c>
      <c r="J1875" s="31">
        <v>38.287399299999997</v>
      </c>
      <c r="K1875" s="31">
        <v>-17.232900600000001</v>
      </c>
      <c r="L1875" s="31"/>
      <c r="M1875" s="31" t="s">
        <v>854</v>
      </c>
      <c r="N1875" s="6" t="s">
        <v>856</v>
      </c>
    </row>
    <row r="1876" spans="1:14" ht="15" customHeight="1" x14ac:dyDescent="0.2">
      <c r="A1876" s="31">
        <v>0.95698838119516649</v>
      </c>
      <c r="B1876" s="31"/>
      <c r="C1876" s="2" t="s">
        <v>855</v>
      </c>
      <c r="D1876" s="31">
        <f t="shared" si="68"/>
        <v>0.18756972271425265</v>
      </c>
      <c r="F1876" s="2" t="s">
        <v>822</v>
      </c>
      <c r="G1876" s="23" t="s">
        <v>902</v>
      </c>
      <c r="H1876" s="2" t="s">
        <v>822</v>
      </c>
      <c r="J1876" s="31">
        <v>56.647598299999999</v>
      </c>
      <c r="K1876" s="31">
        <v>18.127300300000002</v>
      </c>
      <c r="L1876" s="31"/>
      <c r="M1876" s="31" t="s">
        <v>854</v>
      </c>
      <c r="N1876" s="6" t="s">
        <v>856</v>
      </c>
    </row>
    <row r="1877" spans="1:14" ht="15" customHeight="1" x14ac:dyDescent="0.2">
      <c r="A1877" s="31">
        <v>0.9569319820196136</v>
      </c>
      <c r="B1877" s="31"/>
      <c r="C1877" s="2" t="s">
        <v>855</v>
      </c>
      <c r="D1877" s="31">
        <f t="shared" si="68"/>
        <v>0.18755866847584426</v>
      </c>
      <c r="F1877" s="2" t="s">
        <v>822</v>
      </c>
      <c r="G1877" s="23" t="s">
        <v>902</v>
      </c>
      <c r="H1877" s="2" t="s">
        <v>822</v>
      </c>
      <c r="J1877" s="31">
        <v>35.945598599999997</v>
      </c>
      <c r="K1877" s="31">
        <v>-39.187400799999999</v>
      </c>
      <c r="L1877" s="31"/>
      <c r="M1877" s="31" t="s">
        <v>854</v>
      </c>
      <c r="N1877" s="6" t="s">
        <v>856</v>
      </c>
    </row>
    <row r="1878" spans="1:14" ht="15" customHeight="1" x14ac:dyDescent="0.2">
      <c r="A1878" s="31">
        <v>0.95666801662097378</v>
      </c>
      <c r="B1878" s="31"/>
      <c r="C1878" s="2" t="s">
        <v>855</v>
      </c>
      <c r="D1878" s="31">
        <f t="shared" si="68"/>
        <v>0.18750693125771087</v>
      </c>
      <c r="F1878" s="2" t="s">
        <v>822</v>
      </c>
      <c r="G1878" s="23" t="s">
        <v>902</v>
      </c>
      <c r="H1878" s="2" t="s">
        <v>822</v>
      </c>
      <c r="J1878" s="31">
        <v>44.815498400000003</v>
      </c>
      <c r="K1878" s="31">
        <v>-36.489200599999997</v>
      </c>
      <c r="L1878" s="31"/>
      <c r="M1878" s="31" t="s">
        <v>854</v>
      </c>
      <c r="N1878" s="6" t="s">
        <v>856</v>
      </c>
    </row>
    <row r="1879" spans="1:14" ht="15" customHeight="1" x14ac:dyDescent="0.2">
      <c r="A1879" s="31">
        <v>0.95664747493965241</v>
      </c>
      <c r="B1879" s="31"/>
      <c r="C1879" s="2" t="s">
        <v>855</v>
      </c>
      <c r="D1879" s="31">
        <f t="shared" si="68"/>
        <v>0.18750290508817188</v>
      </c>
      <c r="F1879" s="2" t="s">
        <v>822</v>
      </c>
      <c r="G1879" s="23" t="s">
        <v>902</v>
      </c>
      <c r="H1879" s="2" t="s">
        <v>822</v>
      </c>
      <c r="J1879" s="31">
        <v>45.216400100000001</v>
      </c>
      <c r="K1879" s="31">
        <v>13.1639996</v>
      </c>
      <c r="L1879" s="31"/>
      <c r="M1879" s="31" t="s">
        <v>854</v>
      </c>
      <c r="N1879" s="6" t="s">
        <v>856</v>
      </c>
    </row>
    <row r="1880" spans="1:14" ht="15" customHeight="1" x14ac:dyDescent="0.2">
      <c r="A1880" s="31">
        <v>0.95625656920612334</v>
      </c>
      <c r="B1880" s="31"/>
      <c r="C1880" s="2" t="s">
        <v>855</v>
      </c>
      <c r="D1880" s="31">
        <f t="shared" si="68"/>
        <v>0.18742628756440019</v>
      </c>
      <c r="F1880" s="2" t="s">
        <v>822</v>
      </c>
      <c r="G1880" s="23" t="s">
        <v>902</v>
      </c>
      <c r="H1880" s="2" t="s">
        <v>822</v>
      </c>
      <c r="J1880" s="31">
        <v>38.894699099999997</v>
      </c>
      <c r="K1880" s="31">
        <v>-41.877800000000001</v>
      </c>
      <c r="L1880" s="31"/>
      <c r="M1880" s="31" t="s">
        <v>854</v>
      </c>
      <c r="N1880" s="6" t="s">
        <v>856</v>
      </c>
    </row>
    <row r="1881" spans="1:14" ht="15" customHeight="1" x14ac:dyDescent="0.2">
      <c r="A1881" s="31">
        <v>0.95577274612076657</v>
      </c>
      <c r="B1881" s="31"/>
      <c r="C1881" s="2" t="s">
        <v>855</v>
      </c>
      <c r="D1881" s="31">
        <f t="shared" si="68"/>
        <v>0.18733145823967026</v>
      </c>
      <c r="F1881" s="2" t="s">
        <v>822</v>
      </c>
      <c r="G1881" s="23" t="s">
        <v>902</v>
      </c>
      <c r="H1881" s="2" t="s">
        <v>822</v>
      </c>
      <c r="J1881" s="31">
        <v>37.966098799999997</v>
      </c>
      <c r="K1881" s="31">
        <v>-17.151100199999998</v>
      </c>
      <c r="L1881" s="31"/>
      <c r="M1881" s="31" t="s">
        <v>854</v>
      </c>
      <c r="N1881" s="6" t="s">
        <v>856</v>
      </c>
    </row>
    <row r="1882" spans="1:14" ht="15" customHeight="1" x14ac:dyDescent="0.2">
      <c r="A1882" s="31">
        <v>0.95552463752628714</v>
      </c>
      <c r="B1882" s="31"/>
      <c r="C1882" s="2" t="s">
        <v>855</v>
      </c>
      <c r="D1882" s="31">
        <f t="shared" si="68"/>
        <v>0.18728282895515228</v>
      </c>
      <c r="F1882" s="2" t="s">
        <v>822</v>
      </c>
      <c r="G1882" s="23" t="s">
        <v>902</v>
      </c>
      <c r="H1882" s="2" t="s">
        <v>822</v>
      </c>
      <c r="J1882" s="31">
        <v>41.405200999999998</v>
      </c>
      <c r="K1882" s="31">
        <v>-25.858600599999999</v>
      </c>
      <c r="L1882" s="31"/>
      <c r="M1882" s="31" t="s">
        <v>854</v>
      </c>
      <c r="N1882" s="6" t="s">
        <v>856</v>
      </c>
    </row>
    <row r="1883" spans="1:14" ht="15" customHeight="1" x14ac:dyDescent="0.2">
      <c r="A1883" s="31">
        <v>0.95534091859115511</v>
      </c>
      <c r="B1883" s="31"/>
      <c r="C1883" s="2" t="s">
        <v>855</v>
      </c>
      <c r="D1883" s="31">
        <f t="shared" si="68"/>
        <v>0.18724682004386642</v>
      </c>
      <c r="F1883" s="2" t="s">
        <v>822</v>
      </c>
      <c r="G1883" s="23" t="s">
        <v>902</v>
      </c>
      <c r="H1883" s="2" t="s">
        <v>822</v>
      </c>
      <c r="J1883" s="31">
        <v>40.0680008</v>
      </c>
      <c r="K1883" s="31">
        <v>-42.560001399999997</v>
      </c>
      <c r="L1883" s="31"/>
      <c r="M1883" s="31" t="s">
        <v>854</v>
      </c>
      <c r="N1883" s="6" t="s">
        <v>856</v>
      </c>
    </row>
    <row r="1884" spans="1:14" ht="15" customHeight="1" x14ac:dyDescent="0.2">
      <c r="A1884" s="31">
        <v>0.95524720962145282</v>
      </c>
      <c r="B1884" s="31"/>
      <c r="C1884" s="2" t="s">
        <v>855</v>
      </c>
      <c r="D1884" s="31">
        <f t="shared" si="68"/>
        <v>0.18722845308580477</v>
      </c>
      <c r="F1884" s="2" t="s">
        <v>822</v>
      </c>
      <c r="G1884" s="23" t="s">
        <v>902</v>
      </c>
      <c r="H1884" s="2" t="s">
        <v>822</v>
      </c>
      <c r="J1884" s="31">
        <v>34.055999800000002</v>
      </c>
      <c r="K1884" s="31">
        <v>-42.560001399999997</v>
      </c>
      <c r="L1884" s="31"/>
      <c r="M1884" s="31" t="s">
        <v>854</v>
      </c>
      <c r="N1884" s="6" t="s">
        <v>856</v>
      </c>
    </row>
    <row r="1885" spans="1:14" ht="15" customHeight="1" x14ac:dyDescent="0.2">
      <c r="A1885" s="31">
        <v>0.95495994709498122</v>
      </c>
      <c r="B1885" s="31"/>
      <c r="C1885" s="2" t="s">
        <v>855</v>
      </c>
      <c r="D1885" s="31">
        <f t="shared" si="68"/>
        <v>0.18717214963061632</v>
      </c>
      <c r="F1885" s="2" t="s">
        <v>822</v>
      </c>
      <c r="G1885" s="23" t="s">
        <v>902</v>
      </c>
      <c r="H1885" s="2" t="s">
        <v>822</v>
      </c>
      <c r="J1885" s="31">
        <v>29.3799992</v>
      </c>
      <c r="K1885" s="31">
        <v>-15.8400002</v>
      </c>
      <c r="L1885" s="31"/>
      <c r="M1885" s="31" t="s">
        <v>854</v>
      </c>
      <c r="N1885" s="6" t="s">
        <v>856</v>
      </c>
    </row>
    <row r="1886" spans="1:14" ht="15" customHeight="1" x14ac:dyDescent="0.2">
      <c r="A1886" s="31">
        <v>0.95467650393618242</v>
      </c>
      <c r="B1886" s="31"/>
      <c r="C1886" s="2" t="s">
        <v>855</v>
      </c>
      <c r="D1886" s="31">
        <f t="shared" si="68"/>
        <v>0.18711659477149176</v>
      </c>
      <c r="F1886" s="2" t="s">
        <v>822</v>
      </c>
      <c r="G1886" s="23" t="s">
        <v>902</v>
      </c>
      <c r="H1886" s="2" t="s">
        <v>822</v>
      </c>
      <c r="J1886" s="31">
        <v>40.0680008</v>
      </c>
      <c r="K1886" s="31">
        <v>-10.2122002</v>
      </c>
      <c r="L1886" s="31"/>
      <c r="M1886" s="31" t="s">
        <v>854</v>
      </c>
      <c r="N1886" s="6" t="s">
        <v>856</v>
      </c>
    </row>
    <row r="1887" spans="1:14" ht="15" customHeight="1" x14ac:dyDescent="0.2">
      <c r="A1887" s="31">
        <v>0.95435937396747439</v>
      </c>
      <c r="B1887" s="31"/>
      <c r="C1887" s="2" t="s">
        <v>855</v>
      </c>
      <c r="D1887" s="31">
        <f t="shared" si="68"/>
        <v>0.187054437297625</v>
      </c>
      <c r="F1887" s="2" t="s">
        <v>822</v>
      </c>
      <c r="G1887" s="23" t="s">
        <v>902</v>
      </c>
      <c r="H1887" s="2" t="s">
        <v>822</v>
      </c>
      <c r="J1887" s="31">
        <v>39.419300100000001</v>
      </c>
      <c r="K1887" s="31">
        <v>14.2018003</v>
      </c>
      <c r="L1887" s="31"/>
      <c r="M1887" s="31" t="s">
        <v>854</v>
      </c>
      <c r="N1887" s="6" t="s">
        <v>856</v>
      </c>
    </row>
    <row r="1888" spans="1:14" ht="15" customHeight="1" x14ac:dyDescent="0.2">
      <c r="A1888" s="31">
        <v>0.95429363041437387</v>
      </c>
      <c r="B1888" s="31"/>
      <c r="C1888" s="2" t="s">
        <v>855</v>
      </c>
      <c r="D1888" s="31">
        <f t="shared" si="68"/>
        <v>0.1870415515612173</v>
      </c>
      <c r="F1888" s="2" t="s">
        <v>822</v>
      </c>
      <c r="G1888" s="23" t="s">
        <v>902</v>
      </c>
      <c r="H1888" s="2" t="s">
        <v>822</v>
      </c>
      <c r="J1888" s="31">
        <v>41.109600100000002</v>
      </c>
      <c r="K1888" s="31">
        <v>4.6539602000000002</v>
      </c>
      <c r="L1888" s="31"/>
      <c r="M1888" s="31" t="s">
        <v>854</v>
      </c>
      <c r="N1888" s="6" t="s">
        <v>856</v>
      </c>
    </row>
    <row r="1889" spans="1:14" ht="15" customHeight="1" x14ac:dyDescent="0.2">
      <c r="A1889" s="31">
        <v>0.95402232505284734</v>
      </c>
      <c r="B1889" s="31"/>
      <c r="C1889" s="2" t="s">
        <v>855</v>
      </c>
      <c r="D1889" s="31">
        <f t="shared" si="68"/>
        <v>0.18698837571035809</v>
      </c>
      <c r="F1889" s="2" t="s">
        <v>822</v>
      </c>
      <c r="G1889" s="23" t="s">
        <v>902</v>
      </c>
      <c r="H1889" s="2" t="s">
        <v>822</v>
      </c>
      <c r="J1889" s="31">
        <v>32.679199199999999</v>
      </c>
      <c r="K1889" s="31">
        <v>-39.1570015</v>
      </c>
      <c r="L1889" s="31"/>
      <c r="M1889" s="31" t="s">
        <v>854</v>
      </c>
      <c r="N1889" s="6" t="s">
        <v>856</v>
      </c>
    </row>
    <row r="1890" spans="1:14" ht="15" customHeight="1" x14ac:dyDescent="0.2">
      <c r="A1890" s="31">
        <v>0.95365431675913914</v>
      </c>
      <c r="B1890" s="31"/>
      <c r="C1890" s="2" t="s">
        <v>855</v>
      </c>
      <c r="D1890" s="31">
        <f t="shared" si="68"/>
        <v>0.18691624608479127</v>
      </c>
      <c r="F1890" s="2" t="s">
        <v>822</v>
      </c>
      <c r="G1890" s="23" t="s">
        <v>902</v>
      </c>
      <c r="H1890" s="2" t="s">
        <v>822</v>
      </c>
      <c r="J1890" s="31">
        <v>44.076999700000002</v>
      </c>
      <c r="K1890" s="31">
        <v>-11.561300299999999</v>
      </c>
      <c r="L1890" s="31"/>
      <c r="M1890" s="31" t="s">
        <v>854</v>
      </c>
      <c r="N1890" s="6" t="s">
        <v>856</v>
      </c>
    </row>
    <row r="1891" spans="1:14" ht="15" customHeight="1" x14ac:dyDescent="0.2">
      <c r="A1891" s="31">
        <v>0.95320381328658799</v>
      </c>
      <c r="B1891" s="31"/>
      <c r="C1891" s="2" t="s">
        <v>855</v>
      </c>
      <c r="D1891" s="31">
        <f t="shared" si="68"/>
        <v>0.18682794740417125</v>
      </c>
      <c r="F1891" s="2" t="s">
        <v>822</v>
      </c>
      <c r="G1891" s="23" t="s">
        <v>902</v>
      </c>
      <c r="H1891" s="2" t="s">
        <v>822</v>
      </c>
      <c r="J1891" s="31">
        <v>44.638301800000001</v>
      </c>
      <c r="K1891" s="31">
        <v>-8.4685097000000003</v>
      </c>
      <c r="L1891" s="31"/>
      <c r="M1891" s="31" t="s">
        <v>854</v>
      </c>
      <c r="N1891" s="6" t="s">
        <v>856</v>
      </c>
    </row>
    <row r="1892" spans="1:14" ht="15" customHeight="1" x14ac:dyDescent="0.2">
      <c r="A1892" s="31">
        <v>0.95316509505886748</v>
      </c>
      <c r="B1892" s="31"/>
      <c r="C1892" s="2" t="s">
        <v>855</v>
      </c>
      <c r="D1892" s="31">
        <f t="shared" si="68"/>
        <v>0.18682035863153804</v>
      </c>
      <c r="F1892" s="2" t="s">
        <v>822</v>
      </c>
      <c r="G1892" s="23" t="s">
        <v>902</v>
      </c>
      <c r="H1892" s="2" t="s">
        <v>822</v>
      </c>
      <c r="J1892" s="31">
        <v>41.8307991</v>
      </c>
      <c r="K1892" s="31">
        <v>3.2396699999999998</v>
      </c>
      <c r="L1892" s="31"/>
      <c r="M1892" s="31" t="s">
        <v>854</v>
      </c>
      <c r="N1892" s="6" t="s">
        <v>856</v>
      </c>
    </row>
    <row r="1893" spans="1:14" ht="15" customHeight="1" x14ac:dyDescent="0.2">
      <c r="A1893" s="31">
        <v>0.95306384202647232</v>
      </c>
      <c r="B1893" s="31"/>
      <c r="C1893" s="2" t="s">
        <v>855</v>
      </c>
      <c r="D1893" s="31">
        <f t="shared" si="68"/>
        <v>0.18680051303718859</v>
      </c>
      <c r="F1893" s="2" t="s">
        <v>822</v>
      </c>
      <c r="G1893" s="23" t="s">
        <v>902</v>
      </c>
      <c r="H1893" s="2" t="s">
        <v>822</v>
      </c>
      <c r="J1893" s="31">
        <v>34.038600899999999</v>
      </c>
      <c r="K1893" s="31">
        <v>-27.769800199999999</v>
      </c>
      <c r="L1893" s="31"/>
      <c r="M1893" s="31" t="s">
        <v>854</v>
      </c>
      <c r="N1893" s="6" t="s">
        <v>856</v>
      </c>
    </row>
    <row r="1894" spans="1:14" ht="15" customHeight="1" x14ac:dyDescent="0.2">
      <c r="A1894" s="31">
        <v>0.95264751664364755</v>
      </c>
      <c r="B1894" s="31"/>
      <c r="C1894" s="2" t="s">
        <v>855</v>
      </c>
      <c r="D1894" s="31">
        <f t="shared" si="68"/>
        <v>0.18671891326215492</v>
      </c>
      <c r="F1894" s="2" t="s">
        <v>822</v>
      </c>
      <c r="G1894" s="23" t="s">
        <v>902</v>
      </c>
      <c r="H1894" s="2" t="s">
        <v>822</v>
      </c>
      <c r="J1894" s="31">
        <v>39.0320015</v>
      </c>
      <c r="K1894" s="31">
        <v>-26.243299499999999</v>
      </c>
      <c r="L1894" s="31"/>
      <c r="M1894" s="31" t="s">
        <v>854</v>
      </c>
      <c r="N1894" s="6" t="s">
        <v>856</v>
      </c>
    </row>
    <row r="1895" spans="1:14" ht="15" customHeight="1" x14ac:dyDescent="0.2">
      <c r="A1895" s="31">
        <v>0.95224327939011777</v>
      </c>
      <c r="B1895" s="31"/>
      <c r="C1895" s="2" t="s">
        <v>855</v>
      </c>
      <c r="D1895" s="31">
        <f t="shared" ref="D1895:D1926" si="69" xml:space="preserve"> A1895 * 0.196</f>
        <v>0.18663968276046308</v>
      </c>
      <c r="F1895" s="2" t="s">
        <v>822</v>
      </c>
      <c r="G1895" s="23" t="s">
        <v>902</v>
      </c>
      <c r="H1895" s="2" t="s">
        <v>822</v>
      </c>
      <c r="J1895" s="31">
        <v>44.930999800000002</v>
      </c>
      <c r="K1895" s="31">
        <v>-7.8080901999999996</v>
      </c>
      <c r="L1895" s="31"/>
      <c r="M1895" s="31" t="s">
        <v>854</v>
      </c>
      <c r="N1895" s="6" t="s">
        <v>856</v>
      </c>
    </row>
    <row r="1896" spans="1:14" ht="15" customHeight="1" x14ac:dyDescent="0.2">
      <c r="A1896" s="31">
        <v>0.95218456294072307</v>
      </c>
      <c r="B1896" s="31"/>
      <c r="C1896" s="2" t="s">
        <v>855</v>
      </c>
      <c r="D1896" s="31">
        <f t="shared" si="69"/>
        <v>0.18662817433638174</v>
      </c>
      <c r="F1896" s="2" t="s">
        <v>822</v>
      </c>
      <c r="G1896" s="23" t="s">
        <v>902</v>
      </c>
      <c r="H1896" s="2" t="s">
        <v>822</v>
      </c>
      <c r="J1896" s="31">
        <v>60.659000399999996</v>
      </c>
      <c r="K1896" s="31">
        <v>19.877000800000001</v>
      </c>
      <c r="L1896" s="31"/>
      <c r="M1896" s="31" t="s">
        <v>854</v>
      </c>
      <c r="N1896" s="6" t="s">
        <v>856</v>
      </c>
    </row>
    <row r="1897" spans="1:14" ht="15" customHeight="1" x14ac:dyDescent="0.2">
      <c r="A1897" s="31">
        <v>0.95217521290446705</v>
      </c>
      <c r="B1897" s="31"/>
      <c r="C1897" s="2" t="s">
        <v>855</v>
      </c>
      <c r="D1897" s="31">
        <f t="shared" si="69"/>
        <v>0.18662634172927556</v>
      </c>
      <c r="F1897" s="2" t="s">
        <v>822</v>
      </c>
      <c r="G1897" s="23" t="s">
        <v>902</v>
      </c>
      <c r="H1897" s="2" t="s">
        <v>822</v>
      </c>
      <c r="J1897" s="31">
        <v>39.985000599999999</v>
      </c>
      <c r="K1897" s="31">
        <v>-19.838600199999998</v>
      </c>
      <c r="L1897" s="31"/>
      <c r="M1897" s="31" t="s">
        <v>854</v>
      </c>
      <c r="N1897" s="6" t="s">
        <v>856</v>
      </c>
    </row>
    <row r="1898" spans="1:14" ht="15" customHeight="1" x14ac:dyDescent="0.2">
      <c r="A1898" s="31">
        <v>0.95207836554097347</v>
      </c>
      <c r="B1898" s="31"/>
      <c r="C1898" s="2" t="s">
        <v>855</v>
      </c>
      <c r="D1898" s="31">
        <f t="shared" si="69"/>
        <v>0.18660735964603081</v>
      </c>
      <c r="F1898" s="2" t="s">
        <v>822</v>
      </c>
      <c r="G1898" s="23" t="s">
        <v>902</v>
      </c>
      <c r="H1898" s="2" t="s">
        <v>822</v>
      </c>
      <c r="J1898" s="31">
        <v>36.737098699999997</v>
      </c>
      <c r="K1898" s="31">
        <v>-21.8498001</v>
      </c>
      <c r="L1898" s="31"/>
      <c r="M1898" s="31" t="s">
        <v>854</v>
      </c>
      <c r="N1898" s="6" t="s">
        <v>856</v>
      </c>
    </row>
    <row r="1899" spans="1:14" ht="15" customHeight="1" x14ac:dyDescent="0.2">
      <c r="A1899" s="31">
        <v>0.95201263916185908</v>
      </c>
      <c r="B1899" s="31"/>
      <c r="C1899" s="2" t="s">
        <v>855</v>
      </c>
      <c r="D1899" s="31">
        <f t="shared" si="69"/>
        <v>0.1865944772757244</v>
      </c>
      <c r="F1899" s="2" t="s">
        <v>822</v>
      </c>
      <c r="G1899" s="23" t="s">
        <v>902</v>
      </c>
      <c r="H1899" s="2" t="s">
        <v>822</v>
      </c>
      <c r="J1899" s="31">
        <v>39.989700300000003</v>
      </c>
      <c r="K1899" s="31">
        <v>0.66649700000000001</v>
      </c>
      <c r="L1899" s="31"/>
      <c r="M1899" s="31" t="s">
        <v>854</v>
      </c>
      <c r="N1899" s="6" t="s">
        <v>856</v>
      </c>
    </row>
    <row r="1900" spans="1:14" ht="15" customHeight="1" x14ac:dyDescent="0.2">
      <c r="A1900" s="31">
        <v>0.95133188861443962</v>
      </c>
      <c r="B1900" s="31"/>
      <c r="C1900" s="2" t="s">
        <v>855</v>
      </c>
      <c r="D1900" s="31">
        <f t="shared" si="69"/>
        <v>0.18646105016843018</v>
      </c>
      <c r="F1900" s="2" t="s">
        <v>822</v>
      </c>
      <c r="G1900" s="23" t="s">
        <v>902</v>
      </c>
      <c r="H1900" s="2" t="s">
        <v>822</v>
      </c>
      <c r="J1900" s="31">
        <v>40.736000099999998</v>
      </c>
      <c r="K1900" s="31">
        <v>-19.847999600000001</v>
      </c>
      <c r="L1900" s="31"/>
      <c r="M1900" s="31" t="s">
        <v>854</v>
      </c>
      <c r="N1900" s="6" t="s">
        <v>856</v>
      </c>
    </row>
    <row r="1901" spans="1:14" ht="15" customHeight="1" x14ac:dyDescent="0.2">
      <c r="A1901" s="31">
        <v>0.95128428097896334</v>
      </c>
      <c r="B1901" s="31"/>
      <c r="C1901" s="2" t="s">
        <v>855</v>
      </c>
      <c r="D1901" s="31">
        <f t="shared" si="69"/>
        <v>0.18645171907187683</v>
      </c>
      <c r="F1901" s="2" t="s">
        <v>822</v>
      </c>
      <c r="G1901" s="23" t="s">
        <v>902</v>
      </c>
      <c r="H1901" s="2" t="s">
        <v>822</v>
      </c>
      <c r="J1901" s="31">
        <v>39.400001500000002</v>
      </c>
      <c r="K1901" s="31">
        <v>-13.1680002</v>
      </c>
      <c r="L1901" s="31"/>
      <c r="M1901" s="31" t="s">
        <v>854</v>
      </c>
      <c r="N1901" s="6" t="s">
        <v>856</v>
      </c>
    </row>
    <row r="1902" spans="1:14" ht="15" customHeight="1" x14ac:dyDescent="0.2">
      <c r="A1902" s="31">
        <v>0.95127654572055431</v>
      </c>
      <c r="B1902" s="31"/>
      <c r="C1902" s="2" t="s">
        <v>855</v>
      </c>
      <c r="D1902" s="31">
        <f t="shared" si="69"/>
        <v>0.18645020296122866</v>
      </c>
      <c r="F1902" s="2" t="s">
        <v>822</v>
      </c>
      <c r="G1902" s="23" t="s">
        <v>902</v>
      </c>
      <c r="H1902" s="2" t="s">
        <v>822</v>
      </c>
      <c r="J1902" s="31">
        <v>43.226398500000002</v>
      </c>
      <c r="K1902" s="31">
        <v>-13.1139002</v>
      </c>
      <c r="L1902" s="31"/>
      <c r="M1902" s="31" t="s">
        <v>854</v>
      </c>
      <c r="N1902" s="6" t="s">
        <v>856</v>
      </c>
    </row>
    <row r="1903" spans="1:14" ht="15" customHeight="1" x14ac:dyDescent="0.2">
      <c r="A1903" s="31">
        <v>0.95110097643491465</v>
      </c>
      <c r="B1903" s="31"/>
      <c r="C1903" s="2" t="s">
        <v>855</v>
      </c>
      <c r="D1903" s="31">
        <f t="shared" si="69"/>
        <v>0.18641579138124328</v>
      </c>
      <c r="F1903" s="2" t="s">
        <v>822</v>
      </c>
      <c r="G1903" s="23" t="s">
        <v>902</v>
      </c>
      <c r="H1903" s="2" t="s">
        <v>822</v>
      </c>
      <c r="J1903" s="31">
        <v>46.956600199999997</v>
      </c>
      <c r="K1903" s="31">
        <v>-2.8792700999999998</v>
      </c>
      <c r="L1903" s="31"/>
      <c r="M1903" s="31" t="s">
        <v>854</v>
      </c>
      <c r="N1903" s="6" t="s">
        <v>856</v>
      </c>
    </row>
    <row r="1904" spans="1:14" ht="15" customHeight="1" x14ac:dyDescent="0.2">
      <c r="A1904" s="31">
        <v>0.95103352829635568</v>
      </c>
      <c r="B1904" s="31"/>
      <c r="C1904" s="2" t="s">
        <v>855</v>
      </c>
      <c r="D1904" s="31">
        <f t="shared" si="69"/>
        <v>0.18640257154608572</v>
      </c>
      <c r="F1904" s="2" t="s">
        <v>822</v>
      </c>
      <c r="G1904" s="23" t="s">
        <v>902</v>
      </c>
      <c r="H1904" s="2" t="s">
        <v>822</v>
      </c>
      <c r="J1904" s="31">
        <v>37.876800500000002</v>
      </c>
      <c r="K1904" s="31">
        <v>-8.9157495000000004</v>
      </c>
      <c r="L1904" s="31"/>
      <c r="M1904" s="31" t="s">
        <v>854</v>
      </c>
      <c r="N1904" s="6" t="s">
        <v>856</v>
      </c>
    </row>
    <row r="1905" spans="1:14" ht="15" customHeight="1" x14ac:dyDescent="0.2">
      <c r="A1905" s="31">
        <v>0.95098929289550982</v>
      </c>
      <c r="B1905" s="31"/>
      <c r="C1905" s="2" t="s">
        <v>855</v>
      </c>
      <c r="D1905" s="31">
        <f t="shared" si="69"/>
        <v>0.18639390140751994</v>
      </c>
      <c r="F1905" s="2" t="s">
        <v>822</v>
      </c>
      <c r="G1905" s="23" t="s">
        <v>902</v>
      </c>
      <c r="H1905" s="2" t="s">
        <v>822</v>
      </c>
      <c r="J1905" s="31">
        <v>38.216098799999997</v>
      </c>
      <c r="K1905" s="31">
        <v>-33.477901500000002</v>
      </c>
      <c r="L1905" s="31"/>
      <c r="M1905" s="31" t="s">
        <v>854</v>
      </c>
      <c r="N1905" s="6" t="s">
        <v>856</v>
      </c>
    </row>
    <row r="1906" spans="1:14" ht="15" customHeight="1" x14ac:dyDescent="0.2">
      <c r="A1906" s="31">
        <v>0.9507776209525608</v>
      </c>
      <c r="B1906" s="31"/>
      <c r="C1906" s="2" t="s">
        <v>855</v>
      </c>
      <c r="D1906" s="31">
        <f t="shared" si="69"/>
        <v>0.18635241370670191</v>
      </c>
      <c r="F1906" s="2" t="s">
        <v>822</v>
      </c>
      <c r="G1906" s="23" t="s">
        <v>902</v>
      </c>
      <c r="H1906" s="2" t="s">
        <v>822</v>
      </c>
      <c r="J1906" s="31">
        <v>26.040000899999999</v>
      </c>
      <c r="K1906" s="31">
        <v>-17.8439999</v>
      </c>
      <c r="L1906" s="31"/>
      <c r="M1906" s="31" t="s">
        <v>854</v>
      </c>
      <c r="N1906" s="6" t="s">
        <v>856</v>
      </c>
    </row>
    <row r="1907" spans="1:14" ht="15" customHeight="1" x14ac:dyDescent="0.2">
      <c r="A1907" s="31">
        <v>0.95048918816419303</v>
      </c>
      <c r="B1907" s="31"/>
      <c r="C1907" s="2" t="s">
        <v>855</v>
      </c>
      <c r="D1907" s="31">
        <f t="shared" si="69"/>
        <v>0.18629588088018184</v>
      </c>
      <c r="F1907" s="2" t="s">
        <v>822</v>
      </c>
      <c r="G1907" s="23" t="s">
        <v>902</v>
      </c>
      <c r="H1907" s="2" t="s">
        <v>822</v>
      </c>
      <c r="J1907" s="31">
        <v>40.0680008</v>
      </c>
      <c r="K1907" s="31">
        <v>-34.236198399999999</v>
      </c>
      <c r="L1907" s="31"/>
      <c r="M1907" s="31" t="s">
        <v>854</v>
      </c>
      <c r="N1907" s="6" t="s">
        <v>856</v>
      </c>
    </row>
    <row r="1908" spans="1:14" ht="15" customHeight="1" x14ac:dyDescent="0.2">
      <c r="A1908" s="31">
        <v>0.95048190508710995</v>
      </c>
      <c r="B1908" s="31"/>
      <c r="C1908" s="2" t="s">
        <v>855</v>
      </c>
      <c r="D1908" s="31">
        <f t="shared" si="69"/>
        <v>0.18629445339707357</v>
      </c>
      <c r="F1908" s="2" t="s">
        <v>822</v>
      </c>
      <c r="G1908" s="23" t="s">
        <v>902</v>
      </c>
      <c r="H1908" s="2" t="s">
        <v>822</v>
      </c>
      <c r="J1908" s="31">
        <v>46.748001100000003</v>
      </c>
      <c r="K1908" s="31">
        <v>-7.1560001</v>
      </c>
      <c r="L1908" s="31"/>
      <c r="M1908" s="31" t="s">
        <v>854</v>
      </c>
      <c r="N1908" s="6" t="s">
        <v>856</v>
      </c>
    </row>
    <row r="1909" spans="1:14" ht="15" customHeight="1" x14ac:dyDescent="0.2">
      <c r="A1909" s="31">
        <v>0.94994098288573514</v>
      </c>
      <c r="B1909" s="31"/>
      <c r="C1909" s="2" t="s">
        <v>855</v>
      </c>
      <c r="D1909" s="31">
        <f t="shared" si="69"/>
        <v>0.18618843264560409</v>
      </c>
      <c r="F1909" s="2" t="s">
        <v>822</v>
      </c>
      <c r="G1909" s="23" t="s">
        <v>902</v>
      </c>
      <c r="H1909" s="2" t="s">
        <v>822</v>
      </c>
      <c r="J1909" s="31">
        <v>32.298698399999999</v>
      </c>
      <c r="K1909" s="31">
        <v>-17.245399500000001</v>
      </c>
      <c r="L1909" s="31"/>
      <c r="M1909" s="31" t="s">
        <v>854</v>
      </c>
      <c r="N1909" s="6" t="s">
        <v>856</v>
      </c>
    </row>
    <row r="1910" spans="1:14" ht="15" customHeight="1" x14ac:dyDescent="0.2">
      <c r="A1910" s="31">
        <v>0.94985165250661008</v>
      </c>
      <c r="B1910" s="31"/>
      <c r="C1910" s="2" t="s">
        <v>855</v>
      </c>
      <c r="D1910" s="31">
        <f t="shared" si="69"/>
        <v>0.18617092389129558</v>
      </c>
      <c r="F1910" s="2" t="s">
        <v>822</v>
      </c>
      <c r="G1910" s="23" t="s">
        <v>902</v>
      </c>
      <c r="H1910" s="2" t="s">
        <v>822</v>
      </c>
      <c r="J1910" s="31">
        <v>48.869899699999998</v>
      </c>
      <c r="K1910" s="31">
        <v>-2.0792400999999998</v>
      </c>
      <c r="L1910" s="31"/>
      <c r="M1910" s="31" t="s">
        <v>854</v>
      </c>
      <c r="N1910" s="6" t="s">
        <v>856</v>
      </c>
    </row>
    <row r="1911" spans="1:14" ht="15" customHeight="1" x14ac:dyDescent="0.2">
      <c r="A1911" s="31">
        <v>0.94969157664529003</v>
      </c>
      <c r="B1911" s="31"/>
      <c r="C1911" s="2" t="s">
        <v>855</v>
      </c>
      <c r="D1911" s="31">
        <f t="shared" si="69"/>
        <v>0.18613954902247684</v>
      </c>
      <c r="F1911" s="2" t="s">
        <v>822</v>
      </c>
      <c r="G1911" s="23" t="s">
        <v>902</v>
      </c>
      <c r="H1911" s="2" t="s">
        <v>822</v>
      </c>
      <c r="J1911" s="31">
        <v>29.3799992</v>
      </c>
      <c r="K1911" s="31">
        <v>-20.516000699999999</v>
      </c>
      <c r="L1911" s="31"/>
      <c r="M1911" s="31" t="s">
        <v>854</v>
      </c>
      <c r="N1911" s="6" t="s">
        <v>856</v>
      </c>
    </row>
    <row r="1912" spans="1:14" ht="15" customHeight="1" x14ac:dyDescent="0.2">
      <c r="A1912" s="31">
        <v>0.94888360316575304</v>
      </c>
      <c r="B1912" s="31"/>
      <c r="C1912" s="2" t="s">
        <v>855</v>
      </c>
      <c r="D1912" s="31">
        <f t="shared" si="69"/>
        <v>0.18598118622048759</v>
      </c>
      <c r="F1912" s="2" t="s">
        <v>822</v>
      </c>
      <c r="G1912" s="23" t="s">
        <v>902</v>
      </c>
      <c r="H1912" s="2" t="s">
        <v>822</v>
      </c>
      <c r="J1912" s="31">
        <v>34.723899799999998</v>
      </c>
      <c r="K1912" s="31">
        <v>-8.4920597000000004</v>
      </c>
      <c r="L1912" s="31"/>
      <c r="M1912" s="31" t="s">
        <v>854</v>
      </c>
      <c r="N1912" s="6" t="s">
        <v>856</v>
      </c>
    </row>
    <row r="1913" spans="1:14" ht="15" customHeight="1" x14ac:dyDescent="0.2">
      <c r="A1913" s="31">
        <v>0.94866945157413662</v>
      </c>
      <c r="B1913" s="31"/>
      <c r="C1913" s="2" t="s">
        <v>855</v>
      </c>
      <c r="D1913" s="31">
        <f t="shared" si="69"/>
        <v>0.18593921250853079</v>
      </c>
      <c r="F1913" s="2" t="s">
        <v>822</v>
      </c>
      <c r="G1913" s="23" t="s">
        <v>902</v>
      </c>
      <c r="H1913" s="2" t="s">
        <v>822</v>
      </c>
      <c r="J1913" s="31">
        <v>36.007198299999999</v>
      </c>
      <c r="K1913" s="31">
        <v>-32.3993988</v>
      </c>
      <c r="L1913" s="31"/>
      <c r="M1913" s="31" t="s">
        <v>854</v>
      </c>
      <c r="N1913" s="6" t="s">
        <v>856</v>
      </c>
    </row>
    <row r="1914" spans="1:14" ht="15" customHeight="1" x14ac:dyDescent="0.2">
      <c r="A1914" s="31">
        <v>0.94838363210008447</v>
      </c>
      <c r="B1914" s="31"/>
      <c r="C1914" s="2" t="s">
        <v>855</v>
      </c>
      <c r="D1914" s="31">
        <f t="shared" si="69"/>
        <v>0.18588319189161656</v>
      </c>
      <c r="F1914" s="2" t="s">
        <v>822</v>
      </c>
      <c r="G1914" s="23" t="s">
        <v>902</v>
      </c>
      <c r="H1914" s="2" t="s">
        <v>822</v>
      </c>
      <c r="J1914" s="31">
        <v>46.028301200000001</v>
      </c>
      <c r="K1914" s="31">
        <v>-3.1373300999999998</v>
      </c>
      <c r="L1914" s="31"/>
      <c r="M1914" s="31" t="s">
        <v>854</v>
      </c>
      <c r="N1914" s="6" t="s">
        <v>856</v>
      </c>
    </row>
    <row r="1915" spans="1:14" ht="15" customHeight="1" x14ac:dyDescent="0.2">
      <c r="A1915" s="31">
        <v>0.94765698239511953</v>
      </c>
      <c r="B1915" s="31"/>
      <c r="C1915" s="2" t="s">
        <v>855</v>
      </c>
      <c r="D1915" s="31">
        <f t="shared" si="69"/>
        <v>0.18574076854944344</v>
      </c>
      <c r="F1915" s="2" t="s">
        <v>822</v>
      </c>
      <c r="G1915" s="23" t="s">
        <v>902</v>
      </c>
      <c r="H1915" s="2" t="s">
        <v>822</v>
      </c>
      <c r="J1915" s="31">
        <v>39.198001900000001</v>
      </c>
      <c r="K1915" s="31">
        <v>2.8525399999999999</v>
      </c>
      <c r="L1915" s="31"/>
      <c r="M1915" s="31" t="s">
        <v>854</v>
      </c>
      <c r="N1915" s="6" t="s">
        <v>856</v>
      </c>
    </row>
    <row r="1916" spans="1:14" ht="15" customHeight="1" x14ac:dyDescent="0.2">
      <c r="A1916" s="31">
        <v>0.94717093969236377</v>
      </c>
      <c r="B1916" s="31"/>
      <c r="C1916" s="2" t="s">
        <v>855</v>
      </c>
      <c r="D1916" s="31">
        <f t="shared" si="69"/>
        <v>0.1856455041797033</v>
      </c>
      <c r="F1916" s="2" t="s">
        <v>822</v>
      </c>
      <c r="G1916" s="23" t="s">
        <v>902</v>
      </c>
      <c r="H1916" s="2" t="s">
        <v>822</v>
      </c>
      <c r="J1916" s="31">
        <v>41.445598599999997</v>
      </c>
      <c r="K1916" s="31">
        <v>6.0538401999999998</v>
      </c>
      <c r="L1916" s="31"/>
      <c r="M1916" s="31" t="s">
        <v>854</v>
      </c>
      <c r="N1916" s="6" t="s">
        <v>856</v>
      </c>
    </row>
    <row r="1917" spans="1:14" ht="15" customHeight="1" x14ac:dyDescent="0.2">
      <c r="A1917" s="31">
        <v>0.94713786117016385</v>
      </c>
      <c r="B1917" s="31"/>
      <c r="C1917" s="2" t="s">
        <v>855</v>
      </c>
      <c r="D1917" s="31">
        <f t="shared" si="69"/>
        <v>0.18563902078935213</v>
      </c>
      <c r="F1917" s="2" t="s">
        <v>822</v>
      </c>
      <c r="G1917" s="23" t="s">
        <v>902</v>
      </c>
      <c r="H1917" s="2" t="s">
        <v>822</v>
      </c>
      <c r="J1917" s="31">
        <v>41.365299200000003</v>
      </c>
      <c r="K1917" s="31">
        <v>6.3436197999999999</v>
      </c>
      <c r="L1917" s="31"/>
      <c r="M1917" s="31" t="s">
        <v>854</v>
      </c>
      <c r="N1917" s="6" t="s">
        <v>856</v>
      </c>
    </row>
    <row r="1918" spans="1:14" ht="15" customHeight="1" x14ac:dyDescent="0.2">
      <c r="A1918" s="31">
        <v>0.94699107651212633</v>
      </c>
      <c r="B1918" s="31"/>
      <c r="C1918" s="2" t="s">
        <v>855</v>
      </c>
      <c r="D1918" s="31">
        <f t="shared" si="69"/>
        <v>0.18561025099637676</v>
      </c>
      <c r="F1918" s="2" t="s">
        <v>822</v>
      </c>
      <c r="G1918" s="23" t="s">
        <v>902</v>
      </c>
      <c r="H1918" s="2" t="s">
        <v>822</v>
      </c>
      <c r="J1918" s="31">
        <v>34.051700599999997</v>
      </c>
      <c r="K1918" s="31">
        <v>-38.589900999999998</v>
      </c>
      <c r="L1918" s="31"/>
      <c r="M1918" s="31" t="s">
        <v>854</v>
      </c>
      <c r="N1918" s="6" t="s">
        <v>856</v>
      </c>
    </row>
    <row r="1919" spans="1:14" ht="15" customHeight="1" x14ac:dyDescent="0.2">
      <c r="A1919" s="31">
        <v>0.94669965486808638</v>
      </c>
      <c r="B1919" s="31"/>
      <c r="C1919" s="2" t="s">
        <v>855</v>
      </c>
      <c r="D1919" s="31">
        <f t="shared" si="69"/>
        <v>0.18555313235414495</v>
      </c>
      <c r="F1919" s="2" t="s">
        <v>822</v>
      </c>
      <c r="G1919" s="23" t="s">
        <v>902</v>
      </c>
      <c r="H1919" s="2" t="s">
        <v>822</v>
      </c>
      <c r="J1919" s="31">
        <v>49.555400800000001</v>
      </c>
      <c r="K1919" s="31">
        <v>-2.3077098999999999</v>
      </c>
      <c r="L1919" s="31"/>
      <c r="M1919" s="31" t="s">
        <v>854</v>
      </c>
      <c r="N1919" s="6" t="s">
        <v>856</v>
      </c>
    </row>
    <row r="1920" spans="1:14" ht="15" customHeight="1" x14ac:dyDescent="0.2">
      <c r="A1920" s="31">
        <v>0.94665865404756</v>
      </c>
      <c r="B1920" s="31"/>
      <c r="C1920" s="2" t="s">
        <v>855</v>
      </c>
      <c r="D1920" s="31">
        <f t="shared" si="69"/>
        <v>0.18554509619332177</v>
      </c>
      <c r="F1920" s="2" t="s">
        <v>822</v>
      </c>
      <c r="G1920" s="23" t="s">
        <v>902</v>
      </c>
      <c r="H1920" s="2" t="s">
        <v>822</v>
      </c>
      <c r="J1920" s="31">
        <v>26.064500800000001</v>
      </c>
      <c r="K1920" s="31">
        <v>-32.533901200000003</v>
      </c>
      <c r="L1920" s="31"/>
      <c r="M1920" s="31" t="s">
        <v>854</v>
      </c>
      <c r="N1920" s="6" t="s">
        <v>856</v>
      </c>
    </row>
    <row r="1921" spans="1:14" ht="15" customHeight="1" x14ac:dyDescent="0.2">
      <c r="A1921" s="31">
        <v>0.94605402378720715</v>
      </c>
      <c r="B1921" s="31"/>
      <c r="C1921" s="2" t="s">
        <v>855</v>
      </c>
      <c r="D1921" s="31">
        <f t="shared" si="69"/>
        <v>0.18542658866229261</v>
      </c>
      <c r="F1921" s="2" t="s">
        <v>822</v>
      </c>
      <c r="G1921" s="23" t="s">
        <v>902</v>
      </c>
      <c r="H1921" s="2" t="s">
        <v>822</v>
      </c>
      <c r="J1921" s="31">
        <v>34.568901099999998</v>
      </c>
      <c r="K1921" s="31">
        <v>26.287799799999998</v>
      </c>
      <c r="L1921" s="31"/>
      <c r="M1921" s="31" t="s">
        <v>854</v>
      </c>
      <c r="N1921" s="6" t="s">
        <v>856</v>
      </c>
    </row>
    <row r="1922" spans="1:14" ht="15" customHeight="1" x14ac:dyDescent="0.2">
      <c r="A1922" s="31">
        <v>0.94597256380555528</v>
      </c>
      <c r="B1922" s="31"/>
      <c r="C1922" s="2" t="s">
        <v>855</v>
      </c>
      <c r="D1922" s="31">
        <f t="shared" si="69"/>
        <v>0.18541062250588883</v>
      </c>
      <c r="F1922" s="2" t="s">
        <v>822</v>
      </c>
      <c r="G1922" s="23" t="s">
        <v>902</v>
      </c>
      <c r="H1922" s="2" t="s">
        <v>822</v>
      </c>
      <c r="J1922" s="31">
        <v>34.410301199999999</v>
      </c>
      <c r="K1922" s="31">
        <v>25.726800900000001</v>
      </c>
      <c r="L1922" s="31"/>
      <c r="M1922" s="31" t="s">
        <v>854</v>
      </c>
      <c r="N1922" s="6" t="s">
        <v>856</v>
      </c>
    </row>
    <row r="1923" spans="1:14" ht="15" customHeight="1" x14ac:dyDescent="0.2">
      <c r="A1923" s="31">
        <v>0.94588506382627136</v>
      </c>
      <c r="B1923" s="31"/>
      <c r="C1923" s="2" t="s">
        <v>855</v>
      </c>
      <c r="D1923" s="31">
        <f t="shared" si="69"/>
        <v>0.1853934725099492</v>
      </c>
      <c r="F1923" s="2" t="s">
        <v>822</v>
      </c>
      <c r="G1923" s="23" t="s">
        <v>902</v>
      </c>
      <c r="H1923" s="2" t="s">
        <v>822</v>
      </c>
      <c r="J1923" s="31">
        <v>38.731998400000002</v>
      </c>
      <c r="K1923" s="31">
        <v>-33.875999499999999</v>
      </c>
      <c r="L1923" s="31"/>
      <c r="M1923" s="31" t="s">
        <v>854</v>
      </c>
      <c r="N1923" s="6" t="s">
        <v>856</v>
      </c>
    </row>
    <row r="1924" spans="1:14" ht="15" customHeight="1" x14ac:dyDescent="0.2">
      <c r="A1924" s="31">
        <v>0.94578137659573569</v>
      </c>
      <c r="B1924" s="31"/>
      <c r="C1924" s="2" t="s">
        <v>855</v>
      </c>
      <c r="D1924" s="31">
        <f t="shared" si="69"/>
        <v>0.1853731498127642</v>
      </c>
      <c r="F1924" s="2" t="s">
        <v>822</v>
      </c>
      <c r="G1924" s="23" t="s">
        <v>902</v>
      </c>
      <c r="H1924" s="2" t="s">
        <v>822</v>
      </c>
      <c r="J1924" s="31">
        <v>33.582298299999998</v>
      </c>
      <c r="K1924" s="31">
        <v>31.916099500000001</v>
      </c>
      <c r="L1924" s="31"/>
      <c r="M1924" s="31" t="s">
        <v>854</v>
      </c>
      <c r="N1924" s="6" t="s">
        <v>856</v>
      </c>
    </row>
    <row r="1925" spans="1:14" ht="15" customHeight="1" x14ac:dyDescent="0.2">
      <c r="A1925" s="31">
        <v>0.9457005888717539</v>
      </c>
      <c r="B1925" s="31"/>
      <c r="C1925" s="2" t="s">
        <v>855</v>
      </c>
      <c r="D1925" s="31">
        <f t="shared" si="69"/>
        <v>0.18535731541886377</v>
      </c>
      <c r="F1925" s="2" t="s">
        <v>822</v>
      </c>
      <c r="G1925" s="23" t="s">
        <v>902</v>
      </c>
      <c r="H1925" s="2" t="s">
        <v>822</v>
      </c>
      <c r="J1925" s="31">
        <v>38.956901600000002</v>
      </c>
      <c r="K1925" s="31">
        <v>-21.927099200000001</v>
      </c>
      <c r="L1925" s="31"/>
      <c r="M1925" s="31" t="s">
        <v>854</v>
      </c>
      <c r="N1925" s="6" t="s">
        <v>856</v>
      </c>
    </row>
    <row r="1926" spans="1:14" ht="15" customHeight="1" x14ac:dyDescent="0.2">
      <c r="A1926" s="31">
        <v>0.94501086606754281</v>
      </c>
      <c r="B1926" s="31"/>
      <c r="C1926" s="2" t="s">
        <v>855</v>
      </c>
      <c r="D1926" s="31">
        <f t="shared" si="69"/>
        <v>0.18522212974923841</v>
      </c>
      <c r="F1926" s="2" t="s">
        <v>822</v>
      </c>
      <c r="G1926" s="23" t="s">
        <v>902</v>
      </c>
      <c r="H1926" s="2" t="s">
        <v>822</v>
      </c>
      <c r="J1926" s="31">
        <v>59.129600500000002</v>
      </c>
      <c r="K1926" s="31">
        <v>22.653799100000001</v>
      </c>
      <c r="L1926" s="31"/>
      <c r="M1926" s="31" t="s">
        <v>854</v>
      </c>
      <c r="N1926" s="6" t="s">
        <v>856</v>
      </c>
    </row>
    <row r="1927" spans="1:14" ht="15" customHeight="1" x14ac:dyDescent="0.2">
      <c r="A1927" s="31">
        <v>0.94498631184541459</v>
      </c>
      <c r="B1927" s="31"/>
      <c r="C1927" s="2" t="s">
        <v>855</v>
      </c>
      <c r="D1927" s="31">
        <f t="shared" ref="D1927:D1958" si="70" xml:space="preserve"> A1927 * 0.196</f>
        <v>0.18521731712170128</v>
      </c>
      <c r="F1927" s="2" t="s">
        <v>822</v>
      </c>
      <c r="G1927" s="23" t="s">
        <v>902</v>
      </c>
      <c r="H1927" s="2" t="s">
        <v>822</v>
      </c>
      <c r="J1927" s="31">
        <v>38.187801399999998</v>
      </c>
      <c r="K1927" s="31">
        <v>-17.872100799999998</v>
      </c>
      <c r="L1927" s="31"/>
      <c r="M1927" s="31" t="s">
        <v>854</v>
      </c>
      <c r="N1927" s="6" t="s">
        <v>856</v>
      </c>
    </row>
    <row r="1928" spans="1:14" ht="15" customHeight="1" x14ac:dyDescent="0.2">
      <c r="A1928" s="31">
        <v>0.94458195183432103</v>
      </c>
      <c r="B1928" s="31"/>
      <c r="C1928" s="2" t="s">
        <v>855</v>
      </c>
      <c r="D1928" s="31">
        <f t="shared" si="70"/>
        <v>0.18513806255952692</v>
      </c>
      <c r="F1928" s="2" t="s">
        <v>822</v>
      </c>
      <c r="G1928" s="23" t="s">
        <v>902</v>
      </c>
      <c r="H1928" s="2" t="s">
        <v>822</v>
      </c>
      <c r="J1928" s="31">
        <v>41.936199199999997</v>
      </c>
      <c r="K1928" s="31">
        <v>-33.124900799999999</v>
      </c>
      <c r="L1928" s="31"/>
      <c r="M1928" s="31" t="s">
        <v>854</v>
      </c>
      <c r="N1928" s="6" t="s">
        <v>856</v>
      </c>
    </row>
    <row r="1929" spans="1:14" ht="15" customHeight="1" x14ac:dyDescent="0.2">
      <c r="A1929" s="31">
        <v>0.94452403043876243</v>
      </c>
      <c r="B1929" s="31"/>
      <c r="C1929" s="2" t="s">
        <v>855</v>
      </c>
      <c r="D1929" s="31">
        <f t="shared" si="70"/>
        <v>0.18512670996599745</v>
      </c>
      <c r="F1929" s="2" t="s">
        <v>822</v>
      </c>
      <c r="G1929" s="23" t="s">
        <v>902</v>
      </c>
      <c r="H1929" s="2" t="s">
        <v>822</v>
      </c>
      <c r="J1929" s="31">
        <v>52.000900299999998</v>
      </c>
      <c r="K1929" s="31">
        <v>-10.3987999</v>
      </c>
      <c r="L1929" s="31"/>
      <c r="M1929" s="31" t="s">
        <v>854</v>
      </c>
      <c r="N1929" s="6" t="s">
        <v>856</v>
      </c>
    </row>
    <row r="1930" spans="1:14" ht="15" customHeight="1" x14ac:dyDescent="0.2">
      <c r="A1930" s="31">
        <v>0.94452157341214216</v>
      </c>
      <c r="B1930" s="31"/>
      <c r="C1930" s="2" t="s">
        <v>855</v>
      </c>
      <c r="D1930" s="31">
        <f t="shared" si="70"/>
        <v>0.18512622838877987</v>
      </c>
      <c r="F1930" s="2" t="s">
        <v>822</v>
      </c>
      <c r="G1930" s="23" t="s">
        <v>902</v>
      </c>
      <c r="H1930" s="2" t="s">
        <v>822</v>
      </c>
      <c r="J1930" s="31">
        <v>37.363498700000001</v>
      </c>
      <c r="K1930" s="31">
        <v>20.212600699999999</v>
      </c>
      <c r="L1930" s="31"/>
      <c r="M1930" s="31" t="s">
        <v>854</v>
      </c>
      <c r="N1930" s="6" t="s">
        <v>856</v>
      </c>
    </row>
    <row r="1931" spans="1:14" ht="15" customHeight="1" x14ac:dyDescent="0.2">
      <c r="A1931" s="31">
        <v>0.94391251564039458</v>
      </c>
      <c r="B1931" s="31"/>
      <c r="C1931" s="2" t="s">
        <v>855</v>
      </c>
      <c r="D1931" s="31">
        <f t="shared" si="70"/>
        <v>0.18500685306551734</v>
      </c>
      <c r="F1931" s="2" t="s">
        <v>822</v>
      </c>
      <c r="G1931" s="23" t="s">
        <v>902</v>
      </c>
      <c r="H1931" s="2" t="s">
        <v>822</v>
      </c>
      <c r="J1931" s="31">
        <v>54.541599300000001</v>
      </c>
      <c r="K1931" s="31">
        <v>-4.5401601999999999</v>
      </c>
      <c r="L1931" s="31"/>
      <c r="M1931" s="31" t="s">
        <v>854</v>
      </c>
      <c r="N1931" s="6" t="s">
        <v>856</v>
      </c>
    </row>
    <row r="1932" spans="1:14" ht="15" customHeight="1" x14ac:dyDescent="0.2">
      <c r="A1932" s="31">
        <v>0.94335838639037362</v>
      </c>
      <c r="B1932" s="31"/>
      <c r="C1932" s="2" t="s">
        <v>855</v>
      </c>
      <c r="D1932" s="31">
        <f t="shared" si="70"/>
        <v>0.18489824373251323</v>
      </c>
      <c r="F1932" s="2" t="s">
        <v>822</v>
      </c>
      <c r="G1932" s="23" t="s">
        <v>902</v>
      </c>
      <c r="H1932" s="2" t="s">
        <v>822</v>
      </c>
      <c r="J1932" s="31">
        <v>29.3799992</v>
      </c>
      <c r="K1932" s="31">
        <v>-27.864000300000001</v>
      </c>
      <c r="L1932" s="31"/>
      <c r="M1932" s="31" t="s">
        <v>854</v>
      </c>
      <c r="N1932" s="6" t="s">
        <v>856</v>
      </c>
    </row>
    <row r="1933" spans="1:14" ht="15" customHeight="1" x14ac:dyDescent="0.2">
      <c r="A1933" s="31">
        <v>0.94330059088172957</v>
      </c>
      <c r="B1933" s="31"/>
      <c r="C1933" s="2" t="s">
        <v>855</v>
      </c>
      <c r="D1933" s="31">
        <f t="shared" si="70"/>
        <v>0.18488691581281899</v>
      </c>
      <c r="F1933" s="2" t="s">
        <v>822</v>
      </c>
      <c r="G1933" s="23" t="s">
        <v>902</v>
      </c>
      <c r="H1933" s="2" t="s">
        <v>822</v>
      </c>
      <c r="J1933" s="31">
        <v>33.459301000000004</v>
      </c>
      <c r="K1933" s="31">
        <v>-26.527999900000001</v>
      </c>
      <c r="L1933" s="31"/>
      <c r="M1933" s="31" t="s">
        <v>854</v>
      </c>
      <c r="N1933" s="6" t="s">
        <v>856</v>
      </c>
    </row>
    <row r="1934" spans="1:14" ht="15" customHeight="1" x14ac:dyDescent="0.2">
      <c r="A1934" s="31">
        <v>0.9426815844524794</v>
      </c>
      <c r="B1934" s="31"/>
      <c r="C1934" s="2" t="s">
        <v>855</v>
      </c>
      <c r="D1934" s="31">
        <f t="shared" si="70"/>
        <v>0.18476559055268596</v>
      </c>
      <c r="F1934" s="2" t="s">
        <v>822</v>
      </c>
      <c r="G1934" s="23" t="s">
        <v>902</v>
      </c>
      <c r="H1934" s="2" t="s">
        <v>822</v>
      </c>
      <c r="J1934" s="31">
        <v>39.035800899999998</v>
      </c>
      <c r="K1934" s="31">
        <v>9.0636796999999998</v>
      </c>
      <c r="L1934" s="31"/>
      <c r="M1934" s="31" t="s">
        <v>854</v>
      </c>
      <c r="N1934" s="6" t="s">
        <v>856</v>
      </c>
    </row>
    <row r="1935" spans="1:14" ht="15" customHeight="1" x14ac:dyDescent="0.2">
      <c r="A1935" s="31">
        <v>0.94258199837337797</v>
      </c>
      <c r="B1935" s="31"/>
      <c r="C1935" s="2" t="s">
        <v>855</v>
      </c>
      <c r="D1935" s="31">
        <f t="shared" si="70"/>
        <v>0.18474607168118209</v>
      </c>
      <c r="F1935" s="2" t="s">
        <v>822</v>
      </c>
      <c r="G1935" s="23" t="s">
        <v>902</v>
      </c>
      <c r="H1935" s="2" t="s">
        <v>822</v>
      </c>
      <c r="J1935" s="31">
        <v>39.400001500000002</v>
      </c>
      <c r="K1935" s="31">
        <v>-41.223998999999999</v>
      </c>
      <c r="L1935" s="31"/>
      <c r="M1935" s="31" t="s">
        <v>854</v>
      </c>
      <c r="N1935" s="6" t="s">
        <v>856</v>
      </c>
    </row>
    <row r="1936" spans="1:14" ht="15" customHeight="1" x14ac:dyDescent="0.2">
      <c r="A1936" s="31">
        <v>0.94234635302340786</v>
      </c>
      <c r="B1936" s="31"/>
      <c r="C1936" s="2" t="s">
        <v>855</v>
      </c>
      <c r="D1936" s="31">
        <f t="shared" si="70"/>
        <v>0.18469988519258795</v>
      </c>
      <c r="F1936" s="2" t="s">
        <v>822</v>
      </c>
      <c r="G1936" s="23" t="s">
        <v>902</v>
      </c>
      <c r="H1936" s="2" t="s">
        <v>822</v>
      </c>
      <c r="J1936" s="31">
        <v>43.740501399999999</v>
      </c>
      <c r="K1936" s="31">
        <v>-10.836899799999999</v>
      </c>
      <c r="L1936" s="31"/>
      <c r="M1936" s="31" t="s">
        <v>854</v>
      </c>
      <c r="N1936" s="6" t="s">
        <v>856</v>
      </c>
    </row>
    <row r="1937" spans="1:14" ht="15" customHeight="1" x14ac:dyDescent="0.2">
      <c r="A1937" s="31">
        <v>0.94216421284596219</v>
      </c>
      <c r="B1937" s="31"/>
      <c r="C1937" s="2" t="s">
        <v>855</v>
      </c>
      <c r="D1937" s="31">
        <f t="shared" si="70"/>
        <v>0.1846641857178086</v>
      </c>
      <c r="F1937" s="2" t="s">
        <v>822</v>
      </c>
      <c r="G1937" s="23" t="s">
        <v>902</v>
      </c>
      <c r="H1937" s="2" t="s">
        <v>822</v>
      </c>
      <c r="J1937" s="31">
        <v>44.358001700000003</v>
      </c>
      <c r="K1937" s="31">
        <v>-12.5326004</v>
      </c>
      <c r="L1937" s="31"/>
      <c r="M1937" s="31" t="s">
        <v>854</v>
      </c>
      <c r="N1937" s="6" t="s">
        <v>856</v>
      </c>
    </row>
    <row r="1938" spans="1:14" ht="15" customHeight="1" x14ac:dyDescent="0.2">
      <c r="A1938" s="31">
        <v>0.94181946527588023</v>
      </c>
      <c r="B1938" s="31"/>
      <c r="C1938" s="2" t="s">
        <v>855</v>
      </c>
      <c r="D1938" s="31">
        <f t="shared" si="70"/>
        <v>0.18459661519407253</v>
      </c>
      <c r="F1938" s="2" t="s">
        <v>822</v>
      </c>
      <c r="G1938" s="23" t="s">
        <v>902</v>
      </c>
      <c r="H1938" s="2" t="s">
        <v>822</v>
      </c>
      <c r="J1938" s="31">
        <v>37.0143013</v>
      </c>
      <c r="K1938" s="31">
        <v>2.8156599999999998</v>
      </c>
      <c r="L1938" s="31"/>
      <c r="M1938" s="31" t="s">
        <v>854</v>
      </c>
      <c r="N1938" s="6" t="s">
        <v>856</v>
      </c>
    </row>
    <row r="1939" spans="1:14" ht="15" customHeight="1" x14ac:dyDescent="0.2">
      <c r="A1939" s="31">
        <v>0.94180996058373656</v>
      </c>
      <c r="B1939" s="31"/>
      <c r="C1939" s="2" t="s">
        <v>855</v>
      </c>
      <c r="D1939" s="31">
        <f t="shared" si="70"/>
        <v>0.18459475227441238</v>
      </c>
      <c r="F1939" s="2" t="s">
        <v>822</v>
      </c>
      <c r="G1939" s="23" t="s">
        <v>902</v>
      </c>
      <c r="H1939" s="2" t="s">
        <v>822</v>
      </c>
      <c r="J1939" s="31">
        <v>42.071998600000001</v>
      </c>
      <c r="K1939" s="31">
        <v>-17.176000599999998</v>
      </c>
      <c r="L1939" s="31"/>
      <c r="M1939" s="31" t="s">
        <v>854</v>
      </c>
      <c r="N1939" s="6" t="s">
        <v>856</v>
      </c>
    </row>
    <row r="1940" spans="1:14" ht="15" customHeight="1" x14ac:dyDescent="0.2">
      <c r="A1940" s="31">
        <v>0.94167604516231906</v>
      </c>
      <c r="B1940" s="31"/>
      <c r="C1940" s="2" t="s">
        <v>855</v>
      </c>
      <c r="D1940" s="31">
        <f t="shared" si="70"/>
        <v>0.18456850485181453</v>
      </c>
      <c r="F1940" s="2" t="s">
        <v>822</v>
      </c>
      <c r="G1940" s="23" t="s">
        <v>902</v>
      </c>
      <c r="H1940" s="2" t="s">
        <v>822</v>
      </c>
      <c r="J1940" s="31">
        <v>40.0680008</v>
      </c>
      <c r="K1940" s="31">
        <v>-11.8319998</v>
      </c>
      <c r="L1940" s="31"/>
      <c r="M1940" s="31" t="s">
        <v>854</v>
      </c>
      <c r="N1940" s="6" t="s">
        <v>856</v>
      </c>
    </row>
    <row r="1941" spans="1:14" ht="15" customHeight="1" x14ac:dyDescent="0.2">
      <c r="A1941" s="31">
        <v>0.94136819435911168</v>
      </c>
      <c r="B1941" s="31"/>
      <c r="C1941" s="2" t="s">
        <v>855</v>
      </c>
      <c r="D1941" s="31">
        <f t="shared" si="70"/>
        <v>0.18450816609438589</v>
      </c>
      <c r="F1941" s="2" t="s">
        <v>822</v>
      </c>
      <c r="G1941" s="23" t="s">
        <v>902</v>
      </c>
      <c r="H1941" s="2" t="s">
        <v>822</v>
      </c>
      <c r="J1941" s="31">
        <v>45.053901699999997</v>
      </c>
      <c r="K1941" s="31">
        <v>-9.6667299</v>
      </c>
      <c r="L1941" s="31"/>
      <c r="M1941" s="31" t="s">
        <v>854</v>
      </c>
      <c r="N1941" s="6" t="s">
        <v>856</v>
      </c>
    </row>
    <row r="1942" spans="1:14" ht="15" customHeight="1" x14ac:dyDescent="0.2">
      <c r="A1942" s="31">
        <v>0.94115250536766748</v>
      </c>
      <c r="B1942" s="31"/>
      <c r="C1942" s="2" t="s">
        <v>855</v>
      </c>
      <c r="D1942" s="31">
        <f t="shared" si="70"/>
        <v>0.18446589105206285</v>
      </c>
      <c r="F1942" s="2" t="s">
        <v>822</v>
      </c>
      <c r="G1942" s="23" t="s">
        <v>902</v>
      </c>
      <c r="H1942" s="2" t="s">
        <v>822</v>
      </c>
      <c r="J1942" s="31">
        <v>40.794300100000001</v>
      </c>
      <c r="K1942" s="31">
        <v>18.625</v>
      </c>
      <c r="L1942" s="31"/>
      <c r="M1942" s="31" t="s">
        <v>854</v>
      </c>
      <c r="N1942" s="6" t="s">
        <v>856</v>
      </c>
    </row>
    <row r="1943" spans="1:14" ht="15" customHeight="1" x14ac:dyDescent="0.2">
      <c r="A1943" s="31">
        <v>0.94038104543155365</v>
      </c>
      <c r="B1943" s="31"/>
      <c r="C1943" s="2" t="s">
        <v>855</v>
      </c>
      <c r="D1943" s="31">
        <f t="shared" si="70"/>
        <v>0.18431468490458452</v>
      </c>
      <c r="F1943" s="2" t="s">
        <v>822</v>
      </c>
      <c r="G1943" s="23" t="s">
        <v>902</v>
      </c>
      <c r="H1943" s="2" t="s">
        <v>822</v>
      </c>
      <c r="J1943" s="31">
        <v>44.743999500000001</v>
      </c>
      <c r="K1943" s="31">
        <v>-40.555999800000002</v>
      </c>
      <c r="L1943" s="31"/>
      <c r="M1943" s="31" t="s">
        <v>854</v>
      </c>
      <c r="N1943" s="6" t="s">
        <v>856</v>
      </c>
    </row>
    <row r="1944" spans="1:14" ht="15" customHeight="1" x14ac:dyDescent="0.2">
      <c r="A1944" s="31">
        <v>0.94019068138735584</v>
      </c>
      <c r="B1944" s="31"/>
      <c r="C1944" s="2" t="s">
        <v>855</v>
      </c>
      <c r="D1944" s="31">
        <f t="shared" si="70"/>
        <v>0.18427737355192175</v>
      </c>
      <c r="F1944" s="2" t="s">
        <v>822</v>
      </c>
      <c r="G1944" s="23" t="s">
        <v>902</v>
      </c>
      <c r="H1944" s="2" t="s">
        <v>822</v>
      </c>
      <c r="J1944" s="31">
        <v>45.641998299999997</v>
      </c>
      <c r="K1944" s="31">
        <v>-7.9105100999999998</v>
      </c>
      <c r="L1944" s="31"/>
      <c r="M1944" s="31" t="s">
        <v>854</v>
      </c>
      <c r="N1944" s="6" t="s">
        <v>856</v>
      </c>
    </row>
    <row r="1945" spans="1:14" ht="15" customHeight="1" x14ac:dyDescent="0.2">
      <c r="A1945" s="31">
        <v>0.93991092789606934</v>
      </c>
      <c r="B1945" s="31"/>
      <c r="C1945" s="2" t="s">
        <v>855</v>
      </c>
      <c r="D1945" s="31">
        <f t="shared" si="70"/>
        <v>0.1842225418676296</v>
      </c>
      <c r="F1945" s="2" t="s">
        <v>822</v>
      </c>
      <c r="G1945" s="23" t="s">
        <v>902</v>
      </c>
      <c r="H1945" s="2" t="s">
        <v>822</v>
      </c>
      <c r="J1945" s="31">
        <v>59.504398299999998</v>
      </c>
      <c r="K1945" s="31">
        <v>25.090900399999999</v>
      </c>
      <c r="L1945" s="31"/>
      <c r="M1945" s="31" t="s">
        <v>854</v>
      </c>
      <c r="N1945" s="6" t="s">
        <v>856</v>
      </c>
    </row>
    <row r="1946" spans="1:14" ht="15" customHeight="1" x14ac:dyDescent="0.2">
      <c r="A1946" s="31">
        <v>0.9397632160481294</v>
      </c>
      <c r="B1946" s="31"/>
      <c r="C1946" s="2" t="s">
        <v>855</v>
      </c>
      <c r="D1946" s="31">
        <f t="shared" si="70"/>
        <v>0.18419359034543337</v>
      </c>
      <c r="F1946" s="2" t="s">
        <v>822</v>
      </c>
      <c r="G1946" s="23" t="s">
        <v>902</v>
      </c>
      <c r="H1946" s="2" t="s">
        <v>822</v>
      </c>
      <c r="J1946" s="31">
        <v>36.728599500000001</v>
      </c>
      <c r="K1946" s="31">
        <v>-15.840700099999999</v>
      </c>
      <c r="L1946" s="31"/>
      <c r="M1946" s="31" t="s">
        <v>854</v>
      </c>
      <c r="N1946" s="6" t="s">
        <v>856</v>
      </c>
    </row>
    <row r="1947" spans="1:14" ht="15" customHeight="1" x14ac:dyDescent="0.2">
      <c r="A1947" s="31">
        <v>0.93972538996705568</v>
      </c>
      <c r="B1947" s="31"/>
      <c r="C1947" s="2" t="s">
        <v>855</v>
      </c>
      <c r="D1947" s="31">
        <f t="shared" si="70"/>
        <v>0.18418617643354293</v>
      </c>
      <c r="F1947" s="2" t="s">
        <v>822</v>
      </c>
      <c r="G1947" s="23" t="s">
        <v>902</v>
      </c>
      <c r="H1947" s="2" t="s">
        <v>822</v>
      </c>
      <c r="J1947" s="31">
        <v>39.308498399999998</v>
      </c>
      <c r="K1947" s="31">
        <v>-38.4695015</v>
      </c>
      <c r="L1947" s="31"/>
      <c r="M1947" s="31" t="s">
        <v>854</v>
      </c>
      <c r="N1947" s="6" t="s">
        <v>856</v>
      </c>
    </row>
    <row r="1948" spans="1:14" ht="15" customHeight="1" x14ac:dyDescent="0.2">
      <c r="A1948" s="31">
        <v>0.93961504652817618</v>
      </c>
      <c r="B1948" s="31"/>
      <c r="C1948" s="2" t="s">
        <v>855</v>
      </c>
      <c r="D1948" s="31">
        <f t="shared" si="70"/>
        <v>0.18416454911952254</v>
      </c>
      <c r="F1948" s="2" t="s">
        <v>822</v>
      </c>
      <c r="G1948" s="23" t="s">
        <v>902</v>
      </c>
      <c r="H1948" s="2" t="s">
        <v>822</v>
      </c>
      <c r="J1948" s="31">
        <v>32.720001199999999</v>
      </c>
      <c r="K1948" s="31">
        <v>-37.883998900000002</v>
      </c>
      <c r="L1948" s="31"/>
      <c r="M1948" s="31" t="s">
        <v>854</v>
      </c>
      <c r="N1948" s="6" t="s">
        <v>856</v>
      </c>
    </row>
    <row r="1949" spans="1:14" ht="15" customHeight="1" x14ac:dyDescent="0.2">
      <c r="A1949" s="31">
        <v>0.93930222767393989</v>
      </c>
      <c r="B1949" s="31"/>
      <c r="C1949" s="2" t="s">
        <v>855</v>
      </c>
      <c r="D1949" s="31">
        <f t="shared" si="70"/>
        <v>0.18410323662409223</v>
      </c>
      <c r="F1949" s="2" t="s">
        <v>822</v>
      </c>
      <c r="G1949" s="23" t="s">
        <v>902</v>
      </c>
      <c r="H1949" s="2" t="s">
        <v>822</v>
      </c>
      <c r="J1949" s="31">
        <v>40.402599299999999</v>
      </c>
      <c r="K1949" s="31">
        <v>-34.236198399999999</v>
      </c>
      <c r="L1949" s="31"/>
      <c r="M1949" s="31" t="s">
        <v>854</v>
      </c>
      <c r="N1949" s="6" t="s">
        <v>856</v>
      </c>
    </row>
    <row r="1950" spans="1:14" ht="15" customHeight="1" x14ac:dyDescent="0.2">
      <c r="A1950" s="31">
        <v>0.93907950639368587</v>
      </c>
      <c r="B1950" s="31"/>
      <c r="C1950" s="2" t="s">
        <v>855</v>
      </c>
      <c r="D1950" s="31">
        <f t="shared" si="70"/>
        <v>0.18405958325316243</v>
      </c>
      <c r="F1950" s="2" t="s">
        <v>822</v>
      </c>
      <c r="G1950" s="23" t="s">
        <v>902</v>
      </c>
      <c r="H1950" s="2" t="s">
        <v>822</v>
      </c>
      <c r="J1950" s="31">
        <v>34.793800400000002</v>
      </c>
      <c r="K1950" s="31">
        <v>-6.8994698999999997</v>
      </c>
      <c r="L1950" s="31"/>
      <c r="M1950" s="31" t="s">
        <v>854</v>
      </c>
      <c r="N1950" s="6" t="s">
        <v>856</v>
      </c>
    </row>
    <row r="1951" spans="1:14" ht="15" customHeight="1" x14ac:dyDescent="0.2">
      <c r="A1951" s="31">
        <v>0.93881822961494221</v>
      </c>
      <c r="B1951" s="31"/>
      <c r="C1951" s="2" t="s">
        <v>855</v>
      </c>
      <c r="D1951" s="31">
        <f t="shared" si="70"/>
        <v>0.18400837300452869</v>
      </c>
      <c r="F1951" s="2" t="s">
        <v>822</v>
      </c>
      <c r="G1951" s="23" t="s">
        <v>902</v>
      </c>
      <c r="H1951" s="2" t="s">
        <v>822</v>
      </c>
      <c r="J1951" s="31">
        <v>37.339199100000002</v>
      </c>
      <c r="K1951" s="31">
        <v>-24.355199800000001</v>
      </c>
      <c r="L1951" s="31"/>
      <c r="M1951" s="31" t="s">
        <v>854</v>
      </c>
      <c r="N1951" s="6" t="s">
        <v>856</v>
      </c>
    </row>
    <row r="1952" spans="1:14" ht="15" customHeight="1" x14ac:dyDescent="0.2">
      <c r="A1952" s="31">
        <v>0.93881597086953772</v>
      </c>
      <c r="B1952" s="31"/>
      <c r="C1952" s="2" t="s">
        <v>855</v>
      </c>
      <c r="D1952" s="31">
        <f t="shared" si="70"/>
        <v>0.18400793029042939</v>
      </c>
      <c r="F1952" s="2" t="s">
        <v>822</v>
      </c>
      <c r="G1952" s="23" t="s">
        <v>902</v>
      </c>
      <c r="H1952" s="2" t="s">
        <v>822</v>
      </c>
      <c r="J1952" s="31">
        <v>43.573700000000002</v>
      </c>
      <c r="K1952" s="31">
        <v>-36.521900199999997</v>
      </c>
      <c r="L1952" s="31"/>
      <c r="M1952" s="31" t="s">
        <v>854</v>
      </c>
      <c r="N1952" s="6" t="s">
        <v>856</v>
      </c>
    </row>
    <row r="1953" spans="1:14" ht="15" customHeight="1" x14ac:dyDescent="0.2">
      <c r="A1953" s="31">
        <v>0.93869824169134675</v>
      </c>
      <c r="B1953" s="31"/>
      <c r="C1953" s="2" t="s">
        <v>855</v>
      </c>
      <c r="D1953" s="31">
        <f t="shared" si="70"/>
        <v>0.18398485537150397</v>
      </c>
      <c r="F1953" s="2" t="s">
        <v>822</v>
      </c>
      <c r="G1953" s="23" t="s">
        <v>902</v>
      </c>
      <c r="H1953" s="2" t="s">
        <v>822</v>
      </c>
      <c r="J1953" s="31">
        <v>59.685901600000001</v>
      </c>
      <c r="K1953" s="31">
        <v>20.205299400000001</v>
      </c>
      <c r="L1953" s="31"/>
      <c r="M1953" s="31" t="s">
        <v>854</v>
      </c>
      <c r="N1953" s="6" t="s">
        <v>856</v>
      </c>
    </row>
    <row r="1954" spans="1:14" ht="15" customHeight="1" x14ac:dyDescent="0.2">
      <c r="A1954" s="31">
        <v>0.93861345564244025</v>
      </c>
      <c r="B1954" s="31"/>
      <c r="C1954" s="2" t="s">
        <v>855</v>
      </c>
      <c r="D1954" s="31">
        <f t="shared" si="70"/>
        <v>0.1839682373059183</v>
      </c>
      <c r="F1954" s="2" t="s">
        <v>822</v>
      </c>
      <c r="G1954" s="23" t="s">
        <v>902</v>
      </c>
      <c r="H1954" s="2" t="s">
        <v>822</v>
      </c>
      <c r="J1954" s="31">
        <v>35.829200700000001</v>
      </c>
      <c r="K1954" s="31">
        <v>-39.809398700000003</v>
      </c>
      <c r="L1954" s="31"/>
      <c r="M1954" s="31" t="s">
        <v>854</v>
      </c>
      <c r="N1954" s="6" t="s">
        <v>856</v>
      </c>
    </row>
    <row r="1955" spans="1:14" ht="15" customHeight="1" x14ac:dyDescent="0.2">
      <c r="A1955" s="31">
        <v>0.93846778174526002</v>
      </c>
      <c r="B1955" s="31"/>
      <c r="C1955" s="2" t="s">
        <v>855</v>
      </c>
      <c r="D1955" s="31">
        <f t="shared" si="70"/>
        <v>0.18393968522207096</v>
      </c>
      <c r="F1955" s="2" t="s">
        <v>822</v>
      </c>
      <c r="G1955" s="23" t="s">
        <v>902</v>
      </c>
      <c r="H1955" s="2" t="s">
        <v>822</v>
      </c>
      <c r="J1955" s="31">
        <v>32.125900299999998</v>
      </c>
      <c r="K1955" s="31">
        <v>-42.514400500000001</v>
      </c>
      <c r="L1955" s="31"/>
      <c r="M1955" s="31" t="s">
        <v>854</v>
      </c>
      <c r="N1955" s="6" t="s">
        <v>856</v>
      </c>
    </row>
    <row r="1956" spans="1:14" ht="15" customHeight="1" x14ac:dyDescent="0.2">
      <c r="A1956" s="31">
        <v>0.93806718392163735</v>
      </c>
      <c r="B1956" s="31"/>
      <c r="C1956" s="2" t="s">
        <v>855</v>
      </c>
      <c r="D1956" s="31">
        <f t="shared" si="70"/>
        <v>0.18386116804864092</v>
      </c>
      <c r="F1956" s="2" t="s">
        <v>822</v>
      </c>
      <c r="G1956" s="23" t="s">
        <v>902</v>
      </c>
      <c r="H1956" s="2" t="s">
        <v>822</v>
      </c>
      <c r="J1956" s="31">
        <v>25.3719997</v>
      </c>
      <c r="K1956" s="31">
        <v>-25.860000599999999</v>
      </c>
      <c r="L1956" s="31"/>
      <c r="M1956" s="31" t="s">
        <v>854</v>
      </c>
      <c r="N1956" s="6" t="s">
        <v>856</v>
      </c>
    </row>
    <row r="1957" spans="1:14" ht="15" customHeight="1" x14ac:dyDescent="0.2">
      <c r="A1957" s="31">
        <v>0.93786114832863388</v>
      </c>
      <c r="B1957" s="31"/>
      <c r="C1957" s="2" t="s">
        <v>855</v>
      </c>
      <c r="D1957" s="31">
        <f t="shared" si="70"/>
        <v>0.18382078507241226</v>
      </c>
      <c r="F1957" s="2" t="s">
        <v>822</v>
      </c>
      <c r="G1957" s="23" t="s">
        <v>902</v>
      </c>
      <c r="H1957" s="2" t="s">
        <v>822</v>
      </c>
      <c r="J1957" s="31">
        <v>45.411998699999998</v>
      </c>
      <c r="K1957" s="31">
        <v>-6.4879999000000002</v>
      </c>
      <c r="L1957" s="31"/>
      <c r="M1957" s="31" t="s">
        <v>854</v>
      </c>
      <c r="N1957" s="6" t="s">
        <v>856</v>
      </c>
    </row>
    <row r="1958" spans="1:14" ht="15" customHeight="1" x14ac:dyDescent="0.2">
      <c r="A1958" s="31">
        <v>0.93768653498910859</v>
      </c>
      <c r="B1958" s="31"/>
      <c r="C1958" s="2" t="s">
        <v>855</v>
      </c>
      <c r="D1958" s="31">
        <f t="shared" si="70"/>
        <v>0.18378656085786529</v>
      </c>
      <c r="F1958" s="2" t="s">
        <v>822</v>
      </c>
      <c r="G1958" s="23" t="s">
        <v>902</v>
      </c>
      <c r="H1958" s="2" t="s">
        <v>822</v>
      </c>
      <c r="J1958" s="31">
        <v>31.688499499999999</v>
      </c>
      <c r="K1958" s="31">
        <v>27.989000300000001</v>
      </c>
      <c r="L1958" s="31"/>
      <c r="M1958" s="31" t="s">
        <v>854</v>
      </c>
      <c r="N1958" s="6" t="s">
        <v>856</v>
      </c>
    </row>
    <row r="1959" spans="1:14" ht="15" customHeight="1" x14ac:dyDescent="0.2">
      <c r="A1959" s="31">
        <v>0.93749149146778621</v>
      </c>
      <c r="B1959" s="31"/>
      <c r="C1959" s="2" t="s">
        <v>855</v>
      </c>
      <c r="D1959" s="31">
        <f t="shared" ref="D1959:D1990" si="71" xml:space="preserve"> A1959 * 0.196</f>
        <v>0.18374833232768611</v>
      </c>
      <c r="F1959" s="2" t="s">
        <v>822</v>
      </c>
      <c r="G1959" s="23" t="s">
        <v>902</v>
      </c>
      <c r="H1959" s="2" t="s">
        <v>822</v>
      </c>
      <c r="J1959" s="31">
        <v>30.1056004</v>
      </c>
      <c r="K1959" s="31">
        <v>-13.3206997</v>
      </c>
      <c r="L1959" s="31"/>
      <c r="M1959" s="31" t="s">
        <v>854</v>
      </c>
      <c r="N1959" s="6" t="s">
        <v>856</v>
      </c>
    </row>
    <row r="1960" spans="1:14" ht="15" customHeight="1" x14ac:dyDescent="0.2">
      <c r="A1960" s="31">
        <v>0.93741320809192641</v>
      </c>
      <c r="B1960" s="31"/>
      <c r="C1960" s="2" t="s">
        <v>855</v>
      </c>
      <c r="D1960" s="31">
        <f t="shared" si="71"/>
        <v>0.18373298878601757</v>
      </c>
      <c r="F1960" s="2" t="s">
        <v>822</v>
      </c>
      <c r="G1960" s="23" t="s">
        <v>902</v>
      </c>
      <c r="H1960" s="2" t="s">
        <v>822</v>
      </c>
      <c r="J1960" s="31">
        <v>40.736000099999998</v>
      </c>
      <c r="K1960" s="31">
        <v>-17.176000599999998</v>
      </c>
      <c r="L1960" s="31"/>
      <c r="M1960" s="31" t="s">
        <v>854</v>
      </c>
      <c r="N1960" s="6" t="s">
        <v>856</v>
      </c>
    </row>
    <row r="1961" spans="1:14" ht="15" customHeight="1" x14ac:dyDescent="0.2">
      <c r="A1961" s="31">
        <v>0.93727528430977003</v>
      </c>
      <c r="B1961" s="31"/>
      <c r="C1961" s="2" t="s">
        <v>855</v>
      </c>
      <c r="D1961" s="31">
        <f t="shared" si="71"/>
        <v>0.18370595572471493</v>
      </c>
      <c r="F1961" s="2" t="s">
        <v>822</v>
      </c>
      <c r="G1961" s="23" t="s">
        <v>902</v>
      </c>
      <c r="H1961" s="2" t="s">
        <v>822</v>
      </c>
      <c r="J1961" s="31">
        <v>41.322399099999998</v>
      </c>
      <c r="K1961" s="31">
        <v>-22.532699600000001</v>
      </c>
      <c r="L1961" s="31"/>
      <c r="M1961" s="31" t="s">
        <v>854</v>
      </c>
      <c r="N1961" s="6" t="s">
        <v>856</v>
      </c>
    </row>
    <row r="1962" spans="1:14" ht="15" customHeight="1" x14ac:dyDescent="0.2">
      <c r="A1962" s="31">
        <v>0.93711120922282687</v>
      </c>
      <c r="B1962" s="31"/>
      <c r="C1962" s="2" t="s">
        <v>855</v>
      </c>
      <c r="D1962" s="31">
        <f t="shared" si="71"/>
        <v>0.18367379700767408</v>
      </c>
      <c r="F1962" s="2" t="s">
        <v>822</v>
      </c>
      <c r="G1962" s="23" t="s">
        <v>902</v>
      </c>
      <c r="H1962" s="2" t="s">
        <v>822</v>
      </c>
      <c r="J1962" s="31">
        <v>25.9601994</v>
      </c>
      <c r="K1962" s="31">
        <v>-19.141500499999999</v>
      </c>
      <c r="L1962" s="31"/>
      <c r="M1962" s="31" t="s">
        <v>854</v>
      </c>
      <c r="N1962" s="6" t="s">
        <v>856</v>
      </c>
    </row>
    <row r="1963" spans="1:14" ht="15" customHeight="1" x14ac:dyDescent="0.2">
      <c r="A1963" s="31">
        <v>0.93701439776529383</v>
      </c>
      <c r="B1963" s="31"/>
      <c r="C1963" s="2" t="s">
        <v>855</v>
      </c>
      <c r="D1963" s="31">
        <f t="shared" si="71"/>
        <v>0.18365482196199759</v>
      </c>
      <c r="F1963" s="2" t="s">
        <v>822</v>
      </c>
      <c r="G1963" s="23" t="s">
        <v>902</v>
      </c>
      <c r="H1963" s="2" t="s">
        <v>822</v>
      </c>
      <c r="J1963" s="31">
        <v>44.796298999999998</v>
      </c>
      <c r="K1963" s="31">
        <v>-13.936300299999999</v>
      </c>
      <c r="L1963" s="31"/>
      <c r="M1963" s="31" t="s">
        <v>854</v>
      </c>
      <c r="N1963" s="6" t="s">
        <v>856</v>
      </c>
    </row>
    <row r="1964" spans="1:14" ht="15" customHeight="1" x14ac:dyDescent="0.2">
      <c r="A1964" s="31">
        <v>0.93697604987388305</v>
      </c>
      <c r="B1964" s="31"/>
      <c r="C1964" s="2" t="s">
        <v>855</v>
      </c>
      <c r="D1964" s="31">
        <f t="shared" si="71"/>
        <v>0.18364730577528107</v>
      </c>
      <c r="F1964" s="2" t="s">
        <v>822</v>
      </c>
      <c r="G1964" s="23" t="s">
        <v>902</v>
      </c>
      <c r="H1964" s="2" t="s">
        <v>822</v>
      </c>
      <c r="J1964" s="31">
        <v>42.145900699999999</v>
      </c>
      <c r="K1964" s="31">
        <v>-27.221000700000001</v>
      </c>
      <c r="L1964" s="31"/>
      <c r="M1964" s="31" t="s">
        <v>854</v>
      </c>
      <c r="N1964" s="6" t="s">
        <v>856</v>
      </c>
    </row>
    <row r="1965" spans="1:14" ht="15" customHeight="1" x14ac:dyDescent="0.2">
      <c r="A1965" s="31">
        <v>0.93683600703251058</v>
      </c>
      <c r="B1965" s="31"/>
      <c r="C1965" s="2" t="s">
        <v>855</v>
      </c>
      <c r="D1965" s="31">
        <f t="shared" si="71"/>
        <v>0.18361985737837208</v>
      </c>
      <c r="F1965" s="2" t="s">
        <v>822</v>
      </c>
      <c r="G1965" s="23" t="s">
        <v>902</v>
      </c>
      <c r="H1965" s="2" t="s">
        <v>822</v>
      </c>
      <c r="J1965" s="31">
        <v>42.278801000000001</v>
      </c>
      <c r="K1965" s="31">
        <v>3.6136301</v>
      </c>
      <c r="L1965" s="31"/>
      <c r="M1965" s="31" t="s">
        <v>854</v>
      </c>
      <c r="N1965" s="6" t="s">
        <v>856</v>
      </c>
    </row>
    <row r="1966" spans="1:14" ht="15" customHeight="1" x14ac:dyDescent="0.2">
      <c r="A1966" s="31">
        <v>0.93673163160999628</v>
      </c>
      <c r="B1966" s="31"/>
      <c r="C1966" s="2" t="s">
        <v>855</v>
      </c>
      <c r="D1966" s="31">
        <f t="shared" si="71"/>
        <v>0.18359939979555928</v>
      </c>
      <c r="F1966" s="2" t="s">
        <v>822</v>
      </c>
      <c r="G1966" s="23" t="s">
        <v>902</v>
      </c>
      <c r="H1966" s="2" t="s">
        <v>822</v>
      </c>
      <c r="J1966" s="31">
        <v>42.914699599999999</v>
      </c>
      <c r="K1966" s="31">
        <v>7.4795097999999998</v>
      </c>
      <c r="L1966" s="31"/>
      <c r="M1966" s="31" t="s">
        <v>854</v>
      </c>
      <c r="N1966" s="6" t="s">
        <v>856</v>
      </c>
    </row>
    <row r="1967" spans="1:14" ht="15" customHeight="1" x14ac:dyDescent="0.2">
      <c r="A1967" s="31">
        <v>0.9366540408063857</v>
      </c>
      <c r="B1967" s="31"/>
      <c r="C1967" s="2" t="s">
        <v>855</v>
      </c>
      <c r="D1967" s="31">
        <f t="shared" si="71"/>
        <v>0.18358419199805159</v>
      </c>
      <c r="F1967" s="2" t="s">
        <v>822</v>
      </c>
      <c r="G1967" s="23" t="s">
        <v>902</v>
      </c>
      <c r="H1967" s="2" t="s">
        <v>822</v>
      </c>
      <c r="J1967" s="31">
        <v>28.711999899999999</v>
      </c>
      <c r="K1967" s="31">
        <v>-21.184000000000001</v>
      </c>
      <c r="L1967" s="31"/>
      <c r="M1967" s="31" t="s">
        <v>854</v>
      </c>
      <c r="N1967" s="6" t="s">
        <v>856</v>
      </c>
    </row>
    <row r="1968" spans="1:14" ht="15" customHeight="1" x14ac:dyDescent="0.2">
      <c r="A1968" s="31">
        <v>0.93638145499913017</v>
      </c>
      <c r="B1968" s="31"/>
      <c r="C1968" s="2" t="s">
        <v>855</v>
      </c>
      <c r="D1968" s="31">
        <f t="shared" si="71"/>
        <v>0.18353076517982952</v>
      </c>
      <c r="F1968" s="2" t="s">
        <v>822</v>
      </c>
      <c r="G1968" s="23" t="s">
        <v>902</v>
      </c>
      <c r="H1968" s="2" t="s">
        <v>822</v>
      </c>
      <c r="J1968" s="31">
        <v>37.321998600000001</v>
      </c>
      <c r="K1968" s="31">
        <v>16.905899000000002</v>
      </c>
      <c r="L1968" s="31"/>
      <c r="M1968" s="31" t="s">
        <v>854</v>
      </c>
      <c r="N1968" s="6" t="s">
        <v>856</v>
      </c>
    </row>
    <row r="1969" spans="1:14" ht="15" customHeight="1" x14ac:dyDescent="0.2">
      <c r="A1969" s="31">
        <v>0.93631272536353183</v>
      </c>
      <c r="B1969" s="31"/>
      <c r="C1969" s="2" t="s">
        <v>855</v>
      </c>
      <c r="D1969" s="31">
        <f t="shared" si="71"/>
        <v>0.18351729417125223</v>
      </c>
      <c r="F1969" s="2" t="s">
        <v>822</v>
      </c>
      <c r="G1969" s="23" t="s">
        <v>902</v>
      </c>
      <c r="H1969" s="2" t="s">
        <v>822</v>
      </c>
      <c r="J1969" s="31">
        <v>29.3799992</v>
      </c>
      <c r="K1969" s="31">
        <v>-22.520000499999998</v>
      </c>
      <c r="L1969" s="31"/>
      <c r="M1969" s="31" t="s">
        <v>854</v>
      </c>
      <c r="N1969" s="6" t="s">
        <v>856</v>
      </c>
    </row>
    <row r="1970" spans="1:14" ht="15" customHeight="1" x14ac:dyDescent="0.2">
      <c r="A1970" s="31">
        <v>0.93594146615511897</v>
      </c>
      <c r="B1970" s="31"/>
      <c r="C1970" s="2" t="s">
        <v>855</v>
      </c>
      <c r="D1970" s="31">
        <f t="shared" si="71"/>
        <v>0.18344452736640332</v>
      </c>
      <c r="F1970" s="2" t="s">
        <v>822</v>
      </c>
      <c r="G1970" s="23" t="s">
        <v>902</v>
      </c>
      <c r="H1970" s="2" t="s">
        <v>822</v>
      </c>
      <c r="J1970" s="31">
        <v>34.552700000000002</v>
      </c>
      <c r="K1970" s="31">
        <v>11.061300299999999</v>
      </c>
      <c r="L1970" s="31"/>
      <c r="M1970" s="31" t="s">
        <v>854</v>
      </c>
      <c r="N1970" s="6" t="s">
        <v>856</v>
      </c>
    </row>
    <row r="1971" spans="1:14" ht="15" customHeight="1" x14ac:dyDescent="0.2">
      <c r="A1971" s="31">
        <v>0.93591046072976114</v>
      </c>
      <c r="B1971" s="31"/>
      <c r="C1971" s="2" t="s">
        <v>855</v>
      </c>
      <c r="D1971" s="31">
        <f t="shared" si="71"/>
        <v>0.18343845030303318</v>
      </c>
      <c r="F1971" s="2" t="s">
        <v>822</v>
      </c>
      <c r="G1971" s="23" t="s">
        <v>902</v>
      </c>
      <c r="H1971" s="2" t="s">
        <v>822</v>
      </c>
      <c r="J1971" s="31">
        <v>34.055999800000002</v>
      </c>
      <c r="K1971" s="31">
        <v>-15.171999899999999</v>
      </c>
      <c r="L1971" s="31"/>
      <c r="M1971" s="31" t="s">
        <v>854</v>
      </c>
      <c r="N1971" s="6" t="s">
        <v>856</v>
      </c>
    </row>
    <row r="1972" spans="1:14" ht="15" customHeight="1" x14ac:dyDescent="0.2">
      <c r="A1972" s="31">
        <v>0.93586441875414761</v>
      </c>
      <c r="B1972" s="31"/>
      <c r="C1972" s="2" t="s">
        <v>855</v>
      </c>
      <c r="D1972" s="31">
        <f t="shared" si="71"/>
        <v>0.18342942607581295</v>
      </c>
      <c r="F1972" s="2" t="s">
        <v>822</v>
      </c>
      <c r="G1972" s="23" t="s">
        <v>902</v>
      </c>
      <c r="H1972" s="2" t="s">
        <v>822</v>
      </c>
      <c r="J1972" s="31">
        <v>50.287601500000001</v>
      </c>
      <c r="K1972" s="31">
        <v>-2.48</v>
      </c>
      <c r="L1972" s="31"/>
      <c r="M1972" s="31" t="s">
        <v>854</v>
      </c>
      <c r="N1972" s="6" t="s">
        <v>856</v>
      </c>
    </row>
    <row r="1973" spans="1:14" ht="15" customHeight="1" x14ac:dyDescent="0.2">
      <c r="A1973" s="31">
        <v>0.93556670811098896</v>
      </c>
      <c r="B1973" s="31"/>
      <c r="C1973" s="2" t="s">
        <v>855</v>
      </c>
      <c r="D1973" s="31">
        <f t="shared" si="71"/>
        <v>0.18337107478975384</v>
      </c>
      <c r="F1973" s="2" t="s">
        <v>822</v>
      </c>
      <c r="G1973" s="23" t="s">
        <v>902</v>
      </c>
      <c r="H1973" s="2" t="s">
        <v>822</v>
      </c>
      <c r="J1973" s="31">
        <v>40.696998600000001</v>
      </c>
      <c r="K1973" s="31">
        <v>-23.326200499999999</v>
      </c>
      <c r="L1973" s="31"/>
      <c r="M1973" s="31" t="s">
        <v>854</v>
      </c>
      <c r="N1973" s="6" t="s">
        <v>856</v>
      </c>
    </row>
    <row r="1974" spans="1:14" ht="15" customHeight="1" x14ac:dyDescent="0.2">
      <c r="A1974" s="31">
        <v>0.93550160530282989</v>
      </c>
      <c r="B1974" s="31"/>
      <c r="C1974" s="2" t="s">
        <v>855</v>
      </c>
      <c r="D1974" s="31">
        <f t="shared" si="71"/>
        <v>0.18335831463935467</v>
      </c>
      <c r="F1974" s="2" t="s">
        <v>822</v>
      </c>
      <c r="G1974" s="23" t="s">
        <v>902</v>
      </c>
      <c r="H1974" s="2" t="s">
        <v>822</v>
      </c>
      <c r="J1974" s="31">
        <v>30.7159996</v>
      </c>
      <c r="K1974" s="31">
        <v>-20.850000399999999</v>
      </c>
      <c r="L1974" s="31"/>
      <c r="M1974" s="31" t="s">
        <v>854</v>
      </c>
      <c r="N1974" s="6" t="s">
        <v>856</v>
      </c>
    </row>
    <row r="1975" spans="1:14" ht="15" customHeight="1" x14ac:dyDescent="0.2">
      <c r="A1975" s="31">
        <v>0.93429145925979173</v>
      </c>
      <c r="B1975" s="31"/>
      <c r="C1975" s="2" t="s">
        <v>855</v>
      </c>
      <c r="D1975" s="31">
        <f t="shared" si="71"/>
        <v>0.1831211260149192</v>
      </c>
      <c r="F1975" s="2" t="s">
        <v>822</v>
      </c>
      <c r="G1975" s="23" t="s">
        <v>902</v>
      </c>
      <c r="H1975" s="2" t="s">
        <v>822</v>
      </c>
      <c r="J1975" s="31">
        <v>39.359600100000002</v>
      </c>
      <c r="K1975" s="31">
        <v>-25.060199699999998</v>
      </c>
      <c r="L1975" s="31"/>
      <c r="M1975" s="31" t="s">
        <v>854</v>
      </c>
      <c r="N1975" s="6" t="s">
        <v>856</v>
      </c>
    </row>
    <row r="1976" spans="1:14" ht="15" customHeight="1" x14ac:dyDescent="0.2">
      <c r="A1976" s="31">
        <v>0.93419312544029931</v>
      </c>
      <c r="B1976" s="31"/>
      <c r="C1976" s="2" t="s">
        <v>855</v>
      </c>
      <c r="D1976" s="31">
        <f t="shared" si="71"/>
        <v>0.18310185258629869</v>
      </c>
      <c r="F1976" s="2" t="s">
        <v>822</v>
      </c>
      <c r="G1976" s="23" t="s">
        <v>902</v>
      </c>
      <c r="H1976" s="2" t="s">
        <v>822</v>
      </c>
      <c r="J1976" s="31">
        <v>45.3656006</v>
      </c>
      <c r="K1976" s="31">
        <v>-12.0052004</v>
      </c>
      <c r="L1976" s="31"/>
      <c r="M1976" s="31" t="s">
        <v>854</v>
      </c>
      <c r="N1976" s="6" t="s">
        <v>856</v>
      </c>
    </row>
    <row r="1977" spans="1:14" ht="15" customHeight="1" x14ac:dyDescent="0.2">
      <c r="A1977" s="31">
        <v>0.93386614946158908</v>
      </c>
      <c r="B1977" s="31"/>
      <c r="C1977" s="2" t="s">
        <v>855</v>
      </c>
      <c r="D1977" s="31">
        <f t="shared" si="71"/>
        <v>0.18303776529447147</v>
      </c>
      <c r="F1977" s="2" t="s">
        <v>822</v>
      </c>
      <c r="G1977" s="23" t="s">
        <v>902</v>
      </c>
      <c r="H1977" s="2" t="s">
        <v>822</v>
      </c>
      <c r="J1977" s="31">
        <v>38.179698899999998</v>
      </c>
      <c r="K1977" s="31">
        <v>-23.795999500000001</v>
      </c>
      <c r="L1977" s="31"/>
      <c r="M1977" s="31" t="s">
        <v>854</v>
      </c>
      <c r="N1977" s="6" t="s">
        <v>856</v>
      </c>
    </row>
    <row r="1978" spans="1:14" ht="15" customHeight="1" x14ac:dyDescent="0.2">
      <c r="A1978" s="31">
        <v>0.93367098239193014</v>
      </c>
      <c r="B1978" s="31"/>
      <c r="C1978" s="2" t="s">
        <v>855</v>
      </c>
      <c r="D1978" s="31">
        <f t="shared" si="71"/>
        <v>0.18299951254881833</v>
      </c>
      <c r="F1978" s="2" t="s">
        <v>822</v>
      </c>
      <c r="G1978" s="23" t="s">
        <v>902</v>
      </c>
      <c r="H1978" s="2" t="s">
        <v>822</v>
      </c>
      <c r="J1978" s="31">
        <v>27.375999499999999</v>
      </c>
      <c r="K1978" s="31">
        <v>-36.548000299999998</v>
      </c>
      <c r="L1978" s="31"/>
      <c r="M1978" s="31" t="s">
        <v>854</v>
      </c>
      <c r="N1978" s="6" t="s">
        <v>856</v>
      </c>
    </row>
    <row r="1979" spans="1:14" ht="15" customHeight="1" x14ac:dyDescent="0.2">
      <c r="A1979" s="31">
        <v>0.93315101405769763</v>
      </c>
      <c r="B1979" s="31"/>
      <c r="C1979" s="2" t="s">
        <v>855</v>
      </c>
      <c r="D1979" s="31">
        <f t="shared" si="71"/>
        <v>0.18289759875530875</v>
      </c>
      <c r="F1979" s="2" t="s">
        <v>822</v>
      </c>
      <c r="G1979" s="23" t="s">
        <v>902</v>
      </c>
      <c r="H1979" s="2" t="s">
        <v>822</v>
      </c>
      <c r="J1979" s="31">
        <v>31.701200499999999</v>
      </c>
      <c r="K1979" s="31">
        <v>19.788799300000001</v>
      </c>
      <c r="L1979" s="31"/>
      <c r="M1979" s="31" t="s">
        <v>854</v>
      </c>
      <c r="N1979" s="6" t="s">
        <v>856</v>
      </c>
    </row>
    <row r="1980" spans="1:14" ht="15" customHeight="1" x14ac:dyDescent="0.2">
      <c r="A1980" s="31">
        <v>0.93271965884053742</v>
      </c>
      <c r="B1980" s="31"/>
      <c r="C1980" s="2" t="s">
        <v>855</v>
      </c>
      <c r="D1980" s="31">
        <f t="shared" si="71"/>
        <v>0.18281305313274535</v>
      </c>
      <c r="F1980" s="2" t="s">
        <v>822</v>
      </c>
      <c r="G1980" s="23" t="s">
        <v>902</v>
      </c>
      <c r="H1980" s="2" t="s">
        <v>822</v>
      </c>
      <c r="J1980" s="31">
        <v>35.343200699999997</v>
      </c>
      <c r="K1980" s="31">
        <v>32.976299300000001</v>
      </c>
      <c r="L1980" s="31"/>
      <c r="M1980" s="31" t="s">
        <v>854</v>
      </c>
      <c r="N1980" s="6" t="s">
        <v>856</v>
      </c>
    </row>
    <row r="1981" spans="1:14" ht="15" customHeight="1" x14ac:dyDescent="0.2">
      <c r="A1981" s="31">
        <v>0.93258389418832133</v>
      </c>
      <c r="B1981" s="31"/>
      <c r="C1981" s="2" t="s">
        <v>855</v>
      </c>
      <c r="D1981" s="31">
        <f t="shared" si="71"/>
        <v>0.18278644326091098</v>
      </c>
      <c r="F1981" s="2" t="s">
        <v>822</v>
      </c>
      <c r="G1981" s="23" t="s">
        <v>902</v>
      </c>
      <c r="H1981" s="2" t="s">
        <v>822</v>
      </c>
      <c r="J1981" s="31">
        <v>38.450801800000001</v>
      </c>
      <c r="K1981" s="31">
        <v>-25.668600099999999</v>
      </c>
      <c r="L1981" s="31"/>
      <c r="M1981" s="31" t="s">
        <v>854</v>
      </c>
      <c r="N1981" s="6" t="s">
        <v>856</v>
      </c>
    </row>
    <row r="1982" spans="1:14" ht="15" customHeight="1" x14ac:dyDescent="0.2">
      <c r="A1982" s="31">
        <v>0.93228980256519556</v>
      </c>
      <c r="B1982" s="31"/>
      <c r="C1982" s="2" t="s">
        <v>855</v>
      </c>
      <c r="D1982" s="31">
        <f t="shared" si="71"/>
        <v>0.18272880130277833</v>
      </c>
      <c r="F1982" s="2" t="s">
        <v>822</v>
      </c>
      <c r="G1982" s="23" t="s">
        <v>902</v>
      </c>
      <c r="H1982" s="2" t="s">
        <v>822</v>
      </c>
      <c r="J1982" s="31">
        <v>26.040000899999999</v>
      </c>
      <c r="K1982" s="31">
        <v>-39.888000499999997</v>
      </c>
      <c r="L1982" s="31"/>
      <c r="M1982" s="31" t="s">
        <v>854</v>
      </c>
      <c r="N1982" s="6" t="s">
        <v>856</v>
      </c>
    </row>
    <row r="1983" spans="1:14" ht="15" customHeight="1" x14ac:dyDescent="0.2">
      <c r="A1983" s="31">
        <v>0.93221690705153759</v>
      </c>
      <c r="B1983" s="31"/>
      <c r="C1983" s="2" t="s">
        <v>855</v>
      </c>
      <c r="D1983" s="31">
        <f t="shared" si="71"/>
        <v>0.18271451378210138</v>
      </c>
      <c r="F1983" s="2" t="s">
        <v>822</v>
      </c>
      <c r="G1983" s="23" t="s">
        <v>902</v>
      </c>
      <c r="H1983" s="2" t="s">
        <v>822</v>
      </c>
      <c r="J1983" s="31">
        <v>34.0542984</v>
      </c>
      <c r="K1983" s="31">
        <v>-41.221900900000001</v>
      </c>
      <c r="L1983" s="31"/>
      <c r="M1983" s="31" t="s">
        <v>854</v>
      </c>
      <c r="N1983" s="6" t="s">
        <v>856</v>
      </c>
    </row>
    <row r="1984" spans="1:14" ht="15" customHeight="1" x14ac:dyDescent="0.2">
      <c r="A1984" s="31">
        <v>0.93215367338027066</v>
      </c>
      <c r="B1984" s="31"/>
      <c r="C1984" s="2" t="s">
        <v>855</v>
      </c>
      <c r="D1984" s="31">
        <f t="shared" si="71"/>
        <v>0.18270211998253305</v>
      </c>
      <c r="F1984" s="2" t="s">
        <v>822</v>
      </c>
      <c r="G1984" s="23" t="s">
        <v>902</v>
      </c>
      <c r="H1984" s="2" t="s">
        <v>822</v>
      </c>
      <c r="J1984" s="31">
        <v>36.401298500000003</v>
      </c>
      <c r="K1984" s="31">
        <v>-17.525299100000002</v>
      </c>
      <c r="L1984" s="31"/>
      <c r="M1984" s="31" t="s">
        <v>854</v>
      </c>
      <c r="N1984" s="6" t="s">
        <v>856</v>
      </c>
    </row>
    <row r="1985" spans="1:14" ht="15" customHeight="1" x14ac:dyDescent="0.2">
      <c r="A1985" s="31">
        <v>0.93215053963622418</v>
      </c>
      <c r="B1985" s="31"/>
      <c r="C1985" s="2" t="s">
        <v>855</v>
      </c>
      <c r="D1985" s="31">
        <f t="shared" si="71"/>
        <v>0.18270150576869995</v>
      </c>
      <c r="F1985" s="2" t="s">
        <v>822</v>
      </c>
      <c r="G1985" s="23" t="s">
        <v>902</v>
      </c>
      <c r="H1985" s="2" t="s">
        <v>822</v>
      </c>
      <c r="J1985" s="31">
        <v>33.8877983</v>
      </c>
      <c r="K1985" s="31">
        <v>-30.597999600000001</v>
      </c>
      <c r="L1985" s="31"/>
      <c r="M1985" s="31" t="s">
        <v>854</v>
      </c>
      <c r="N1985" s="6" t="s">
        <v>856</v>
      </c>
    </row>
    <row r="1986" spans="1:14" ht="15" customHeight="1" x14ac:dyDescent="0.2">
      <c r="A1986" s="31">
        <v>0.93212385158840905</v>
      </c>
      <c r="B1986" s="31"/>
      <c r="C1986" s="2" t="s">
        <v>855</v>
      </c>
      <c r="D1986" s="31">
        <f t="shared" si="71"/>
        <v>0.18269627491132817</v>
      </c>
      <c r="F1986" s="2" t="s">
        <v>822</v>
      </c>
      <c r="G1986" s="23" t="s">
        <v>902</v>
      </c>
      <c r="H1986" s="2" t="s">
        <v>822</v>
      </c>
      <c r="J1986" s="31">
        <v>44.289600399999998</v>
      </c>
      <c r="K1986" s="31">
        <v>12.4561996</v>
      </c>
      <c r="L1986" s="31"/>
      <c r="M1986" s="31" t="s">
        <v>854</v>
      </c>
      <c r="N1986" s="6" t="s">
        <v>856</v>
      </c>
    </row>
    <row r="1987" spans="1:14" ht="15" customHeight="1" x14ac:dyDescent="0.2">
      <c r="A1987" s="31">
        <v>0.93156726045205218</v>
      </c>
      <c r="B1987" s="31"/>
      <c r="C1987" s="2" t="s">
        <v>855</v>
      </c>
      <c r="D1987" s="31">
        <f t="shared" si="71"/>
        <v>0.18258718304860225</v>
      </c>
      <c r="F1987" s="2" t="s">
        <v>822</v>
      </c>
      <c r="G1987" s="23" t="s">
        <v>902</v>
      </c>
      <c r="H1987" s="2" t="s">
        <v>822</v>
      </c>
      <c r="J1987" s="31">
        <v>39.403598799999997</v>
      </c>
      <c r="K1987" s="31">
        <v>13.5545998</v>
      </c>
      <c r="L1987" s="31"/>
      <c r="M1987" s="31" t="s">
        <v>854</v>
      </c>
      <c r="N1987" s="6" t="s">
        <v>856</v>
      </c>
    </row>
    <row r="1988" spans="1:14" ht="15" customHeight="1" x14ac:dyDescent="0.2">
      <c r="A1988" s="31">
        <v>0.93121677471986875</v>
      </c>
      <c r="B1988" s="31"/>
      <c r="C1988" s="2" t="s">
        <v>855</v>
      </c>
      <c r="D1988" s="31">
        <f t="shared" si="71"/>
        <v>0.18251848784509428</v>
      </c>
      <c r="F1988" s="2" t="s">
        <v>822</v>
      </c>
      <c r="G1988" s="23" t="s">
        <v>902</v>
      </c>
      <c r="H1988" s="2" t="s">
        <v>822</v>
      </c>
      <c r="J1988" s="31">
        <v>40.5956993</v>
      </c>
      <c r="K1988" s="31">
        <v>-41.230598399999998</v>
      </c>
      <c r="L1988" s="31"/>
      <c r="M1988" s="31" t="s">
        <v>854</v>
      </c>
      <c r="N1988" s="6" t="s">
        <v>856</v>
      </c>
    </row>
    <row r="1989" spans="1:14" ht="15" customHeight="1" x14ac:dyDescent="0.2">
      <c r="A1989" s="31">
        <v>0.93105738126981097</v>
      </c>
      <c r="B1989" s="31"/>
      <c r="C1989" s="2" t="s">
        <v>855</v>
      </c>
      <c r="D1989" s="31">
        <f t="shared" si="71"/>
        <v>0.18248724672888295</v>
      </c>
      <c r="F1989" s="2" t="s">
        <v>822</v>
      </c>
      <c r="G1989" s="23" t="s">
        <v>902</v>
      </c>
      <c r="H1989" s="2" t="s">
        <v>822</v>
      </c>
      <c r="J1989" s="31">
        <v>40.078098300000001</v>
      </c>
      <c r="K1989" s="31">
        <v>-33.206699399999998</v>
      </c>
      <c r="L1989" s="31"/>
      <c r="M1989" s="31" t="s">
        <v>854</v>
      </c>
      <c r="N1989" s="6" t="s">
        <v>856</v>
      </c>
    </row>
    <row r="1990" spans="1:14" ht="15" customHeight="1" x14ac:dyDescent="0.2">
      <c r="A1990" s="31">
        <v>0.93050559678194533</v>
      </c>
      <c r="B1990" s="31"/>
      <c r="C1990" s="2" t="s">
        <v>855</v>
      </c>
      <c r="D1990" s="31">
        <f t="shared" si="71"/>
        <v>0.1823790969692613</v>
      </c>
      <c r="F1990" s="2" t="s">
        <v>822</v>
      </c>
      <c r="G1990" s="23" t="s">
        <v>902</v>
      </c>
      <c r="H1990" s="2" t="s">
        <v>822</v>
      </c>
      <c r="J1990" s="31">
        <v>32.720001199999999</v>
      </c>
      <c r="K1990" s="31">
        <v>-11.1639996</v>
      </c>
      <c r="L1990" s="31"/>
      <c r="M1990" s="31" t="s">
        <v>854</v>
      </c>
      <c r="N1990" s="6" t="s">
        <v>856</v>
      </c>
    </row>
    <row r="1991" spans="1:14" ht="15" customHeight="1" x14ac:dyDescent="0.2">
      <c r="A1991" s="31">
        <v>0.93043329195960645</v>
      </c>
      <c r="B1991" s="31"/>
      <c r="C1991" s="2" t="s">
        <v>855</v>
      </c>
      <c r="D1991" s="31">
        <f t="shared" ref="D1991:D2009" si="72" xml:space="preserve"> A1991 * 0.196</f>
        <v>0.18236492522408287</v>
      </c>
      <c r="F1991" s="2" t="s">
        <v>822</v>
      </c>
      <c r="G1991" s="23" t="s">
        <v>902</v>
      </c>
      <c r="H1991" s="2" t="s">
        <v>822</v>
      </c>
      <c r="J1991" s="31">
        <v>37.725799600000002</v>
      </c>
      <c r="K1991" s="31">
        <v>-23.396799099999999</v>
      </c>
      <c r="L1991" s="31"/>
      <c r="M1991" s="31" t="s">
        <v>854</v>
      </c>
      <c r="N1991" s="6" t="s">
        <v>856</v>
      </c>
    </row>
    <row r="1992" spans="1:14" ht="15" customHeight="1" x14ac:dyDescent="0.2">
      <c r="A1992" s="31">
        <v>0.93024160687034529</v>
      </c>
      <c r="B1992" s="31"/>
      <c r="C1992" s="2" t="s">
        <v>855</v>
      </c>
      <c r="D1992" s="31">
        <f t="shared" si="72"/>
        <v>0.18232735494658769</v>
      </c>
      <c r="F1992" s="2" t="s">
        <v>822</v>
      </c>
      <c r="G1992" s="23" t="s">
        <v>902</v>
      </c>
      <c r="H1992" s="2" t="s">
        <v>822</v>
      </c>
      <c r="J1992" s="31">
        <v>37.418800400000002</v>
      </c>
      <c r="K1992" s="31">
        <v>-35.194999699999997</v>
      </c>
      <c r="L1992" s="31"/>
      <c r="M1992" s="31" t="s">
        <v>854</v>
      </c>
      <c r="N1992" s="6" t="s">
        <v>856</v>
      </c>
    </row>
    <row r="1993" spans="1:14" ht="15" customHeight="1" x14ac:dyDescent="0.2">
      <c r="A1993" s="31">
        <v>0.93020523460281823</v>
      </c>
      <c r="B1993" s="31"/>
      <c r="C1993" s="2" t="s">
        <v>855</v>
      </c>
      <c r="D1993" s="31">
        <f t="shared" si="72"/>
        <v>0.18232022598215239</v>
      </c>
      <c r="F1993" s="2" t="s">
        <v>822</v>
      </c>
      <c r="G1993" s="23" t="s">
        <v>902</v>
      </c>
      <c r="H1993" s="2" t="s">
        <v>822</v>
      </c>
      <c r="J1993" s="31">
        <v>37.6200981</v>
      </c>
      <c r="K1993" s="31">
        <v>-19.0799007</v>
      </c>
      <c r="L1993" s="31"/>
      <c r="M1993" s="31" t="s">
        <v>854</v>
      </c>
      <c r="N1993" s="6" t="s">
        <v>856</v>
      </c>
    </row>
    <row r="1994" spans="1:14" ht="15" customHeight="1" x14ac:dyDescent="0.2">
      <c r="A1994" s="31">
        <v>0.92992010015105353</v>
      </c>
      <c r="B1994" s="31"/>
      <c r="C1994" s="2" t="s">
        <v>855</v>
      </c>
      <c r="D1994" s="31">
        <f t="shared" si="72"/>
        <v>0.1822643396296065</v>
      </c>
      <c r="F1994" s="2" t="s">
        <v>822</v>
      </c>
      <c r="G1994" s="23" t="s">
        <v>902</v>
      </c>
      <c r="H1994" s="2" t="s">
        <v>822</v>
      </c>
      <c r="J1994" s="31">
        <v>39.400001500000002</v>
      </c>
      <c r="K1994" s="31">
        <v>-42.560001399999997</v>
      </c>
      <c r="L1994" s="31"/>
      <c r="M1994" s="31" t="s">
        <v>854</v>
      </c>
      <c r="N1994" s="6" t="s">
        <v>856</v>
      </c>
    </row>
    <row r="1995" spans="1:14" ht="15" customHeight="1" x14ac:dyDescent="0.2">
      <c r="A1995" s="31">
        <v>0.92981888163176696</v>
      </c>
      <c r="B1995" s="31"/>
      <c r="C1995" s="2" t="s">
        <v>855</v>
      </c>
      <c r="D1995" s="31">
        <f t="shared" si="72"/>
        <v>0.18224450079982632</v>
      </c>
      <c r="F1995" s="2" t="s">
        <v>822</v>
      </c>
      <c r="G1995" s="23" t="s">
        <v>902</v>
      </c>
      <c r="H1995" s="2" t="s">
        <v>822</v>
      </c>
      <c r="J1995" s="31">
        <v>31.384000799999999</v>
      </c>
      <c r="K1995" s="31">
        <v>-21.184000000000001</v>
      </c>
      <c r="L1995" s="31"/>
      <c r="M1995" s="31" t="s">
        <v>854</v>
      </c>
      <c r="N1995" s="6" t="s">
        <v>856</v>
      </c>
    </row>
    <row r="1996" spans="1:14" ht="15" customHeight="1" x14ac:dyDescent="0.2">
      <c r="A1996" s="31">
        <v>0.929254029603925</v>
      </c>
      <c r="B1996" s="31"/>
      <c r="C1996" s="2" t="s">
        <v>855</v>
      </c>
      <c r="D1996" s="31">
        <f t="shared" si="72"/>
        <v>0.1821337898023693</v>
      </c>
      <c r="F1996" s="2" t="s">
        <v>822</v>
      </c>
      <c r="G1996" s="23" t="s">
        <v>902</v>
      </c>
      <c r="H1996" s="2" t="s">
        <v>822</v>
      </c>
      <c r="J1996" s="31">
        <v>41.111598999999998</v>
      </c>
      <c r="K1996" s="31">
        <v>-18.345199600000001</v>
      </c>
      <c r="L1996" s="31"/>
      <c r="M1996" s="31" t="s">
        <v>854</v>
      </c>
      <c r="N1996" s="6" t="s">
        <v>856</v>
      </c>
    </row>
    <row r="1997" spans="1:14" ht="15" customHeight="1" x14ac:dyDescent="0.2">
      <c r="A1997" s="31">
        <v>0.92902206188078718</v>
      </c>
      <c r="B1997" s="31"/>
      <c r="C1997" s="2" t="s">
        <v>855</v>
      </c>
      <c r="D1997" s="31">
        <f t="shared" si="72"/>
        <v>0.18208832412863429</v>
      </c>
      <c r="F1997" s="2" t="s">
        <v>822</v>
      </c>
      <c r="G1997" s="23" t="s">
        <v>902</v>
      </c>
      <c r="H1997" s="2" t="s">
        <v>822</v>
      </c>
      <c r="J1997" s="31">
        <v>33.382999400000003</v>
      </c>
      <c r="K1997" s="31">
        <v>-37.186798099999997</v>
      </c>
      <c r="L1997" s="31"/>
      <c r="M1997" s="31" t="s">
        <v>854</v>
      </c>
      <c r="N1997" s="6" t="s">
        <v>856</v>
      </c>
    </row>
    <row r="1998" spans="1:14" ht="15" customHeight="1" x14ac:dyDescent="0.2">
      <c r="A1998" s="31">
        <v>0.92889605785024265</v>
      </c>
      <c r="B1998" s="31"/>
      <c r="C1998" s="2" t="s">
        <v>855</v>
      </c>
      <c r="D1998" s="31">
        <f t="shared" si="72"/>
        <v>0.18206362733864756</v>
      </c>
      <c r="F1998" s="2" t="s">
        <v>822</v>
      </c>
      <c r="G1998" s="23" t="s">
        <v>902</v>
      </c>
      <c r="H1998" s="2" t="s">
        <v>822</v>
      </c>
      <c r="J1998" s="31">
        <v>44.806301099999999</v>
      </c>
      <c r="K1998" s="31">
        <v>-5.8114299999999997</v>
      </c>
      <c r="L1998" s="31"/>
      <c r="M1998" s="31" t="s">
        <v>854</v>
      </c>
      <c r="N1998" s="6" t="s">
        <v>856</v>
      </c>
    </row>
    <row r="1999" spans="1:14" ht="15" customHeight="1" x14ac:dyDescent="0.2">
      <c r="A1999" s="31">
        <v>0.92887402526819107</v>
      </c>
      <c r="B1999" s="31"/>
      <c r="C1999" s="2" t="s">
        <v>855</v>
      </c>
      <c r="D1999" s="31">
        <f t="shared" si="72"/>
        <v>0.18205930895256545</v>
      </c>
      <c r="F1999" s="2" t="s">
        <v>822</v>
      </c>
      <c r="G1999" s="23" t="s">
        <v>902</v>
      </c>
      <c r="H1999" s="2" t="s">
        <v>822</v>
      </c>
      <c r="J1999" s="31">
        <v>34.500198400000002</v>
      </c>
      <c r="K1999" s="31">
        <v>30.8885994</v>
      </c>
      <c r="L1999" s="31"/>
      <c r="M1999" s="31" t="s">
        <v>854</v>
      </c>
      <c r="N1999" s="6" t="s">
        <v>856</v>
      </c>
    </row>
    <row r="2000" spans="1:14" ht="15" customHeight="1" x14ac:dyDescent="0.2">
      <c r="A2000" s="31">
        <v>0.92824198403572722</v>
      </c>
      <c r="B2000" s="31"/>
      <c r="C2000" s="2" t="s">
        <v>855</v>
      </c>
      <c r="D2000" s="31">
        <f t="shared" si="72"/>
        <v>0.18193542887100253</v>
      </c>
      <c r="F2000" s="2" t="s">
        <v>822</v>
      </c>
      <c r="G2000" s="23" t="s">
        <v>902</v>
      </c>
      <c r="H2000" s="2" t="s">
        <v>822</v>
      </c>
      <c r="J2000" s="31">
        <v>25.0270996</v>
      </c>
      <c r="K2000" s="31">
        <v>-29.647300699999999</v>
      </c>
      <c r="L2000" s="31"/>
      <c r="M2000" s="31" t="s">
        <v>854</v>
      </c>
      <c r="N2000" s="6" t="s">
        <v>856</v>
      </c>
    </row>
    <row r="2001" spans="1:14" ht="15" customHeight="1" x14ac:dyDescent="0.2">
      <c r="A2001" s="31">
        <v>0.92816031742842331</v>
      </c>
      <c r="B2001" s="31"/>
      <c r="C2001" s="2" t="s">
        <v>855</v>
      </c>
      <c r="D2001" s="31">
        <f t="shared" si="72"/>
        <v>0.18191942221597099</v>
      </c>
      <c r="F2001" s="2" t="s">
        <v>822</v>
      </c>
      <c r="G2001" s="23" t="s">
        <v>902</v>
      </c>
      <c r="H2001" s="2" t="s">
        <v>822</v>
      </c>
      <c r="J2001" s="31">
        <v>40.966999100000002</v>
      </c>
      <c r="K2001" s="31">
        <v>-10.9934998</v>
      </c>
      <c r="L2001" s="31"/>
      <c r="M2001" s="31" t="s">
        <v>854</v>
      </c>
      <c r="N2001" s="6" t="s">
        <v>856</v>
      </c>
    </row>
    <row r="2002" spans="1:14" ht="15" customHeight="1" x14ac:dyDescent="0.2">
      <c r="A2002" s="31">
        <v>0.92803871184242837</v>
      </c>
      <c r="B2002" s="31"/>
      <c r="C2002" s="2" t="s">
        <v>855</v>
      </c>
      <c r="D2002" s="31">
        <f t="shared" si="72"/>
        <v>0.18189558752111595</v>
      </c>
      <c r="F2002" s="2" t="s">
        <v>822</v>
      </c>
      <c r="G2002" s="23" t="s">
        <v>902</v>
      </c>
      <c r="H2002" s="2" t="s">
        <v>822</v>
      </c>
      <c r="J2002" s="31">
        <v>45.409000399999996</v>
      </c>
      <c r="K2002" s="31">
        <v>-15.8372002</v>
      </c>
      <c r="L2002" s="31"/>
      <c r="M2002" s="31" t="s">
        <v>854</v>
      </c>
      <c r="N2002" s="6" t="s">
        <v>856</v>
      </c>
    </row>
    <row r="2003" spans="1:14" ht="15" customHeight="1" x14ac:dyDescent="0.2">
      <c r="A2003" s="31">
        <v>0.92795737914824927</v>
      </c>
      <c r="B2003" s="31"/>
      <c r="C2003" s="2" t="s">
        <v>855</v>
      </c>
      <c r="D2003" s="31">
        <f t="shared" si="72"/>
        <v>0.18187964631305686</v>
      </c>
      <c r="F2003" s="2" t="s">
        <v>822</v>
      </c>
      <c r="G2003" s="23" t="s">
        <v>902</v>
      </c>
      <c r="H2003" s="2" t="s">
        <v>822</v>
      </c>
      <c r="J2003" s="31">
        <v>42.529598200000002</v>
      </c>
      <c r="K2003" s="31">
        <v>6.3878398000000001</v>
      </c>
      <c r="L2003" s="31"/>
      <c r="M2003" s="31" t="s">
        <v>854</v>
      </c>
      <c r="N2003" s="6" t="s">
        <v>856</v>
      </c>
    </row>
    <row r="2004" spans="1:14" ht="15" customHeight="1" x14ac:dyDescent="0.2">
      <c r="A2004" s="31">
        <v>0.92777412573522933</v>
      </c>
      <c r="B2004" s="31"/>
      <c r="C2004" s="2" t="s">
        <v>855</v>
      </c>
      <c r="D2004" s="31">
        <f t="shared" si="72"/>
        <v>0.18184372864410495</v>
      </c>
      <c r="F2004" s="2" t="s">
        <v>822</v>
      </c>
      <c r="G2004" s="23" t="s">
        <v>902</v>
      </c>
      <c r="H2004" s="2" t="s">
        <v>822</v>
      </c>
      <c r="J2004" s="31">
        <v>41.090301500000002</v>
      </c>
      <c r="K2004" s="31">
        <v>11.144800200000001</v>
      </c>
      <c r="L2004" s="31"/>
      <c r="M2004" s="31" t="s">
        <v>854</v>
      </c>
      <c r="N2004" s="6" t="s">
        <v>856</v>
      </c>
    </row>
    <row r="2005" spans="1:14" ht="15" customHeight="1" x14ac:dyDescent="0.2">
      <c r="A2005" s="31">
        <v>0.92769481242058716</v>
      </c>
      <c r="B2005" s="31"/>
      <c r="C2005" s="2" t="s">
        <v>855</v>
      </c>
      <c r="D2005" s="31">
        <f t="shared" si="72"/>
        <v>0.18182818323443509</v>
      </c>
      <c r="F2005" s="2" t="s">
        <v>822</v>
      </c>
      <c r="G2005" s="23" t="s">
        <v>902</v>
      </c>
      <c r="H2005" s="2" t="s">
        <v>822</v>
      </c>
      <c r="J2005" s="31">
        <v>41.916000400000001</v>
      </c>
      <c r="K2005" s="31">
        <v>-13.116100299999999</v>
      </c>
      <c r="L2005" s="31"/>
      <c r="M2005" s="31" t="s">
        <v>854</v>
      </c>
      <c r="N2005" s="6" t="s">
        <v>856</v>
      </c>
    </row>
    <row r="2006" spans="1:14" ht="15" customHeight="1" x14ac:dyDescent="0.2">
      <c r="A2006" s="31">
        <v>0.92747702733588211</v>
      </c>
      <c r="B2006" s="31"/>
      <c r="C2006" s="2" t="s">
        <v>855</v>
      </c>
      <c r="D2006" s="31">
        <f t="shared" si="72"/>
        <v>0.18178549735783289</v>
      </c>
      <c r="F2006" s="2" t="s">
        <v>822</v>
      </c>
      <c r="G2006" s="23" t="s">
        <v>902</v>
      </c>
      <c r="H2006" s="2" t="s">
        <v>822</v>
      </c>
      <c r="J2006" s="31">
        <v>36.121498099999997</v>
      </c>
      <c r="K2006" s="31">
        <v>-0.46282400000000001</v>
      </c>
      <c r="L2006" s="31"/>
      <c r="M2006" s="31" t="s">
        <v>854</v>
      </c>
      <c r="N2006" s="6" t="s">
        <v>856</v>
      </c>
    </row>
    <row r="2007" spans="1:14" ht="15" customHeight="1" x14ac:dyDescent="0.2">
      <c r="A2007" s="31">
        <v>0.92730447911498248</v>
      </c>
      <c r="B2007" s="31"/>
      <c r="C2007" s="2" t="s">
        <v>855</v>
      </c>
      <c r="D2007" s="31">
        <f t="shared" si="72"/>
        <v>0.18175167790653657</v>
      </c>
      <c r="F2007" s="2" t="s">
        <v>822</v>
      </c>
      <c r="G2007" s="23" t="s">
        <v>902</v>
      </c>
      <c r="H2007" s="2" t="s">
        <v>822</v>
      </c>
      <c r="J2007" s="31">
        <v>39.747501399999997</v>
      </c>
      <c r="K2007" s="31">
        <v>-38.260501900000001</v>
      </c>
      <c r="L2007" s="31"/>
      <c r="M2007" s="31" t="s">
        <v>854</v>
      </c>
      <c r="N2007" s="6" t="s">
        <v>856</v>
      </c>
    </row>
    <row r="2008" spans="1:14" ht="15" customHeight="1" x14ac:dyDescent="0.2">
      <c r="A2008" s="31">
        <v>0.92727025952578135</v>
      </c>
      <c r="B2008" s="31"/>
      <c r="C2008" s="2" t="s">
        <v>855</v>
      </c>
      <c r="D2008" s="31">
        <f t="shared" si="72"/>
        <v>0.18174497086705316</v>
      </c>
      <c r="F2008" s="2" t="s">
        <v>822</v>
      </c>
      <c r="G2008" s="23" t="s">
        <v>902</v>
      </c>
      <c r="H2008" s="2" t="s">
        <v>822</v>
      </c>
      <c r="J2008" s="31">
        <v>37.618198399999997</v>
      </c>
      <c r="K2008" s="31">
        <v>-24.9153004</v>
      </c>
      <c r="L2008" s="31"/>
      <c r="M2008" s="31" t="s">
        <v>854</v>
      </c>
      <c r="N2008" s="6" t="s">
        <v>856</v>
      </c>
    </row>
    <row r="2009" spans="1:14" ht="15" customHeight="1" x14ac:dyDescent="0.2">
      <c r="A2009" s="31">
        <v>0.92704887420240611</v>
      </c>
      <c r="B2009" s="31"/>
      <c r="C2009" s="2" t="s">
        <v>855</v>
      </c>
      <c r="D2009" s="31">
        <f t="shared" si="72"/>
        <v>0.18170157934367159</v>
      </c>
      <c r="F2009" s="2" t="s">
        <v>822</v>
      </c>
      <c r="G2009" s="23" t="s">
        <v>902</v>
      </c>
      <c r="H2009" s="2" t="s">
        <v>822</v>
      </c>
      <c r="J2009" s="31">
        <v>43.413898500000002</v>
      </c>
      <c r="K2009" s="31">
        <v>-10.0166998</v>
      </c>
      <c r="L2009" s="31"/>
      <c r="M2009" s="31" t="s">
        <v>854</v>
      </c>
      <c r="N2009" s="6" t="s">
        <v>856</v>
      </c>
    </row>
    <row r="2010" spans="1:14" ht="15" customHeight="1" x14ac:dyDescent="0.2">
      <c r="A2010" s="22">
        <v>0.1816284538710122</v>
      </c>
      <c r="B2010" s="22"/>
      <c r="C2010" s="2" t="s">
        <v>891</v>
      </c>
      <c r="D2010" s="2">
        <f>A2010</f>
        <v>0.1816284538710122</v>
      </c>
      <c r="F2010" s="2">
        <v>2023</v>
      </c>
      <c r="G2010" s="23" t="s">
        <v>902</v>
      </c>
      <c r="H2010" s="2" t="s">
        <v>771</v>
      </c>
      <c r="I2010" s="23" t="s">
        <v>189</v>
      </c>
      <c r="J2010" s="23">
        <v>58095835</v>
      </c>
      <c r="K2010" s="23">
        <v>11805894</v>
      </c>
      <c r="L2010" s="23" t="s">
        <v>819</v>
      </c>
      <c r="M2010" s="2" t="s">
        <v>825</v>
      </c>
      <c r="N2010" s="6" t="s">
        <v>828</v>
      </c>
    </row>
    <row r="2011" spans="1:14" ht="15" customHeight="1" x14ac:dyDescent="0.2">
      <c r="A2011" s="31">
        <v>0.92656966043753508</v>
      </c>
      <c r="B2011" s="31"/>
      <c r="C2011" s="2" t="s">
        <v>855</v>
      </c>
      <c r="D2011" s="31">
        <f t="shared" ref="D2011:D2025" si="73" xml:space="preserve"> A2011 * 0.196</f>
        <v>0.18160765344575688</v>
      </c>
      <c r="F2011" s="2" t="s">
        <v>822</v>
      </c>
      <c r="G2011" s="23" t="s">
        <v>902</v>
      </c>
      <c r="H2011" s="2" t="s">
        <v>822</v>
      </c>
      <c r="J2011" s="31">
        <v>38.063999199999998</v>
      </c>
      <c r="K2011" s="31">
        <v>4.1999997999999996</v>
      </c>
      <c r="L2011" s="31"/>
      <c r="M2011" s="31" t="s">
        <v>854</v>
      </c>
      <c r="N2011" s="6" t="s">
        <v>856</v>
      </c>
    </row>
    <row r="2012" spans="1:14" ht="15" customHeight="1" x14ac:dyDescent="0.2">
      <c r="A2012" s="31">
        <v>0.92656616409389414</v>
      </c>
      <c r="B2012" s="31"/>
      <c r="C2012" s="2" t="s">
        <v>855</v>
      </c>
      <c r="D2012" s="31">
        <f t="shared" si="73"/>
        <v>0.18160696816240327</v>
      </c>
      <c r="F2012" s="2" t="s">
        <v>822</v>
      </c>
      <c r="G2012" s="23" t="s">
        <v>902</v>
      </c>
      <c r="H2012" s="2" t="s">
        <v>822</v>
      </c>
      <c r="J2012" s="31">
        <v>37.232799499999999</v>
      </c>
      <c r="K2012" s="31">
        <v>-27.9983006</v>
      </c>
      <c r="L2012" s="31"/>
      <c r="M2012" s="31" t="s">
        <v>854</v>
      </c>
      <c r="N2012" s="6" t="s">
        <v>856</v>
      </c>
    </row>
    <row r="2013" spans="1:14" ht="15" customHeight="1" x14ac:dyDescent="0.2">
      <c r="A2013" s="31">
        <v>0.92641627931910608</v>
      </c>
      <c r="B2013" s="31"/>
      <c r="C2013" s="2" t="s">
        <v>855</v>
      </c>
      <c r="D2013" s="31">
        <f t="shared" si="73"/>
        <v>0.18157759074654481</v>
      </c>
      <c r="F2013" s="2" t="s">
        <v>822</v>
      </c>
      <c r="G2013" s="23" t="s">
        <v>902</v>
      </c>
      <c r="H2013" s="2" t="s">
        <v>822</v>
      </c>
      <c r="J2013" s="31">
        <v>42.075599699999998</v>
      </c>
      <c r="K2013" s="31">
        <v>5.7929501999999999</v>
      </c>
      <c r="L2013" s="31"/>
      <c r="M2013" s="31" t="s">
        <v>854</v>
      </c>
      <c r="N2013" s="6" t="s">
        <v>856</v>
      </c>
    </row>
    <row r="2014" spans="1:14" ht="15" customHeight="1" x14ac:dyDescent="0.2">
      <c r="A2014" s="31">
        <v>0.92630070638949458</v>
      </c>
      <c r="B2014" s="31"/>
      <c r="C2014" s="2" t="s">
        <v>855</v>
      </c>
      <c r="D2014" s="31">
        <f t="shared" si="73"/>
        <v>0.18155493845234094</v>
      </c>
      <c r="F2014" s="2" t="s">
        <v>822</v>
      </c>
      <c r="G2014" s="23" t="s">
        <v>902</v>
      </c>
      <c r="H2014" s="2" t="s">
        <v>822</v>
      </c>
      <c r="J2014" s="31">
        <v>38.758300800000001</v>
      </c>
      <c r="K2014" s="31">
        <v>0.27193699999999998</v>
      </c>
      <c r="L2014" s="31"/>
      <c r="M2014" s="31" t="s">
        <v>854</v>
      </c>
      <c r="N2014" s="6" t="s">
        <v>856</v>
      </c>
    </row>
    <row r="2015" spans="1:14" ht="15" customHeight="1" x14ac:dyDescent="0.2">
      <c r="A2015" s="31">
        <v>0.92624629958900795</v>
      </c>
      <c r="B2015" s="31"/>
      <c r="C2015" s="2" t="s">
        <v>855</v>
      </c>
      <c r="D2015" s="31">
        <f t="shared" si="73"/>
        <v>0.18154427471944556</v>
      </c>
      <c r="F2015" s="2" t="s">
        <v>822</v>
      </c>
      <c r="G2015" s="23" t="s">
        <v>902</v>
      </c>
      <c r="H2015" s="2" t="s">
        <v>822</v>
      </c>
      <c r="J2015" s="31">
        <v>39.707500500000002</v>
      </c>
      <c r="K2015" s="31">
        <v>-15.3670998</v>
      </c>
      <c r="L2015" s="31"/>
      <c r="M2015" s="31" t="s">
        <v>854</v>
      </c>
      <c r="N2015" s="6" t="s">
        <v>856</v>
      </c>
    </row>
    <row r="2016" spans="1:14" ht="15" customHeight="1" x14ac:dyDescent="0.2">
      <c r="A2016" s="31">
        <v>0.92611427539109936</v>
      </c>
      <c r="B2016" s="31"/>
      <c r="C2016" s="2" t="s">
        <v>855</v>
      </c>
      <c r="D2016" s="31">
        <f t="shared" si="73"/>
        <v>0.18151839797665548</v>
      </c>
      <c r="F2016" s="2" t="s">
        <v>822</v>
      </c>
      <c r="G2016" s="23" t="s">
        <v>902</v>
      </c>
      <c r="H2016" s="2" t="s">
        <v>822</v>
      </c>
      <c r="J2016" s="31">
        <v>37.388599399999997</v>
      </c>
      <c r="K2016" s="31">
        <v>9.7503405000000001</v>
      </c>
      <c r="L2016" s="31"/>
      <c r="M2016" s="31" t="s">
        <v>854</v>
      </c>
      <c r="N2016" s="6" t="s">
        <v>856</v>
      </c>
    </row>
    <row r="2017" spans="1:14" ht="15" customHeight="1" x14ac:dyDescent="0.2">
      <c r="A2017" s="31">
        <v>0.92585838024720168</v>
      </c>
      <c r="B2017" s="31"/>
      <c r="C2017" s="2" t="s">
        <v>855</v>
      </c>
      <c r="D2017" s="31">
        <f t="shared" si="73"/>
        <v>0.18146824252845153</v>
      </c>
      <c r="F2017" s="2" t="s">
        <v>822</v>
      </c>
      <c r="G2017" s="23" t="s">
        <v>902</v>
      </c>
      <c r="H2017" s="2" t="s">
        <v>822</v>
      </c>
      <c r="J2017" s="31">
        <v>43.179000899999998</v>
      </c>
      <c r="K2017" s="31">
        <v>-27.311000799999999</v>
      </c>
      <c r="L2017" s="31"/>
      <c r="M2017" s="31" t="s">
        <v>854</v>
      </c>
      <c r="N2017" s="6" t="s">
        <v>856</v>
      </c>
    </row>
    <row r="2018" spans="1:14" ht="15" customHeight="1" x14ac:dyDescent="0.2">
      <c r="A2018" s="31">
        <v>0.92583318632567635</v>
      </c>
      <c r="B2018" s="31"/>
      <c r="C2018" s="2" t="s">
        <v>855</v>
      </c>
      <c r="D2018" s="31">
        <f t="shared" si="73"/>
        <v>0.18146330451983256</v>
      </c>
      <c r="F2018" s="2" t="s">
        <v>822</v>
      </c>
      <c r="G2018" s="23" t="s">
        <v>902</v>
      </c>
      <c r="H2018" s="2" t="s">
        <v>822</v>
      </c>
      <c r="J2018" s="31">
        <v>34.756999999999998</v>
      </c>
      <c r="K2018" s="31">
        <v>18.720199600000001</v>
      </c>
      <c r="L2018" s="31"/>
      <c r="M2018" s="31" t="s">
        <v>854</v>
      </c>
      <c r="N2018" s="6" t="s">
        <v>856</v>
      </c>
    </row>
    <row r="2019" spans="1:14" ht="15" customHeight="1" x14ac:dyDescent="0.2">
      <c r="A2019" s="31">
        <v>0.92554361375735894</v>
      </c>
      <c r="B2019" s="31"/>
      <c r="C2019" s="2" t="s">
        <v>855</v>
      </c>
      <c r="D2019" s="31">
        <f t="shared" si="73"/>
        <v>0.18140654829644237</v>
      </c>
      <c r="F2019" s="2" t="s">
        <v>822</v>
      </c>
      <c r="G2019" s="23" t="s">
        <v>902</v>
      </c>
      <c r="H2019" s="2" t="s">
        <v>822</v>
      </c>
      <c r="J2019" s="31">
        <v>34.779499100000002</v>
      </c>
      <c r="K2019" s="31">
        <v>18.448600800000001</v>
      </c>
      <c r="L2019" s="31"/>
      <c r="M2019" s="31" t="s">
        <v>854</v>
      </c>
      <c r="N2019" s="6" t="s">
        <v>856</v>
      </c>
    </row>
    <row r="2020" spans="1:14" ht="15" customHeight="1" x14ac:dyDescent="0.2">
      <c r="A2020" s="31">
        <v>0.92519829765304817</v>
      </c>
      <c r="B2020" s="31"/>
      <c r="C2020" s="2" t="s">
        <v>855</v>
      </c>
      <c r="D2020" s="31">
        <f t="shared" si="73"/>
        <v>0.18133886633999746</v>
      </c>
      <c r="F2020" s="2" t="s">
        <v>822</v>
      </c>
      <c r="G2020" s="23" t="s">
        <v>902</v>
      </c>
      <c r="H2020" s="2" t="s">
        <v>822</v>
      </c>
      <c r="J2020" s="31">
        <v>49.151599900000001</v>
      </c>
      <c r="K2020" s="31">
        <v>-3.64819</v>
      </c>
      <c r="L2020" s="31"/>
      <c r="M2020" s="31" t="s">
        <v>854</v>
      </c>
      <c r="N2020" s="6" t="s">
        <v>856</v>
      </c>
    </row>
    <row r="2021" spans="1:14" ht="15" customHeight="1" x14ac:dyDescent="0.2">
      <c r="A2021" s="31">
        <v>0.9250060484591528</v>
      </c>
      <c r="B2021" s="31"/>
      <c r="C2021" s="2" t="s">
        <v>855</v>
      </c>
      <c r="D2021" s="31">
        <f t="shared" si="73"/>
        <v>0.18130118549799396</v>
      </c>
      <c r="F2021" s="2" t="s">
        <v>822</v>
      </c>
      <c r="G2021" s="23" t="s">
        <v>902</v>
      </c>
      <c r="H2021" s="2" t="s">
        <v>822</v>
      </c>
      <c r="J2021" s="31">
        <v>39.867500300000003</v>
      </c>
      <c r="K2021" s="31">
        <v>8.3661299000000007</v>
      </c>
      <c r="L2021" s="31"/>
      <c r="M2021" s="31" t="s">
        <v>854</v>
      </c>
      <c r="N2021" s="6" t="s">
        <v>856</v>
      </c>
    </row>
    <row r="2022" spans="1:14" ht="15" customHeight="1" x14ac:dyDescent="0.2">
      <c r="A2022" s="31">
        <v>0.92492078210854933</v>
      </c>
      <c r="B2022" s="31"/>
      <c r="C2022" s="2" t="s">
        <v>855</v>
      </c>
      <c r="D2022" s="31">
        <f t="shared" si="73"/>
        <v>0.18128447329327568</v>
      </c>
      <c r="F2022" s="2" t="s">
        <v>822</v>
      </c>
      <c r="G2022" s="23" t="s">
        <v>902</v>
      </c>
      <c r="H2022" s="2" t="s">
        <v>822</v>
      </c>
      <c r="J2022" s="31">
        <v>37.2737999</v>
      </c>
      <c r="K2022" s="31">
        <v>13.4281998</v>
      </c>
      <c r="L2022" s="31"/>
      <c r="M2022" s="31" t="s">
        <v>854</v>
      </c>
      <c r="N2022" s="6" t="s">
        <v>856</v>
      </c>
    </row>
    <row r="2023" spans="1:14" ht="15" customHeight="1" x14ac:dyDescent="0.2">
      <c r="A2023" s="31">
        <v>0.92441529689333179</v>
      </c>
      <c r="B2023" s="31"/>
      <c r="C2023" s="2" t="s">
        <v>855</v>
      </c>
      <c r="D2023" s="31">
        <f t="shared" si="73"/>
        <v>0.18118539819109303</v>
      </c>
      <c r="F2023" s="2" t="s">
        <v>822</v>
      </c>
      <c r="G2023" s="23" t="s">
        <v>902</v>
      </c>
      <c r="H2023" s="2" t="s">
        <v>822</v>
      </c>
      <c r="J2023" s="31">
        <v>41.799098999999998</v>
      </c>
      <c r="K2023" s="31">
        <v>4.7073102000000002</v>
      </c>
      <c r="L2023" s="31"/>
      <c r="M2023" s="31" t="s">
        <v>854</v>
      </c>
      <c r="N2023" s="6" t="s">
        <v>856</v>
      </c>
    </row>
    <row r="2024" spans="1:14" ht="15" customHeight="1" x14ac:dyDescent="0.2">
      <c r="A2024" s="31">
        <v>0.92411006575626908</v>
      </c>
      <c r="B2024" s="31"/>
      <c r="C2024" s="2" t="s">
        <v>855</v>
      </c>
      <c r="D2024" s="31">
        <f t="shared" si="73"/>
        <v>0.18112557288822875</v>
      </c>
      <c r="F2024" s="2" t="s">
        <v>822</v>
      </c>
      <c r="G2024" s="23" t="s">
        <v>902</v>
      </c>
      <c r="H2024" s="2" t="s">
        <v>822</v>
      </c>
      <c r="J2024" s="31">
        <v>38.691200299999998</v>
      </c>
      <c r="K2024" s="31">
        <v>-34.534301800000001</v>
      </c>
      <c r="L2024" s="31"/>
      <c r="M2024" s="31" t="s">
        <v>854</v>
      </c>
      <c r="N2024" s="6" t="s">
        <v>856</v>
      </c>
    </row>
    <row r="2025" spans="1:14" ht="15" customHeight="1" x14ac:dyDescent="0.2">
      <c r="A2025" s="31">
        <v>0.92385043507226872</v>
      </c>
      <c r="B2025" s="31"/>
      <c r="C2025" s="2" t="s">
        <v>855</v>
      </c>
      <c r="D2025" s="31">
        <f t="shared" si="73"/>
        <v>0.18107468527416468</v>
      </c>
      <c r="F2025" s="2" t="s">
        <v>822</v>
      </c>
      <c r="G2025" s="23" t="s">
        <v>902</v>
      </c>
      <c r="H2025" s="2" t="s">
        <v>822</v>
      </c>
      <c r="J2025" s="31">
        <v>36.062599200000001</v>
      </c>
      <c r="K2025" s="31">
        <v>-40.558399199999997</v>
      </c>
      <c r="L2025" s="31"/>
      <c r="M2025" s="31" t="s">
        <v>854</v>
      </c>
      <c r="N2025" s="6" t="s">
        <v>856</v>
      </c>
    </row>
    <row r="2026" spans="1:14" ht="15" customHeight="1" x14ac:dyDescent="0.2">
      <c r="A2026" s="22">
        <v>0.1810003745503003</v>
      </c>
      <c r="B2026" s="22"/>
      <c r="C2026" s="2" t="s">
        <v>891</v>
      </c>
      <c r="D2026" s="2">
        <f>A2026</f>
        <v>0.1810003745503003</v>
      </c>
      <c r="F2026" s="2">
        <v>2023</v>
      </c>
      <c r="G2026" s="23" t="s">
        <v>902</v>
      </c>
      <c r="H2026" s="2" t="s">
        <v>771</v>
      </c>
      <c r="I2026" s="23" t="s">
        <v>189</v>
      </c>
      <c r="J2026" s="23">
        <v>58102307</v>
      </c>
      <c r="K2026" s="23">
        <v>11804258</v>
      </c>
      <c r="L2026" s="23" t="s">
        <v>819</v>
      </c>
      <c r="M2026" s="2" t="s">
        <v>825</v>
      </c>
      <c r="N2026" s="6" t="s">
        <v>828</v>
      </c>
    </row>
    <row r="2027" spans="1:14" ht="15" customHeight="1" x14ac:dyDescent="0.2">
      <c r="A2027" s="31">
        <v>0.92346286252572285</v>
      </c>
      <c r="B2027" s="31"/>
      <c r="C2027" s="2" t="s">
        <v>855</v>
      </c>
      <c r="D2027" s="31">
        <f t="shared" ref="D2027:D2058" si="74" xml:space="preserve"> A2027 * 0.196</f>
        <v>0.18099872105504169</v>
      </c>
      <c r="F2027" s="2" t="s">
        <v>822</v>
      </c>
      <c r="G2027" s="23" t="s">
        <v>902</v>
      </c>
      <c r="H2027" s="2" t="s">
        <v>822</v>
      </c>
      <c r="J2027" s="31">
        <v>44.290698999999996</v>
      </c>
      <c r="K2027" s="31">
        <v>-1.5061100000000001</v>
      </c>
      <c r="L2027" s="31"/>
      <c r="M2027" s="31" t="s">
        <v>854</v>
      </c>
      <c r="N2027" s="6" t="s">
        <v>856</v>
      </c>
    </row>
    <row r="2028" spans="1:14" ht="15" customHeight="1" x14ac:dyDescent="0.2">
      <c r="A2028" s="31">
        <v>0.92317758127671079</v>
      </c>
      <c r="B2028" s="31"/>
      <c r="C2028" s="2" t="s">
        <v>855</v>
      </c>
      <c r="D2028" s="31">
        <f t="shared" si="74"/>
        <v>0.18094280593023532</v>
      </c>
      <c r="F2028" s="2" t="s">
        <v>822</v>
      </c>
      <c r="G2028" s="23" t="s">
        <v>902</v>
      </c>
      <c r="H2028" s="2" t="s">
        <v>822</v>
      </c>
      <c r="J2028" s="31">
        <v>36.883300800000001</v>
      </c>
      <c r="K2028" s="31">
        <v>11.2466002</v>
      </c>
      <c r="L2028" s="31"/>
      <c r="M2028" s="31" t="s">
        <v>854</v>
      </c>
      <c r="N2028" s="6" t="s">
        <v>856</v>
      </c>
    </row>
    <row r="2029" spans="1:14" ht="15" customHeight="1" x14ac:dyDescent="0.2">
      <c r="A2029" s="31">
        <v>0.92303860035602558</v>
      </c>
      <c r="B2029" s="31"/>
      <c r="C2029" s="2" t="s">
        <v>855</v>
      </c>
      <c r="D2029" s="31">
        <f t="shared" si="74"/>
        <v>0.18091556566978101</v>
      </c>
      <c r="F2029" s="2" t="s">
        <v>822</v>
      </c>
      <c r="G2029" s="23" t="s">
        <v>902</v>
      </c>
      <c r="H2029" s="2" t="s">
        <v>822</v>
      </c>
      <c r="J2029" s="31">
        <v>41.327300999999999</v>
      </c>
      <c r="K2029" s="31">
        <v>-8.7989797999999997</v>
      </c>
      <c r="L2029" s="31"/>
      <c r="M2029" s="31" t="s">
        <v>854</v>
      </c>
      <c r="N2029" s="6" t="s">
        <v>856</v>
      </c>
    </row>
    <row r="2030" spans="1:14" ht="15" customHeight="1" x14ac:dyDescent="0.2">
      <c r="A2030" s="31">
        <v>0.92299709138977137</v>
      </c>
      <c r="B2030" s="31"/>
      <c r="C2030" s="2" t="s">
        <v>855</v>
      </c>
      <c r="D2030" s="31">
        <f t="shared" si="74"/>
        <v>0.1809074299123952</v>
      </c>
      <c r="F2030" s="2" t="s">
        <v>822</v>
      </c>
      <c r="G2030" s="23" t="s">
        <v>902</v>
      </c>
      <c r="H2030" s="2" t="s">
        <v>822</v>
      </c>
      <c r="J2030" s="31">
        <v>45.411998699999998</v>
      </c>
      <c r="K2030" s="31">
        <v>-32.540000900000003</v>
      </c>
      <c r="L2030" s="31"/>
      <c r="M2030" s="31" t="s">
        <v>854</v>
      </c>
      <c r="N2030" s="6" t="s">
        <v>856</v>
      </c>
    </row>
    <row r="2031" spans="1:14" ht="15" customHeight="1" x14ac:dyDescent="0.2">
      <c r="A2031" s="31">
        <v>0.92291900125619464</v>
      </c>
      <c r="B2031" s="31"/>
      <c r="C2031" s="2" t="s">
        <v>855</v>
      </c>
      <c r="D2031" s="31">
        <f t="shared" si="74"/>
        <v>0.18089212424621415</v>
      </c>
      <c r="F2031" s="2" t="s">
        <v>822</v>
      </c>
      <c r="G2031" s="23" t="s">
        <v>902</v>
      </c>
      <c r="H2031" s="2" t="s">
        <v>822</v>
      </c>
      <c r="J2031" s="31">
        <v>28.711999899999999</v>
      </c>
      <c r="K2031" s="31">
        <v>-25.860000599999999</v>
      </c>
      <c r="L2031" s="31"/>
      <c r="M2031" s="31" t="s">
        <v>854</v>
      </c>
      <c r="N2031" s="6" t="s">
        <v>856</v>
      </c>
    </row>
    <row r="2032" spans="1:14" ht="15" customHeight="1" x14ac:dyDescent="0.2">
      <c r="A2032" s="31">
        <v>0.92289590144978473</v>
      </c>
      <c r="B2032" s="31"/>
      <c r="C2032" s="2" t="s">
        <v>855</v>
      </c>
      <c r="D2032" s="31">
        <f t="shared" si="74"/>
        <v>0.18088759668415783</v>
      </c>
      <c r="F2032" s="2" t="s">
        <v>822</v>
      </c>
      <c r="G2032" s="23" t="s">
        <v>902</v>
      </c>
      <c r="H2032" s="2" t="s">
        <v>822</v>
      </c>
      <c r="J2032" s="31">
        <v>42.457199099999997</v>
      </c>
      <c r="K2032" s="31">
        <v>-11.9622002</v>
      </c>
      <c r="L2032" s="31"/>
      <c r="M2032" s="31" t="s">
        <v>854</v>
      </c>
      <c r="N2032" s="6" t="s">
        <v>856</v>
      </c>
    </row>
    <row r="2033" spans="1:14" ht="15" customHeight="1" x14ac:dyDescent="0.2">
      <c r="A2033" s="31">
        <v>0.92284192856762626</v>
      </c>
      <c r="B2033" s="31"/>
      <c r="C2033" s="2" t="s">
        <v>855</v>
      </c>
      <c r="D2033" s="31">
        <f t="shared" si="74"/>
        <v>0.18087701799925476</v>
      </c>
      <c r="F2033" s="2" t="s">
        <v>822</v>
      </c>
      <c r="G2033" s="23" t="s">
        <v>902</v>
      </c>
      <c r="H2033" s="2" t="s">
        <v>822</v>
      </c>
      <c r="J2033" s="31">
        <v>45.507301300000002</v>
      </c>
      <c r="K2033" s="31">
        <v>-38.015098600000002</v>
      </c>
      <c r="L2033" s="31"/>
      <c r="M2033" s="31" t="s">
        <v>854</v>
      </c>
      <c r="N2033" s="6" t="s">
        <v>856</v>
      </c>
    </row>
    <row r="2034" spans="1:14" ht="15" customHeight="1" x14ac:dyDescent="0.2">
      <c r="A2034" s="31">
        <v>0.92276171773125892</v>
      </c>
      <c r="B2034" s="31"/>
      <c r="C2034" s="2" t="s">
        <v>855</v>
      </c>
      <c r="D2034" s="31">
        <f t="shared" si="74"/>
        <v>0.18086129667532674</v>
      </c>
      <c r="F2034" s="2" t="s">
        <v>822</v>
      </c>
      <c r="G2034" s="23" t="s">
        <v>902</v>
      </c>
      <c r="H2034" s="2" t="s">
        <v>822</v>
      </c>
      <c r="J2034" s="31">
        <v>38.7555008</v>
      </c>
      <c r="K2034" s="31">
        <v>16.5956993</v>
      </c>
      <c r="L2034" s="31"/>
      <c r="M2034" s="31" t="s">
        <v>854</v>
      </c>
      <c r="N2034" s="6" t="s">
        <v>856</v>
      </c>
    </row>
    <row r="2035" spans="1:14" ht="15" customHeight="1" x14ac:dyDescent="0.2">
      <c r="A2035" s="31">
        <v>0.92271056691436937</v>
      </c>
      <c r="B2035" s="31"/>
      <c r="C2035" s="2" t="s">
        <v>855</v>
      </c>
      <c r="D2035" s="31">
        <f t="shared" si="74"/>
        <v>0.1808512711152164</v>
      </c>
      <c r="F2035" s="2" t="s">
        <v>822</v>
      </c>
      <c r="G2035" s="23" t="s">
        <v>902</v>
      </c>
      <c r="H2035" s="2" t="s">
        <v>822</v>
      </c>
      <c r="J2035" s="31">
        <v>27.375999499999999</v>
      </c>
      <c r="K2035" s="31">
        <v>-34.543998700000003</v>
      </c>
      <c r="L2035" s="31"/>
      <c r="M2035" s="31" t="s">
        <v>854</v>
      </c>
      <c r="N2035" s="6" t="s">
        <v>856</v>
      </c>
    </row>
    <row r="2036" spans="1:14" ht="15" customHeight="1" x14ac:dyDescent="0.2">
      <c r="A2036" s="31">
        <v>0.92257566177907779</v>
      </c>
      <c r="B2036" s="31"/>
      <c r="C2036" s="2" t="s">
        <v>855</v>
      </c>
      <c r="D2036" s="31">
        <f t="shared" si="74"/>
        <v>0.18082482970869926</v>
      </c>
      <c r="F2036" s="2" t="s">
        <v>822</v>
      </c>
      <c r="G2036" s="23" t="s">
        <v>902</v>
      </c>
      <c r="H2036" s="2" t="s">
        <v>822</v>
      </c>
      <c r="J2036" s="31">
        <v>40.736598999999998</v>
      </c>
      <c r="K2036" s="31">
        <v>-14.091199899999999</v>
      </c>
      <c r="L2036" s="31"/>
      <c r="M2036" s="31" t="s">
        <v>854</v>
      </c>
      <c r="N2036" s="6" t="s">
        <v>856</v>
      </c>
    </row>
    <row r="2037" spans="1:14" ht="15" customHeight="1" x14ac:dyDescent="0.2">
      <c r="A2037" s="31">
        <v>0.92242394646554449</v>
      </c>
      <c r="B2037" s="31"/>
      <c r="C2037" s="2" t="s">
        <v>855</v>
      </c>
      <c r="D2037" s="31">
        <f t="shared" si="74"/>
        <v>0.18079509350724673</v>
      </c>
      <c r="F2037" s="2" t="s">
        <v>822</v>
      </c>
      <c r="G2037" s="23" t="s">
        <v>902</v>
      </c>
      <c r="H2037" s="2" t="s">
        <v>822</v>
      </c>
      <c r="J2037" s="31">
        <v>32.042198200000001</v>
      </c>
      <c r="K2037" s="31">
        <v>-40.554599799999998</v>
      </c>
      <c r="L2037" s="31"/>
      <c r="M2037" s="31" t="s">
        <v>854</v>
      </c>
      <c r="N2037" s="6" t="s">
        <v>856</v>
      </c>
    </row>
    <row r="2038" spans="1:14" ht="15" customHeight="1" x14ac:dyDescent="0.2">
      <c r="A2038" s="31">
        <v>0.92225733930683917</v>
      </c>
      <c r="B2038" s="31"/>
      <c r="C2038" s="2" t="s">
        <v>855</v>
      </c>
      <c r="D2038" s="31">
        <f t="shared" si="74"/>
        <v>0.18076243850414048</v>
      </c>
      <c r="F2038" s="2" t="s">
        <v>822</v>
      </c>
      <c r="G2038" s="23" t="s">
        <v>902</v>
      </c>
      <c r="H2038" s="2" t="s">
        <v>822</v>
      </c>
      <c r="J2038" s="31">
        <v>43.321700999999997</v>
      </c>
      <c r="K2038" s="31">
        <v>-29.158800100000001</v>
      </c>
      <c r="L2038" s="31"/>
      <c r="M2038" s="31" t="s">
        <v>854</v>
      </c>
      <c r="N2038" s="6" t="s">
        <v>856</v>
      </c>
    </row>
    <row r="2039" spans="1:14" ht="15" customHeight="1" x14ac:dyDescent="0.2">
      <c r="A2039" s="31">
        <v>0.9222470663124791</v>
      </c>
      <c r="B2039" s="31"/>
      <c r="C2039" s="2" t="s">
        <v>855</v>
      </c>
      <c r="D2039" s="31">
        <f t="shared" si="74"/>
        <v>0.1807604249972459</v>
      </c>
      <c r="F2039" s="2" t="s">
        <v>822</v>
      </c>
      <c r="G2039" s="23" t="s">
        <v>902</v>
      </c>
      <c r="H2039" s="2" t="s">
        <v>822</v>
      </c>
      <c r="J2039" s="31">
        <v>43.034599299999996</v>
      </c>
      <c r="K2039" s="31">
        <v>-10.9833002</v>
      </c>
      <c r="L2039" s="31"/>
      <c r="M2039" s="31" t="s">
        <v>854</v>
      </c>
      <c r="N2039" s="6" t="s">
        <v>856</v>
      </c>
    </row>
    <row r="2040" spans="1:14" ht="15" customHeight="1" x14ac:dyDescent="0.2">
      <c r="A2040" s="31">
        <v>0.92217122746804414</v>
      </c>
      <c r="B2040" s="31"/>
      <c r="C2040" s="2" t="s">
        <v>855</v>
      </c>
      <c r="D2040" s="31">
        <f t="shared" si="74"/>
        <v>0.18074556058373667</v>
      </c>
      <c r="F2040" s="2" t="s">
        <v>822</v>
      </c>
      <c r="G2040" s="23" t="s">
        <v>902</v>
      </c>
      <c r="H2040" s="2" t="s">
        <v>822</v>
      </c>
      <c r="J2040" s="31">
        <v>38.460201300000001</v>
      </c>
      <c r="K2040" s="31">
        <v>19.6275005</v>
      </c>
      <c r="L2040" s="31"/>
      <c r="M2040" s="31" t="s">
        <v>854</v>
      </c>
      <c r="N2040" s="6" t="s">
        <v>856</v>
      </c>
    </row>
    <row r="2041" spans="1:14" ht="15" customHeight="1" x14ac:dyDescent="0.2">
      <c r="A2041" s="31">
        <v>0.92197105082210051</v>
      </c>
      <c r="B2041" s="31"/>
      <c r="C2041" s="2" t="s">
        <v>855</v>
      </c>
      <c r="D2041" s="31">
        <f t="shared" si="74"/>
        <v>0.1807063259611317</v>
      </c>
      <c r="F2041" s="2" t="s">
        <v>822</v>
      </c>
      <c r="G2041" s="23" t="s">
        <v>902</v>
      </c>
      <c r="H2041" s="2" t="s">
        <v>822</v>
      </c>
      <c r="J2041" s="31">
        <v>58.806198100000003</v>
      </c>
      <c r="K2041" s="31">
        <v>21.9444008</v>
      </c>
      <c r="L2041" s="31"/>
      <c r="M2041" s="31" t="s">
        <v>854</v>
      </c>
      <c r="N2041" s="6" t="s">
        <v>856</v>
      </c>
    </row>
    <row r="2042" spans="1:14" ht="15" customHeight="1" x14ac:dyDescent="0.2">
      <c r="A2042" s="31">
        <v>0.92120532640863306</v>
      </c>
      <c r="B2042" s="31"/>
      <c r="C2042" s="2" t="s">
        <v>855</v>
      </c>
      <c r="D2042" s="31">
        <f t="shared" si="74"/>
        <v>0.18055624397609207</v>
      </c>
      <c r="F2042" s="2" t="s">
        <v>822</v>
      </c>
      <c r="G2042" s="23" t="s">
        <v>902</v>
      </c>
      <c r="H2042" s="2" t="s">
        <v>822</v>
      </c>
      <c r="J2042" s="31">
        <v>54.6902008</v>
      </c>
      <c r="K2042" s="31">
        <v>16.484199499999999</v>
      </c>
      <c r="L2042" s="31"/>
      <c r="M2042" s="31" t="s">
        <v>854</v>
      </c>
      <c r="N2042" s="6" t="s">
        <v>856</v>
      </c>
    </row>
    <row r="2043" spans="1:14" ht="15" customHeight="1" x14ac:dyDescent="0.2">
      <c r="A2043" s="31">
        <v>0.92101760274789024</v>
      </c>
      <c r="B2043" s="31"/>
      <c r="C2043" s="2" t="s">
        <v>855</v>
      </c>
      <c r="D2043" s="31">
        <f t="shared" si="74"/>
        <v>0.1805194501385865</v>
      </c>
      <c r="F2043" s="2" t="s">
        <v>822</v>
      </c>
      <c r="G2043" s="23" t="s">
        <v>902</v>
      </c>
      <c r="H2043" s="2" t="s">
        <v>822</v>
      </c>
      <c r="J2043" s="31">
        <v>49.578601800000001</v>
      </c>
      <c r="K2043" s="31">
        <v>-0.66116399999999997</v>
      </c>
      <c r="L2043" s="31"/>
      <c r="M2043" s="31" t="s">
        <v>854</v>
      </c>
      <c r="N2043" s="6" t="s">
        <v>856</v>
      </c>
    </row>
    <row r="2044" spans="1:14" ht="15" customHeight="1" x14ac:dyDescent="0.2">
      <c r="A2044" s="31">
        <v>0.92093198642569429</v>
      </c>
      <c r="B2044" s="31"/>
      <c r="C2044" s="2" t="s">
        <v>855</v>
      </c>
      <c r="D2044" s="31">
        <f t="shared" si="74"/>
        <v>0.18050266933943609</v>
      </c>
      <c r="F2044" s="2" t="s">
        <v>822</v>
      </c>
      <c r="G2044" s="23" t="s">
        <v>902</v>
      </c>
      <c r="H2044" s="2" t="s">
        <v>822</v>
      </c>
      <c r="J2044" s="31">
        <v>41.353099800000003</v>
      </c>
      <c r="K2044" s="31">
        <v>-33.380901299999998</v>
      </c>
      <c r="L2044" s="31"/>
      <c r="M2044" s="31" t="s">
        <v>854</v>
      </c>
      <c r="N2044" s="6" t="s">
        <v>856</v>
      </c>
    </row>
    <row r="2045" spans="1:14" ht="15" customHeight="1" x14ac:dyDescent="0.2">
      <c r="A2045" s="31">
        <v>0.92084448614927172</v>
      </c>
      <c r="B2045" s="31"/>
      <c r="C2045" s="2" t="s">
        <v>855</v>
      </c>
      <c r="D2045" s="31">
        <f t="shared" si="74"/>
        <v>0.18048551928525727</v>
      </c>
      <c r="F2045" s="2" t="s">
        <v>822</v>
      </c>
      <c r="G2045" s="23" t="s">
        <v>902</v>
      </c>
      <c r="H2045" s="2" t="s">
        <v>822</v>
      </c>
      <c r="J2045" s="31">
        <v>34.747798899999999</v>
      </c>
      <c r="K2045" s="31">
        <v>25.102500899999999</v>
      </c>
      <c r="L2045" s="31"/>
      <c r="M2045" s="31" t="s">
        <v>854</v>
      </c>
      <c r="N2045" s="6" t="s">
        <v>856</v>
      </c>
    </row>
    <row r="2046" spans="1:14" ht="15" customHeight="1" x14ac:dyDescent="0.2">
      <c r="A2046" s="31">
        <v>0.92081889988183951</v>
      </c>
      <c r="B2046" s="31"/>
      <c r="C2046" s="2" t="s">
        <v>855</v>
      </c>
      <c r="D2046" s="31">
        <f t="shared" si="74"/>
        <v>0.18048050437684054</v>
      </c>
      <c r="F2046" s="2" t="s">
        <v>822</v>
      </c>
      <c r="G2046" s="23" t="s">
        <v>902</v>
      </c>
      <c r="H2046" s="2" t="s">
        <v>822</v>
      </c>
      <c r="J2046" s="31">
        <v>42.876499199999998</v>
      </c>
      <c r="K2046" s="31">
        <v>-12.350700399999999</v>
      </c>
      <c r="L2046" s="31"/>
      <c r="M2046" s="31" t="s">
        <v>854</v>
      </c>
      <c r="N2046" s="6" t="s">
        <v>856</v>
      </c>
    </row>
    <row r="2047" spans="1:14" ht="15" customHeight="1" x14ac:dyDescent="0.2">
      <c r="A2047" s="31">
        <v>0.92051565867109209</v>
      </c>
      <c r="B2047" s="31"/>
      <c r="C2047" s="2" t="s">
        <v>855</v>
      </c>
      <c r="D2047" s="31">
        <f t="shared" si="74"/>
        <v>0.18042106909953406</v>
      </c>
      <c r="F2047" s="2" t="s">
        <v>822</v>
      </c>
      <c r="G2047" s="23" t="s">
        <v>902</v>
      </c>
      <c r="H2047" s="2" t="s">
        <v>822</v>
      </c>
      <c r="J2047" s="31">
        <v>39.555500000000002</v>
      </c>
      <c r="K2047" s="31">
        <v>-22.211399100000001</v>
      </c>
      <c r="L2047" s="31"/>
      <c r="M2047" s="31" t="s">
        <v>854</v>
      </c>
      <c r="N2047" s="6" t="s">
        <v>856</v>
      </c>
    </row>
    <row r="2048" spans="1:14" ht="15" customHeight="1" x14ac:dyDescent="0.2">
      <c r="A2048" s="31">
        <v>0.92044493481625378</v>
      </c>
      <c r="B2048" s="31"/>
      <c r="C2048" s="2" t="s">
        <v>855</v>
      </c>
      <c r="D2048" s="31">
        <f t="shared" si="74"/>
        <v>0.18040720722398576</v>
      </c>
      <c r="F2048" s="2" t="s">
        <v>822</v>
      </c>
      <c r="G2048" s="23" t="s">
        <v>902</v>
      </c>
      <c r="H2048" s="2" t="s">
        <v>822</v>
      </c>
      <c r="J2048" s="31">
        <v>34.120998399999998</v>
      </c>
      <c r="K2048" s="31">
        <v>22.9820004</v>
      </c>
      <c r="L2048" s="31"/>
      <c r="M2048" s="31" t="s">
        <v>854</v>
      </c>
      <c r="N2048" s="6" t="s">
        <v>856</v>
      </c>
    </row>
    <row r="2049" spans="1:14" ht="15" customHeight="1" x14ac:dyDescent="0.2">
      <c r="A2049" s="31">
        <v>0.92034245684523641</v>
      </c>
      <c r="B2049" s="31"/>
      <c r="C2049" s="2" t="s">
        <v>855</v>
      </c>
      <c r="D2049" s="31">
        <f t="shared" si="74"/>
        <v>0.18038712154166633</v>
      </c>
      <c r="F2049" s="2" t="s">
        <v>822</v>
      </c>
      <c r="G2049" s="23" t="s">
        <v>902</v>
      </c>
      <c r="H2049" s="2" t="s">
        <v>822</v>
      </c>
      <c r="J2049" s="31">
        <v>44.677299499999997</v>
      </c>
      <c r="K2049" s="31">
        <v>-1.5238400000000001</v>
      </c>
      <c r="L2049" s="31"/>
      <c r="M2049" s="31" t="s">
        <v>854</v>
      </c>
      <c r="N2049" s="6" t="s">
        <v>856</v>
      </c>
    </row>
    <row r="2050" spans="1:14" ht="15" customHeight="1" x14ac:dyDescent="0.2">
      <c r="A2050" s="31">
        <v>0.92026520325475725</v>
      </c>
      <c r="B2050" s="31"/>
      <c r="C2050" s="2" t="s">
        <v>855</v>
      </c>
      <c r="D2050" s="31">
        <f t="shared" si="74"/>
        <v>0.18037197983793243</v>
      </c>
      <c r="F2050" s="2" t="s">
        <v>822</v>
      </c>
      <c r="G2050" s="23" t="s">
        <v>902</v>
      </c>
      <c r="H2050" s="2" t="s">
        <v>822</v>
      </c>
      <c r="J2050" s="31">
        <v>38.844799000000002</v>
      </c>
      <c r="K2050" s="31">
        <v>18.557199499999999</v>
      </c>
      <c r="L2050" s="31"/>
      <c r="M2050" s="31" t="s">
        <v>854</v>
      </c>
      <c r="N2050" s="6" t="s">
        <v>856</v>
      </c>
    </row>
    <row r="2051" spans="1:14" ht="15" customHeight="1" x14ac:dyDescent="0.2">
      <c r="A2051" s="31">
        <v>0.91986088287551482</v>
      </c>
      <c r="B2051" s="31"/>
      <c r="C2051" s="2" t="s">
        <v>855</v>
      </c>
      <c r="D2051" s="31">
        <f t="shared" si="74"/>
        <v>0.18029273304360091</v>
      </c>
      <c r="F2051" s="2" t="s">
        <v>822</v>
      </c>
      <c r="G2051" s="23" t="s">
        <v>902</v>
      </c>
      <c r="H2051" s="2" t="s">
        <v>822</v>
      </c>
      <c r="J2051" s="31">
        <v>30.7159996</v>
      </c>
      <c r="K2051" s="31">
        <v>-19.847999600000001</v>
      </c>
      <c r="L2051" s="31"/>
      <c r="M2051" s="31" t="s">
        <v>854</v>
      </c>
      <c r="N2051" s="6" t="s">
        <v>856</v>
      </c>
    </row>
    <row r="2052" spans="1:14" ht="15" customHeight="1" x14ac:dyDescent="0.2">
      <c r="A2052" s="31">
        <v>0.91972978610537259</v>
      </c>
      <c r="B2052" s="31"/>
      <c r="C2052" s="2" t="s">
        <v>855</v>
      </c>
      <c r="D2052" s="31">
        <f t="shared" si="74"/>
        <v>0.18026703807665304</v>
      </c>
      <c r="F2052" s="2" t="s">
        <v>822</v>
      </c>
      <c r="G2052" s="23" t="s">
        <v>902</v>
      </c>
      <c r="H2052" s="2" t="s">
        <v>822</v>
      </c>
      <c r="J2052" s="31">
        <v>36.060001399999997</v>
      </c>
      <c r="K2052" s="31">
        <v>-30.5359993</v>
      </c>
      <c r="L2052" s="31"/>
      <c r="M2052" s="31" t="s">
        <v>854</v>
      </c>
      <c r="N2052" s="6" t="s">
        <v>856</v>
      </c>
    </row>
    <row r="2053" spans="1:14" ht="15" customHeight="1" x14ac:dyDescent="0.2">
      <c r="A2053" s="31">
        <v>0.91911536112266867</v>
      </c>
      <c r="B2053" s="31"/>
      <c r="C2053" s="2" t="s">
        <v>855</v>
      </c>
      <c r="D2053" s="31">
        <f t="shared" si="74"/>
        <v>0.18014661078004307</v>
      </c>
      <c r="F2053" s="2" t="s">
        <v>822</v>
      </c>
      <c r="G2053" s="23" t="s">
        <v>902</v>
      </c>
      <c r="H2053" s="2" t="s">
        <v>822</v>
      </c>
      <c r="J2053" s="31">
        <v>38.463501000000001</v>
      </c>
      <c r="K2053" s="31">
        <v>16.541599300000001</v>
      </c>
      <c r="L2053" s="31"/>
      <c r="M2053" s="31" t="s">
        <v>854</v>
      </c>
      <c r="N2053" s="6" t="s">
        <v>856</v>
      </c>
    </row>
    <row r="2054" spans="1:14" ht="15" customHeight="1" x14ac:dyDescent="0.2">
      <c r="A2054" s="31">
        <v>0.91884889878204801</v>
      </c>
      <c r="B2054" s="31"/>
      <c r="C2054" s="2" t="s">
        <v>855</v>
      </c>
      <c r="D2054" s="31">
        <f t="shared" si="74"/>
        <v>0.18009438416128143</v>
      </c>
      <c r="F2054" s="2" t="s">
        <v>822</v>
      </c>
      <c r="G2054" s="23" t="s">
        <v>902</v>
      </c>
      <c r="H2054" s="2" t="s">
        <v>822</v>
      </c>
      <c r="J2054" s="31">
        <v>38.153499600000004</v>
      </c>
      <c r="K2054" s="31">
        <v>-29.5072002</v>
      </c>
      <c r="L2054" s="31"/>
      <c r="M2054" s="31" t="s">
        <v>854</v>
      </c>
      <c r="N2054" s="6" t="s">
        <v>856</v>
      </c>
    </row>
    <row r="2055" spans="1:14" ht="15" customHeight="1" x14ac:dyDescent="0.2">
      <c r="A2055" s="31">
        <v>0.91799244486861853</v>
      </c>
      <c r="B2055" s="31"/>
      <c r="C2055" s="2" t="s">
        <v>855</v>
      </c>
      <c r="D2055" s="31">
        <f t="shared" si="74"/>
        <v>0.17992651919424923</v>
      </c>
      <c r="F2055" s="2" t="s">
        <v>822</v>
      </c>
      <c r="G2055" s="23" t="s">
        <v>902</v>
      </c>
      <c r="H2055" s="2" t="s">
        <v>822</v>
      </c>
      <c r="J2055" s="31">
        <v>36.739601100000002</v>
      </c>
      <c r="K2055" s="31">
        <v>-0.56324300000000005</v>
      </c>
      <c r="L2055" s="31"/>
      <c r="M2055" s="31" t="s">
        <v>854</v>
      </c>
      <c r="N2055" s="6" t="s">
        <v>856</v>
      </c>
    </row>
    <row r="2056" spans="1:14" ht="15" customHeight="1" x14ac:dyDescent="0.2">
      <c r="A2056" s="31">
        <v>0.91753034830974589</v>
      </c>
      <c r="B2056" s="31"/>
      <c r="C2056" s="2" t="s">
        <v>855</v>
      </c>
      <c r="D2056" s="31">
        <f t="shared" si="74"/>
        <v>0.17983594826871019</v>
      </c>
      <c r="F2056" s="2" t="s">
        <v>822</v>
      </c>
      <c r="G2056" s="23" t="s">
        <v>902</v>
      </c>
      <c r="H2056" s="2" t="s">
        <v>822</v>
      </c>
      <c r="J2056" s="31">
        <v>32.720001199999999</v>
      </c>
      <c r="K2056" s="31">
        <v>-22.520000499999998</v>
      </c>
      <c r="L2056" s="31"/>
      <c r="M2056" s="31" t="s">
        <v>854</v>
      </c>
      <c r="N2056" s="6" t="s">
        <v>856</v>
      </c>
    </row>
    <row r="2057" spans="1:14" ht="15" customHeight="1" x14ac:dyDescent="0.2">
      <c r="A2057" s="31">
        <v>0.91719627986755969</v>
      </c>
      <c r="B2057" s="31"/>
      <c r="C2057" s="2" t="s">
        <v>855</v>
      </c>
      <c r="D2057" s="31">
        <f t="shared" si="74"/>
        <v>0.17977047085404171</v>
      </c>
      <c r="F2057" s="2" t="s">
        <v>822</v>
      </c>
      <c r="G2057" s="23" t="s">
        <v>902</v>
      </c>
      <c r="H2057" s="2" t="s">
        <v>822</v>
      </c>
      <c r="J2057" s="31">
        <v>45.411998699999998</v>
      </c>
      <c r="K2057" s="31">
        <v>-5.1520000000000001</v>
      </c>
      <c r="L2057" s="31"/>
      <c r="M2057" s="31" t="s">
        <v>854</v>
      </c>
      <c r="N2057" s="6" t="s">
        <v>856</v>
      </c>
    </row>
    <row r="2058" spans="1:14" ht="15" customHeight="1" x14ac:dyDescent="0.2">
      <c r="A2058" s="31">
        <v>0.91717662530520194</v>
      </c>
      <c r="B2058" s="31"/>
      <c r="C2058" s="2" t="s">
        <v>855</v>
      </c>
      <c r="D2058" s="31">
        <f t="shared" si="74"/>
        <v>0.1797666185598196</v>
      </c>
      <c r="F2058" s="2" t="s">
        <v>822</v>
      </c>
      <c r="G2058" s="23" t="s">
        <v>902</v>
      </c>
      <c r="H2058" s="2" t="s">
        <v>822</v>
      </c>
      <c r="J2058" s="31">
        <v>39.992298099999999</v>
      </c>
      <c r="K2058" s="31">
        <v>-13.113400499999999</v>
      </c>
      <c r="L2058" s="31"/>
      <c r="M2058" s="31" t="s">
        <v>854</v>
      </c>
      <c r="N2058" s="6" t="s">
        <v>856</v>
      </c>
    </row>
    <row r="2059" spans="1:14" ht="15" customHeight="1" x14ac:dyDescent="0.2">
      <c r="A2059" s="31">
        <v>0.91677689343832758</v>
      </c>
      <c r="B2059" s="31"/>
      <c r="C2059" s="2" t="s">
        <v>855</v>
      </c>
      <c r="D2059" s="31">
        <f t="shared" ref="D2059:D2090" si="75" xml:space="preserve"> A2059 * 0.196</f>
        <v>0.17968827111391222</v>
      </c>
      <c r="F2059" s="2" t="s">
        <v>822</v>
      </c>
      <c r="G2059" s="23" t="s">
        <v>902</v>
      </c>
      <c r="H2059" s="2" t="s">
        <v>822</v>
      </c>
      <c r="J2059" s="31">
        <v>26.685699499999998</v>
      </c>
      <c r="K2059" s="31">
        <v>-18.4314003</v>
      </c>
      <c r="L2059" s="31"/>
      <c r="M2059" s="31" t="s">
        <v>854</v>
      </c>
      <c r="N2059" s="6" t="s">
        <v>856</v>
      </c>
    </row>
    <row r="2060" spans="1:14" ht="15" customHeight="1" x14ac:dyDescent="0.2">
      <c r="A2060" s="31">
        <v>0.91665808583204667</v>
      </c>
      <c r="B2060" s="31"/>
      <c r="C2060" s="2" t="s">
        <v>855</v>
      </c>
      <c r="D2060" s="31">
        <f t="shared" si="75"/>
        <v>0.17966498482308116</v>
      </c>
      <c r="F2060" s="2" t="s">
        <v>822</v>
      </c>
      <c r="G2060" s="23" t="s">
        <v>902</v>
      </c>
      <c r="H2060" s="2" t="s">
        <v>822</v>
      </c>
      <c r="J2060" s="31">
        <v>43.190799699999999</v>
      </c>
      <c r="K2060" s="31">
        <v>-11.2648001</v>
      </c>
      <c r="L2060" s="31"/>
      <c r="M2060" s="31" t="s">
        <v>854</v>
      </c>
      <c r="N2060" s="6" t="s">
        <v>856</v>
      </c>
    </row>
    <row r="2061" spans="1:14" ht="15" customHeight="1" x14ac:dyDescent="0.2">
      <c r="A2061" s="31">
        <v>0.91602141903750389</v>
      </c>
      <c r="B2061" s="31"/>
      <c r="C2061" s="2" t="s">
        <v>855</v>
      </c>
      <c r="D2061" s="31">
        <f t="shared" si="75"/>
        <v>0.17954019813135078</v>
      </c>
      <c r="F2061" s="2" t="s">
        <v>822</v>
      </c>
      <c r="G2061" s="23" t="s">
        <v>902</v>
      </c>
      <c r="H2061" s="2" t="s">
        <v>822</v>
      </c>
      <c r="J2061" s="31">
        <v>41.959499399999999</v>
      </c>
      <c r="K2061" s="31">
        <v>-41.445499400000003</v>
      </c>
      <c r="L2061" s="31"/>
      <c r="M2061" s="31" t="s">
        <v>854</v>
      </c>
      <c r="N2061" s="6" t="s">
        <v>856</v>
      </c>
    </row>
    <row r="2062" spans="1:14" ht="15" customHeight="1" x14ac:dyDescent="0.2">
      <c r="A2062" s="31">
        <v>0.91519983067029009</v>
      </c>
      <c r="B2062" s="31"/>
      <c r="C2062" s="2" t="s">
        <v>855</v>
      </c>
      <c r="D2062" s="31">
        <f t="shared" si="75"/>
        <v>0.17937916681137686</v>
      </c>
      <c r="F2062" s="2" t="s">
        <v>822</v>
      </c>
      <c r="G2062" s="23" t="s">
        <v>902</v>
      </c>
      <c r="H2062" s="2" t="s">
        <v>822</v>
      </c>
      <c r="J2062" s="31">
        <v>38.070598599999997</v>
      </c>
      <c r="K2062" s="31">
        <v>-34.550499000000002</v>
      </c>
      <c r="L2062" s="31"/>
      <c r="M2062" s="31" t="s">
        <v>854</v>
      </c>
      <c r="N2062" s="6" t="s">
        <v>856</v>
      </c>
    </row>
    <row r="2063" spans="1:14" ht="15" customHeight="1" x14ac:dyDescent="0.2">
      <c r="A2063" s="31">
        <v>0.91492521274871341</v>
      </c>
      <c r="B2063" s="31"/>
      <c r="C2063" s="2" t="s">
        <v>855</v>
      </c>
      <c r="D2063" s="31">
        <f t="shared" si="75"/>
        <v>0.17932534169874784</v>
      </c>
      <c r="F2063" s="2" t="s">
        <v>822</v>
      </c>
      <c r="G2063" s="23" t="s">
        <v>902</v>
      </c>
      <c r="H2063" s="2" t="s">
        <v>822</v>
      </c>
      <c r="J2063" s="31">
        <v>42.852298699999999</v>
      </c>
      <c r="K2063" s="31">
        <v>-31.907699600000001</v>
      </c>
      <c r="L2063" s="31"/>
      <c r="M2063" s="31" t="s">
        <v>854</v>
      </c>
      <c r="N2063" s="6" t="s">
        <v>856</v>
      </c>
    </row>
    <row r="2064" spans="1:14" ht="15" customHeight="1" x14ac:dyDescent="0.2">
      <c r="A2064" s="31">
        <v>0.91483812501839012</v>
      </c>
      <c r="B2064" s="31"/>
      <c r="C2064" s="2" t="s">
        <v>855</v>
      </c>
      <c r="D2064" s="31">
        <f t="shared" si="75"/>
        <v>0.17930827250360448</v>
      </c>
      <c r="F2064" s="2" t="s">
        <v>822</v>
      </c>
      <c r="G2064" s="23" t="s">
        <v>902</v>
      </c>
      <c r="H2064" s="2" t="s">
        <v>822</v>
      </c>
      <c r="J2064" s="31">
        <v>45.984699200000001</v>
      </c>
      <c r="K2064" s="31">
        <v>-2.42083</v>
      </c>
      <c r="L2064" s="31"/>
      <c r="M2064" s="31" t="s">
        <v>854</v>
      </c>
      <c r="N2064" s="6" t="s">
        <v>856</v>
      </c>
    </row>
    <row r="2065" spans="1:14" ht="15" customHeight="1" x14ac:dyDescent="0.2">
      <c r="A2065" s="31">
        <v>0.91480328239987474</v>
      </c>
      <c r="B2065" s="31"/>
      <c r="C2065" s="2" t="s">
        <v>855</v>
      </c>
      <c r="D2065" s="31">
        <f t="shared" si="75"/>
        <v>0.17930144335037546</v>
      </c>
      <c r="F2065" s="2" t="s">
        <v>822</v>
      </c>
      <c r="G2065" s="23" t="s">
        <v>902</v>
      </c>
      <c r="H2065" s="2" t="s">
        <v>822</v>
      </c>
      <c r="J2065" s="31">
        <v>44.743999500000001</v>
      </c>
      <c r="K2065" s="31">
        <v>-15.8400002</v>
      </c>
      <c r="L2065" s="31"/>
      <c r="M2065" s="31" t="s">
        <v>854</v>
      </c>
      <c r="N2065" s="6" t="s">
        <v>856</v>
      </c>
    </row>
    <row r="2066" spans="1:14" ht="15" customHeight="1" x14ac:dyDescent="0.2">
      <c r="A2066" s="31">
        <v>0.91475230792041173</v>
      </c>
      <c r="B2066" s="31"/>
      <c r="C2066" s="2" t="s">
        <v>855</v>
      </c>
      <c r="D2066" s="31">
        <f t="shared" si="75"/>
        <v>0.17929145235240071</v>
      </c>
      <c r="F2066" s="2" t="s">
        <v>822</v>
      </c>
      <c r="G2066" s="23" t="s">
        <v>902</v>
      </c>
      <c r="H2066" s="2" t="s">
        <v>822</v>
      </c>
      <c r="J2066" s="31">
        <v>27.9983997</v>
      </c>
      <c r="K2066" s="31">
        <v>34.598201799999998</v>
      </c>
      <c r="L2066" s="31"/>
      <c r="M2066" s="31" t="s">
        <v>854</v>
      </c>
      <c r="N2066" s="6" t="s">
        <v>856</v>
      </c>
    </row>
    <row r="2067" spans="1:14" ht="15" customHeight="1" x14ac:dyDescent="0.2">
      <c r="A2067" s="31">
        <v>0.9143786099548481</v>
      </c>
      <c r="B2067" s="31"/>
      <c r="C2067" s="2" t="s">
        <v>855</v>
      </c>
      <c r="D2067" s="31">
        <f t="shared" si="75"/>
        <v>0.17921820755115023</v>
      </c>
      <c r="F2067" s="2" t="s">
        <v>822</v>
      </c>
      <c r="G2067" s="23" t="s">
        <v>902</v>
      </c>
      <c r="H2067" s="2" t="s">
        <v>822</v>
      </c>
      <c r="J2067" s="31">
        <v>44.5276985</v>
      </c>
      <c r="K2067" s="31">
        <v>-13.4813004</v>
      </c>
      <c r="L2067" s="31"/>
      <c r="M2067" s="31" t="s">
        <v>854</v>
      </c>
      <c r="N2067" s="6" t="s">
        <v>856</v>
      </c>
    </row>
    <row r="2068" spans="1:14" ht="15" customHeight="1" x14ac:dyDescent="0.2">
      <c r="A2068" s="31">
        <v>0.9142652708630965</v>
      </c>
      <c r="B2068" s="31"/>
      <c r="C2068" s="2" t="s">
        <v>855</v>
      </c>
      <c r="D2068" s="31">
        <f t="shared" si="75"/>
        <v>0.17919599308916692</v>
      </c>
      <c r="F2068" s="2" t="s">
        <v>822</v>
      </c>
      <c r="G2068" s="23" t="s">
        <v>902</v>
      </c>
      <c r="H2068" s="2" t="s">
        <v>822</v>
      </c>
      <c r="J2068" s="31">
        <v>43.355300900000003</v>
      </c>
      <c r="K2068" s="31">
        <v>-2.0901101</v>
      </c>
      <c r="L2068" s="31"/>
      <c r="M2068" s="31" t="s">
        <v>854</v>
      </c>
      <c r="N2068" s="6" t="s">
        <v>856</v>
      </c>
    </row>
    <row r="2069" spans="1:14" ht="15" customHeight="1" x14ac:dyDescent="0.2">
      <c r="A2069" s="31">
        <v>0.91403807547562199</v>
      </c>
      <c r="B2069" s="31"/>
      <c r="C2069" s="2" t="s">
        <v>855</v>
      </c>
      <c r="D2069" s="31">
        <f t="shared" si="75"/>
        <v>0.17915146279322192</v>
      </c>
      <c r="F2069" s="2" t="s">
        <v>822</v>
      </c>
      <c r="G2069" s="23" t="s">
        <v>902</v>
      </c>
      <c r="H2069" s="2" t="s">
        <v>822</v>
      </c>
      <c r="J2069" s="31">
        <v>36.060001399999997</v>
      </c>
      <c r="K2069" s="31">
        <v>-9.1599997999999996</v>
      </c>
      <c r="L2069" s="31"/>
      <c r="M2069" s="31" t="s">
        <v>854</v>
      </c>
      <c r="N2069" s="6" t="s">
        <v>856</v>
      </c>
    </row>
    <row r="2070" spans="1:14" ht="15" customHeight="1" x14ac:dyDescent="0.2">
      <c r="A2070" s="31">
        <v>0.91395465680262944</v>
      </c>
      <c r="B2070" s="31"/>
      <c r="C2070" s="2" t="s">
        <v>855</v>
      </c>
      <c r="D2070" s="31">
        <f t="shared" si="75"/>
        <v>0.17913511273331537</v>
      </c>
      <c r="F2070" s="2" t="s">
        <v>822</v>
      </c>
      <c r="G2070" s="23" t="s">
        <v>902</v>
      </c>
      <c r="H2070" s="2" t="s">
        <v>822</v>
      </c>
      <c r="J2070" s="31">
        <v>42.071998600000001</v>
      </c>
      <c r="K2070" s="31">
        <v>-34.543998700000003</v>
      </c>
      <c r="L2070" s="31"/>
      <c r="M2070" s="31" t="s">
        <v>854</v>
      </c>
      <c r="N2070" s="6" t="s">
        <v>856</v>
      </c>
    </row>
    <row r="2071" spans="1:14" ht="15" customHeight="1" x14ac:dyDescent="0.2">
      <c r="A2071" s="31">
        <v>0.91394236856012201</v>
      </c>
      <c r="B2071" s="31"/>
      <c r="C2071" s="2" t="s">
        <v>855</v>
      </c>
      <c r="D2071" s="31">
        <f t="shared" si="75"/>
        <v>0.17913270423778391</v>
      </c>
      <c r="F2071" s="2" t="s">
        <v>822</v>
      </c>
      <c r="G2071" s="23" t="s">
        <v>902</v>
      </c>
      <c r="H2071" s="2" t="s">
        <v>822</v>
      </c>
      <c r="J2071" s="31">
        <v>29.3799992</v>
      </c>
      <c r="K2071" s="31">
        <v>-16.507999399999999</v>
      </c>
      <c r="L2071" s="31"/>
      <c r="M2071" s="31" t="s">
        <v>854</v>
      </c>
      <c r="N2071" s="6" t="s">
        <v>856</v>
      </c>
    </row>
    <row r="2072" spans="1:14" ht="15" customHeight="1" x14ac:dyDescent="0.2">
      <c r="A2072" s="31">
        <v>0.91358009892909509</v>
      </c>
      <c r="B2072" s="31"/>
      <c r="C2072" s="2" t="s">
        <v>855</v>
      </c>
      <c r="D2072" s="31">
        <f t="shared" si="75"/>
        <v>0.17906169939010264</v>
      </c>
      <c r="F2072" s="2" t="s">
        <v>822</v>
      </c>
      <c r="G2072" s="23" t="s">
        <v>902</v>
      </c>
      <c r="H2072" s="2" t="s">
        <v>822</v>
      </c>
      <c r="J2072" s="31">
        <v>35.659999800000001</v>
      </c>
      <c r="K2072" s="31">
        <v>-40.713699300000002</v>
      </c>
      <c r="L2072" s="31"/>
      <c r="M2072" s="31" t="s">
        <v>854</v>
      </c>
      <c r="N2072" s="6" t="s">
        <v>856</v>
      </c>
    </row>
    <row r="2073" spans="1:14" ht="15" customHeight="1" x14ac:dyDescent="0.2">
      <c r="A2073" s="31">
        <v>0.9135549072209328</v>
      </c>
      <c r="B2073" s="31"/>
      <c r="C2073" s="2" t="s">
        <v>855</v>
      </c>
      <c r="D2073" s="31">
        <f t="shared" si="75"/>
        <v>0.17905676181530283</v>
      </c>
      <c r="F2073" s="2" t="s">
        <v>822</v>
      </c>
      <c r="G2073" s="23" t="s">
        <v>902</v>
      </c>
      <c r="H2073" s="2" t="s">
        <v>822</v>
      </c>
      <c r="J2073" s="31">
        <v>43.763599399999997</v>
      </c>
      <c r="K2073" s="31">
        <v>-32.059699999999999</v>
      </c>
      <c r="L2073" s="31"/>
      <c r="M2073" s="31" t="s">
        <v>854</v>
      </c>
      <c r="N2073" s="6" t="s">
        <v>856</v>
      </c>
    </row>
    <row r="2074" spans="1:14" ht="15" customHeight="1" x14ac:dyDescent="0.2">
      <c r="A2074" s="31">
        <v>0.91343748374288913</v>
      </c>
      <c r="B2074" s="31"/>
      <c r="C2074" s="2" t="s">
        <v>855</v>
      </c>
      <c r="D2074" s="31">
        <f t="shared" si="75"/>
        <v>0.17903374681360629</v>
      </c>
      <c r="F2074" s="2" t="s">
        <v>822</v>
      </c>
      <c r="G2074" s="23" t="s">
        <v>902</v>
      </c>
      <c r="H2074" s="2" t="s">
        <v>822</v>
      </c>
      <c r="J2074" s="31">
        <v>39.765998799999998</v>
      </c>
      <c r="K2074" s="31">
        <v>11.946399700000001</v>
      </c>
      <c r="L2074" s="31"/>
      <c r="M2074" s="31" t="s">
        <v>854</v>
      </c>
      <c r="N2074" s="6" t="s">
        <v>856</v>
      </c>
    </row>
    <row r="2075" spans="1:14" ht="15" customHeight="1" x14ac:dyDescent="0.2">
      <c r="A2075" s="31">
        <v>0.91318951620153899</v>
      </c>
      <c r="B2075" s="31"/>
      <c r="C2075" s="2" t="s">
        <v>855</v>
      </c>
      <c r="D2075" s="31">
        <f t="shared" si="75"/>
        <v>0.17898514517550165</v>
      </c>
      <c r="F2075" s="2" t="s">
        <v>822</v>
      </c>
      <c r="G2075" s="23" t="s">
        <v>902</v>
      </c>
      <c r="H2075" s="2" t="s">
        <v>822</v>
      </c>
      <c r="J2075" s="31">
        <v>45.3656006</v>
      </c>
      <c r="K2075" s="31">
        <v>-1.37016</v>
      </c>
      <c r="L2075" s="31"/>
      <c r="M2075" s="31" t="s">
        <v>854</v>
      </c>
      <c r="N2075" s="6" t="s">
        <v>856</v>
      </c>
    </row>
    <row r="2076" spans="1:14" ht="15" customHeight="1" x14ac:dyDescent="0.2">
      <c r="A2076" s="31">
        <v>0.91304350912626642</v>
      </c>
      <c r="B2076" s="31"/>
      <c r="C2076" s="2" t="s">
        <v>855</v>
      </c>
      <c r="D2076" s="31">
        <f t="shared" si="75"/>
        <v>0.17895652778874824</v>
      </c>
      <c r="F2076" s="2" t="s">
        <v>822</v>
      </c>
      <c r="G2076" s="23" t="s">
        <v>902</v>
      </c>
      <c r="H2076" s="2" t="s">
        <v>822</v>
      </c>
      <c r="J2076" s="31">
        <v>36.396801000000004</v>
      </c>
      <c r="K2076" s="31">
        <v>30.486000099999998</v>
      </c>
      <c r="L2076" s="31"/>
      <c r="M2076" s="31" t="s">
        <v>854</v>
      </c>
      <c r="N2076" s="6" t="s">
        <v>856</v>
      </c>
    </row>
    <row r="2077" spans="1:14" ht="15" customHeight="1" x14ac:dyDescent="0.2">
      <c r="A2077" s="31">
        <v>0.9130316687034099</v>
      </c>
      <c r="B2077" s="31"/>
      <c r="C2077" s="2" t="s">
        <v>855</v>
      </c>
      <c r="D2077" s="31">
        <f t="shared" si="75"/>
        <v>0.17895420706586834</v>
      </c>
      <c r="F2077" s="2" t="s">
        <v>822</v>
      </c>
      <c r="G2077" s="23" t="s">
        <v>902</v>
      </c>
      <c r="H2077" s="2" t="s">
        <v>822</v>
      </c>
      <c r="J2077" s="31">
        <v>31.397899599999999</v>
      </c>
      <c r="K2077" s="31">
        <v>-26.999399199999999</v>
      </c>
      <c r="L2077" s="31"/>
      <c r="M2077" s="31" t="s">
        <v>854</v>
      </c>
      <c r="N2077" s="6" t="s">
        <v>856</v>
      </c>
    </row>
    <row r="2078" spans="1:14" ht="15" customHeight="1" x14ac:dyDescent="0.2">
      <c r="A2078" s="31">
        <v>0.91297848777270763</v>
      </c>
      <c r="B2078" s="31"/>
      <c r="C2078" s="2" t="s">
        <v>855</v>
      </c>
      <c r="D2078" s="31">
        <f t="shared" si="75"/>
        <v>0.1789437836034507</v>
      </c>
      <c r="F2078" s="2" t="s">
        <v>822</v>
      </c>
      <c r="G2078" s="23" t="s">
        <v>902</v>
      </c>
      <c r="H2078" s="2" t="s">
        <v>822</v>
      </c>
      <c r="J2078" s="31">
        <v>28.7245998</v>
      </c>
      <c r="K2078" s="31">
        <v>49.513801600000001</v>
      </c>
      <c r="L2078" s="31"/>
      <c r="M2078" s="31" t="s">
        <v>854</v>
      </c>
      <c r="N2078" s="6" t="s">
        <v>856</v>
      </c>
    </row>
    <row r="2079" spans="1:14" ht="15" customHeight="1" x14ac:dyDescent="0.2">
      <c r="A2079" s="31">
        <v>0.91287574188981813</v>
      </c>
      <c r="B2079" s="31"/>
      <c r="C2079" s="2" t="s">
        <v>855</v>
      </c>
      <c r="D2079" s="31">
        <f t="shared" si="75"/>
        <v>0.17892364541040437</v>
      </c>
      <c r="F2079" s="2" t="s">
        <v>822</v>
      </c>
      <c r="G2079" s="23" t="s">
        <v>902</v>
      </c>
      <c r="H2079" s="2" t="s">
        <v>822</v>
      </c>
      <c r="J2079" s="31">
        <v>40.4026985</v>
      </c>
      <c r="K2079" s="31">
        <v>-27.5223999</v>
      </c>
      <c r="L2079" s="31"/>
      <c r="M2079" s="31" t="s">
        <v>854</v>
      </c>
      <c r="N2079" s="6" t="s">
        <v>856</v>
      </c>
    </row>
    <row r="2080" spans="1:14" ht="15" customHeight="1" x14ac:dyDescent="0.2">
      <c r="A2080" s="31">
        <v>0.91233305174199819</v>
      </c>
      <c r="B2080" s="31"/>
      <c r="C2080" s="2" t="s">
        <v>855</v>
      </c>
      <c r="D2080" s="31">
        <f t="shared" si="75"/>
        <v>0.17881727814143164</v>
      </c>
      <c r="F2080" s="2" t="s">
        <v>822</v>
      </c>
      <c r="G2080" s="23" t="s">
        <v>902</v>
      </c>
      <c r="H2080" s="2" t="s">
        <v>822</v>
      </c>
      <c r="J2080" s="31">
        <v>45.342201199999998</v>
      </c>
      <c r="K2080" s="31">
        <v>-1.66699</v>
      </c>
      <c r="L2080" s="31"/>
      <c r="M2080" s="31" t="s">
        <v>854</v>
      </c>
      <c r="N2080" s="6" t="s">
        <v>856</v>
      </c>
    </row>
    <row r="2081" spans="1:14" ht="15" customHeight="1" x14ac:dyDescent="0.2">
      <c r="A2081" s="31">
        <v>0.91225027667698999</v>
      </c>
      <c r="B2081" s="31"/>
      <c r="C2081" s="2" t="s">
        <v>855</v>
      </c>
      <c r="D2081" s="31">
        <f t="shared" si="75"/>
        <v>0.17880105422869005</v>
      </c>
      <c r="F2081" s="2" t="s">
        <v>822</v>
      </c>
      <c r="G2081" s="23" t="s">
        <v>902</v>
      </c>
      <c r="H2081" s="2" t="s">
        <v>822</v>
      </c>
      <c r="J2081" s="31">
        <v>42.430099499999997</v>
      </c>
      <c r="K2081" s="31">
        <v>9.7756995999999994</v>
      </c>
      <c r="L2081" s="31"/>
      <c r="M2081" s="31" t="s">
        <v>854</v>
      </c>
      <c r="N2081" s="6" t="s">
        <v>856</v>
      </c>
    </row>
    <row r="2082" spans="1:14" ht="15" customHeight="1" x14ac:dyDescent="0.2">
      <c r="A2082" s="31">
        <v>0.91213587570534171</v>
      </c>
      <c r="B2082" s="31"/>
      <c r="C2082" s="2" t="s">
        <v>855</v>
      </c>
      <c r="D2082" s="31">
        <f t="shared" si="75"/>
        <v>0.17877863163824698</v>
      </c>
      <c r="F2082" s="2" t="s">
        <v>822</v>
      </c>
      <c r="G2082" s="23" t="s">
        <v>902</v>
      </c>
      <c r="H2082" s="2" t="s">
        <v>822</v>
      </c>
      <c r="J2082" s="31">
        <v>43.802600900000002</v>
      </c>
      <c r="K2082" s="31">
        <v>-9.9594296999999994</v>
      </c>
      <c r="L2082" s="31"/>
      <c r="M2082" s="31" t="s">
        <v>854</v>
      </c>
      <c r="N2082" s="6" t="s">
        <v>856</v>
      </c>
    </row>
    <row r="2083" spans="1:14" ht="15" customHeight="1" x14ac:dyDescent="0.2">
      <c r="A2083" s="31">
        <v>0.91196116449404363</v>
      </c>
      <c r="B2083" s="31"/>
      <c r="C2083" s="2" t="s">
        <v>855</v>
      </c>
      <c r="D2083" s="31">
        <f t="shared" si="75"/>
        <v>0.17874438824083255</v>
      </c>
      <c r="F2083" s="2" t="s">
        <v>822</v>
      </c>
      <c r="G2083" s="23" t="s">
        <v>902</v>
      </c>
      <c r="H2083" s="2" t="s">
        <v>822</v>
      </c>
      <c r="J2083" s="31">
        <v>32.770599400000002</v>
      </c>
      <c r="K2083" s="31">
        <v>-17.896099100000001</v>
      </c>
      <c r="L2083" s="31"/>
      <c r="M2083" s="31" t="s">
        <v>854</v>
      </c>
      <c r="N2083" s="6" t="s">
        <v>856</v>
      </c>
    </row>
    <row r="2084" spans="1:14" ht="15" customHeight="1" x14ac:dyDescent="0.2">
      <c r="A2084" s="31">
        <v>0.91191220535067241</v>
      </c>
      <c r="B2084" s="31"/>
      <c r="C2084" s="2" t="s">
        <v>855</v>
      </c>
      <c r="D2084" s="31">
        <f t="shared" si="75"/>
        <v>0.17873479224873179</v>
      </c>
      <c r="F2084" s="2" t="s">
        <v>822</v>
      </c>
      <c r="G2084" s="23" t="s">
        <v>902</v>
      </c>
      <c r="H2084" s="2" t="s">
        <v>822</v>
      </c>
      <c r="J2084" s="31">
        <v>42.740001700000001</v>
      </c>
      <c r="K2084" s="31">
        <v>-41.891998299999997</v>
      </c>
      <c r="L2084" s="31"/>
      <c r="M2084" s="31" t="s">
        <v>854</v>
      </c>
      <c r="N2084" s="6" t="s">
        <v>856</v>
      </c>
    </row>
    <row r="2085" spans="1:14" ht="15" customHeight="1" x14ac:dyDescent="0.2">
      <c r="A2085" s="31">
        <v>0.91170235303900105</v>
      </c>
      <c r="B2085" s="31"/>
      <c r="C2085" s="2" t="s">
        <v>855</v>
      </c>
      <c r="D2085" s="31">
        <f t="shared" si="75"/>
        <v>0.1786936611956442</v>
      </c>
      <c r="F2085" s="2" t="s">
        <v>822</v>
      </c>
      <c r="G2085" s="23" t="s">
        <v>902</v>
      </c>
      <c r="H2085" s="2" t="s">
        <v>822</v>
      </c>
      <c r="J2085" s="31">
        <v>28.711999899999999</v>
      </c>
      <c r="K2085" s="31">
        <v>-19.847999600000001</v>
      </c>
      <c r="L2085" s="31"/>
      <c r="M2085" s="31" t="s">
        <v>854</v>
      </c>
      <c r="N2085" s="6" t="s">
        <v>856</v>
      </c>
    </row>
    <row r="2086" spans="1:14" ht="15" customHeight="1" x14ac:dyDescent="0.2">
      <c r="A2086" s="31">
        <v>0.91161421524073305</v>
      </c>
      <c r="B2086" s="31"/>
      <c r="C2086" s="2" t="s">
        <v>855</v>
      </c>
      <c r="D2086" s="31">
        <f t="shared" si="75"/>
        <v>0.17867638618718368</v>
      </c>
      <c r="F2086" s="2" t="s">
        <v>822</v>
      </c>
      <c r="G2086" s="23" t="s">
        <v>902</v>
      </c>
      <c r="H2086" s="2" t="s">
        <v>822</v>
      </c>
      <c r="J2086" s="31">
        <v>35.722499800000001</v>
      </c>
      <c r="K2086" s="31">
        <v>-0.66361499999999995</v>
      </c>
      <c r="L2086" s="31"/>
      <c r="M2086" s="31" t="s">
        <v>854</v>
      </c>
      <c r="N2086" s="6" t="s">
        <v>856</v>
      </c>
    </row>
    <row r="2087" spans="1:14" ht="15" customHeight="1" x14ac:dyDescent="0.2">
      <c r="A2087" s="31">
        <v>0.91153576298147487</v>
      </c>
      <c r="B2087" s="31"/>
      <c r="C2087" s="2" t="s">
        <v>855</v>
      </c>
      <c r="D2087" s="31">
        <f t="shared" si="75"/>
        <v>0.17866100954436909</v>
      </c>
      <c r="F2087" s="2" t="s">
        <v>822</v>
      </c>
      <c r="G2087" s="23" t="s">
        <v>902</v>
      </c>
      <c r="H2087" s="2" t="s">
        <v>822</v>
      </c>
      <c r="J2087" s="31">
        <v>38.731498700000003</v>
      </c>
      <c r="K2087" s="31">
        <v>-17.844499599999999</v>
      </c>
      <c r="L2087" s="31"/>
      <c r="M2087" s="31" t="s">
        <v>854</v>
      </c>
      <c r="N2087" s="6" t="s">
        <v>856</v>
      </c>
    </row>
    <row r="2088" spans="1:14" ht="15" customHeight="1" x14ac:dyDescent="0.2">
      <c r="A2088" s="31">
        <v>0.91119378904603843</v>
      </c>
      <c r="B2088" s="31"/>
      <c r="C2088" s="2" t="s">
        <v>855</v>
      </c>
      <c r="D2088" s="31">
        <f t="shared" si="75"/>
        <v>0.17859398265302354</v>
      </c>
      <c r="F2088" s="2" t="s">
        <v>822</v>
      </c>
      <c r="G2088" s="23" t="s">
        <v>902</v>
      </c>
      <c r="H2088" s="2" t="s">
        <v>822</v>
      </c>
      <c r="J2088" s="31">
        <v>36.723400099999999</v>
      </c>
      <c r="K2088" s="31">
        <v>-27.1919003</v>
      </c>
      <c r="L2088" s="31"/>
      <c r="M2088" s="31" t="s">
        <v>854</v>
      </c>
      <c r="N2088" s="6" t="s">
        <v>856</v>
      </c>
    </row>
    <row r="2089" spans="1:14" ht="15" customHeight="1" x14ac:dyDescent="0.2">
      <c r="A2089" s="31">
        <v>0.91077912942410677</v>
      </c>
      <c r="B2089" s="31"/>
      <c r="C2089" s="2" t="s">
        <v>855</v>
      </c>
      <c r="D2089" s="31">
        <f t="shared" si="75"/>
        <v>0.17851270936712493</v>
      </c>
      <c r="F2089" s="2" t="s">
        <v>822</v>
      </c>
      <c r="G2089" s="23" t="s">
        <v>902</v>
      </c>
      <c r="H2089" s="2" t="s">
        <v>822</v>
      </c>
      <c r="J2089" s="31">
        <v>44.142200500000001</v>
      </c>
      <c r="K2089" s="31">
        <v>-5.7873998000000002</v>
      </c>
      <c r="L2089" s="31"/>
      <c r="M2089" s="31" t="s">
        <v>854</v>
      </c>
      <c r="N2089" s="6" t="s">
        <v>856</v>
      </c>
    </row>
    <row r="2090" spans="1:14" ht="15" customHeight="1" x14ac:dyDescent="0.2">
      <c r="A2090" s="31">
        <v>0.91070905315804795</v>
      </c>
      <c r="B2090" s="31"/>
      <c r="C2090" s="2" t="s">
        <v>855</v>
      </c>
      <c r="D2090" s="31">
        <f t="shared" si="75"/>
        <v>0.17849897441897741</v>
      </c>
      <c r="F2090" s="2" t="s">
        <v>822</v>
      </c>
      <c r="G2090" s="23" t="s">
        <v>902</v>
      </c>
      <c r="H2090" s="2" t="s">
        <v>822</v>
      </c>
      <c r="J2090" s="31">
        <v>46.080001799999998</v>
      </c>
      <c r="K2090" s="31">
        <v>-13.1680002</v>
      </c>
      <c r="L2090" s="31"/>
      <c r="M2090" s="31" t="s">
        <v>854</v>
      </c>
      <c r="N2090" s="6" t="s">
        <v>856</v>
      </c>
    </row>
    <row r="2091" spans="1:14" ht="15" customHeight="1" x14ac:dyDescent="0.2">
      <c r="A2091" s="31">
        <v>0.91060471633981854</v>
      </c>
      <c r="B2091" s="31"/>
      <c r="C2091" s="2" t="s">
        <v>855</v>
      </c>
      <c r="D2091" s="31">
        <f t="shared" ref="D2091:D2109" si="76" xml:space="preserve"> A2091 * 0.196</f>
        <v>0.17847852440260445</v>
      </c>
      <c r="F2091" s="2" t="s">
        <v>822</v>
      </c>
      <c r="G2091" s="23" t="s">
        <v>902</v>
      </c>
      <c r="H2091" s="2" t="s">
        <v>822</v>
      </c>
      <c r="J2091" s="31">
        <v>32.234401699999999</v>
      </c>
      <c r="K2091" s="31">
        <v>-31.658399599999999</v>
      </c>
      <c r="L2091" s="31"/>
      <c r="M2091" s="31" t="s">
        <v>854</v>
      </c>
      <c r="N2091" s="6" t="s">
        <v>856</v>
      </c>
    </row>
    <row r="2092" spans="1:14" ht="15" customHeight="1" x14ac:dyDescent="0.2">
      <c r="A2092" s="31">
        <v>0.91053132451930796</v>
      </c>
      <c r="B2092" s="31"/>
      <c r="C2092" s="2" t="s">
        <v>855</v>
      </c>
      <c r="D2092" s="31">
        <f t="shared" si="76"/>
        <v>0.17846413960578436</v>
      </c>
      <c r="F2092" s="2" t="s">
        <v>822</v>
      </c>
      <c r="G2092" s="23" t="s">
        <v>902</v>
      </c>
      <c r="H2092" s="2" t="s">
        <v>822</v>
      </c>
      <c r="J2092" s="31">
        <v>57.385299699999997</v>
      </c>
      <c r="K2092" s="31">
        <v>16.971799900000001</v>
      </c>
      <c r="L2092" s="31"/>
      <c r="M2092" s="31" t="s">
        <v>854</v>
      </c>
      <c r="N2092" s="6" t="s">
        <v>856</v>
      </c>
    </row>
    <row r="2093" spans="1:14" ht="15" customHeight="1" x14ac:dyDescent="0.2">
      <c r="A2093" s="31">
        <v>0.90965648150244616</v>
      </c>
      <c r="B2093" s="31"/>
      <c r="C2093" s="2" t="s">
        <v>855</v>
      </c>
      <c r="D2093" s="31">
        <f t="shared" si="76"/>
        <v>0.17829267037447946</v>
      </c>
      <c r="F2093" s="2" t="s">
        <v>822</v>
      </c>
      <c r="G2093" s="23" t="s">
        <v>902</v>
      </c>
      <c r="H2093" s="2" t="s">
        <v>822</v>
      </c>
      <c r="J2093" s="31">
        <v>46.461200699999999</v>
      </c>
      <c r="K2093" s="31">
        <v>-5.0103302000000003</v>
      </c>
      <c r="L2093" s="31"/>
      <c r="M2093" s="31" t="s">
        <v>854</v>
      </c>
      <c r="N2093" s="6" t="s">
        <v>856</v>
      </c>
    </row>
    <row r="2094" spans="1:14" ht="15" customHeight="1" x14ac:dyDescent="0.2">
      <c r="A2094" s="31">
        <v>0.90957241040192927</v>
      </c>
      <c r="B2094" s="31"/>
      <c r="C2094" s="2" t="s">
        <v>855</v>
      </c>
      <c r="D2094" s="31">
        <f t="shared" si="76"/>
        <v>0.17827619243877815</v>
      </c>
      <c r="F2094" s="2" t="s">
        <v>822</v>
      </c>
      <c r="G2094" s="23" t="s">
        <v>902</v>
      </c>
      <c r="H2094" s="2" t="s">
        <v>822</v>
      </c>
      <c r="J2094" s="31">
        <v>42.073898300000003</v>
      </c>
      <c r="K2094" s="31">
        <v>3.2396699999999998</v>
      </c>
      <c r="L2094" s="31"/>
      <c r="M2094" s="31" t="s">
        <v>854</v>
      </c>
      <c r="N2094" s="6" t="s">
        <v>856</v>
      </c>
    </row>
    <row r="2095" spans="1:14" ht="15" customHeight="1" x14ac:dyDescent="0.2">
      <c r="A2095" s="31">
        <v>0.90943175103923091</v>
      </c>
      <c r="B2095" s="31"/>
      <c r="C2095" s="2" t="s">
        <v>855</v>
      </c>
      <c r="D2095" s="31">
        <f t="shared" si="76"/>
        <v>0.17824862320368925</v>
      </c>
      <c r="F2095" s="2" t="s">
        <v>822</v>
      </c>
      <c r="G2095" s="23" t="s">
        <v>902</v>
      </c>
      <c r="H2095" s="2" t="s">
        <v>822</v>
      </c>
      <c r="J2095" s="31">
        <v>25.3719997</v>
      </c>
      <c r="K2095" s="31">
        <v>-39.888000499999997</v>
      </c>
      <c r="L2095" s="31"/>
      <c r="M2095" s="31" t="s">
        <v>854</v>
      </c>
      <c r="N2095" s="6" t="s">
        <v>856</v>
      </c>
    </row>
    <row r="2096" spans="1:14" ht="15" customHeight="1" x14ac:dyDescent="0.2">
      <c r="A2096" s="31">
        <v>0.90937845541080342</v>
      </c>
      <c r="B2096" s="31"/>
      <c r="C2096" s="2" t="s">
        <v>855</v>
      </c>
      <c r="D2096" s="31">
        <f t="shared" si="76"/>
        <v>0.17823817726051747</v>
      </c>
      <c r="F2096" s="2" t="s">
        <v>822</v>
      </c>
      <c r="G2096" s="23" t="s">
        <v>902</v>
      </c>
      <c r="H2096" s="2" t="s">
        <v>822</v>
      </c>
      <c r="J2096" s="31">
        <v>30.911899600000002</v>
      </c>
      <c r="K2096" s="31">
        <v>18.0461998</v>
      </c>
      <c r="L2096" s="31"/>
      <c r="M2096" s="31" t="s">
        <v>854</v>
      </c>
      <c r="N2096" s="6" t="s">
        <v>856</v>
      </c>
    </row>
    <row r="2097" spans="1:14" ht="15" customHeight="1" x14ac:dyDescent="0.2">
      <c r="A2097" s="31">
        <v>0.90929693911515763</v>
      </c>
      <c r="B2097" s="31"/>
      <c r="C2097" s="2" t="s">
        <v>855</v>
      </c>
      <c r="D2097" s="31">
        <f t="shared" si="76"/>
        <v>0.17822220006657091</v>
      </c>
      <c r="F2097" s="2" t="s">
        <v>822</v>
      </c>
      <c r="G2097" s="23" t="s">
        <v>902</v>
      </c>
      <c r="H2097" s="2" t="s">
        <v>822</v>
      </c>
      <c r="J2097" s="31">
        <v>34.184398700000003</v>
      </c>
      <c r="K2097" s="31">
        <v>-37.198398599999997</v>
      </c>
      <c r="L2097" s="31"/>
      <c r="M2097" s="31" t="s">
        <v>854</v>
      </c>
      <c r="N2097" s="6" t="s">
        <v>856</v>
      </c>
    </row>
    <row r="2098" spans="1:14" ht="15" customHeight="1" x14ac:dyDescent="0.2">
      <c r="A2098" s="31">
        <v>0.90913684221008151</v>
      </c>
      <c r="B2098" s="31"/>
      <c r="C2098" s="2" t="s">
        <v>855</v>
      </c>
      <c r="D2098" s="31">
        <f t="shared" si="76"/>
        <v>0.17819082107317599</v>
      </c>
      <c r="F2098" s="2" t="s">
        <v>822</v>
      </c>
      <c r="G2098" s="23" t="s">
        <v>902</v>
      </c>
      <c r="H2098" s="2" t="s">
        <v>822</v>
      </c>
      <c r="J2098" s="31">
        <v>34.723998999999999</v>
      </c>
      <c r="K2098" s="31">
        <v>22.903999299999999</v>
      </c>
      <c r="L2098" s="31"/>
      <c r="M2098" s="31" t="s">
        <v>854</v>
      </c>
      <c r="N2098" s="6" t="s">
        <v>856</v>
      </c>
    </row>
    <row r="2099" spans="1:14" ht="15" customHeight="1" x14ac:dyDescent="0.2">
      <c r="A2099" s="31">
        <v>0.90908915343235897</v>
      </c>
      <c r="B2099" s="31"/>
      <c r="C2099" s="2" t="s">
        <v>855</v>
      </c>
      <c r="D2099" s="31">
        <f t="shared" si="76"/>
        <v>0.17818147407274237</v>
      </c>
      <c r="F2099" s="2" t="s">
        <v>822</v>
      </c>
      <c r="G2099" s="23" t="s">
        <v>902</v>
      </c>
      <c r="H2099" s="2" t="s">
        <v>822</v>
      </c>
      <c r="J2099" s="31">
        <v>29.110599499999999</v>
      </c>
      <c r="K2099" s="31">
        <v>32.889400500000001</v>
      </c>
      <c r="L2099" s="31"/>
      <c r="M2099" s="31" t="s">
        <v>854</v>
      </c>
      <c r="N2099" s="6" t="s">
        <v>856</v>
      </c>
    </row>
    <row r="2100" spans="1:14" ht="15" customHeight="1" x14ac:dyDescent="0.2">
      <c r="A2100" s="31">
        <v>0.90860886915497119</v>
      </c>
      <c r="B2100" s="31"/>
      <c r="C2100" s="2" t="s">
        <v>855</v>
      </c>
      <c r="D2100" s="31">
        <f t="shared" si="76"/>
        <v>0.17808733835437435</v>
      </c>
      <c r="F2100" s="2" t="s">
        <v>822</v>
      </c>
      <c r="G2100" s="23" t="s">
        <v>902</v>
      </c>
      <c r="H2100" s="2" t="s">
        <v>822</v>
      </c>
      <c r="J2100" s="31">
        <v>34.723998999999999</v>
      </c>
      <c r="K2100" s="31">
        <v>-39.220001199999999</v>
      </c>
      <c r="L2100" s="31"/>
      <c r="M2100" s="31" t="s">
        <v>854</v>
      </c>
      <c r="N2100" s="6" t="s">
        <v>856</v>
      </c>
    </row>
    <row r="2101" spans="1:14" ht="15" customHeight="1" x14ac:dyDescent="0.2">
      <c r="A2101" s="31">
        <v>0.90847644287159612</v>
      </c>
      <c r="B2101" s="31"/>
      <c r="C2101" s="2" t="s">
        <v>855</v>
      </c>
      <c r="D2101" s="31">
        <f t="shared" si="76"/>
        <v>0.17806138280283285</v>
      </c>
      <c r="F2101" s="2" t="s">
        <v>822</v>
      </c>
      <c r="G2101" s="23" t="s">
        <v>902</v>
      </c>
      <c r="H2101" s="2" t="s">
        <v>822</v>
      </c>
      <c r="J2101" s="31">
        <v>34.262500799999998</v>
      </c>
      <c r="K2101" s="31">
        <v>-8.6049098999999991</v>
      </c>
      <c r="L2101" s="31"/>
      <c r="M2101" s="31" t="s">
        <v>854</v>
      </c>
      <c r="N2101" s="6" t="s">
        <v>856</v>
      </c>
    </row>
    <row r="2102" spans="1:14" ht="15" customHeight="1" x14ac:dyDescent="0.2">
      <c r="A2102" s="31">
        <v>0.90840907570778917</v>
      </c>
      <c r="B2102" s="31"/>
      <c r="C2102" s="2" t="s">
        <v>855</v>
      </c>
      <c r="D2102" s="31">
        <f t="shared" si="76"/>
        <v>0.17804817883872667</v>
      </c>
      <c r="F2102" s="2" t="s">
        <v>822</v>
      </c>
      <c r="G2102" s="23" t="s">
        <v>902</v>
      </c>
      <c r="H2102" s="2" t="s">
        <v>822</v>
      </c>
      <c r="J2102" s="31">
        <v>60.863300299999999</v>
      </c>
      <c r="K2102" s="31">
        <v>18.643899900000001</v>
      </c>
      <c r="L2102" s="31"/>
      <c r="M2102" s="31" t="s">
        <v>854</v>
      </c>
      <c r="N2102" s="6" t="s">
        <v>856</v>
      </c>
    </row>
    <row r="2103" spans="1:14" ht="15" customHeight="1" x14ac:dyDescent="0.2">
      <c r="A2103" s="31">
        <v>0.9083942306423145</v>
      </c>
      <c r="B2103" s="31"/>
      <c r="C2103" s="2" t="s">
        <v>855</v>
      </c>
      <c r="D2103" s="31">
        <f t="shared" si="76"/>
        <v>0.17804526920589364</v>
      </c>
      <c r="F2103" s="2" t="s">
        <v>822</v>
      </c>
      <c r="G2103" s="23" t="s">
        <v>902</v>
      </c>
      <c r="H2103" s="2" t="s">
        <v>822</v>
      </c>
      <c r="J2103" s="31">
        <v>32.051998099999999</v>
      </c>
      <c r="K2103" s="31">
        <v>-29.867999999999999</v>
      </c>
      <c r="L2103" s="31"/>
      <c r="M2103" s="31" t="s">
        <v>854</v>
      </c>
      <c r="N2103" s="6" t="s">
        <v>856</v>
      </c>
    </row>
    <row r="2104" spans="1:14" ht="15" customHeight="1" x14ac:dyDescent="0.2">
      <c r="A2104" s="31">
        <v>0.90834720177708672</v>
      </c>
      <c r="B2104" s="31"/>
      <c r="C2104" s="2" t="s">
        <v>855</v>
      </c>
      <c r="D2104" s="31">
        <f t="shared" si="76"/>
        <v>0.17803605154830901</v>
      </c>
      <c r="F2104" s="2" t="s">
        <v>822</v>
      </c>
      <c r="G2104" s="23" t="s">
        <v>902</v>
      </c>
      <c r="H2104" s="2" t="s">
        <v>822</v>
      </c>
      <c r="J2104" s="31">
        <v>32.046699500000003</v>
      </c>
      <c r="K2104" s="31">
        <v>-18.187799500000001</v>
      </c>
      <c r="L2104" s="31"/>
      <c r="M2104" s="31" t="s">
        <v>854</v>
      </c>
      <c r="N2104" s="6" t="s">
        <v>856</v>
      </c>
    </row>
    <row r="2105" spans="1:14" ht="15" customHeight="1" x14ac:dyDescent="0.2">
      <c r="A2105" s="31">
        <v>0.90830057532196573</v>
      </c>
      <c r="B2105" s="31"/>
      <c r="C2105" s="2" t="s">
        <v>855</v>
      </c>
      <c r="D2105" s="31">
        <f t="shared" si="76"/>
        <v>0.17802691276310528</v>
      </c>
      <c r="F2105" s="2" t="s">
        <v>822</v>
      </c>
      <c r="G2105" s="23" t="s">
        <v>902</v>
      </c>
      <c r="H2105" s="2" t="s">
        <v>822</v>
      </c>
      <c r="J2105" s="31">
        <v>30.7159996</v>
      </c>
      <c r="K2105" s="31">
        <v>-21.851999299999999</v>
      </c>
      <c r="L2105" s="31"/>
      <c r="M2105" s="31" t="s">
        <v>854</v>
      </c>
      <c r="N2105" s="6" t="s">
        <v>856</v>
      </c>
    </row>
    <row r="2106" spans="1:14" ht="15" customHeight="1" x14ac:dyDescent="0.2">
      <c r="A2106" s="31">
        <v>0.90824918255677001</v>
      </c>
      <c r="B2106" s="31"/>
      <c r="C2106" s="2" t="s">
        <v>855</v>
      </c>
      <c r="D2106" s="31">
        <f t="shared" si="76"/>
        <v>0.17801683978112692</v>
      </c>
      <c r="F2106" s="2" t="s">
        <v>822</v>
      </c>
      <c r="G2106" s="23" t="s">
        <v>902</v>
      </c>
      <c r="H2106" s="2" t="s">
        <v>822</v>
      </c>
      <c r="J2106" s="31">
        <v>40.907199900000002</v>
      </c>
      <c r="K2106" s="31">
        <v>-27.118600799999999</v>
      </c>
      <c r="L2106" s="31"/>
      <c r="M2106" s="31" t="s">
        <v>854</v>
      </c>
      <c r="N2106" s="6" t="s">
        <v>856</v>
      </c>
    </row>
    <row r="2107" spans="1:14" ht="15" customHeight="1" x14ac:dyDescent="0.2">
      <c r="A2107" s="31">
        <v>0.90822732118264526</v>
      </c>
      <c r="B2107" s="31"/>
      <c r="C2107" s="2" t="s">
        <v>855</v>
      </c>
      <c r="D2107" s="31">
        <f t="shared" si="76"/>
        <v>0.17801255495179849</v>
      </c>
      <c r="F2107" s="2" t="s">
        <v>822</v>
      </c>
      <c r="G2107" s="23" t="s">
        <v>902</v>
      </c>
      <c r="H2107" s="2" t="s">
        <v>822</v>
      </c>
      <c r="J2107" s="31">
        <v>28.0440006</v>
      </c>
      <c r="K2107" s="31">
        <v>-20.516000699999999</v>
      </c>
      <c r="L2107" s="31"/>
      <c r="M2107" s="31" t="s">
        <v>854</v>
      </c>
      <c r="N2107" s="6" t="s">
        <v>856</v>
      </c>
    </row>
    <row r="2108" spans="1:14" ht="15" customHeight="1" x14ac:dyDescent="0.2">
      <c r="A2108" s="31">
        <v>0.90803583213343908</v>
      </c>
      <c r="B2108" s="31"/>
      <c r="C2108" s="2" t="s">
        <v>855</v>
      </c>
      <c r="D2108" s="31">
        <f t="shared" si="76"/>
        <v>0.17797502309815408</v>
      </c>
      <c r="F2108" s="2" t="s">
        <v>822</v>
      </c>
      <c r="G2108" s="23" t="s">
        <v>902</v>
      </c>
      <c r="H2108" s="2" t="s">
        <v>822</v>
      </c>
      <c r="J2108" s="31">
        <v>59.946399700000001</v>
      </c>
      <c r="K2108" s="31">
        <v>19.450399399999998</v>
      </c>
      <c r="L2108" s="31"/>
      <c r="M2108" s="31" t="s">
        <v>854</v>
      </c>
      <c r="N2108" s="6" t="s">
        <v>856</v>
      </c>
    </row>
    <row r="2109" spans="1:14" ht="15" customHeight="1" x14ac:dyDescent="0.2">
      <c r="A2109" s="31">
        <v>0.90801987618923519</v>
      </c>
      <c r="B2109" s="31"/>
      <c r="C2109" s="2" t="s">
        <v>855</v>
      </c>
      <c r="D2109" s="31">
        <f t="shared" si="76"/>
        <v>0.17797189573309011</v>
      </c>
      <c r="F2109" s="2" t="s">
        <v>822</v>
      </c>
      <c r="G2109" s="23" t="s">
        <v>902</v>
      </c>
      <c r="H2109" s="2" t="s">
        <v>822</v>
      </c>
      <c r="J2109" s="31">
        <v>44.069599199999999</v>
      </c>
      <c r="K2109" s="31">
        <v>-12.676299999999999</v>
      </c>
      <c r="L2109" s="31"/>
      <c r="M2109" s="31" t="s">
        <v>854</v>
      </c>
      <c r="N2109" s="6" t="s">
        <v>856</v>
      </c>
    </row>
    <row r="2110" spans="1:14" ht="15" customHeight="1" x14ac:dyDescent="0.2">
      <c r="A2110" s="22">
        <v>0.17793361227899374</v>
      </c>
      <c r="B2110" s="22"/>
      <c r="C2110" s="2" t="s">
        <v>891</v>
      </c>
      <c r="D2110" s="2">
        <f>A2110</f>
        <v>0.17793361227899374</v>
      </c>
      <c r="F2110" s="2">
        <v>2023</v>
      </c>
      <c r="G2110" s="23" t="s">
        <v>902</v>
      </c>
      <c r="H2110" s="2" t="s">
        <v>771</v>
      </c>
      <c r="I2110" s="23" t="s">
        <v>189</v>
      </c>
      <c r="J2110" s="23">
        <v>58077385</v>
      </c>
      <c r="K2110" s="23">
        <v>11813547</v>
      </c>
      <c r="L2110" s="23" t="s">
        <v>819</v>
      </c>
      <c r="M2110" s="2" t="s">
        <v>825</v>
      </c>
      <c r="N2110" s="6" t="s">
        <v>828</v>
      </c>
    </row>
    <row r="2111" spans="1:14" ht="15" customHeight="1" x14ac:dyDescent="0.2">
      <c r="A2111" s="31">
        <v>0.9077632184275275</v>
      </c>
      <c r="B2111" s="31"/>
      <c r="C2111" s="2" t="s">
        <v>855</v>
      </c>
      <c r="D2111" s="31">
        <f t="shared" ref="D2111:D2144" si="77" xml:space="preserve"> A2111 * 0.196</f>
        <v>0.1779215908117954</v>
      </c>
      <c r="F2111" s="2" t="s">
        <v>822</v>
      </c>
      <c r="G2111" s="23" t="s">
        <v>902</v>
      </c>
      <c r="H2111" s="2" t="s">
        <v>822</v>
      </c>
      <c r="J2111" s="31">
        <v>43.1825981</v>
      </c>
      <c r="K2111" s="31">
        <v>-33.797500599999999</v>
      </c>
      <c r="L2111" s="31"/>
      <c r="M2111" s="31" t="s">
        <v>854</v>
      </c>
      <c r="N2111" s="6" t="s">
        <v>856</v>
      </c>
    </row>
    <row r="2112" spans="1:14" ht="15" customHeight="1" x14ac:dyDescent="0.2">
      <c r="A2112" s="31">
        <v>0.90759762802186672</v>
      </c>
      <c r="B2112" s="31"/>
      <c r="C2112" s="2" t="s">
        <v>855</v>
      </c>
      <c r="D2112" s="31">
        <f t="shared" si="77"/>
        <v>0.17788913509228588</v>
      </c>
      <c r="F2112" s="2" t="s">
        <v>822</v>
      </c>
      <c r="G2112" s="23" t="s">
        <v>902</v>
      </c>
      <c r="H2112" s="2" t="s">
        <v>822</v>
      </c>
      <c r="J2112" s="31">
        <v>40.736598999999998</v>
      </c>
      <c r="K2112" s="31">
        <v>-15.171999899999999</v>
      </c>
      <c r="L2112" s="31"/>
      <c r="M2112" s="31" t="s">
        <v>854</v>
      </c>
      <c r="N2112" s="6" t="s">
        <v>856</v>
      </c>
    </row>
    <row r="2113" spans="1:14" ht="15" customHeight="1" x14ac:dyDescent="0.2">
      <c r="A2113" s="31">
        <v>0.90754254914643473</v>
      </c>
      <c r="B2113" s="31"/>
      <c r="C2113" s="2" t="s">
        <v>855</v>
      </c>
      <c r="D2113" s="31">
        <f t="shared" si="77"/>
        <v>0.17787833963270122</v>
      </c>
      <c r="F2113" s="2" t="s">
        <v>822</v>
      </c>
      <c r="G2113" s="23" t="s">
        <v>902</v>
      </c>
      <c r="H2113" s="2" t="s">
        <v>822</v>
      </c>
      <c r="J2113" s="31">
        <v>29.1175003</v>
      </c>
      <c r="K2113" s="31">
        <v>50.0287018</v>
      </c>
      <c r="L2113" s="31"/>
      <c r="M2113" s="31" t="s">
        <v>854</v>
      </c>
      <c r="N2113" s="6" t="s">
        <v>856</v>
      </c>
    </row>
    <row r="2114" spans="1:14" ht="15" customHeight="1" x14ac:dyDescent="0.2">
      <c r="A2114" s="31">
        <v>0.9075235971723965</v>
      </c>
      <c r="B2114" s="31"/>
      <c r="C2114" s="2" t="s">
        <v>855</v>
      </c>
      <c r="D2114" s="31">
        <f t="shared" si="77"/>
        <v>0.17787462504578971</v>
      </c>
      <c r="F2114" s="2" t="s">
        <v>822</v>
      </c>
      <c r="G2114" s="23" t="s">
        <v>902</v>
      </c>
      <c r="H2114" s="2" t="s">
        <v>822</v>
      </c>
      <c r="J2114" s="31">
        <v>43.6427002</v>
      </c>
      <c r="K2114" s="31">
        <v>-12.095700300000001</v>
      </c>
      <c r="L2114" s="31"/>
      <c r="M2114" s="31" t="s">
        <v>854</v>
      </c>
      <c r="N2114" s="6" t="s">
        <v>856</v>
      </c>
    </row>
    <row r="2115" spans="1:14" ht="15" customHeight="1" x14ac:dyDescent="0.2">
      <c r="A2115" s="31">
        <v>0.90747110090423344</v>
      </c>
      <c r="B2115" s="31"/>
      <c r="C2115" s="2" t="s">
        <v>855</v>
      </c>
      <c r="D2115" s="31">
        <f t="shared" si="77"/>
        <v>0.17786433577722977</v>
      </c>
      <c r="F2115" s="2" t="s">
        <v>822</v>
      </c>
      <c r="G2115" s="23" t="s">
        <v>902</v>
      </c>
      <c r="H2115" s="2" t="s">
        <v>822</v>
      </c>
      <c r="J2115" s="31">
        <v>34.630100300000002</v>
      </c>
      <c r="K2115" s="31">
        <v>27.6720009</v>
      </c>
      <c r="L2115" s="31"/>
      <c r="M2115" s="31" t="s">
        <v>854</v>
      </c>
      <c r="N2115" s="6" t="s">
        <v>856</v>
      </c>
    </row>
    <row r="2116" spans="1:14" ht="15" customHeight="1" x14ac:dyDescent="0.2">
      <c r="A2116" s="31">
        <v>0.90740400409433697</v>
      </c>
      <c r="B2116" s="31"/>
      <c r="C2116" s="2" t="s">
        <v>855</v>
      </c>
      <c r="D2116" s="31">
        <f t="shared" si="77"/>
        <v>0.17785118480249004</v>
      </c>
      <c r="F2116" s="2" t="s">
        <v>822</v>
      </c>
      <c r="G2116" s="23" t="s">
        <v>902</v>
      </c>
      <c r="H2116" s="2" t="s">
        <v>822</v>
      </c>
      <c r="J2116" s="31">
        <v>32.851699799999999</v>
      </c>
      <c r="K2116" s="31">
        <v>-41.165401500000002</v>
      </c>
      <c r="L2116" s="31"/>
      <c r="M2116" s="31" t="s">
        <v>854</v>
      </c>
      <c r="N2116" s="6" t="s">
        <v>856</v>
      </c>
    </row>
    <row r="2117" spans="1:14" ht="15" customHeight="1" x14ac:dyDescent="0.2">
      <c r="A2117" s="31">
        <v>0.90734975182047772</v>
      </c>
      <c r="B2117" s="31"/>
      <c r="C2117" s="2" t="s">
        <v>855</v>
      </c>
      <c r="D2117" s="31">
        <f t="shared" si="77"/>
        <v>0.17784055135681365</v>
      </c>
      <c r="F2117" s="2" t="s">
        <v>822</v>
      </c>
      <c r="G2117" s="23" t="s">
        <v>902</v>
      </c>
      <c r="H2117" s="2" t="s">
        <v>822</v>
      </c>
      <c r="J2117" s="31">
        <v>56.900299099999998</v>
      </c>
      <c r="K2117" s="31">
        <v>17.243499799999999</v>
      </c>
      <c r="L2117" s="31"/>
      <c r="M2117" s="31" t="s">
        <v>854</v>
      </c>
      <c r="N2117" s="6" t="s">
        <v>856</v>
      </c>
    </row>
    <row r="2118" spans="1:14" ht="15" customHeight="1" x14ac:dyDescent="0.2">
      <c r="A2118" s="31">
        <v>0.90673362056972184</v>
      </c>
      <c r="B2118" s="31"/>
      <c r="C2118" s="2" t="s">
        <v>855</v>
      </c>
      <c r="D2118" s="31">
        <f t="shared" si="77"/>
        <v>0.17771978963166549</v>
      </c>
      <c r="F2118" s="2" t="s">
        <v>822</v>
      </c>
      <c r="G2118" s="23" t="s">
        <v>902</v>
      </c>
      <c r="H2118" s="2" t="s">
        <v>822</v>
      </c>
      <c r="J2118" s="31">
        <v>35.853801699999998</v>
      </c>
      <c r="K2118" s="31">
        <v>29.582799900000001</v>
      </c>
      <c r="L2118" s="31"/>
      <c r="M2118" s="31" t="s">
        <v>854</v>
      </c>
      <c r="N2118" s="6" t="s">
        <v>856</v>
      </c>
    </row>
    <row r="2119" spans="1:14" ht="15" customHeight="1" x14ac:dyDescent="0.2">
      <c r="A2119" s="31">
        <v>0.90659938581226396</v>
      </c>
      <c r="B2119" s="31"/>
      <c r="C2119" s="2" t="s">
        <v>855</v>
      </c>
      <c r="D2119" s="31">
        <f t="shared" si="77"/>
        <v>0.17769347961920373</v>
      </c>
      <c r="F2119" s="2" t="s">
        <v>822</v>
      </c>
      <c r="G2119" s="23" t="s">
        <v>902</v>
      </c>
      <c r="H2119" s="2" t="s">
        <v>822</v>
      </c>
      <c r="J2119" s="31">
        <v>45.425701099999998</v>
      </c>
      <c r="K2119" s="31">
        <v>-17.853599500000001</v>
      </c>
      <c r="L2119" s="31"/>
      <c r="M2119" s="31" t="s">
        <v>854</v>
      </c>
      <c r="N2119" s="6" t="s">
        <v>856</v>
      </c>
    </row>
    <row r="2120" spans="1:14" ht="15" customHeight="1" x14ac:dyDescent="0.2">
      <c r="A2120" s="31">
        <v>0.90623958352061951</v>
      </c>
      <c r="B2120" s="31"/>
      <c r="C2120" s="2" t="s">
        <v>855</v>
      </c>
      <c r="D2120" s="31">
        <f t="shared" si="77"/>
        <v>0.17762295837004144</v>
      </c>
      <c r="F2120" s="2" t="s">
        <v>822</v>
      </c>
      <c r="G2120" s="23" t="s">
        <v>902</v>
      </c>
      <c r="H2120" s="2" t="s">
        <v>822</v>
      </c>
      <c r="J2120" s="31">
        <v>46.200099899999998</v>
      </c>
      <c r="K2120" s="31">
        <v>-2.3255899000000002</v>
      </c>
      <c r="L2120" s="31"/>
      <c r="M2120" s="31" t="s">
        <v>854</v>
      </c>
      <c r="N2120" s="6" t="s">
        <v>856</v>
      </c>
    </row>
    <row r="2121" spans="1:14" ht="15" customHeight="1" x14ac:dyDescent="0.2">
      <c r="A2121" s="31">
        <v>0.90619917882848955</v>
      </c>
      <c r="B2121" s="31"/>
      <c r="C2121" s="2" t="s">
        <v>855</v>
      </c>
      <c r="D2121" s="31">
        <f t="shared" si="77"/>
        <v>0.17761503905038395</v>
      </c>
      <c r="F2121" s="2" t="s">
        <v>822</v>
      </c>
      <c r="G2121" s="23" t="s">
        <v>902</v>
      </c>
      <c r="H2121" s="2" t="s">
        <v>822</v>
      </c>
      <c r="J2121" s="31">
        <v>28.0088005</v>
      </c>
      <c r="K2121" s="31">
        <v>-18.249000500000001</v>
      </c>
      <c r="L2121" s="31"/>
      <c r="M2121" s="31" t="s">
        <v>854</v>
      </c>
      <c r="N2121" s="6" t="s">
        <v>856</v>
      </c>
    </row>
    <row r="2122" spans="1:14" ht="15" customHeight="1" x14ac:dyDescent="0.2">
      <c r="A2122" s="31">
        <v>0.90555247793723492</v>
      </c>
      <c r="B2122" s="31"/>
      <c r="C2122" s="2" t="s">
        <v>855</v>
      </c>
      <c r="D2122" s="31">
        <f t="shared" si="77"/>
        <v>0.17748828567569805</v>
      </c>
      <c r="F2122" s="2" t="s">
        <v>822</v>
      </c>
      <c r="G2122" s="23" t="s">
        <v>902</v>
      </c>
      <c r="H2122" s="2" t="s">
        <v>822</v>
      </c>
      <c r="J2122" s="31">
        <v>38.057300599999998</v>
      </c>
      <c r="K2122" s="31">
        <v>-41.218498199999999</v>
      </c>
      <c r="L2122" s="31"/>
      <c r="M2122" s="31" t="s">
        <v>854</v>
      </c>
      <c r="N2122" s="6" t="s">
        <v>856</v>
      </c>
    </row>
    <row r="2123" spans="1:14" ht="15" customHeight="1" x14ac:dyDescent="0.2">
      <c r="A2123" s="31">
        <v>0.90546083338752248</v>
      </c>
      <c r="B2123" s="31"/>
      <c r="C2123" s="2" t="s">
        <v>855</v>
      </c>
      <c r="D2123" s="31">
        <f t="shared" si="77"/>
        <v>0.17747032334395441</v>
      </c>
      <c r="F2123" s="2" t="s">
        <v>822</v>
      </c>
      <c r="G2123" s="23" t="s">
        <v>902</v>
      </c>
      <c r="H2123" s="2" t="s">
        <v>822</v>
      </c>
      <c r="J2123" s="31">
        <v>39.272098499999998</v>
      </c>
      <c r="K2123" s="31">
        <v>16.024499899999999</v>
      </c>
      <c r="L2123" s="31"/>
      <c r="M2123" s="31" t="s">
        <v>854</v>
      </c>
      <c r="N2123" s="6" t="s">
        <v>856</v>
      </c>
    </row>
    <row r="2124" spans="1:14" ht="15" customHeight="1" x14ac:dyDescent="0.2">
      <c r="A2124" s="31">
        <v>0.90532461929212626</v>
      </c>
      <c r="B2124" s="31"/>
      <c r="C2124" s="2" t="s">
        <v>855</v>
      </c>
      <c r="D2124" s="31">
        <f t="shared" si="77"/>
        <v>0.17744362538125674</v>
      </c>
      <c r="F2124" s="2" t="s">
        <v>822</v>
      </c>
      <c r="G2124" s="23" t="s">
        <v>902</v>
      </c>
      <c r="H2124" s="2" t="s">
        <v>822</v>
      </c>
      <c r="J2124" s="31">
        <v>32.048301700000003</v>
      </c>
      <c r="K2124" s="31">
        <v>-41.896400499999999</v>
      </c>
      <c r="L2124" s="31"/>
      <c r="M2124" s="31" t="s">
        <v>854</v>
      </c>
      <c r="N2124" s="6" t="s">
        <v>856</v>
      </c>
    </row>
    <row r="2125" spans="1:14" ht="15" customHeight="1" x14ac:dyDescent="0.2">
      <c r="A2125" s="31">
        <v>0.90505444852457617</v>
      </c>
      <c r="B2125" s="31"/>
      <c r="C2125" s="2" t="s">
        <v>855</v>
      </c>
      <c r="D2125" s="31">
        <f t="shared" si="77"/>
        <v>0.17739067191081695</v>
      </c>
      <c r="F2125" s="2" t="s">
        <v>822</v>
      </c>
      <c r="G2125" s="23" t="s">
        <v>902</v>
      </c>
      <c r="H2125" s="2" t="s">
        <v>822</v>
      </c>
      <c r="J2125" s="31">
        <v>44.458400699999999</v>
      </c>
      <c r="K2125" s="31">
        <v>-30.2394009</v>
      </c>
      <c r="L2125" s="31"/>
      <c r="M2125" s="31" t="s">
        <v>854</v>
      </c>
      <c r="N2125" s="6" t="s">
        <v>856</v>
      </c>
    </row>
    <row r="2126" spans="1:14" ht="15" customHeight="1" x14ac:dyDescent="0.2">
      <c r="A2126" s="31">
        <v>0.90493841892714744</v>
      </c>
      <c r="B2126" s="31"/>
      <c r="C2126" s="2" t="s">
        <v>855</v>
      </c>
      <c r="D2126" s="31">
        <f t="shared" si="77"/>
        <v>0.17736793010972091</v>
      </c>
      <c r="F2126" s="2" t="s">
        <v>822</v>
      </c>
      <c r="G2126" s="23" t="s">
        <v>902</v>
      </c>
      <c r="H2126" s="2" t="s">
        <v>822</v>
      </c>
      <c r="J2126" s="31">
        <v>41.823200200000002</v>
      </c>
      <c r="K2126" s="31">
        <v>-42.718799599999997</v>
      </c>
      <c r="L2126" s="31"/>
      <c r="M2126" s="31" t="s">
        <v>854</v>
      </c>
      <c r="N2126" s="6" t="s">
        <v>856</v>
      </c>
    </row>
    <row r="2127" spans="1:14" ht="15" customHeight="1" x14ac:dyDescent="0.2">
      <c r="A2127" s="31">
        <v>0.90487204164056212</v>
      </c>
      <c r="B2127" s="31"/>
      <c r="C2127" s="2" t="s">
        <v>855</v>
      </c>
      <c r="D2127" s="31">
        <f t="shared" si="77"/>
        <v>0.17735492016155019</v>
      </c>
      <c r="F2127" s="2" t="s">
        <v>822</v>
      </c>
      <c r="G2127" s="23" t="s">
        <v>902</v>
      </c>
      <c r="H2127" s="2" t="s">
        <v>822</v>
      </c>
      <c r="J2127" s="31">
        <v>43.407901799999998</v>
      </c>
      <c r="K2127" s="31">
        <v>-23.187799500000001</v>
      </c>
      <c r="L2127" s="31"/>
      <c r="M2127" s="31" t="s">
        <v>854</v>
      </c>
      <c r="N2127" s="6" t="s">
        <v>856</v>
      </c>
    </row>
    <row r="2128" spans="1:14" ht="15" customHeight="1" x14ac:dyDescent="0.2">
      <c r="A2128" s="31">
        <v>0.90443706144387281</v>
      </c>
      <c r="B2128" s="31"/>
      <c r="C2128" s="2" t="s">
        <v>855</v>
      </c>
      <c r="D2128" s="31">
        <f t="shared" si="77"/>
        <v>0.17726966404299907</v>
      </c>
      <c r="F2128" s="2" t="s">
        <v>822</v>
      </c>
      <c r="G2128" s="23" t="s">
        <v>902</v>
      </c>
      <c r="H2128" s="2" t="s">
        <v>822</v>
      </c>
      <c r="J2128" s="31">
        <v>40.806499500000001</v>
      </c>
      <c r="K2128" s="31">
        <v>17.393999099999998</v>
      </c>
      <c r="L2128" s="31"/>
      <c r="M2128" s="31" t="s">
        <v>854</v>
      </c>
      <c r="N2128" s="6" t="s">
        <v>856</v>
      </c>
    </row>
    <row r="2129" spans="1:14" ht="15" customHeight="1" x14ac:dyDescent="0.2">
      <c r="A2129" s="31">
        <v>0.90409783288318746</v>
      </c>
      <c r="B2129" s="31"/>
      <c r="C2129" s="2" t="s">
        <v>855</v>
      </c>
      <c r="D2129" s="31">
        <f t="shared" si="77"/>
        <v>0.17720317524510476</v>
      </c>
      <c r="F2129" s="2" t="s">
        <v>822</v>
      </c>
      <c r="G2129" s="23" t="s">
        <v>902</v>
      </c>
      <c r="H2129" s="2" t="s">
        <v>822</v>
      </c>
      <c r="J2129" s="31">
        <v>42.071998600000001</v>
      </c>
      <c r="K2129" s="31">
        <v>-17.8439999</v>
      </c>
      <c r="L2129" s="31"/>
      <c r="M2129" s="31" t="s">
        <v>854</v>
      </c>
      <c r="N2129" s="6" t="s">
        <v>856</v>
      </c>
    </row>
    <row r="2130" spans="1:14" ht="15" customHeight="1" x14ac:dyDescent="0.2">
      <c r="A2130" s="31">
        <v>0.90382851271439624</v>
      </c>
      <c r="B2130" s="31"/>
      <c r="C2130" s="2" t="s">
        <v>855</v>
      </c>
      <c r="D2130" s="31">
        <f t="shared" si="77"/>
        <v>0.17715038849202167</v>
      </c>
      <c r="F2130" s="2" t="s">
        <v>822</v>
      </c>
      <c r="G2130" s="23" t="s">
        <v>902</v>
      </c>
      <c r="H2130" s="2" t="s">
        <v>822</v>
      </c>
      <c r="J2130" s="31">
        <v>40.148998300000002</v>
      </c>
      <c r="K2130" s="31">
        <v>22.655700700000001</v>
      </c>
      <c r="L2130" s="31"/>
      <c r="M2130" s="31" t="s">
        <v>854</v>
      </c>
      <c r="N2130" s="6" t="s">
        <v>856</v>
      </c>
    </row>
    <row r="2131" spans="1:14" ht="15" customHeight="1" x14ac:dyDescent="0.2">
      <c r="A2131" s="31">
        <v>0.90363395480686481</v>
      </c>
      <c r="B2131" s="31"/>
      <c r="C2131" s="2" t="s">
        <v>855</v>
      </c>
      <c r="D2131" s="31">
        <f t="shared" si="77"/>
        <v>0.17711225514214551</v>
      </c>
      <c r="F2131" s="2" t="s">
        <v>822</v>
      </c>
      <c r="G2131" s="23" t="s">
        <v>902</v>
      </c>
      <c r="H2131" s="2" t="s">
        <v>822</v>
      </c>
      <c r="J2131" s="31">
        <v>56.684101099999999</v>
      </c>
      <c r="K2131" s="31">
        <v>18.418300599999998</v>
      </c>
      <c r="L2131" s="31"/>
      <c r="M2131" s="31" t="s">
        <v>854</v>
      </c>
      <c r="N2131" s="6" t="s">
        <v>856</v>
      </c>
    </row>
    <row r="2132" spans="1:14" ht="15" customHeight="1" x14ac:dyDescent="0.2">
      <c r="A2132" s="31">
        <v>0.90304315165150562</v>
      </c>
      <c r="B2132" s="31"/>
      <c r="C2132" s="2" t="s">
        <v>855</v>
      </c>
      <c r="D2132" s="31">
        <f t="shared" si="77"/>
        <v>0.1769964577236951</v>
      </c>
      <c r="F2132" s="2" t="s">
        <v>822</v>
      </c>
      <c r="G2132" s="23" t="s">
        <v>902</v>
      </c>
      <c r="H2132" s="2" t="s">
        <v>822</v>
      </c>
      <c r="J2132" s="31">
        <v>44.7682991</v>
      </c>
      <c r="K2132" s="31">
        <v>-4.4644499</v>
      </c>
      <c r="L2132" s="31"/>
      <c r="M2132" s="31" t="s">
        <v>854</v>
      </c>
      <c r="N2132" s="6" t="s">
        <v>856</v>
      </c>
    </row>
    <row r="2133" spans="1:14" ht="15" customHeight="1" x14ac:dyDescent="0.2">
      <c r="A2133" s="31">
        <v>0.90288583829942359</v>
      </c>
      <c r="B2133" s="31"/>
      <c r="C2133" s="2" t="s">
        <v>855</v>
      </c>
      <c r="D2133" s="31">
        <f t="shared" si="77"/>
        <v>0.17696562430668702</v>
      </c>
      <c r="F2133" s="2" t="s">
        <v>822</v>
      </c>
      <c r="G2133" s="23" t="s">
        <v>902</v>
      </c>
      <c r="H2133" s="2" t="s">
        <v>822</v>
      </c>
      <c r="J2133" s="31">
        <v>31.7773991</v>
      </c>
      <c r="K2133" s="31">
        <v>31.530000699999999</v>
      </c>
      <c r="L2133" s="31"/>
      <c r="M2133" s="31" t="s">
        <v>854</v>
      </c>
      <c r="N2133" s="6" t="s">
        <v>856</v>
      </c>
    </row>
    <row r="2134" spans="1:14" ht="15" customHeight="1" x14ac:dyDescent="0.2">
      <c r="A2134" s="31">
        <v>0.90252933048047224</v>
      </c>
      <c r="B2134" s="31"/>
      <c r="C2134" s="2" t="s">
        <v>855</v>
      </c>
      <c r="D2134" s="31">
        <f t="shared" si="77"/>
        <v>0.17689574877417258</v>
      </c>
      <c r="F2134" s="2" t="s">
        <v>822</v>
      </c>
      <c r="G2134" s="23" t="s">
        <v>902</v>
      </c>
      <c r="H2134" s="2" t="s">
        <v>822</v>
      </c>
      <c r="J2134" s="31">
        <v>34.463001300000002</v>
      </c>
      <c r="K2134" s="31">
        <v>-35.583599100000001</v>
      </c>
      <c r="L2134" s="31"/>
      <c r="M2134" s="31" t="s">
        <v>854</v>
      </c>
      <c r="N2134" s="6" t="s">
        <v>856</v>
      </c>
    </row>
    <row r="2135" spans="1:14" ht="15" customHeight="1" x14ac:dyDescent="0.2">
      <c r="A2135" s="31">
        <v>0.90248448832616024</v>
      </c>
      <c r="B2135" s="31"/>
      <c r="C2135" s="2" t="s">
        <v>855</v>
      </c>
      <c r="D2135" s="31">
        <f t="shared" si="77"/>
        <v>0.17688695971192742</v>
      </c>
      <c r="F2135" s="2" t="s">
        <v>822</v>
      </c>
      <c r="G2135" s="23" t="s">
        <v>902</v>
      </c>
      <c r="H2135" s="2" t="s">
        <v>822</v>
      </c>
      <c r="J2135" s="31">
        <v>44.598800699999998</v>
      </c>
      <c r="K2135" s="31">
        <v>-7.83636</v>
      </c>
      <c r="L2135" s="31"/>
      <c r="M2135" s="31" t="s">
        <v>854</v>
      </c>
      <c r="N2135" s="6" t="s">
        <v>856</v>
      </c>
    </row>
    <row r="2136" spans="1:14" ht="15" customHeight="1" x14ac:dyDescent="0.2">
      <c r="A2136" s="31">
        <v>0.90198251803871932</v>
      </c>
      <c r="B2136" s="31"/>
      <c r="C2136" s="2" t="s">
        <v>855</v>
      </c>
      <c r="D2136" s="31">
        <f t="shared" si="77"/>
        <v>0.17678857353558899</v>
      </c>
      <c r="F2136" s="2" t="s">
        <v>822</v>
      </c>
      <c r="G2136" s="23" t="s">
        <v>902</v>
      </c>
      <c r="H2136" s="2" t="s">
        <v>822</v>
      </c>
      <c r="J2136" s="31">
        <v>42.581001299999997</v>
      </c>
      <c r="K2136" s="31">
        <v>3.0653801000000001</v>
      </c>
      <c r="L2136" s="31"/>
      <c r="M2136" s="31" t="s">
        <v>854</v>
      </c>
      <c r="N2136" s="6" t="s">
        <v>856</v>
      </c>
    </row>
    <row r="2137" spans="1:14" ht="15" customHeight="1" x14ac:dyDescent="0.2">
      <c r="A2137" s="31">
        <v>0.90192604363003093</v>
      </c>
      <c r="B2137" s="31"/>
      <c r="C2137" s="2" t="s">
        <v>855</v>
      </c>
      <c r="D2137" s="31">
        <f t="shared" si="77"/>
        <v>0.17677750455148608</v>
      </c>
      <c r="F2137" s="2" t="s">
        <v>822</v>
      </c>
      <c r="G2137" s="23" t="s">
        <v>902</v>
      </c>
      <c r="H2137" s="2" t="s">
        <v>822</v>
      </c>
      <c r="J2137" s="31">
        <v>26.985799799999999</v>
      </c>
      <c r="K2137" s="31">
        <v>-13.4806004</v>
      </c>
      <c r="L2137" s="31"/>
      <c r="M2137" s="31" t="s">
        <v>854</v>
      </c>
      <c r="N2137" s="6" t="s">
        <v>856</v>
      </c>
    </row>
    <row r="2138" spans="1:14" ht="15" customHeight="1" x14ac:dyDescent="0.2">
      <c r="A2138" s="31">
        <v>0.90179332397726775</v>
      </c>
      <c r="B2138" s="31"/>
      <c r="C2138" s="2" t="s">
        <v>855</v>
      </c>
      <c r="D2138" s="31">
        <f t="shared" si="77"/>
        <v>0.17675149149954447</v>
      </c>
      <c r="F2138" s="2" t="s">
        <v>822</v>
      </c>
      <c r="G2138" s="23" t="s">
        <v>902</v>
      </c>
      <c r="H2138" s="2" t="s">
        <v>822</v>
      </c>
      <c r="J2138" s="31">
        <v>39.8395996</v>
      </c>
      <c r="K2138" s="31">
        <v>8.5471497000000003</v>
      </c>
      <c r="L2138" s="31"/>
      <c r="M2138" s="31" t="s">
        <v>854</v>
      </c>
      <c r="N2138" s="6" t="s">
        <v>856</v>
      </c>
    </row>
    <row r="2139" spans="1:14" ht="15" customHeight="1" x14ac:dyDescent="0.2">
      <c r="A2139" s="31">
        <v>0.90175322588454887</v>
      </c>
      <c r="B2139" s="31"/>
      <c r="C2139" s="2" t="s">
        <v>855</v>
      </c>
      <c r="D2139" s="31">
        <f t="shared" si="77"/>
        <v>0.17674363227337159</v>
      </c>
      <c r="F2139" s="2" t="s">
        <v>822</v>
      </c>
      <c r="G2139" s="23" t="s">
        <v>902</v>
      </c>
      <c r="H2139" s="2" t="s">
        <v>822</v>
      </c>
      <c r="J2139" s="31">
        <v>43.830001799999998</v>
      </c>
      <c r="K2139" s="31">
        <v>-1.7610699999999999</v>
      </c>
      <c r="L2139" s="31"/>
      <c r="M2139" s="31" t="s">
        <v>854</v>
      </c>
      <c r="N2139" s="6" t="s">
        <v>856</v>
      </c>
    </row>
    <row r="2140" spans="1:14" ht="15" customHeight="1" x14ac:dyDescent="0.2">
      <c r="A2140" s="31">
        <v>0.90162558522291469</v>
      </c>
      <c r="B2140" s="31"/>
      <c r="C2140" s="2" t="s">
        <v>855</v>
      </c>
      <c r="D2140" s="31">
        <f t="shared" si="77"/>
        <v>0.1767186147036913</v>
      </c>
      <c r="F2140" s="2" t="s">
        <v>822</v>
      </c>
      <c r="G2140" s="23" t="s">
        <v>902</v>
      </c>
      <c r="H2140" s="2" t="s">
        <v>822</v>
      </c>
      <c r="J2140" s="31">
        <v>33.397399900000003</v>
      </c>
      <c r="K2140" s="31">
        <v>-36.559101099999999</v>
      </c>
      <c r="L2140" s="31"/>
      <c r="M2140" s="31" t="s">
        <v>854</v>
      </c>
      <c r="N2140" s="6" t="s">
        <v>856</v>
      </c>
    </row>
    <row r="2141" spans="1:14" ht="15" customHeight="1" x14ac:dyDescent="0.2">
      <c r="A2141" s="31">
        <v>0.90114807359733595</v>
      </c>
      <c r="B2141" s="31"/>
      <c r="C2141" s="2" t="s">
        <v>855</v>
      </c>
      <c r="D2141" s="31">
        <f t="shared" si="77"/>
        <v>0.17662502242507785</v>
      </c>
      <c r="F2141" s="2" t="s">
        <v>822</v>
      </c>
      <c r="G2141" s="23" t="s">
        <v>902</v>
      </c>
      <c r="H2141" s="2" t="s">
        <v>822</v>
      </c>
      <c r="J2141" s="31">
        <v>37.005298600000003</v>
      </c>
      <c r="K2141" s="31">
        <v>14.1360998</v>
      </c>
      <c r="L2141" s="31"/>
      <c r="M2141" s="31" t="s">
        <v>854</v>
      </c>
      <c r="N2141" s="6" t="s">
        <v>856</v>
      </c>
    </row>
    <row r="2142" spans="1:14" ht="15" customHeight="1" x14ac:dyDescent="0.2">
      <c r="A2142" s="31">
        <v>0.90073914347966377</v>
      </c>
      <c r="B2142" s="31"/>
      <c r="C2142" s="2" t="s">
        <v>855</v>
      </c>
      <c r="D2142" s="31">
        <f t="shared" si="77"/>
        <v>0.17654487212201411</v>
      </c>
      <c r="F2142" s="2" t="s">
        <v>822</v>
      </c>
      <c r="G2142" s="23" t="s">
        <v>902</v>
      </c>
      <c r="H2142" s="2" t="s">
        <v>822</v>
      </c>
      <c r="J2142" s="31">
        <v>30.0585995</v>
      </c>
      <c r="K2142" s="31">
        <v>-24.5345993</v>
      </c>
      <c r="L2142" s="31"/>
      <c r="M2142" s="31" t="s">
        <v>854</v>
      </c>
      <c r="N2142" s="6" t="s">
        <v>856</v>
      </c>
    </row>
    <row r="2143" spans="1:14" ht="15" customHeight="1" x14ac:dyDescent="0.2">
      <c r="A2143" s="31">
        <v>0.90040243506492568</v>
      </c>
      <c r="B2143" s="31"/>
      <c r="C2143" s="2" t="s">
        <v>855</v>
      </c>
      <c r="D2143" s="31">
        <f t="shared" si="77"/>
        <v>0.17647887727272543</v>
      </c>
      <c r="F2143" s="2" t="s">
        <v>822</v>
      </c>
      <c r="G2143" s="23" t="s">
        <v>902</v>
      </c>
      <c r="H2143" s="2" t="s">
        <v>822</v>
      </c>
      <c r="J2143" s="31">
        <v>44.781700100000002</v>
      </c>
      <c r="K2143" s="31">
        <v>-11.089099900000001</v>
      </c>
      <c r="L2143" s="31"/>
      <c r="M2143" s="31" t="s">
        <v>854</v>
      </c>
      <c r="N2143" s="6" t="s">
        <v>856</v>
      </c>
    </row>
    <row r="2144" spans="1:14" ht="15" customHeight="1" x14ac:dyDescent="0.2">
      <c r="A2144" s="31">
        <v>0.90017969868249392</v>
      </c>
      <c r="B2144" s="31"/>
      <c r="C2144" s="2" t="s">
        <v>855</v>
      </c>
      <c r="D2144" s="31">
        <f t="shared" si="77"/>
        <v>0.17643522094176881</v>
      </c>
      <c r="F2144" s="2" t="s">
        <v>822</v>
      </c>
      <c r="G2144" s="23" t="s">
        <v>902</v>
      </c>
      <c r="H2144" s="2" t="s">
        <v>822</v>
      </c>
      <c r="J2144" s="31">
        <v>39.4137001</v>
      </c>
      <c r="K2144" s="31">
        <v>3.2802199999999999</v>
      </c>
      <c r="L2144" s="31"/>
      <c r="M2144" s="31" t="s">
        <v>854</v>
      </c>
      <c r="N2144" s="6" t="s">
        <v>856</v>
      </c>
    </row>
    <row r="2145" spans="1:14" ht="15" customHeight="1" x14ac:dyDescent="0.2">
      <c r="A2145" s="22">
        <v>0.17642502941287994</v>
      </c>
      <c r="B2145" s="22"/>
      <c r="C2145" s="2" t="s">
        <v>891</v>
      </c>
      <c r="D2145" s="2">
        <f>A2145</f>
        <v>0.17642502941287994</v>
      </c>
      <c r="F2145" s="2">
        <v>2023</v>
      </c>
      <c r="G2145" s="23" t="s">
        <v>902</v>
      </c>
      <c r="H2145" s="2" t="s">
        <v>771</v>
      </c>
      <c r="I2145" s="23" t="s">
        <v>189</v>
      </c>
      <c r="J2145" s="23">
        <v>58077391</v>
      </c>
      <c r="K2145" s="23">
        <v>11813529</v>
      </c>
      <c r="L2145" s="23" t="s">
        <v>819</v>
      </c>
      <c r="M2145" s="2" t="s">
        <v>825</v>
      </c>
      <c r="N2145" s="6" t="s">
        <v>828</v>
      </c>
    </row>
    <row r="2146" spans="1:14" ht="15" customHeight="1" x14ac:dyDescent="0.2">
      <c r="A2146" s="31">
        <v>0.89914185726194851</v>
      </c>
      <c r="B2146" s="31"/>
      <c r="C2146" s="2" t="s">
        <v>855</v>
      </c>
      <c r="D2146" s="31">
        <f t="shared" ref="D2146:D2177" si="78" xml:space="preserve"> A2146 * 0.196</f>
        <v>0.1762318040233419</v>
      </c>
      <c r="F2146" s="2" t="s">
        <v>822</v>
      </c>
      <c r="G2146" s="23" t="s">
        <v>902</v>
      </c>
      <c r="H2146" s="2" t="s">
        <v>822</v>
      </c>
      <c r="J2146" s="31">
        <v>40.929000899999998</v>
      </c>
      <c r="K2146" s="31">
        <v>-41.215000199999999</v>
      </c>
      <c r="L2146" s="31"/>
      <c r="M2146" s="31" t="s">
        <v>854</v>
      </c>
      <c r="N2146" s="6" t="s">
        <v>856</v>
      </c>
    </row>
    <row r="2147" spans="1:14" ht="15" customHeight="1" x14ac:dyDescent="0.2">
      <c r="A2147" s="31">
        <v>0.89873430631706896</v>
      </c>
      <c r="B2147" s="31"/>
      <c r="C2147" s="2" t="s">
        <v>855</v>
      </c>
      <c r="D2147" s="31">
        <f t="shared" si="78"/>
        <v>0.17615192403814553</v>
      </c>
      <c r="F2147" s="2" t="s">
        <v>822</v>
      </c>
      <c r="G2147" s="23" t="s">
        <v>902</v>
      </c>
      <c r="H2147" s="2" t="s">
        <v>822</v>
      </c>
      <c r="J2147" s="31">
        <v>31.796800600000001</v>
      </c>
      <c r="K2147" s="31">
        <v>30.5251999</v>
      </c>
      <c r="L2147" s="31"/>
      <c r="M2147" s="31" t="s">
        <v>854</v>
      </c>
      <c r="N2147" s="6" t="s">
        <v>856</v>
      </c>
    </row>
    <row r="2148" spans="1:14" ht="15" customHeight="1" x14ac:dyDescent="0.2">
      <c r="A2148" s="31">
        <v>0.89847428562925913</v>
      </c>
      <c r="B2148" s="31"/>
      <c r="C2148" s="2" t="s">
        <v>855</v>
      </c>
      <c r="D2148" s="31">
        <f t="shared" si="78"/>
        <v>0.1761009599833348</v>
      </c>
      <c r="F2148" s="2" t="s">
        <v>822</v>
      </c>
      <c r="G2148" s="23" t="s">
        <v>902</v>
      </c>
      <c r="H2148" s="2" t="s">
        <v>822</v>
      </c>
      <c r="J2148" s="31">
        <v>43.341098799999997</v>
      </c>
      <c r="K2148" s="31">
        <v>-27.826000199999999</v>
      </c>
      <c r="L2148" s="31"/>
      <c r="M2148" s="31" t="s">
        <v>854</v>
      </c>
      <c r="N2148" s="6" t="s">
        <v>856</v>
      </c>
    </row>
    <row r="2149" spans="1:14" ht="15" customHeight="1" x14ac:dyDescent="0.2">
      <c r="A2149" s="31">
        <v>0.89845990157803168</v>
      </c>
      <c r="B2149" s="31"/>
      <c r="C2149" s="2" t="s">
        <v>855</v>
      </c>
      <c r="D2149" s="31">
        <f t="shared" si="78"/>
        <v>0.17609814070929422</v>
      </c>
      <c r="F2149" s="2" t="s">
        <v>822</v>
      </c>
      <c r="G2149" s="23" t="s">
        <v>902</v>
      </c>
      <c r="H2149" s="2" t="s">
        <v>822</v>
      </c>
      <c r="J2149" s="31">
        <v>38.121898700000003</v>
      </c>
      <c r="K2149" s="31">
        <v>-24.523300200000001</v>
      </c>
      <c r="L2149" s="31"/>
      <c r="M2149" s="31" t="s">
        <v>854</v>
      </c>
      <c r="N2149" s="6" t="s">
        <v>856</v>
      </c>
    </row>
    <row r="2150" spans="1:14" ht="15" customHeight="1" x14ac:dyDescent="0.2">
      <c r="A2150" s="31">
        <v>0.89831071499948378</v>
      </c>
      <c r="B2150" s="31"/>
      <c r="C2150" s="2" t="s">
        <v>855</v>
      </c>
      <c r="D2150" s="31">
        <f t="shared" si="78"/>
        <v>0.17606890013989882</v>
      </c>
      <c r="F2150" s="2" t="s">
        <v>822</v>
      </c>
      <c r="G2150" s="23" t="s">
        <v>902</v>
      </c>
      <c r="H2150" s="2" t="s">
        <v>822</v>
      </c>
      <c r="J2150" s="31">
        <v>40.565101599999998</v>
      </c>
      <c r="K2150" s="31">
        <v>-40.567199700000003</v>
      </c>
      <c r="L2150" s="31"/>
      <c r="M2150" s="31" t="s">
        <v>854</v>
      </c>
      <c r="N2150" s="6" t="s">
        <v>856</v>
      </c>
    </row>
    <row r="2151" spans="1:14" ht="15" customHeight="1" x14ac:dyDescent="0.2">
      <c r="A2151" s="31">
        <v>0.89771474802323448</v>
      </c>
      <c r="B2151" s="31"/>
      <c r="C2151" s="2" t="s">
        <v>855</v>
      </c>
      <c r="D2151" s="31">
        <f t="shared" si="78"/>
        <v>0.17595209061255396</v>
      </c>
      <c r="F2151" s="2" t="s">
        <v>822</v>
      </c>
      <c r="G2151" s="23" t="s">
        <v>902</v>
      </c>
      <c r="H2151" s="2" t="s">
        <v>822</v>
      </c>
      <c r="J2151" s="31">
        <v>36.876300800000003</v>
      </c>
      <c r="K2151" s="31">
        <v>-0.363404</v>
      </c>
      <c r="L2151" s="31"/>
      <c r="M2151" s="31" t="s">
        <v>854</v>
      </c>
      <c r="N2151" s="6" t="s">
        <v>856</v>
      </c>
    </row>
    <row r="2152" spans="1:14" ht="15" customHeight="1" x14ac:dyDescent="0.2">
      <c r="A2152" s="31">
        <v>0.89730462360457475</v>
      </c>
      <c r="B2152" s="31"/>
      <c r="C2152" s="2" t="s">
        <v>855</v>
      </c>
      <c r="D2152" s="31">
        <f t="shared" si="78"/>
        <v>0.17587170622649664</v>
      </c>
      <c r="F2152" s="2" t="s">
        <v>822</v>
      </c>
      <c r="G2152" s="23" t="s">
        <v>902</v>
      </c>
      <c r="H2152" s="2" t="s">
        <v>822</v>
      </c>
      <c r="J2152" s="31">
        <v>39.6935997</v>
      </c>
      <c r="K2152" s="31">
        <v>-22.558200800000002</v>
      </c>
      <c r="L2152" s="31"/>
      <c r="M2152" s="31" t="s">
        <v>854</v>
      </c>
      <c r="N2152" s="6" t="s">
        <v>856</v>
      </c>
    </row>
    <row r="2153" spans="1:14" ht="15" customHeight="1" x14ac:dyDescent="0.2">
      <c r="A2153" s="31">
        <v>0.89707937667824389</v>
      </c>
      <c r="B2153" s="31"/>
      <c r="C2153" s="2" t="s">
        <v>855</v>
      </c>
      <c r="D2153" s="31">
        <f t="shared" si="78"/>
        <v>0.1758275578289358</v>
      </c>
      <c r="F2153" s="2" t="s">
        <v>822</v>
      </c>
      <c r="G2153" s="23" t="s">
        <v>902</v>
      </c>
      <c r="H2153" s="2" t="s">
        <v>822</v>
      </c>
      <c r="J2153" s="31">
        <v>52.031799300000003</v>
      </c>
      <c r="K2153" s="31">
        <v>-10.6837997</v>
      </c>
      <c r="L2153" s="31"/>
      <c r="M2153" s="31" t="s">
        <v>854</v>
      </c>
      <c r="N2153" s="6" t="s">
        <v>856</v>
      </c>
    </row>
    <row r="2154" spans="1:14" ht="15" customHeight="1" x14ac:dyDescent="0.2">
      <c r="A2154" s="31">
        <v>0.89681623091544138</v>
      </c>
      <c r="B2154" s="31"/>
      <c r="C2154" s="2" t="s">
        <v>855</v>
      </c>
      <c r="D2154" s="31">
        <f t="shared" si="78"/>
        <v>0.17577598125942651</v>
      </c>
      <c r="F2154" s="2" t="s">
        <v>822</v>
      </c>
      <c r="G2154" s="23" t="s">
        <v>902</v>
      </c>
      <c r="H2154" s="2" t="s">
        <v>822</v>
      </c>
      <c r="J2154" s="31">
        <v>28.711999899999999</v>
      </c>
      <c r="K2154" s="31">
        <v>-41.223998999999999</v>
      </c>
      <c r="L2154" s="31"/>
      <c r="M2154" s="31" t="s">
        <v>854</v>
      </c>
      <c r="N2154" s="6" t="s">
        <v>856</v>
      </c>
    </row>
    <row r="2155" spans="1:14" ht="15" customHeight="1" x14ac:dyDescent="0.2">
      <c r="A2155" s="31">
        <v>0.89661718843501814</v>
      </c>
      <c r="B2155" s="31"/>
      <c r="C2155" s="2" t="s">
        <v>855</v>
      </c>
      <c r="D2155" s="31">
        <f t="shared" si="78"/>
        <v>0.17573696893326357</v>
      </c>
      <c r="F2155" s="2" t="s">
        <v>822</v>
      </c>
      <c r="G2155" s="23" t="s">
        <v>902</v>
      </c>
      <c r="H2155" s="2" t="s">
        <v>822</v>
      </c>
      <c r="J2155" s="31">
        <v>34.055999800000002</v>
      </c>
      <c r="K2155" s="31">
        <v>29.583999599999999</v>
      </c>
      <c r="L2155" s="31"/>
      <c r="M2155" s="31" t="s">
        <v>854</v>
      </c>
      <c r="N2155" s="6" t="s">
        <v>856</v>
      </c>
    </row>
    <row r="2156" spans="1:14" ht="15" customHeight="1" x14ac:dyDescent="0.2">
      <c r="A2156" s="31">
        <v>0.89647636473016856</v>
      </c>
      <c r="B2156" s="31"/>
      <c r="C2156" s="2" t="s">
        <v>855</v>
      </c>
      <c r="D2156" s="31">
        <f t="shared" si="78"/>
        <v>0.17570936748711305</v>
      </c>
      <c r="F2156" s="2" t="s">
        <v>822</v>
      </c>
      <c r="G2156" s="23" t="s">
        <v>902</v>
      </c>
      <c r="H2156" s="2" t="s">
        <v>822</v>
      </c>
      <c r="J2156" s="31">
        <v>42.072101600000003</v>
      </c>
      <c r="K2156" s="31">
        <v>-23.187900500000001</v>
      </c>
      <c r="L2156" s="31"/>
      <c r="M2156" s="31" t="s">
        <v>854</v>
      </c>
      <c r="N2156" s="6" t="s">
        <v>856</v>
      </c>
    </row>
    <row r="2157" spans="1:14" ht="15" customHeight="1" x14ac:dyDescent="0.2">
      <c r="A2157" s="31">
        <v>0.89641319069093095</v>
      </c>
      <c r="B2157" s="31"/>
      <c r="C2157" s="2" t="s">
        <v>855</v>
      </c>
      <c r="D2157" s="31">
        <f t="shared" si="78"/>
        <v>0.17569698537542247</v>
      </c>
      <c r="F2157" s="2" t="s">
        <v>822</v>
      </c>
      <c r="G2157" s="23" t="s">
        <v>902</v>
      </c>
      <c r="H2157" s="2" t="s">
        <v>822</v>
      </c>
      <c r="J2157" s="31">
        <v>33.441600800000003</v>
      </c>
      <c r="K2157" s="31">
        <v>-16.509700800000001</v>
      </c>
      <c r="L2157" s="31"/>
      <c r="M2157" s="31" t="s">
        <v>854</v>
      </c>
      <c r="N2157" s="6" t="s">
        <v>856</v>
      </c>
    </row>
    <row r="2158" spans="1:14" ht="15" customHeight="1" x14ac:dyDescent="0.2">
      <c r="A2158" s="31">
        <v>0.89620116891094104</v>
      </c>
      <c r="B2158" s="31"/>
      <c r="C2158" s="2" t="s">
        <v>855</v>
      </c>
      <c r="D2158" s="31">
        <f t="shared" si="78"/>
        <v>0.17565542910654444</v>
      </c>
      <c r="F2158" s="2" t="s">
        <v>822</v>
      </c>
      <c r="G2158" s="23" t="s">
        <v>902</v>
      </c>
      <c r="H2158" s="2" t="s">
        <v>822</v>
      </c>
      <c r="J2158" s="31">
        <v>28.758100500000001</v>
      </c>
      <c r="K2158" s="31">
        <v>-17.1620007</v>
      </c>
      <c r="L2158" s="31"/>
      <c r="M2158" s="31" t="s">
        <v>854</v>
      </c>
      <c r="N2158" s="6" t="s">
        <v>856</v>
      </c>
    </row>
    <row r="2159" spans="1:14" ht="15" customHeight="1" x14ac:dyDescent="0.2">
      <c r="A2159" s="31">
        <v>0.89599461124212942</v>
      </c>
      <c r="B2159" s="31"/>
      <c r="C2159" s="2" t="s">
        <v>855</v>
      </c>
      <c r="D2159" s="31">
        <f t="shared" si="78"/>
        <v>0.17561494380345738</v>
      </c>
      <c r="F2159" s="2" t="s">
        <v>822</v>
      </c>
      <c r="G2159" s="23" t="s">
        <v>902</v>
      </c>
      <c r="H2159" s="2" t="s">
        <v>822</v>
      </c>
      <c r="J2159" s="31">
        <v>41.772598299999999</v>
      </c>
      <c r="K2159" s="31">
        <v>-12.5046997</v>
      </c>
      <c r="L2159" s="31"/>
      <c r="M2159" s="31" t="s">
        <v>854</v>
      </c>
      <c r="N2159" s="6" t="s">
        <v>856</v>
      </c>
    </row>
    <row r="2160" spans="1:14" ht="15" customHeight="1" x14ac:dyDescent="0.2">
      <c r="A2160" s="31">
        <v>0.89588194707972302</v>
      </c>
      <c r="B2160" s="31"/>
      <c r="C2160" s="2" t="s">
        <v>855</v>
      </c>
      <c r="D2160" s="31">
        <f t="shared" si="78"/>
        <v>0.17559286162762572</v>
      </c>
      <c r="F2160" s="2" t="s">
        <v>822</v>
      </c>
      <c r="G2160" s="23" t="s">
        <v>902</v>
      </c>
      <c r="H2160" s="2" t="s">
        <v>822</v>
      </c>
      <c r="J2160" s="31">
        <v>40.736598999999998</v>
      </c>
      <c r="K2160" s="31">
        <v>-37.072200799999997</v>
      </c>
      <c r="L2160" s="31"/>
      <c r="M2160" s="31" t="s">
        <v>854</v>
      </c>
      <c r="N2160" s="6" t="s">
        <v>856</v>
      </c>
    </row>
    <row r="2161" spans="1:14" ht="15" customHeight="1" x14ac:dyDescent="0.2">
      <c r="A2161" s="31">
        <v>0.89547295835934726</v>
      </c>
      <c r="B2161" s="31"/>
      <c r="C2161" s="2" t="s">
        <v>855</v>
      </c>
      <c r="D2161" s="31">
        <f t="shared" si="78"/>
        <v>0.17551269983843207</v>
      </c>
      <c r="F2161" s="2" t="s">
        <v>822</v>
      </c>
      <c r="G2161" s="23" t="s">
        <v>902</v>
      </c>
      <c r="H2161" s="2" t="s">
        <v>822</v>
      </c>
      <c r="J2161" s="31">
        <v>39.6935997</v>
      </c>
      <c r="K2161" s="31">
        <v>-34.236198399999999</v>
      </c>
      <c r="L2161" s="31"/>
      <c r="M2161" s="31" t="s">
        <v>854</v>
      </c>
      <c r="N2161" s="6" t="s">
        <v>856</v>
      </c>
    </row>
    <row r="2162" spans="1:14" ht="15" customHeight="1" x14ac:dyDescent="0.2">
      <c r="A2162" s="31">
        <v>0.89502619532718686</v>
      </c>
      <c r="B2162" s="31"/>
      <c r="C2162" s="2" t="s">
        <v>855</v>
      </c>
      <c r="D2162" s="31">
        <f t="shared" si="78"/>
        <v>0.17542513428412862</v>
      </c>
      <c r="F2162" s="2" t="s">
        <v>822</v>
      </c>
      <c r="G2162" s="23" t="s">
        <v>902</v>
      </c>
      <c r="H2162" s="2" t="s">
        <v>822</v>
      </c>
      <c r="J2162" s="31">
        <v>25.545499800000002</v>
      </c>
      <c r="K2162" s="31">
        <v>-19.727199599999999</v>
      </c>
      <c r="L2162" s="31"/>
      <c r="M2162" s="31" t="s">
        <v>854</v>
      </c>
      <c r="N2162" s="6" t="s">
        <v>856</v>
      </c>
    </row>
    <row r="2163" spans="1:14" ht="15" customHeight="1" x14ac:dyDescent="0.2">
      <c r="A2163" s="31">
        <v>0.89500538446631772</v>
      </c>
      <c r="B2163" s="31"/>
      <c r="C2163" s="2" t="s">
        <v>855</v>
      </c>
      <c r="D2163" s="31">
        <f t="shared" si="78"/>
        <v>0.17542105535539829</v>
      </c>
      <c r="F2163" s="2" t="s">
        <v>822</v>
      </c>
      <c r="G2163" s="23" t="s">
        <v>902</v>
      </c>
      <c r="H2163" s="2" t="s">
        <v>822</v>
      </c>
      <c r="J2163" s="31">
        <v>32.8368988</v>
      </c>
      <c r="K2163" s="31">
        <v>21.423500099999998</v>
      </c>
      <c r="L2163" s="31"/>
      <c r="M2163" s="31" t="s">
        <v>854</v>
      </c>
      <c r="N2163" s="6" t="s">
        <v>856</v>
      </c>
    </row>
    <row r="2164" spans="1:14" ht="15" customHeight="1" x14ac:dyDescent="0.2">
      <c r="A2164" s="31">
        <v>0.8948680878271501</v>
      </c>
      <c r="B2164" s="31"/>
      <c r="C2164" s="2" t="s">
        <v>855</v>
      </c>
      <c r="D2164" s="31">
        <f t="shared" si="78"/>
        <v>0.17539414521412142</v>
      </c>
      <c r="F2164" s="2" t="s">
        <v>822</v>
      </c>
      <c r="G2164" s="23" t="s">
        <v>902</v>
      </c>
      <c r="H2164" s="2" t="s">
        <v>822</v>
      </c>
      <c r="J2164" s="31">
        <v>27.663099299999999</v>
      </c>
      <c r="K2164" s="31">
        <v>-26.302099200000001</v>
      </c>
      <c r="L2164" s="31"/>
      <c r="M2164" s="31" t="s">
        <v>854</v>
      </c>
      <c r="N2164" s="6" t="s">
        <v>856</v>
      </c>
    </row>
    <row r="2165" spans="1:14" ht="15" customHeight="1" x14ac:dyDescent="0.2">
      <c r="A2165" s="31">
        <v>0.89471840169340711</v>
      </c>
      <c r="B2165" s="31"/>
      <c r="C2165" s="2" t="s">
        <v>855</v>
      </c>
      <c r="D2165" s="31">
        <f t="shared" si="78"/>
        <v>0.1753648067319078</v>
      </c>
      <c r="F2165" s="2" t="s">
        <v>822</v>
      </c>
      <c r="G2165" s="23" t="s">
        <v>902</v>
      </c>
      <c r="H2165" s="2" t="s">
        <v>822</v>
      </c>
      <c r="J2165" s="31">
        <v>33.363799999999998</v>
      </c>
      <c r="K2165" s="31">
        <v>-35.339900999999998</v>
      </c>
      <c r="L2165" s="31"/>
      <c r="M2165" s="31" t="s">
        <v>854</v>
      </c>
      <c r="N2165" s="6" t="s">
        <v>856</v>
      </c>
    </row>
    <row r="2166" spans="1:14" ht="15" customHeight="1" x14ac:dyDescent="0.2">
      <c r="A2166" s="31">
        <v>0.89454400718366234</v>
      </c>
      <c r="B2166" s="31"/>
      <c r="C2166" s="2" t="s">
        <v>855</v>
      </c>
      <c r="D2166" s="31">
        <f t="shared" si="78"/>
        <v>0.17533062540799782</v>
      </c>
      <c r="F2166" s="2" t="s">
        <v>822</v>
      </c>
      <c r="G2166" s="23" t="s">
        <v>902</v>
      </c>
      <c r="H2166" s="2" t="s">
        <v>822</v>
      </c>
      <c r="J2166" s="31">
        <v>41.543998700000003</v>
      </c>
      <c r="K2166" s="31">
        <v>2.5080499999999999</v>
      </c>
      <c r="L2166" s="31"/>
      <c r="M2166" s="31" t="s">
        <v>854</v>
      </c>
      <c r="N2166" s="6" t="s">
        <v>856</v>
      </c>
    </row>
    <row r="2167" spans="1:14" ht="15" customHeight="1" x14ac:dyDescent="0.2">
      <c r="A2167" s="31">
        <v>0.89442420848468074</v>
      </c>
      <c r="B2167" s="31"/>
      <c r="C2167" s="2" t="s">
        <v>855</v>
      </c>
      <c r="D2167" s="31">
        <f t="shared" si="78"/>
        <v>0.17530714486299742</v>
      </c>
      <c r="F2167" s="2" t="s">
        <v>822</v>
      </c>
      <c r="G2167" s="23" t="s">
        <v>902</v>
      </c>
      <c r="H2167" s="2" t="s">
        <v>822</v>
      </c>
      <c r="J2167" s="31">
        <v>40.746799500000002</v>
      </c>
      <c r="K2167" s="31">
        <v>-16.5027008</v>
      </c>
      <c r="L2167" s="31"/>
      <c r="M2167" s="31" t="s">
        <v>854</v>
      </c>
      <c r="N2167" s="6" t="s">
        <v>856</v>
      </c>
    </row>
    <row r="2168" spans="1:14" ht="15" customHeight="1" x14ac:dyDescent="0.2">
      <c r="A2168" s="31">
        <v>0.89434672720664588</v>
      </c>
      <c r="B2168" s="31"/>
      <c r="C2168" s="2" t="s">
        <v>855</v>
      </c>
      <c r="D2168" s="31">
        <f t="shared" si="78"/>
        <v>0.1752919585325026</v>
      </c>
      <c r="F2168" s="2" t="s">
        <v>822</v>
      </c>
      <c r="G2168" s="23" t="s">
        <v>902</v>
      </c>
      <c r="H2168" s="2" t="s">
        <v>822</v>
      </c>
      <c r="J2168" s="31">
        <v>35.729698200000001</v>
      </c>
      <c r="K2168" s="31">
        <v>31.926500300000001</v>
      </c>
      <c r="L2168" s="31"/>
      <c r="M2168" s="31" t="s">
        <v>854</v>
      </c>
      <c r="N2168" s="6" t="s">
        <v>856</v>
      </c>
    </row>
    <row r="2169" spans="1:14" ht="15" customHeight="1" x14ac:dyDescent="0.2">
      <c r="A2169" s="31">
        <v>0.89421452525169154</v>
      </c>
      <c r="B2169" s="31"/>
      <c r="C2169" s="2" t="s">
        <v>855</v>
      </c>
      <c r="D2169" s="31">
        <f t="shared" si="78"/>
        <v>0.17526604694933154</v>
      </c>
      <c r="F2169" s="2" t="s">
        <v>822</v>
      </c>
      <c r="G2169" s="23" t="s">
        <v>902</v>
      </c>
      <c r="H2169" s="2" t="s">
        <v>822</v>
      </c>
      <c r="J2169" s="31">
        <v>36.6493988</v>
      </c>
      <c r="K2169" s="31">
        <v>5.3009500999999997</v>
      </c>
      <c r="L2169" s="31"/>
      <c r="M2169" s="31" t="s">
        <v>854</v>
      </c>
      <c r="N2169" s="6" t="s">
        <v>856</v>
      </c>
    </row>
    <row r="2170" spans="1:14" ht="15" customHeight="1" x14ac:dyDescent="0.2">
      <c r="A2170" s="31">
        <v>0.89401444298303268</v>
      </c>
      <c r="B2170" s="31"/>
      <c r="C2170" s="2" t="s">
        <v>855</v>
      </c>
      <c r="D2170" s="31">
        <f t="shared" si="78"/>
        <v>0.17522683082467441</v>
      </c>
      <c r="F2170" s="2" t="s">
        <v>822</v>
      </c>
      <c r="G2170" s="23" t="s">
        <v>902</v>
      </c>
      <c r="H2170" s="2" t="s">
        <v>822</v>
      </c>
      <c r="J2170" s="31">
        <v>44.0984993</v>
      </c>
      <c r="K2170" s="31">
        <v>13.1055002</v>
      </c>
      <c r="L2170" s="31"/>
      <c r="M2170" s="31" t="s">
        <v>854</v>
      </c>
      <c r="N2170" s="6" t="s">
        <v>856</v>
      </c>
    </row>
    <row r="2171" spans="1:14" ht="15" customHeight="1" x14ac:dyDescent="0.2">
      <c r="A2171" s="31">
        <v>0.89398442044827675</v>
      </c>
      <c r="B2171" s="31"/>
      <c r="C2171" s="2" t="s">
        <v>855</v>
      </c>
      <c r="D2171" s="31">
        <f t="shared" si="78"/>
        <v>0.17522094640786226</v>
      </c>
      <c r="F2171" s="2" t="s">
        <v>822</v>
      </c>
      <c r="G2171" s="23" t="s">
        <v>902</v>
      </c>
      <c r="H2171" s="2" t="s">
        <v>822</v>
      </c>
      <c r="J2171" s="31">
        <v>40.019500700000002</v>
      </c>
      <c r="K2171" s="31">
        <v>-29.367999999999999</v>
      </c>
      <c r="L2171" s="31"/>
      <c r="M2171" s="31" t="s">
        <v>854</v>
      </c>
      <c r="N2171" s="6" t="s">
        <v>856</v>
      </c>
    </row>
    <row r="2172" spans="1:14" ht="15" customHeight="1" x14ac:dyDescent="0.2">
      <c r="A2172" s="31">
        <v>0.8937426729132667</v>
      </c>
      <c r="B2172" s="31"/>
      <c r="C2172" s="2" t="s">
        <v>855</v>
      </c>
      <c r="D2172" s="31">
        <f t="shared" si="78"/>
        <v>0.17517356389100028</v>
      </c>
      <c r="F2172" s="2" t="s">
        <v>822</v>
      </c>
      <c r="G2172" s="23" t="s">
        <v>902</v>
      </c>
      <c r="H2172" s="2" t="s">
        <v>822</v>
      </c>
      <c r="J2172" s="31">
        <v>34.779201499999999</v>
      </c>
      <c r="K2172" s="31">
        <v>22.281799299999999</v>
      </c>
      <c r="L2172" s="31"/>
      <c r="M2172" s="31" t="s">
        <v>854</v>
      </c>
      <c r="N2172" s="6" t="s">
        <v>856</v>
      </c>
    </row>
    <row r="2173" spans="1:14" ht="15" customHeight="1" x14ac:dyDescent="0.2">
      <c r="A2173" s="31">
        <v>0.8934912725951889</v>
      </c>
      <c r="B2173" s="31"/>
      <c r="C2173" s="2" t="s">
        <v>855</v>
      </c>
      <c r="D2173" s="31">
        <f t="shared" si="78"/>
        <v>0.17512428942865704</v>
      </c>
      <c r="F2173" s="2" t="s">
        <v>822</v>
      </c>
      <c r="G2173" s="23" t="s">
        <v>902</v>
      </c>
      <c r="H2173" s="2" t="s">
        <v>822</v>
      </c>
      <c r="J2173" s="31">
        <v>40.402599299999999</v>
      </c>
      <c r="K2173" s="31">
        <v>18.395299900000001</v>
      </c>
      <c r="L2173" s="31"/>
      <c r="M2173" s="31" t="s">
        <v>854</v>
      </c>
      <c r="N2173" s="6" t="s">
        <v>856</v>
      </c>
    </row>
    <row r="2174" spans="1:14" ht="15" customHeight="1" x14ac:dyDescent="0.2">
      <c r="A2174" s="31">
        <v>0.89347025410828762</v>
      </c>
      <c r="B2174" s="31"/>
      <c r="C2174" s="2" t="s">
        <v>855</v>
      </c>
      <c r="D2174" s="31">
        <f t="shared" si="78"/>
        <v>0.17512016980522438</v>
      </c>
      <c r="F2174" s="2" t="s">
        <v>822</v>
      </c>
      <c r="G2174" s="23" t="s">
        <v>902</v>
      </c>
      <c r="H2174" s="2" t="s">
        <v>822</v>
      </c>
      <c r="J2174" s="31">
        <v>30.2635994</v>
      </c>
      <c r="K2174" s="31">
        <v>-10.626000400000001</v>
      </c>
      <c r="L2174" s="31"/>
      <c r="M2174" s="31" t="s">
        <v>854</v>
      </c>
      <c r="N2174" s="6" t="s">
        <v>856</v>
      </c>
    </row>
    <row r="2175" spans="1:14" ht="15" customHeight="1" x14ac:dyDescent="0.2">
      <c r="A2175" s="31">
        <v>0.89304505091259101</v>
      </c>
      <c r="B2175" s="31"/>
      <c r="C2175" s="2" t="s">
        <v>855</v>
      </c>
      <c r="D2175" s="31">
        <f t="shared" si="78"/>
        <v>0.17503682997886785</v>
      </c>
      <c r="F2175" s="2" t="s">
        <v>822</v>
      </c>
      <c r="G2175" s="23" t="s">
        <v>902</v>
      </c>
      <c r="H2175" s="2" t="s">
        <v>822</v>
      </c>
      <c r="J2175" s="31">
        <v>55.1924019</v>
      </c>
      <c r="K2175" s="31">
        <v>20.7947998</v>
      </c>
      <c r="L2175" s="31"/>
      <c r="M2175" s="31" t="s">
        <v>854</v>
      </c>
      <c r="N2175" s="6" t="s">
        <v>856</v>
      </c>
    </row>
    <row r="2176" spans="1:14" ht="15" customHeight="1" x14ac:dyDescent="0.2">
      <c r="A2176" s="31">
        <v>0.8927054094670851</v>
      </c>
      <c r="B2176" s="31"/>
      <c r="C2176" s="2" t="s">
        <v>855</v>
      </c>
      <c r="D2176" s="31">
        <f t="shared" si="78"/>
        <v>0.17497026025554868</v>
      </c>
      <c r="F2176" s="2" t="s">
        <v>822</v>
      </c>
      <c r="G2176" s="23" t="s">
        <v>902</v>
      </c>
      <c r="H2176" s="2" t="s">
        <v>822</v>
      </c>
      <c r="J2176" s="31">
        <v>50.062801399999998</v>
      </c>
      <c r="K2176" s="31">
        <v>-5.2802100000000003</v>
      </c>
      <c r="L2176" s="31"/>
      <c r="M2176" s="31" t="s">
        <v>854</v>
      </c>
      <c r="N2176" s="6" t="s">
        <v>856</v>
      </c>
    </row>
    <row r="2177" spans="1:14" ht="15" customHeight="1" x14ac:dyDescent="0.2">
      <c r="A2177" s="31">
        <v>0.89268162811377416</v>
      </c>
      <c r="B2177" s="31"/>
      <c r="C2177" s="2" t="s">
        <v>855</v>
      </c>
      <c r="D2177" s="31">
        <f t="shared" si="78"/>
        <v>0.17496559911029974</v>
      </c>
      <c r="F2177" s="2" t="s">
        <v>822</v>
      </c>
      <c r="G2177" s="23" t="s">
        <v>902</v>
      </c>
      <c r="H2177" s="2" t="s">
        <v>822</v>
      </c>
      <c r="J2177" s="31">
        <v>37.481899300000002</v>
      </c>
      <c r="K2177" s="31">
        <v>6.8646897999999998</v>
      </c>
      <c r="L2177" s="31"/>
      <c r="M2177" s="31" t="s">
        <v>854</v>
      </c>
      <c r="N2177" s="6" t="s">
        <v>856</v>
      </c>
    </row>
    <row r="2178" spans="1:14" ht="15" customHeight="1" x14ac:dyDescent="0.2">
      <c r="A2178" s="31">
        <v>0.89267240072640008</v>
      </c>
      <c r="B2178" s="31"/>
      <c r="C2178" s="2" t="s">
        <v>855</v>
      </c>
      <c r="D2178" s="31">
        <f t="shared" ref="D2178:D2209" si="79" xml:space="preserve"> A2178 * 0.196</f>
        <v>0.17496379054237443</v>
      </c>
      <c r="F2178" s="2" t="s">
        <v>822</v>
      </c>
      <c r="G2178" s="23" t="s">
        <v>902</v>
      </c>
      <c r="H2178" s="2" t="s">
        <v>822</v>
      </c>
      <c r="J2178" s="31">
        <v>40.736000099999998</v>
      </c>
      <c r="K2178" s="31">
        <v>-20.516000699999999</v>
      </c>
      <c r="L2178" s="31"/>
      <c r="M2178" s="31" t="s">
        <v>854</v>
      </c>
      <c r="N2178" s="6" t="s">
        <v>856</v>
      </c>
    </row>
    <row r="2179" spans="1:14" ht="15" customHeight="1" x14ac:dyDescent="0.2">
      <c r="A2179" s="31">
        <v>0.89259562427311978</v>
      </c>
      <c r="B2179" s="31"/>
      <c r="C2179" s="2" t="s">
        <v>855</v>
      </c>
      <c r="D2179" s="31">
        <f t="shared" si="79"/>
        <v>0.17494874235753149</v>
      </c>
      <c r="F2179" s="2" t="s">
        <v>822</v>
      </c>
      <c r="G2179" s="23" t="s">
        <v>902</v>
      </c>
      <c r="H2179" s="2" t="s">
        <v>822</v>
      </c>
      <c r="J2179" s="31">
        <v>55.248600000000003</v>
      </c>
      <c r="K2179" s="31">
        <v>12.7672005</v>
      </c>
      <c r="L2179" s="31"/>
      <c r="M2179" s="31" t="s">
        <v>854</v>
      </c>
      <c r="N2179" s="6" t="s">
        <v>856</v>
      </c>
    </row>
    <row r="2180" spans="1:14" ht="15" customHeight="1" x14ac:dyDescent="0.2">
      <c r="A2180" s="31">
        <v>0.89249120908395019</v>
      </c>
      <c r="B2180" s="31"/>
      <c r="C2180" s="2" t="s">
        <v>855</v>
      </c>
      <c r="D2180" s="31">
        <f t="shared" si="79"/>
        <v>0.17492827698045424</v>
      </c>
      <c r="F2180" s="2" t="s">
        <v>822</v>
      </c>
      <c r="G2180" s="23" t="s">
        <v>902</v>
      </c>
      <c r="H2180" s="2" t="s">
        <v>822</v>
      </c>
      <c r="J2180" s="31">
        <v>38.140300799999999</v>
      </c>
      <c r="K2180" s="31">
        <v>-33.857799499999999</v>
      </c>
      <c r="L2180" s="31"/>
      <c r="M2180" s="31" t="s">
        <v>854</v>
      </c>
      <c r="N2180" s="6" t="s">
        <v>856</v>
      </c>
    </row>
    <row r="2181" spans="1:14" ht="15" customHeight="1" x14ac:dyDescent="0.2">
      <c r="A2181" s="31">
        <v>0.89226437716767193</v>
      </c>
      <c r="B2181" s="31"/>
      <c r="C2181" s="2" t="s">
        <v>855</v>
      </c>
      <c r="D2181" s="31">
        <f t="shared" si="79"/>
        <v>0.17488381792486371</v>
      </c>
      <c r="F2181" s="2" t="s">
        <v>822</v>
      </c>
      <c r="G2181" s="23" t="s">
        <v>902</v>
      </c>
      <c r="H2181" s="2" t="s">
        <v>822</v>
      </c>
      <c r="J2181" s="31">
        <v>30.577299100000001</v>
      </c>
      <c r="K2181" s="31">
        <v>-10.8027</v>
      </c>
      <c r="L2181" s="31"/>
      <c r="M2181" s="31" t="s">
        <v>854</v>
      </c>
      <c r="N2181" s="6" t="s">
        <v>856</v>
      </c>
    </row>
    <row r="2182" spans="1:14" ht="15" customHeight="1" x14ac:dyDescent="0.2">
      <c r="A2182" s="31">
        <v>0.89210364459092661</v>
      </c>
      <c r="B2182" s="31"/>
      <c r="C2182" s="2" t="s">
        <v>855</v>
      </c>
      <c r="D2182" s="31">
        <f t="shared" si="79"/>
        <v>0.17485231433982162</v>
      </c>
      <c r="F2182" s="2" t="s">
        <v>822</v>
      </c>
      <c r="G2182" s="23" t="s">
        <v>902</v>
      </c>
      <c r="H2182" s="2" t="s">
        <v>822</v>
      </c>
      <c r="J2182" s="31">
        <v>32.514701799999997</v>
      </c>
      <c r="K2182" s="31">
        <v>-32.103801699999998</v>
      </c>
      <c r="L2182" s="31"/>
      <c r="M2182" s="31" t="s">
        <v>854</v>
      </c>
      <c r="N2182" s="6" t="s">
        <v>856</v>
      </c>
    </row>
    <row r="2183" spans="1:14" ht="15" customHeight="1" x14ac:dyDescent="0.2">
      <c r="A2183" s="31">
        <v>0.89199644193972705</v>
      </c>
      <c r="B2183" s="31"/>
      <c r="C2183" s="2" t="s">
        <v>855</v>
      </c>
      <c r="D2183" s="31">
        <f t="shared" si="79"/>
        <v>0.17483130262018651</v>
      </c>
      <c r="F2183" s="2" t="s">
        <v>822</v>
      </c>
      <c r="G2183" s="23" t="s">
        <v>902</v>
      </c>
      <c r="H2183" s="2" t="s">
        <v>822</v>
      </c>
      <c r="J2183" s="31">
        <v>38.971500399999996</v>
      </c>
      <c r="K2183" s="31">
        <v>23.670200300000001</v>
      </c>
      <c r="L2183" s="31"/>
      <c r="M2183" s="31" t="s">
        <v>854</v>
      </c>
      <c r="N2183" s="6" t="s">
        <v>856</v>
      </c>
    </row>
    <row r="2184" spans="1:14" ht="15" customHeight="1" x14ac:dyDescent="0.2">
      <c r="A2184" s="31">
        <v>0.89123928216988146</v>
      </c>
      <c r="B2184" s="31"/>
      <c r="C2184" s="2" t="s">
        <v>855</v>
      </c>
      <c r="D2184" s="31">
        <f t="shared" si="79"/>
        <v>0.17468289930529676</v>
      </c>
      <c r="F2184" s="2" t="s">
        <v>822</v>
      </c>
      <c r="G2184" s="23" t="s">
        <v>902</v>
      </c>
      <c r="H2184" s="2" t="s">
        <v>822</v>
      </c>
      <c r="J2184" s="31">
        <v>57.309501599999997</v>
      </c>
      <c r="K2184" s="31">
        <v>20.854600900000001</v>
      </c>
      <c r="L2184" s="31"/>
      <c r="M2184" s="31" t="s">
        <v>854</v>
      </c>
      <c r="N2184" s="6" t="s">
        <v>856</v>
      </c>
    </row>
    <row r="2185" spans="1:14" ht="15" customHeight="1" x14ac:dyDescent="0.2">
      <c r="A2185" s="31">
        <v>0.89086629631788095</v>
      </c>
      <c r="B2185" s="31"/>
      <c r="C2185" s="2" t="s">
        <v>855</v>
      </c>
      <c r="D2185" s="31">
        <f t="shared" si="79"/>
        <v>0.17460979407830468</v>
      </c>
      <c r="F2185" s="2" t="s">
        <v>822</v>
      </c>
      <c r="G2185" s="23" t="s">
        <v>902</v>
      </c>
      <c r="H2185" s="2" t="s">
        <v>822</v>
      </c>
      <c r="J2185" s="31">
        <v>39.722698200000004</v>
      </c>
      <c r="K2185" s="31">
        <v>2.5565099999999998</v>
      </c>
      <c r="L2185" s="31"/>
      <c r="M2185" s="31" t="s">
        <v>854</v>
      </c>
      <c r="N2185" s="6" t="s">
        <v>856</v>
      </c>
    </row>
    <row r="2186" spans="1:14" ht="15" customHeight="1" x14ac:dyDescent="0.2">
      <c r="A2186" s="31">
        <v>0.89073028371302598</v>
      </c>
      <c r="B2186" s="31"/>
      <c r="C2186" s="2" t="s">
        <v>855</v>
      </c>
      <c r="D2186" s="31">
        <f t="shared" si="79"/>
        <v>0.1745831356077531</v>
      </c>
      <c r="F2186" s="2" t="s">
        <v>822</v>
      </c>
      <c r="G2186" s="23" t="s">
        <v>902</v>
      </c>
      <c r="H2186" s="2" t="s">
        <v>822</v>
      </c>
      <c r="J2186" s="31">
        <v>36.206298799999999</v>
      </c>
      <c r="K2186" s="31">
        <v>35.1122017</v>
      </c>
      <c r="L2186" s="31"/>
      <c r="M2186" s="31" t="s">
        <v>854</v>
      </c>
      <c r="N2186" s="6" t="s">
        <v>856</v>
      </c>
    </row>
    <row r="2187" spans="1:14" ht="15" customHeight="1" x14ac:dyDescent="0.2">
      <c r="A2187" s="31">
        <v>0.89061675980665034</v>
      </c>
      <c r="B2187" s="31"/>
      <c r="C2187" s="2" t="s">
        <v>855</v>
      </c>
      <c r="D2187" s="31">
        <f t="shared" si="79"/>
        <v>0.17456088492210348</v>
      </c>
      <c r="F2187" s="2" t="s">
        <v>822</v>
      </c>
      <c r="G2187" s="23" t="s">
        <v>902</v>
      </c>
      <c r="H2187" s="2" t="s">
        <v>822</v>
      </c>
      <c r="J2187" s="31">
        <v>41.500499699999999</v>
      </c>
      <c r="K2187" s="31">
        <v>-37.782501199999999</v>
      </c>
      <c r="L2187" s="31"/>
      <c r="M2187" s="31" t="s">
        <v>854</v>
      </c>
      <c r="N2187" s="6" t="s">
        <v>856</v>
      </c>
    </row>
    <row r="2188" spans="1:14" ht="15" customHeight="1" x14ac:dyDescent="0.2">
      <c r="A2188" s="31">
        <v>0.8899477282634618</v>
      </c>
      <c r="B2188" s="31"/>
      <c r="C2188" s="2" t="s">
        <v>855</v>
      </c>
      <c r="D2188" s="31">
        <f t="shared" si="79"/>
        <v>0.17442975473963851</v>
      </c>
      <c r="F2188" s="2" t="s">
        <v>822</v>
      </c>
      <c r="G2188" s="23" t="s">
        <v>902</v>
      </c>
      <c r="H2188" s="2" t="s">
        <v>822</v>
      </c>
      <c r="J2188" s="31">
        <v>40.0680008</v>
      </c>
      <c r="K2188" s="31">
        <v>-37.883998900000002</v>
      </c>
      <c r="L2188" s="31"/>
      <c r="M2188" s="31" t="s">
        <v>854</v>
      </c>
      <c r="N2188" s="6" t="s">
        <v>856</v>
      </c>
    </row>
    <row r="2189" spans="1:14" ht="15" customHeight="1" x14ac:dyDescent="0.2">
      <c r="A2189" s="31">
        <v>0.88990594004606771</v>
      </c>
      <c r="B2189" s="31"/>
      <c r="C2189" s="2" t="s">
        <v>855</v>
      </c>
      <c r="D2189" s="31">
        <f t="shared" si="79"/>
        <v>0.17442156424902927</v>
      </c>
      <c r="F2189" s="2" t="s">
        <v>822</v>
      </c>
      <c r="G2189" s="23" t="s">
        <v>902</v>
      </c>
      <c r="H2189" s="2" t="s">
        <v>822</v>
      </c>
      <c r="J2189" s="31">
        <v>45.474800100000003</v>
      </c>
      <c r="K2189" s="31">
        <v>-8.5424203999999992</v>
      </c>
      <c r="L2189" s="31"/>
      <c r="M2189" s="31" t="s">
        <v>854</v>
      </c>
      <c r="N2189" s="6" t="s">
        <v>856</v>
      </c>
    </row>
    <row r="2190" spans="1:14" ht="15" customHeight="1" x14ac:dyDescent="0.2">
      <c r="A2190" s="31">
        <v>0.8896443742974951</v>
      </c>
      <c r="B2190" s="31"/>
      <c r="C2190" s="2" t="s">
        <v>855</v>
      </c>
      <c r="D2190" s="31">
        <f t="shared" si="79"/>
        <v>0.17437029736230905</v>
      </c>
      <c r="F2190" s="2" t="s">
        <v>822</v>
      </c>
      <c r="G2190" s="23" t="s">
        <v>902</v>
      </c>
      <c r="H2190" s="2" t="s">
        <v>822</v>
      </c>
      <c r="J2190" s="31">
        <v>32.051998099999999</v>
      </c>
      <c r="K2190" s="31">
        <v>-38.551998099999999</v>
      </c>
      <c r="L2190" s="31"/>
      <c r="M2190" s="31" t="s">
        <v>854</v>
      </c>
      <c r="N2190" s="6" t="s">
        <v>856</v>
      </c>
    </row>
    <row r="2191" spans="1:14" ht="15" customHeight="1" x14ac:dyDescent="0.2">
      <c r="A2191" s="31">
        <v>0.8894863407067426</v>
      </c>
      <c r="B2191" s="31"/>
      <c r="C2191" s="2" t="s">
        <v>855</v>
      </c>
      <c r="D2191" s="31">
        <f t="shared" si="79"/>
        <v>0.17433932277852154</v>
      </c>
      <c r="F2191" s="2" t="s">
        <v>822</v>
      </c>
      <c r="G2191" s="23" t="s">
        <v>902</v>
      </c>
      <c r="H2191" s="2" t="s">
        <v>822</v>
      </c>
      <c r="J2191" s="31">
        <v>33.7372017</v>
      </c>
      <c r="K2191" s="31">
        <v>31.202899899999998</v>
      </c>
      <c r="L2191" s="31"/>
      <c r="M2191" s="31" t="s">
        <v>854</v>
      </c>
      <c r="N2191" s="6" t="s">
        <v>856</v>
      </c>
    </row>
    <row r="2192" spans="1:14" ht="15" customHeight="1" x14ac:dyDescent="0.2">
      <c r="A2192" s="31">
        <v>0.88948130302899842</v>
      </c>
      <c r="B2192" s="31"/>
      <c r="C2192" s="2" t="s">
        <v>855</v>
      </c>
      <c r="D2192" s="31">
        <f t="shared" si="79"/>
        <v>0.17433833539368371</v>
      </c>
      <c r="F2192" s="2" t="s">
        <v>822</v>
      </c>
      <c r="G2192" s="23" t="s">
        <v>902</v>
      </c>
      <c r="H2192" s="2" t="s">
        <v>822</v>
      </c>
      <c r="J2192" s="31">
        <v>42.813899999999997</v>
      </c>
      <c r="K2192" s="31">
        <v>-16.471200899999999</v>
      </c>
      <c r="L2192" s="31"/>
      <c r="M2192" s="31" t="s">
        <v>854</v>
      </c>
      <c r="N2192" s="6" t="s">
        <v>856</v>
      </c>
    </row>
    <row r="2193" spans="1:14" ht="15" customHeight="1" x14ac:dyDescent="0.2">
      <c r="A2193" s="31">
        <v>0.88932976915501583</v>
      </c>
      <c r="B2193" s="31"/>
      <c r="C2193" s="2" t="s">
        <v>855</v>
      </c>
      <c r="D2193" s="31">
        <f t="shared" si="79"/>
        <v>0.1743086347543831</v>
      </c>
      <c r="F2193" s="2" t="s">
        <v>822</v>
      </c>
      <c r="G2193" s="23" t="s">
        <v>902</v>
      </c>
      <c r="H2193" s="2" t="s">
        <v>822</v>
      </c>
      <c r="J2193" s="31">
        <v>38.7616005</v>
      </c>
      <c r="K2193" s="31">
        <v>-24.499700499999999</v>
      </c>
      <c r="L2193" s="31"/>
      <c r="M2193" s="31" t="s">
        <v>854</v>
      </c>
      <c r="N2193" s="6" t="s">
        <v>856</v>
      </c>
    </row>
    <row r="2194" spans="1:14" ht="15" customHeight="1" x14ac:dyDescent="0.2">
      <c r="A2194" s="31">
        <v>0.88912152645162335</v>
      </c>
      <c r="B2194" s="31"/>
      <c r="C2194" s="2" t="s">
        <v>855</v>
      </c>
      <c r="D2194" s="31">
        <f t="shared" si="79"/>
        <v>0.17426781918451817</v>
      </c>
      <c r="F2194" s="2" t="s">
        <v>822</v>
      </c>
      <c r="G2194" s="23" t="s">
        <v>902</v>
      </c>
      <c r="H2194" s="2" t="s">
        <v>822</v>
      </c>
      <c r="J2194" s="31">
        <v>27.375999499999999</v>
      </c>
      <c r="K2194" s="31">
        <v>-33.875999499999999</v>
      </c>
      <c r="L2194" s="31"/>
      <c r="M2194" s="31" t="s">
        <v>854</v>
      </c>
      <c r="N2194" s="6" t="s">
        <v>856</v>
      </c>
    </row>
    <row r="2195" spans="1:14" ht="15" customHeight="1" x14ac:dyDescent="0.2">
      <c r="A2195" s="31">
        <v>0.88911022516800964</v>
      </c>
      <c r="B2195" s="31"/>
      <c r="C2195" s="2" t="s">
        <v>855</v>
      </c>
      <c r="D2195" s="31">
        <f t="shared" si="79"/>
        <v>0.17426560413292991</v>
      </c>
      <c r="F2195" s="2" t="s">
        <v>822</v>
      </c>
      <c r="G2195" s="23" t="s">
        <v>902</v>
      </c>
      <c r="H2195" s="2" t="s">
        <v>822</v>
      </c>
      <c r="J2195" s="31">
        <v>43.457099900000003</v>
      </c>
      <c r="K2195" s="31">
        <v>-2.4446199000000002</v>
      </c>
      <c r="L2195" s="31"/>
      <c r="M2195" s="31" t="s">
        <v>854</v>
      </c>
      <c r="N2195" s="6" t="s">
        <v>856</v>
      </c>
    </row>
    <row r="2196" spans="1:14" ht="15" customHeight="1" x14ac:dyDescent="0.2">
      <c r="A2196" s="31">
        <v>0.88908277482759823</v>
      </c>
      <c r="B2196" s="31"/>
      <c r="C2196" s="2" t="s">
        <v>855</v>
      </c>
      <c r="D2196" s="31">
        <f t="shared" si="79"/>
        <v>0.17426022386620926</v>
      </c>
      <c r="F2196" s="2" t="s">
        <v>822</v>
      </c>
      <c r="G2196" s="23" t="s">
        <v>902</v>
      </c>
      <c r="H2196" s="2" t="s">
        <v>822</v>
      </c>
      <c r="J2196" s="31">
        <v>34.698299400000003</v>
      </c>
      <c r="K2196" s="31">
        <v>29.5730991</v>
      </c>
      <c r="L2196" s="31"/>
      <c r="M2196" s="31" t="s">
        <v>854</v>
      </c>
      <c r="N2196" s="6" t="s">
        <v>856</v>
      </c>
    </row>
    <row r="2197" spans="1:14" ht="15" customHeight="1" x14ac:dyDescent="0.2">
      <c r="A2197" s="31">
        <v>0.88879275278532732</v>
      </c>
      <c r="B2197" s="31"/>
      <c r="C2197" s="2" t="s">
        <v>855</v>
      </c>
      <c r="D2197" s="31">
        <f t="shared" si="79"/>
        <v>0.17420337954592416</v>
      </c>
      <c r="F2197" s="2" t="s">
        <v>822</v>
      </c>
      <c r="G2197" s="23" t="s">
        <v>902</v>
      </c>
      <c r="H2197" s="2" t="s">
        <v>822</v>
      </c>
      <c r="J2197" s="31">
        <v>54.381500199999998</v>
      </c>
      <c r="K2197" s="31">
        <v>13.5377998</v>
      </c>
      <c r="L2197" s="31"/>
      <c r="M2197" s="31" t="s">
        <v>854</v>
      </c>
      <c r="N2197" s="6" t="s">
        <v>856</v>
      </c>
    </row>
    <row r="2198" spans="1:14" ht="15" customHeight="1" x14ac:dyDescent="0.2">
      <c r="A2198" s="31">
        <v>0.88859438564050974</v>
      </c>
      <c r="B2198" s="31"/>
      <c r="C2198" s="2" t="s">
        <v>855</v>
      </c>
      <c r="D2198" s="31">
        <f t="shared" si="79"/>
        <v>0.17416449958553992</v>
      </c>
      <c r="F2198" s="2" t="s">
        <v>822</v>
      </c>
      <c r="G2198" s="23" t="s">
        <v>902</v>
      </c>
      <c r="H2198" s="2" t="s">
        <v>822</v>
      </c>
      <c r="J2198" s="31">
        <v>40.436100000000003</v>
      </c>
      <c r="K2198" s="31">
        <v>-37.942600300000002</v>
      </c>
      <c r="L2198" s="31"/>
      <c r="M2198" s="31" t="s">
        <v>854</v>
      </c>
      <c r="N2198" s="6" t="s">
        <v>856</v>
      </c>
    </row>
    <row r="2199" spans="1:14" ht="15" customHeight="1" x14ac:dyDescent="0.2">
      <c r="A2199" s="31">
        <v>0.88834936735974157</v>
      </c>
      <c r="B2199" s="31"/>
      <c r="C2199" s="2" t="s">
        <v>855</v>
      </c>
      <c r="D2199" s="31">
        <f t="shared" si="79"/>
        <v>0.17411647600250935</v>
      </c>
      <c r="F2199" s="2" t="s">
        <v>822</v>
      </c>
      <c r="G2199" s="23" t="s">
        <v>902</v>
      </c>
      <c r="H2199" s="2" t="s">
        <v>822</v>
      </c>
      <c r="J2199" s="31">
        <v>44.292400399999998</v>
      </c>
      <c r="K2199" s="31">
        <v>-5.1588000999999997</v>
      </c>
      <c r="L2199" s="31"/>
      <c r="M2199" s="31" t="s">
        <v>854</v>
      </c>
      <c r="N2199" s="6" t="s">
        <v>856</v>
      </c>
    </row>
    <row r="2200" spans="1:14" ht="15" customHeight="1" x14ac:dyDescent="0.2">
      <c r="A2200" s="31">
        <v>0.88819733849709503</v>
      </c>
      <c r="B2200" s="31"/>
      <c r="C2200" s="2" t="s">
        <v>855</v>
      </c>
      <c r="D2200" s="31">
        <f t="shared" si="79"/>
        <v>0.17408667834543062</v>
      </c>
      <c r="F2200" s="2" t="s">
        <v>822</v>
      </c>
      <c r="G2200" s="23" t="s">
        <v>902</v>
      </c>
      <c r="H2200" s="2" t="s">
        <v>822</v>
      </c>
      <c r="J2200" s="31">
        <v>38.5901985</v>
      </c>
      <c r="K2200" s="31">
        <v>-25.194200500000001</v>
      </c>
      <c r="L2200" s="31"/>
      <c r="M2200" s="31" t="s">
        <v>854</v>
      </c>
      <c r="N2200" s="6" t="s">
        <v>856</v>
      </c>
    </row>
    <row r="2201" spans="1:14" ht="15" customHeight="1" x14ac:dyDescent="0.2">
      <c r="A2201" s="31">
        <v>0.88786673820828388</v>
      </c>
      <c r="B2201" s="31"/>
      <c r="C2201" s="2" t="s">
        <v>855</v>
      </c>
      <c r="D2201" s="31">
        <f t="shared" si="79"/>
        <v>0.17402188068882365</v>
      </c>
      <c r="F2201" s="2" t="s">
        <v>822</v>
      </c>
      <c r="G2201" s="23" t="s">
        <v>902</v>
      </c>
      <c r="H2201" s="2" t="s">
        <v>822</v>
      </c>
      <c r="J2201" s="31">
        <v>36.047100100000002</v>
      </c>
      <c r="K2201" s="31">
        <v>-35.895599400000002</v>
      </c>
      <c r="L2201" s="31"/>
      <c r="M2201" s="31" t="s">
        <v>854</v>
      </c>
      <c r="N2201" s="6" t="s">
        <v>856</v>
      </c>
    </row>
    <row r="2202" spans="1:14" ht="15" customHeight="1" x14ac:dyDescent="0.2">
      <c r="A2202" s="31">
        <v>0.887667272105501</v>
      </c>
      <c r="B2202" s="31"/>
      <c r="C2202" s="2" t="s">
        <v>855</v>
      </c>
      <c r="D2202" s="31">
        <f t="shared" si="79"/>
        <v>0.17398278533267819</v>
      </c>
      <c r="F2202" s="2" t="s">
        <v>822</v>
      </c>
      <c r="G2202" s="23" t="s">
        <v>902</v>
      </c>
      <c r="H2202" s="2" t="s">
        <v>822</v>
      </c>
      <c r="J2202" s="31">
        <v>38.063499499999999</v>
      </c>
      <c r="K2202" s="31">
        <v>-11.164500200000001</v>
      </c>
      <c r="L2202" s="31"/>
      <c r="M2202" s="31" t="s">
        <v>854</v>
      </c>
      <c r="N2202" s="6" t="s">
        <v>856</v>
      </c>
    </row>
    <row r="2203" spans="1:14" ht="15" customHeight="1" x14ac:dyDescent="0.2">
      <c r="A2203" s="31">
        <v>0.88757483541886661</v>
      </c>
      <c r="B2203" s="31"/>
      <c r="C2203" s="2" t="s">
        <v>855</v>
      </c>
      <c r="D2203" s="31">
        <f t="shared" si="79"/>
        <v>0.17396466774209787</v>
      </c>
      <c r="F2203" s="2" t="s">
        <v>822</v>
      </c>
      <c r="G2203" s="23" t="s">
        <v>902</v>
      </c>
      <c r="H2203" s="2" t="s">
        <v>822</v>
      </c>
      <c r="J2203" s="31">
        <v>46.4104004</v>
      </c>
      <c r="K2203" s="31">
        <v>-11.026200299999999</v>
      </c>
      <c r="L2203" s="31"/>
      <c r="M2203" s="31" t="s">
        <v>854</v>
      </c>
      <c r="N2203" s="6" t="s">
        <v>856</v>
      </c>
    </row>
    <row r="2204" spans="1:14" ht="15" customHeight="1" x14ac:dyDescent="0.2">
      <c r="A2204" s="31">
        <v>0.88749013353690331</v>
      </c>
      <c r="B2204" s="31"/>
      <c r="C2204" s="2" t="s">
        <v>855</v>
      </c>
      <c r="D2204" s="31">
        <f t="shared" si="79"/>
        <v>0.17394806617323305</v>
      </c>
      <c r="F2204" s="2" t="s">
        <v>822</v>
      </c>
      <c r="G2204" s="23" t="s">
        <v>902</v>
      </c>
      <c r="H2204" s="2" t="s">
        <v>822</v>
      </c>
      <c r="J2204" s="31">
        <v>33.546199799999997</v>
      </c>
      <c r="K2204" s="31">
        <v>-28.158599899999999</v>
      </c>
      <c r="L2204" s="31"/>
      <c r="M2204" s="31" t="s">
        <v>854</v>
      </c>
      <c r="N2204" s="6" t="s">
        <v>856</v>
      </c>
    </row>
    <row r="2205" spans="1:14" ht="15" customHeight="1" x14ac:dyDescent="0.2">
      <c r="A2205" s="31">
        <v>0.88724133041378095</v>
      </c>
      <c r="B2205" s="31"/>
      <c r="C2205" s="2" t="s">
        <v>855</v>
      </c>
      <c r="D2205" s="31">
        <f t="shared" si="79"/>
        <v>0.17389930076110108</v>
      </c>
      <c r="F2205" s="2" t="s">
        <v>822</v>
      </c>
      <c r="G2205" s="23" t="s">
        <v>902</v>
      </c>
      <c r="H2205" s="2" t="s">
        <v>822</v>
      </c>
      <c r="J2205" s="31">
        <v>34.782100700000001</v>
      </c>
      <c r="K2205" s="31">
        <v>12.1690998</v>
      </c>
      <c r="L2205" s="31"/>
      <c r="M2205" s="31" t="s">
        <v>854</v>
      </c>
      <c r="N2205" s="6" t="s">
        <v>856</v>
      </c>
    </row>
    <row r="2206" spans="1:14" ht="15" customHeight="1" x14ac:dyDescent="0.2">
      <c r="A2206" s="31">
        <v>0.88719193330741342</v>
      </c>
      <c r="B2206" s="31"/>
      <c r="C2206" s="2" t="s">
        <v>855</v>
      </c>
      <c r="D2206" s="31">
        <f t="shared" si="79"/>
        <v>0.17388961892825303</v>
      </c>
      <c r="F2206" s="2" t="s">
        <v>822</v>
      </c>
      <c r="G2206" s="23" t="s">
        <v>902</v>
      </c>
      <c r="H2206" s="2" t="s">
        <v>822</v>
      </c>
      <c r="J2206" s="31">
        <v>39.143901800000002</v>
      </c>
      <c r="K2206" s="31">
        <v>9.1121596999999994</v>
      </c>
      <c r="L2206" s="31"/>
      <c r="M2206" s="31" t="s">
        <v>854</v>
      </c>
      <c r="N2206" s="6" t="s">
        <v>856</v>
      </c>
    </row>
    <row r="2207" spans="1:14" ht="15" customHeight="1" x14ac:dyDescent="0.2">
      <c r="A2207" s="31">
        <v>0.88698883047332933</v>
      </c>
      <c r="B2207" s="31"/>
      <c r="C2207" s="2" t="s">
        <v>855</v>
      </c>
      <c r="D2207" s="31">
        <f t="shared" si="79"/>
        <v>0.17384981077277256</v>
      </c>
      <c r="F2207" s="2" t="s">
        <v>822</v>
      </c>
      <c r="G2207" s="23" t="s">
        <v>902</v>
      </c>
      <c r="H2207" s="2" t="s">
        <v>822</v>
      </c>
      <c r="J2207" s="31">
        <v>41.265201599999997</v>
      </c>
      <c r="K2207" s="31">
        <v>-21.868499799999999</v>
      </c>
      <c r="L2207" s="31"/>
      <c r="M2207" s="31" t="s">
        <v>854</v>
      </c>
      <c r="N2207" s="6" t="s">
        <v>856</v>
      </c>
    </row>
    <row r="2208" spans="1:14" ht="15" customHeight="1" x14ac:dyDescent="0.2">
      <c r="A2208" s="31">
        <v>0.88694898803027711</v>
      </c>
      <c r="B2208" s="31"/>
      <c r="C2208" s="2" t="s">
        <v>855</v>
      </c>
      <c r="D2208" s="31">
        <f t="shared" si="79"/>
        <v>0.17384200165393432</v>
      </c>
      <c r="F2208" s="2" t="s">
        <v>822</v>
      </c>
      <c r="G2208" s="23" t="s">
        <v>902</v>
      </c>
      <c r="H2208" s="2" t="s">
        <v>822</v>
      </c>
      <c r="J2208" s="31">
        <v>34.513999900000002</v>
      </c>
      <c r="K2208" s="31">
        <v>-35.490200000000002</v>
      </c>
      <c r="L2208" s="31"/>
      <c r="M2208" s="31" t="s">
        <v>854</v>
      </c>
      <c r="N2208" s="6" t="s">
        <v>856</v>
      </c>
    </row>
    <row r="2209" spans="1:14" ht="15" customHeight="1" x14ac:dyDescent="0.2">
      <c r="A2209" s="31">
        <v>0.88616976037718354</v>
      </c>
      <c r="B2209" s="31"/>
      <c r="C2209" s="2" t="s">
        <v>855</v>
      </c>
      <c r="D2209" s="31">
        <f t="shared" si="79"/>
        <v>0.17368927303392798</v>
      </c>
      <c r="F2209" s="2" t="s">
        <v>822</v>
      </c>
      <c r="G2209" s="23" t="s">
        <v>902</v>
      </c>
      <c r="H2209" s="2" t="s">
        <v>822</v>
      </c>
      <c r="J2209" s="31">
        <v>34.723998999999999</v>
      </c>
      <c r="K2209" s="31">
        <v>-19.847999600000001</v>
      </c>
      <c r="L2209" s="31"/>
      <c r="M2209" s="31" t="s">
        <v>854</v>
      </c>
      <c r="N2209" s="6" t="s">
        <v>856</v>
      </c>
    </row>
    <row r="2210" spans="1:14" ht="15" customHeight="1" x14ac:dyDescent="0.2">
      <c r="A2210" s="31">
        <v>0.88566422417865587</v>
      </c>
      <c r="B2210" s="31"/>
      <c r="C2210" s="2" t="s">
        <v>855</v>
      </c>
      <c r="D2210" s="31">
        <f t="shared" ref="D2210:D2236" si="80" xml:space="preserve"> A2210 * 0.196</f>
        <v>0.17359018793901657</v>
      </c>
      <c r="F2210" s="2" t="s">
        <v>822</v>
      </c>
      <c r="G2210" s="23" t="s">
        <v>902</v>
      </c>
      <c r="H2210" s="2" t="s">
        <v>822</v>
      </c>
      <c r="J2210" s="31">
        <v>27.375999499999999</v>
      </c>
      <c r="K2210" s="31">
        <v>-41.223998999999999</v>
      </c>
      <c r="L2210" s="31"/>
      <c r="M2210" s="31" t="s">
        <v>854</v>
      </c>
      <c r="N2210" s="6" t="s">
        <v>856</v>
      </c>
    </row>
    <row r="2211" spans="1:14" ht="15" customHeight="1" x14ac:dyDescent="0.2">
      <c r="A2211" s="31">
        <v>0.88565633658732812</v>
      </c>
      <c r="B2211" s="31"/>
      <c r="C2211" s="2" t="s">
        <v>855</v>
      </c>
      <c r="D2211" s="31">
        <f t="shared" si="80"/>
        <v>0.17358864197111631</v>
      </c>
      <c r="F2211" s="2" t="s">
        <v>822</v>
      </c>
      <c r="G2211" s="23" t="s">
        <v>902</v>
      </c>
      <c r="H2211" s="2" t="s">
        <v>822</v>
      </c>
      <c r="J2211" s="31">
        <v>29.3799992</v>
      </c>
      <c r="K2211" s="31">
        <v>-33.208000200000001</v>
      </c>
      <c r="L2211" s="31"/>
      <c r="M2211" s="31" t="s">
        <v>854</v>
      </c>
      <c r="N2211" s="6" t="s">
        <v>856</v>
      </c>
    </row>
    <row r="2212" spans="1:14" ht="15" customHeight="1" x14ac:dyDescent="0.2">
      <c r="A2212" s="31">
        <v>0.88539225473492467</v>
      </c>
      <c r="B2212" s="31"/>
      <c r="C2212" s="2" t="s">
        <v>855</v>
      </c>
      <c r="D2212" s="31">
        <f t="shared" si="80"/>
        <v>0.17353688192804523</v>
      </c>
      <c r="F2212" s="2" t="s">
        <v>822</v>
      </c>
      <c r="G2212" s="23" t="s">
        <v>902</v>
      </c>
      <c r="H2212" s="2" t="s">
        <v>822</v>
      </c>
      <c r="J2212" s="31">
        <v>33.7942009</v>
      </c>
      <c r="K2212" s="31">
        <v>32.105098699999999</v>
      </c>
      <c r="L2212" s="31"/>
      <c r="M2212" s="31" t="s">
        <v>854</v>
      </c>
      <c r="N2212" s="6" t="s">
        <v>856</v>
      </c>
    </row>
    <row r="2213" spans="1:14" ht="15" customHeight="1" x14ac:dyDescent="0.2">
      <c r="A2213" s="31">
        <v>0.88517602951054808</v>
      </c>
      <c r="B2213" s="31"/>
      <c r="C2213" s="2" t="s">
        <v>855</v>
      </c>
      <c r="D2213" s="31">
        <f t="shared" si="80"/>
        <v>0.17349450178406742</v>
      </c>
      <c r="F2213" s="2" t="s">
        <v>822</v>
      </c>
      <c r="G2213" s="23" t="s">
        <v>902</v>
      </c>
      <c r="H2213" s="2" t="s">
        <v>822</v>
      </c>
      <c r="J2213" s="31">
        <v>47.507801100000002</v>
      </c>
      <c r="K2213" s="31">
        <v>-4.6543798000000001</v>
      </c>
      <c r="L2213" s="31"/>
      <c r="M2213" s="31" t="s">
        <v>854</v>
      </c>
      <c r="N2213" s="6" t="s">
        <v>856</v>
      </c>
    </row>
    <row r="2214" spans="1:14" ht="15" customHeight="1" x14ac:dyDescent="0.2">
      <c r="A2214" s="31">
        <v>0.88509535262636052</v>
      </c>
      <c r="B2214" s="31"/>
      <c r="C2214" s="2" t="s">
        <v>855</v>
      </c>
      <c r="D2214" s="31">
        <f t="shared" si="80"/>
        <v>0.17347868911476666</v>
      </c>
      <c r="F2214" s="2" t="s">
        <v>822</v>
      </c>
      <c r="G2214" s="23" t="s">
        <v>902</v>
      </c>
      <c r="H2214" s="2" t="s">
        <v>822</v>
      </c>
      <c r="J2214" s="31">
        <v>44.021900199999997</v>
      </c>
      <c r="K2214" s="31">
        <v>-13.436699900000001</v>
      </c>
      <c r="L2214" s="31"/>
      <c r="M2214" s="31" t="s">
        <v>854</v>
      </c>
      <c r="N2214" s="6" t="s">
        <v>856</v>
      </c>
    </row>
    <row r="2215" spans="1:14" ht="15" customHeight="1" x14ac:dyDescent="0.2">
      <c r="A2215" s="31">
        <v>0.88498351482206772</v>
      </c>
      <c r="B2215" s="31"/>
      <c r="C2215" s="2" t="s">
        <v>855</v>
      </c>
      <c r="D2215" s="31">
        <f t="shared" si="80"/>
        <v>0.17345676890512529</v>
      </c>
      <c r="F2215" s="2" t="s">
        <v>822</v>
      </c>
      <c r="G2215" s="23" t="s">
        <v>902</v>
      </c>
      <c r="H2215" s="2" t="s">
        <v>822</v>
      </c>
      <c r="J2215" s="31">
        <v>40.761901899999998</v>
      </c>
      <c r="K2215" s="31">
        <v>4.2823801000000001</v>
      </c>
      <c r="L2215" s="31"/>
      <c r="M2215" s="31" t="s">
        <v>854</v>
      </c>
      <c r="N2215" s="6" t="s">
        <v>856</v>
      </c>
    </row>
    <row r="2216" spans="1:14" ht="15" customHeight="1" x14ac:dyDescent="0.2">
      <c r="A2216" s="31">
        <v>0.88490258084907403</v>
      </c>
      <c r="B2216" s="31"/>
      <c r="C2216" s="2" t="s">
        <v>855</v>
      </c>
      <c r="D2216" s="31">
        <f t="shared" si="80"/>
        <v>0.17344090584641852</v>
      </c>
      <c r="F2216" s="2" t="s">
        <v>822</v>
      </c>
      <c r="G2216" s="23" t="s">
        <v>902</v>
      </c>
      <c r="H2216" s="2" t="s">
        <v>822</v>
      </c>
      <c r="J2216" s="31">
        <v>40.925800299999999</v>
      </c>
      <c r="K2216" s="31">
        <v>17.231899299999998</v>
      </c>
      <c r="L2216" s="31"/>
      <c r="M2216" s="31" t="s">
        <v>854</v>
      </c>
      <c r="N2216" s="6" t="s">
        <v>856</v>
      </c>
    </row>
    <row r="2217" spans="1:14" ht="15" customHeight="1" x14ac:dyDescent="0.2">
      <c r="A2217" s="31">
        <v>0.88490148128479518</v>
      </c>
      <c r="B2217" s="31"/>
      <c r="C2217" s="2" t="s">
        <v>855</v>
      </c>
      <c r="D2217" s="31">
        <f t="shared" si="80"/>
        <v>0.17344069033181986</v>
      </c>
      <c r="F2217" s="2" t="s">
        <v>822</v>
      </c>
      <c r="G2217" s="23" t="s">
        <v>902</v>
      </c>
      <c r="H2217" s="2" t="s">
        <v>822</v>
      </c>
      <c r="J2217" s="31">
        <v>40.520000500000002</v>
      </c>
      <c r="K2217" s="31">
        <v>12.2192001</v>
      </c>
      <c r="L2217" s="31"/>
      <c r="M2217" s="31" t="s">
        <v>854</v>
      </c>
      <c r="N2217" s="6" t="s">
        <v>856</v>
      </c>
    </row>
    <row r="2218" spans="1:14" ht="15" customHeight="1" x14ac:dyDescent="0.2">
      <c r="A2218" s="31">
        <v>0.88481503356609925</v>
      </c>
      <c r="B2218" s="31"/>
      <c r="C2218" s="2" t="s">
        <v>855</v>
      </c>
      <c r="D2218" s="31">
        <f t="shared" si="80"/>
        <v>0.17342374657895546</v>
      </c>
      <c r="F2218" s="2" t="s">
        <v>822</v>
      </c>
      <c r="G2218" s="23" t="s">
        <v>902</v>
      </c>
      <c r="H2218" s="2" t="s">
        <v>822</v>
      </c>
      <c r="J2218" s="31">
        <v>35.400199899999997</v>
      </c>
      <c r="K2218" s="31">
        <v>-10.812600099999999</v>
      </c>
      <c r="L2218" s="31"/>
      <c r="M2218" s="31" t="s">
        <v>854</v>
      </c>
      <c r="N2218" s="6" t="s">
        <v>856</v>
      </c>
    </row>
    <row r="2219" spans="1:14" ht="15" customHeight="1" x14ac:dyDescent="0.2">
      <c r="A2219" s="31">
        <v>0.88467530640948899</v>
      </c>
      <c r="B2219" s="31"/>
      <c r="C2219" s="2" t="s">
        <v>855</v>
      </c>
      <c r="D2219" s="31">
        <f t="shared" si="80"/>
        <v>0.17339636005625986</v>
      </c>
      <c r="F2219" s="2" t="s">
        <v>822</v>
      </c>
      <c r="G2219" s="23" t="s">
        <v>902</v>
      </c>
      <c r="H2219" s="2" t="s">
        <v>822</v>
      </c>
      <c r="J2219" s="31">
        <v>37.4972992</v>
      </c>
      <c r="K2219" s="31">
        <v>-10.572600400000001</v>
      </c>
      <c r="L2219" s="31"/>
      <c r="M2219" s="31" t="s">
        <v>854</v>
      </c>
      <c r="N2219" s="6" t="s">
        <v>856</v>
      </c>
    </row>
    <row r="2220" spans="1:14" ht="15" customHeight="1" x14ac:dyDescent="0.2">
      <c r="A2220" s="31">
        <v>0.88462475939837648</v>
      </c>
      <c r="B2220" s="31"/>
      <c r="C2220" s="2" t="s">
        <v>855</v>
      </c>
      <c r="D2220" s="31">
        <f t="shared" si="80"/>
        <v>0.17338645284208179</v>
      </c>
      <c r="F2220" s="2" t="s">
        <v>822</v>
      </c>
      <c r="G2220" s="23" t="s">
        <v>902</v>
      </c>
      <c r="H2220" s="2" t="s">
        <v>822</v>
      </c>
      <c r="J2220" s="31">
        <v>40.921699500000003</v>
      </c>
      <c r="K2220" s="31">
        <v>-30.3976994</v>
      </c>
      <c r="L2220" s="31"/>
      <c r="M2220" s="31" t="s">
        <v>854</v>
      </c>
      <c r="N2220" s="6" t="s">
        <v>856</v>
      </c>
    </row>
    <row r="2221" spans="1:14" ht="15" customHeight="1" x14ac:dyDescent="0.2">
      <c r="A2221" s="31">
        <v>0.88447434053898077</v>
      </c>
      <c r="B2221" s="31"/>
      <c r="C2221" s="2" t="s">
        <v>855</v>
      </c>
      <c r="D2221" s="31">
        <f t="shared" si="80"/>
        <v>0.17335697074564024</v>
      </c>
      <c r="F2221" s="2" t="s">
        <v>822</v>
      </c>
      <c r="G2221" s="23" t="s">
        <v>902</v>
      </c>
      <c r="H2221" s="2" t="s">
        <v>822</v>
      </c>
      <c r="J2221" s="31">
        <v>44.685100599999998</v>
      </c>
      <c r="K2221" s="31">
        <v>-9.1694697999999999</v>
      </c>
      <c r="L2221" s="31"/>
      <c r="M2221" s="31" t="s">
        <v>854</v>
      </c>
      <c r="N2221" s="6" t="s">
        <v>856</v>
      </c>
    </row>
    <row r="2222" spans="1:14" ht="15" customHeight="1" x14ac:dyDescent="0.2">
      <c r="A2222" s="31">
        <v>0.8840338735783998</v>
      </c>
      <c r="B2222" s="31"/>
      <c r="C2222" s="2" t="s">
        <v>855</v>
      </c>
      <c r="D2222" s="31">
        <f t="shared" si="80"/>
        <v>0.17327063922136637</v>
      </c>
      <c r="F2222" s="2" t="s">
        <v>822</v>
      </c>
      <c r="G2222" s="23" t="s">
        <v>902</v>
      </c>
      <c r="H2222" s="2" t="s">
        <v>822</v>
      </c>
      <c r="J2222" s="31">
        <v>42.071998600000001</v>
      </c>
      <c r="K2222" s="31">
        <v>-40.555999800000002</v>
      </c>
      <c r="L2222" s="31"/>
      <c r="M2222" s="31" t="s">
        <v>854</v>
      </c>
      <c r="N2222" s="6" t="s">
        <v>856</v>
      </c>
    </row>
    <row r="2223" spans="1:14" ht="15" customHeight="1" x14ac:dyDescent="0.2">
      <c r="A2223" s="31">
        <v>0.88375978058791482</v>
      </c>
      <c r="B2223" s="31"/>
      <c r="C2223" s="2" t="s">
        <v>855</v>
      </c>
      <c r="D2223" s="31">
        <f t="shared" si="80"/>
        <v>0.17321691699523131</v>
      </c>
      <c r="F2223" s="2" t="s">
        <v>822</v>
      </c>
      <c r="G2223" s="23" t="s">
        <v>902</v>
      </c>
      <c r="H2223" s="2" t="s">
        <v>822</v>
      </c>
      <c r="J2223" s="31">
        <v>43.5912018</v>
      </c>
      <c r="K2223" s="31">
        <v>-13.390999799999999</v>
      </c>
      <c r="L2223" s="31"/>
      <c r="M2223" s="31" t="s">
        <v>854</v>
      </c>
      <c r="N2223" s="6" t="s">
        <v>856</v>
      </c>
    </row>
    <row r="2224" spans="1:14" ht="15" customHeight="1" x14ac:dyDescent="0.2">
      <c r="A2224" s="31">
        <v>0.88375694697080109</v>
      </c>
      <c r="B2224" s="31"/>
      <c r="C2224" s="2" t="s">
        <v>855</v>
      </c>
      <c r="D2224" s="31">
        <f t="shared" si="80"/>
        <v>0.17321636160627701</v>
      </c>
      <c r="F2224" s="2" t="s">
        <v>822</v>
      </c>
      <c r="G2224" s="23" t="s">
        <v>902</v>
      </c>
      <c r="H2224" s="2" t="s">
        <v>822</v>
      </c>
      <c r="J2224" s="31">
        <v>41.033298500000001</v>
      </c>
      <c r="K2224" s="31">
        <v>-42.908298500000001</v>
      </c>
      <c r="L2224" s="31"/>
      <c r="M2224" s="31" t="s">
        <v>854</v>
      </c>
      <c r="N2224" s="6" t="s">
        <v>856</v>
      </c>
    </row>
    <row r="2225" spans="1:14" ht="15" customHeight="1" x14ac:dyDescent="0.2">
      <c r="A2225" s="31">
        <v>0.88352311895329849</v>
      </c>
      <c r="B2225" s="31"/>
      <c r="C2225" s="2" t="s">
        <v>855</v>
      </c>
      <c r="D2225" s="31">
        <f t="shared" si="80"/>
        <v>0.1731705313148465</v>
      </c>
      <c r="F2225" s="2" t="s">
        <v>822</v>
      </c>
      <c r="G2225" s="23" t="s">
        <v>902</v>
      </c>
      <c r="H2225" s="2" t="s">
        <v>822</v>
      </c>
      <c r="J2225" s="31">
        <v>40.085800200000001</v>
      </c>
      <c r="K2225" s="31">
        <v>-10.0783997</v>
      </c>
      <c r="L2225" s="31"/>
      <c r="M2225" s="31" t="s">
        <v>854</v>
      </c>
      <c r="N2225" s="6" t="s">
        <v>856</v>
      </c>
    </row>
    <row r="2226" spans="1:14" ht="15" customHeight="1" x14ac:dyDescent="0.2">
      <c r="A2226" s="31">
        <v>0.88349493571966786</v>
      </c>
      <c r="B2226" s="31"/>
      <c r="C2226" s="2" t="s">
        <v>855</v>
      </c>
      <c r="D2226" s="31">
        <f t="shared" si="80"/>
        <v>0.17316500740105492</v>
      </c>
      <c r="F2226" s="2" t="s">
        <v>822</v>
      </c>
      <c r="G2226" s="23" t="s">
        <v>902</v>
      </c>
      <c r="H2226" s="2" t="s">
        <v>822</v>
      </c>
      <c r="J2226" s="31">
        <v>42.071998600000001</v>
      </c>
      <c r="K2226" s="31">
        <v>-35.212001800000003</v>
      </c>
      <c r="L2226" s="31"/>
      <c r="M2226" s="31" t="s">
        <v>854</v>
      </c>
      <c r="N2226" s="6" t="s">
        <v>856</v>
      </c>
    </row>
    <row r="2227" spans="1:14" ht="15" customHeight="1" x14ac:dyDescent="0.2">
      <c r="A2227" s="31">
        <v>0.88341888846194971</v>
      </c>
      <c r="B2227" s="31"/>
      <c r="C2227" s="2" t="s">
        <v>855</v>
      </c>
      <c r="D2227" s="31">
        <f t="shared" si="80"/>
        <v>0.17315010213854215</v>
      </c>
      <c r="F2227" s="2" t="s">
        <v>822</v>
      </c>
      <c r="G2227" s="23" t="s">
        <v>902</v>
      </c>
      <c r="H2227" s="2" t="s">
        <v>822</v>
      </c>
      <c r="J2227" s="31">
        <v>31.384000799999999</v>
      </c>
      <c r="K2227" s="31">
        <v>-23.856000900000002</v>
      </c>
      <c r="L2227" s="31"/>
      <c r="M2227" s="31" t="s">
        <v>854</v>
      </c>
      <c r="N2227" s="6" t="s">
        <v>856</v>
      </c>
    </row>
    <row r="2228" spans="1:14" ht="15" customHeight="1" x14ac:dyDescent="0.2">
      <c r="A2228" s="31">
        <v>0.88305150388300524</v>
      </c>
      <c r="B2228" s="31"/>
      <c r="C2228" s="2" t="s">
        <v>855</v>
      </c>
      <c r="D2228" s="31">
        <f t="shared" si="80"/>
        <v>0.17307809476106903</v>
      </c>
      <c r="F2228" s="2" t="s">
        <v>822</v>
      </c>
      <c r="G2228" s="23" t="s">
        <v>902</v>
      </c>
      <c r="H2228" s="2" t="s">
        <v>822</v>
      </c>
      <c r="J2228" s="31">
        <v>27.375999499999999</v>
      </c>
      <c r="K2228" s="31">
        <v>-24.5240002</v>
      </c>
      <c r="L2228" s="31"/>
      <c r="M2228" s="31" t="s">
        <v>854</v>
      </c>
      <c r="N2228" s="6" t="s">
        <v>856</v>
      </c>
    </row>
    <row r="2229" spans="1:14" ht="15" customHeight="1" x14ac:dyDescent="0.2">
      <c r="A2229" s="31">
        <v>0.88298151535012004</v>
      </c>
      <c r="B2229" s="31"/>
      <c r="C2229" s="2" t="s">
        <v>855</v>
      </c>
      <c r="D2229" s="31">
        <f t="shared" si="80"/>
        <v>0.17306437700862354</v>
      </c>
      <c r="F2229" s="2" t="s">
        <v>822</v>
      </c>
      <c r="G2229" s="23" t="s">
        <v>902</v>
      </c>
      <c r="H2229" s="2" t="s">
        <v>822</v>
      </c>
      <c r="J2229" s="31">
        <v>34.143100699999998</v>
      </c>
      <c r="K2229" s="31">
        <v>-25.111499800000001</v>
      </c>
      <c r="L2229" s="31"/>
      <c r="M2229" s="31" t="s">
        <v>854</v>
      </c>
      <c r="N2229" s="6" t="s">
        <v>856</v>
      </c>
    </row>
    <row r="2230" spans="1:14" ht="15" customHeight="1" x14ac:dyDescent="0.2">
      <c r="A2230" s="31">
        <v>0.88294181673554539</v>
      </c>
      <c r="B2230" s="31"/>
      <c r="C2230" s="2" t="s">
        <v>855</v>
      </c>
      <c r="D2230" s="31">
        <f t="shared" si="80"/>
        <v>0.17305659608016691</v>
      </c>
      <c r="F2230" s="2" t="s">
        <v>822</v>
      </c>
      <c r="G2230" s="23" t="s">
        <v>902</v>
      </c>
      <c r="H2230" s="2" t="s">
        <v>822</v>
      </c>
      <c r="J2230" s="31">
        <v>39.243801099999999</v>
      </c>
      <c r="K2230" s="31">
        <v>16.255300500000001</v>
      </c>
      <c r="L2230" s="31"/>
      <c r="M2230" s="31" t="s">
        <v>854</v>
      </c>
      <c r="N2230" s="6" t="s">
        <v>856</v>
      </c>
    </row>
    <row r="2231" spans="1:14" ht="15" customHeight="1" x14ac:dyDescent="0.2">
      <c r="A2231" s="31">
        <v>0.88275071250800463</v>
      </c>
      <c r="B2231" s="31"/>
      <c r="C2231" s="2" t="s">
        <v>855</v>
      </c>
      <c r="D2231" s="31">
        <f t="shared" si="80"/>
        <v>0.17301913965156893</v>
      </c>
      <c r="F2231" s="2" t="s">
        <v>822</v>
      </c>
      <c r="G2231" s="23" t="s">
        <v>902</v>
      </c>
      <c r="H2231" s="2" t="s">
        <v>822</v>
      </c>
      <c r="J2231" s="31">
        <v>39.6935997</v>
      </c>
      <c r="K2231" s="31">
        <v>-33.875999499999999</v>
      </c>
      <c r="L2231" s="31"/>
      <c r="M2231" s="31" t="s">
        <v>854</v>
      </c>
      <c r="N2231" s="6" t="s">
        <v>856</v>
      </c>
    </row>
    <row r="2232" spans="1:14" ht="15" customHeight="1" x14ac:dyDescent="0.2">
      <c r="A2232" s="31">
        <v>0.88219725414899486</v>
      </c>
      <c r="B2232" s="31"/>
      <c r="C2232" s="2" t="s">
        <v>855</v>
      </c>
      <c r="D2232" s="31">
        <f t="shared" si="80"/>
        <v>0.172910661813203</v>
      </c>
      <c r="F2232" s="2" t="s">
        <v>822</v>
      </c>
      <c r="G2232" s="23" t="s">
        <v>902</v>
      </c>
      <c r="H2232" s="2" t="s">
        <v>822</v>
      </c>
      <c r="J2232" s="31">
        <v>39.359600100000002</v>
      </c>
      <c r="K2232" s="31">
        <v>-33.875999499999999</v>
      </c>
      <c r="L2232" s="31"/>
      <c r="M2232" s="31" t="s">
        <v>854</v>
      </c>
      <c r="N2232" s="6" t="s">
        <v>856</v>
      </c>
    </row>
    <row r="2233" spans="1:14" ht="15" customHeight="1" x14ac:dyDescent="0.2">
      <c r="A2233" s="31">
        <v>0.88208450024631446</v>
      </c>
      <c r="B2233" s="31"/>
      <c r="C2233" s="2" t="s">
        <v>855</v>
      </c>
      <c r="D2233" s="31">
        <f t="shared" si="80"/>
        <v>0.17288856204827763</v>
      </c>
      <c r="F2233" s="2" t="s">
        <v>822</v>
      </c>
      <c r="G2233" s="23" t="s">
        <v>902</v>
      </c>
      <c r="H2233" s="2" t="s">
        <v>822</v>
      </c>
      <c r="J2233" s="31">
        <v>36.262699099999999</v>
      </c>
      <c r="K2233" s="31">
        <v>-39.2776985</v>
      </c>
      <c r="L2233" s="31"/>
      <c r="M2233" s="31" t="s">
        <v>854</v>
      </c>
      <c r="N2233" s="6" t="s">
        <v>856</v>
      </c>
    </row>
    <row r="2234" spans="1:14" ht="15" customHeight="1" x14ac:dyDescent="0.2">
      <c r="A2234" s="31">
        <v>0.88170630772445002</v>
      </c>
      <c r="B2234" s="31"/>
      <c r="C2234" s="2" t="s">
        <v>855</v>
      </c>
      <c r="D2234" s="31">
        <f t="shared" si="80"/>
        <v>0.17281443631399221</v>
      </c>
      <c r="F2234" s="2" t="s">
        <v>822</v>
      </c>
      <c r="G2234" s="23" t="s">
        <v>902</v>
      </c>
      <c r="H2234" s="2" t="s">
        <v>822</v>
      </c>
      <c r="J2234" s="31">
        <v>36.060298899999999</v>
      </c>
      <c r="K2234" s="31">
        <v>-41.222499800000001</v>
      </c>
      <c r="L2234" s="31"/>
      <c r="M2234" s="31" t="s">
        <v>854</v>
      </c>
      <c r="N2234" s="6" t="s">
        <v>856</v>
      </c>
    </row>
    <row r="2235" spans="1:14" ht="15" customHeight="1" x14ac:dyDescent="0.2">
      <c r="A2235" s="31">
        <v>0.88139509114227244</v>
      </c>
      <c r="B2235" s="31"/>
      <c r="C2235" s="2" t="s">
        <v>855</v>
      </c>
      <c r="D2235" s="31">
        <f t="shared" si="80"/>
        <v>0.17275343786388542</v>
      </c>
      <c r="F2235" s="2" t="s">
        <v>822</v>
      </c>
      <c r="G2235" s="23" t="s">
        <v>902</v>
      </c>
      <c r="H2235" s="2" t="s">
        <v>822</v>
      </c>
      <c r="J2235" s="31">
        <v>50.012500799999998</v>
      </c>
      <c r="K2235" s="31">
        <v>-5.9667301000000004</v>
      </c>
      <c r="L2235" s="31"/>
      <c r="M2235" s="31" t="s">
        <v>854</v>
      </c>
      <c r="N2235" s="6" t="s">
        <v>856</v>
      </c>
    </row>
    <row r="2236" spans="1:14" ht="15" customHeight="1" x14ac:dyDescent="0.2">
      <c r="A2236" s="31">
        <v>0.88084315711656058</v>
      </c>
      <c r="B2236" s="31"/>
      <c r="C2236" s="2" t="s">
        <v>855</v>
      </c>
      <c r="D2236" s="31">
        <f t="shared" si="80"/>
        <v>0.17264525879484588</v>
      </c>
      <c r="F2236" s="2" t="s">
        <v>822</v>
      </c>
      <c r="G2236" s="23" t="s">
        <v>902</v>
      </c>
      <c r="H2236" s="2" t="s">
        <v>822</v>
      </c>
      <c r="J2236" s="31">
        <v>42.195598599999997</v>
      </c>
      <c r="K2236" s="31">
        <v>7.54</v>
      </c>
      <c r="L2236" s="31"/>
      <c r="M2236" s="31" t="s">
        <v>854</v>
      </c>
      <c r="N2236" s="6" t="s">
        <v>856</v>
      </c>
    </row>
    <row r="2237" spans="1:14" ht="15" customHeight="1" x14ac:dyDescent="0.2">
      <c r="A2237" s="22">
        <v>0.17260731840918817</v>
      </c>
      <c r="B2237" s="22"/>
      <c r="C2237" s="2" t="s">
        <v>891</v>
      </c>
      <c r="D2237" s="2">
        <f>A2237</f>
        <v>0.17260731840918817</v>
      </c>
      <c r="F2237" s="2">
        <v>2023</v>
      </c>
      <c r="G2237" s="23" t="s">
        <v>902</v>
      </c>
      <c r="H2237" s="2" t="s">
        <v>771</v>
      </c>
      <c r="I2237" s="23" t="s">
        <v>189</v>
      </c>
      <c r="J2237" s="23">
        <v>58077385</v>
      </c>
      <c r="K2237" s="23">
        <v>11813534</v>
      </c>
      <c r="L2237" s="23" t="s">
        <v>819</v>
      </c>
      <c r="M2237" s="2" t="s">
        <v>825</v>
      </c>
      <c r="N2237" s="6" t="s">
        <v>828</v>
      </c>
    </row>
    <row r="2238" spans="1:14" ht="15" customHeight="1" x14ac:dyDescent="0.2">
      <c r="A2238" s="31">
        <v>0.88052947989111219</v>
      </c>
      <c r="B2238" s="31"/>
      <c r="C2238" s="2" t="s">
        <v>855</v>
      </c>
      <c r="D2238" s="31">
        <f t="shared" ref="D2238:D2275" si="81" xml:space="preserve"> A2238 * 0.196</f>
        <v>0.17258377805865799</v>
      </c>
      <c r="F2238" s="2" t="s">
        <v>822</v>
      </c>
      <c r="G2238" s="23" t="s">
        <v>902</v>
      </c>
      <c r="H2238" s="2" t="s">
        <v>822</v>
      </c>
      <c r="J2238" s="31">
        <v>33.377601599999998</v>
      </c>
      <c r="K2238" s="31">
        <v>20.755399700000002</v>
      </c>
      <c r="L2238" s="31"/>
      <c r="M2238" s="31" t="s">
        <v>854</v>
      </c>
      <c r="N2238" s="6" t="s">
        <v>856</v>
      </c>
    </row>
    <row r="2239" spans="1:14" ht="15" customHeight="1" x14ac:dyDescent="0.2">
      <c r="A2239" s="31">
        <v>0.88035754564404789</v>
      </c>
      <c r="B2239" s="31"/>
      <c r="C2239" s="2" t="s">
        <v>855</v>
      </c>
      <c r="D2239" s="31">
        <f t="shared" si="81"/>
        <v>0.17255007894623339</v>
      </c>
      <c r="F2239" s="2" t="s">
        <v>822</v>
      </c>
      <c r="G2239" s="23" t="s">
        <v>902</v>
      </c>
      <c r="H2239" s="2" t="s">
        <v>822</v>
      </c>
      <c r="J2239" s="31">
        <v>39.424301100000001</v>
      </c>
      <c r="K2239" s="31">
        <v>-26.399499899999999</v>
      </c>
      <c r="L2239" s="31"/>
      <c r="M2239" s="31" t="s">
        <v>854</v>
      </c>
      <c r="N2239" s="6" t="s">
        <v>856</v>
      </c>
    </row>
    <row r="2240" spans="1:14" ht="15" customHeight="1" x14ac:dyDescent="0.2">
      <c r="A2240" s="31">
        <v>0.88016844339723033</v>
      </c>
      <c r="B2240" s="31"/>
      <c r="C2240" s="2" t="s">
        <v>855</v>
      </c>
      <c r="D2240" s="31">
        <f t="shared" si="81"/>
        <v>0.17251301490585716</v>
      </c>
      <c r="F2240" s="2" t="s">
        <v>822</v>
      </c>
      <c r="G2240" s="23" t="s">
        <v>902</v>
      </c>
      <c r="H2240" s="2" t="s">
        <v>822</v>
      </c>
      <c r="J2240" s="31">
        <v>39.420700099999998</v>
      </c>
      <c r="K2240" s="31">
        <v>-33.303501099999998</v>
      </c>
      <c r="L2240" s="31"/>
      <c r="M2240" s="31" t="s">
        <v>854</v>
      </c>
      <c r="N2240" s="6" t="s">
        <v>856</v>
      </c>
    </row>
    <row r="2241" spans="1:14" ht="15" customHeight="1" x14ac:dyDescent="0.2">
      <c r="A2241" s="31">
        <v>0.8801432216512608</v>
      </c>
      <c r="B2241" s="31"/>
      <c r="C2241" s="2" t="s">
        <v>855</v>
      </c>
      <c r="D2241" s="31">
        <f t="shared" si="81"/>
        <v>0.17250807144364713</v>
      </c>
      <c r="F2241" s="2" t="s">
        <v>822</v>
      </c>
      <c r="G2241" s="23" t="s">
        <v>902</v>
      </c>
      <c r="H2241" s="2" t="s">
        <v>822</v>
      </c>
      <c r="J2241" s="31">
        <v>50.825099899999998</v>
      </c>
      <c r="K2241" s="31">
        <v>-4.9167098999999999</v>
      </c>
      <c r="L2241" s="31"/>
      <c r="M2241" s="31" t="s">
        <v>854</v>
      </c>
      <c r="N2241" s="6" t="s">
        <v>856</v>
      </c>
    </row>
    <row r="2242" spans="1:14" ht="15" customHeight="1" x14ac:dyDescent="0.2">
      <c r="A2242" s="31">
        <v>0.88012011929807443</v>
      </c>
      <c r="B2242" s="31"/>
      <c r="C2242" s="2" t="s">
        <v>855</v>
      </c>
      <c r="D2242" s="31">
        <f t="shared" si="81"/>
        <v>0.1725035433824226</v>
      </c>
      <c r="F2242" s="2" t="s">
        <v>822</v>
      </c>
      <c r="G2242" s="23" t="s">
        <v>902</v>
      </c>
      <c r="H2242" s="2" t="s">
        <v>822</v>
      </c>
      <c r="J2242" s="31">
        <v>35.960601799999999</v>
      </c>
      <c r="K2242" s="31">
        <v>22.145299900000001</v>
      </c>
      <c r="L2242" s="31"/>
      <c r="M2242" s="31" t="s">
        <v>854</v>
      </c>
      <c r="N2242" s="6" t="s">
        <v>856</v>
      </c>
    </row>
    <row r="2243" spans="1:14" ht="15" customHeight="1" x14ac:dyDescent="0.2">
      <c r="A2243" s="31">
        <v>0.87928598927743151</v>
      </c>
      <c r="B2243" s="31"/>
      <c r="C2243" s="2" t="s">
        <v>855</v>
      </c>
      <c r="D2243" s="31">
        <f t="shared" si="81"/>
        <v>0.17234005389837659</v>
      </c>
      <c r="F2243" s="2" t="s">
        <v>822</v>
      </c>
      <c r="G2243" s="23" t="s">
        <v>902</v>
      </c>
      <c r="H2243" s="2" t="s">
        <v>822</v>
      </c>
      <c r="J2243" s="31">
        <v>33.388000499999997</v>
      </c>
      <c r="K2243" s="31">
        <v>-9.8351697999999992</v>
      </c>
      <c r="L2243" s="31"/>
      <c r="M2243" s="31" t="s">
        <v>854</v>
      </c>
      <c r="N2243" s="6" t="s">
        <v>856</v>
      </c>
    </row>
    <row r="2244" spans="1:14" ht="15" customHeight="1" x14ac:dyDescent="0.2">
      <c r="A2244" s="31">
        <v>0.87917001362472247</v>
      </c>
      <c r="B2244" s="31"/>
      <c r="C2244" s="2" t="s">
        <v>855</v>
      </c>
      <c r="D2244" s="31">
        <f t="shared" si="81"/>
        <v>0.17231732267044561</v>
      </c>
      <c r="F2244" s="2" t="s">
        <v>822</v>
      </c>
      <c r="G2244" s="23" t="s">
        <v>902</v>
      </c>
      <c r="H2244" s="2" t="s">
        <v>822</v>
      </c>
      <c r="J2244" s="31">
        <v>60.231098199999998</v>
      </c>
      <c r="K2244" s="31">
        <v>19.540800099999998</v>
      </c>
      <c r="L2244" s="31"/>
      <c r="M2244" s="31" t="s">
        <v>854</v>
      </c>
      <c r="N2244" s="6" t="s">
        <v>856</v>
      </c>
    </row>
    <row r="2245" spans="1:14" ht="15" customHeight="1" x14ac:dyDescent="0.2">
      <c r="A2245" s="31">
        <v>0.87895617944764415</v>
      </c>
      <c r="B2245" s="31"/>
      <c r="C2245" s="2" t="s">
        <v>855</v>
      </c>
      <c r="D2245" s="31">
        <f t="shared" si="81"/>
        <v>0.17227541117173825</v>
      </c>
      <c r="F2245" s="2" t="s">
        <v>822</v>
      </c>
      <c r="G2245" s="23" t="s">
        <v>902</v>
      </c>
      <c r="H2245" s="2" t="s">
        <v>822</v>
      </c>
      <c r="J2245" s="31">
        <v>44.743999500000001</v>
      </c>
      <c r="K2245" s="31">
        <v>-35.212001800000003</v>
      </c>
      <c r="L2245" s="31"/>
      <c r="M2245" s="31" t="s">
        <v>854</v>
      </c>
      <c r="N2245" s="6" t="s">
        <v>856</v>
      </c>
    </row>
    <row r="2246" spans="1:14" ht="15" customHeight="1" x14ac:dyDescent="0.2">
      <c r="A2246" s="31">
        <v>0.87881892787950489</v>
      </c>
      <c r="B2246" s="31"/>
      <c r="C2246" s="2" t="s">
        <v>855</v>
      </c>
      <c r="D2246" s="31">
        <f t="shared" si="81"/>
        <v>0.17224850986438298</v>
      </c>
      <c r="F2246" s="2" t="s">
        <v>822</v>
      </c>
      <c r="G2246" s="23" t="s">
        <v>902</v>
      </c>
      <c r="H2246" s="2" t="s">
        <v>822</v>
      </c>
      <c r="J2246" s="31">
        <v>28.0440006</v>
      </c>
      <c r="K2246" s="31">
        <v>-25.1919994</v>
      </c>
      <c r="L2246" s="31"/>
      <c r="M2246" s="31" t="s">
        <v>854</v>
      </c>
      <c r="N2246" s="6" t="s">
        <v>856</v>
      </c>
    </row>
    <row r="2247" spans="1:14" ht="15" customHeight="1" x14ac:dyDescent="0.2">
      <c r="A2247" s="31">
        <v>0.87854636376499662</v>
      </c>
      <c r="B2247" s="31"/>
      <c r="C2247" s="2" t="s">
        <v>855</v>
      </c>
      <c r="D2247" s="31">
        <f t="shared" si="81"/>
        <v>0.17219508729793934</v>
      </c>
      <c r="F2247" s="2" t="s">
        <v>822</v>
      </c>
      <c r="G2247" s="23" t="s">
        <v>902</v>
      </c>
      <c r="H2247" s="2" t="s">
        <v>822</v>
      </c>
      <c r="J2247" s="31">
        <v>55.036899599999998</v>
      </c>
      <c r="K2247" s="31">
        <v>20.527700400000001</v>
      </c>
      <c r="L2247" s="31"/>
      <c r="M2247" s="31" t="s">
        <v>854</v>
      </c>
      <c r="N2247" s="6" t="s">
        <v>856</v>
      </c>
    </row>
    <row r="2248" spans="1:14" ht="15" customHeight="1" x14ac:dyDescent="0.2">
      <c r="A2248" s="31">
        <v>0.87773764521952469</v>
      </c>
      <c r="B2248" s="31"/>
      <c r="C2248" s="2" t="s">
        <v>855</v>
      </c>
      <c r="D2248" s="31">
        <f t="shared" si="81"/>
        <v>0.17203657846302683</v>
      </c>
      <c r="F2248" s="2" t="s">
        <v>822</v>
      </c>
      <c r="G2248" s="23" t="s">
        <v>902</v>
      </c>
      <c r="H2248" s="2" t="s">
        <v>822</v>
      </c>
      <c r="J2248" s="31">
        <v>35.391998299999997</v>
      </c>
      <c r="K2248" s="31">
        <v>21.5680008</v>
      </c>
      <c r="L2248" s="31"/>
      <c r="M2248" s="31" t="s">
        <v>854</v>
      </c>
      <c r="N2248" s="6" t="s">
        <v>856</v>
      </c>
    </row>
    <row r="2249" spans="1:14" ht="15" customHeight="1" x14ac:dyDescent="0.2">
      <c r="A2249" s="31">
        <v>0.87757798009424859</v>
      </c>
      <c r="B2249" s="31"/>
      <c r="C2249" s="2" t="s">
        <v>855</v>
      </c>
      <c r="D2249" s="31">
        <f t="shared" si="81"/>
        <v>0.17200528409847274</v>
      </c>
      <c r="F2249" s="2" t="s">
        <v>822</v>
      </c>
      <c r="G2249" s="23" t="s">
        <v>902</v>
      </c>
      <c r="H2249" s="2" t="s">
        <v>822</v>
      </c>
      <c r="J2249" s="31">
        <v>47.516799900000002</v>
      </c>
      <c r="K2249" s="31">
        <v>-8.5528498000000006</v>
      </c>
      <c r="L2249" s="31"/>
      <c r="M2249" s="31" t="s">
        <v>854</v>
      </c>
      <c r="N2249" s="6" t="s">
        <v>856</v>
      </c>
    </row>
    <row r="2250" spans="1:14" ht="15" customHeight="1" x14ac:dyDescent="0.2">
      <c r="A2250" s="31">
        <v>0.87753379682661403</v>
      </c>
      <c r="B2250" s="31"/>
      <c r="C2250" s="2" t="s">
        <v>855</v>
      </c>
      <c r="D2250" s="31">
        <f t="shared" si="81"/>
        <v>0.17199662417801637</v>
      </c>
      <c r="F2250" s="2" t="s">
        <v>822</v>
      </c>
      <c r="G2250" s="23" t="s">
        <v>902</v>
      </c>
      <c r="H2250" s="2" t="s">
        <v>822</v>
      </c>
      <c r="J2250" s="31">
        <v>56.579200700000001</v>
      </c>
      <c r="K2250" s="31">
        <v>19.4582996</v>
      </c>
      <c r="L2250" s="31"/>
      <c r="M2250" s="31" t="s">
        <v>854</v>
      </c>
      <c r="N2250" s="6" t="s">
        <v>856</v>
      </c>
    </row>
    <row r="2251" spans="1:14" ht="15" customHeight="1" x14ac:dyDescent="0.2">
      <c r="A2251" s="31">
        <v>0.87749120074686726</v>
      </c>
      <c r="B2251" s="31"/>
      <c r="C2251" s="2" t="s">
        <v>855</v>
      </c>
      <c r="D2251" s="31">
        <f t="shared" si="81"/>
        <v>0.171988275346386</v>
      </c>
      <c r="F2251" s="2" t="s">
        <v>822</v>
      </c>
      <c r="G2251" s="23" t="s">
        <v>902</v>
      </c>
      <c r="H2251" s="2" t="s">
        <v>822</v>
      </c>
      <c r="J2251" s="31">
        <v>42.538799300000001</v>
      </c>
      <c r="K2251" s="31">
        <v>-31.807899500000001</v>
      </c>
      <c r="L2251" s="31"/>
      <c r="M2251" s="31" t="s">
        <v>854</v>
      </c>
      <c r="N2251" s="6" t="s">
        <v>856</v>
      </c>
    </row>
    <row r="2252" spans="1:14" ht="15" customHeight="1" x14ac:dyDescent="0.2">
      <c r="A2252" s="31">
        <v>0.87708325991133507</v>
      </c>
      <c r="B2252" s="31"/>
      <c r="C2252" s="2" t="s">
        <v>855</v>
      </c>
      <c r="D2252" s="31">
        <f t="shared" si="81"/>
        <v>0.17190831894262168</v>
      </c>
      <c r="F2252" s="2" t="s">
        <v>822</v>
      </c>
      <c r="G2252" s="23" t="s">
        <v>902</v>
      </c>
      <c r="H2252" s="2" t="s">
        <v>822</v>
      </c>
      <c r="J2252" s="31">
        <v>38.650600400000002</v>
      </c>
      <c r="K2252" s="31">
        <v>-19.1800003</v>
      </c>
      <c r="L2252" s="31"/>
      <c r="M2252" s="31" t="s">
        <v>854</v>
      </c>
      <c r="N2252" s="6" t="s">
        <v>856</v>
      </c>
    </row>
    <row r="2253" spans="1:14" ht="15" customHeight="1" x14ac:dyDescent="0.2">
      <c r="A2253" s="31">
        <v>0.87689687869859434</v>
      </c>
      <c r="B2253" s="31"/>
      <c r="C2253" s="2" t="s">
        <v>855</v>
      </c>
      <c r="D2253" s="31">
        <f t="shared" si="81"/>
        <v>0.17187178822492449</v>
      </c>
      <c r="F2253" s="2" t="s">
        <v>822</v>
      </c>
      <c r="G2253" s="23" t="s">
        <v>902</v>
      </c>
      <c r="H2253" s="2" t="s">
        <v>822</v>
      </c>
      <c r="J2253" s="31">
        <v>27.375999499999999</v>
      </c>
      <c r="K2253" s="31">
        <v>-35.880001100000001</v>
      </c>
      <c r="L2253" s="31"/>
      <c r="M2253" s="31" t="s">
        <v>854</v>
      </c>
      <c r="N2253" s="6" t="s">
        <v>856</v>
      </c>
    </row>
    <row r="2254" spans="1:14" ht="15" customHeight="1" x14ac:dyDescent="0.2">
      <c r="A2254" s="31">
        <v>0.87686618263771787</v>
      </c>
      <c r="B2254" s="31"/>
      <c r="C2254" s="2" t="s">
        <v>855</v>
      </c>
      <c r="D2254" s="31">
        <f t="shared" si="81"/>
        <v>0.17186577179699272</v>
      </c>
      <c r="F2254" s="2" t="s">
        <v>822</v>
      </c>
      <c r="G2254" s="23" t="s">
        <v>902</v>
      </c>
      <c r="H2254" s="2" t="s">
        <v>822</v>
      </c>
      <c r="J2254" s="31">
        <v>32.751399999999997</v>
      </c>
      <c r="K2254" s="31">
        <v>-31.8365002</v>
      </c>
      <c r="L2254" s="31"/>
      <c r="M2254" s="31" t="s">
        <v>854</v>
      </c>
      <c r="N2254" s="6" t="s">
        <v>856</v>
      </c>
    </row>
    <row r="2255" spans="1:14" ht="15" customHeight="1" x14ac:dyDescent="0.2">
      <c r="A2255" s="31">
        <v>0.8762684710090981</v>
      </c>
      <c r="B2255" s="31"/>
      <c r="C2255" s="2" t="s">
        <v>855</v>
      </c>
      <c r="D2255" s="31">
        <f t="shared" si="81"/>
        <v>0.17174862031778323</v>
      </c>
      <c r="F2255" s="2" t="s">
        <v>822</v>
      </c>
      <c r="G2255" s="23" t="s">
        <v>902</v>
      </c>
      <c r="H2255" s="2" t="s">
        <v>822</v>
      </c>
      <c r="J2255" s="31">
        <v>42.0359993</v>
      </c>
      <c r="K2255" s="31">
        <v>-10.5206003</v>
      </c>
      <c r="L2255" s="31"/>
      <c r="M2255" s="31" t="s">
        <v>854</v>
      </c>
      <c r="N2255" s="6" t="s">
        <v>856</v>
      </c>
    </row>
    <row r="2256" spans="1:14" ht="15" customHeight="1" x14ac:dyDescent="0.2">
      <c r="A2256" s="31">
        <v>0.87626516587284797</v>
      </c>
      <c r="B2256" s="31"/>
      <c r="C2256" s="2" t="s">
        <v>855</v>
      </c>
      <c r="D2256" s="31">
        <f t="shared" si="81"/>
        <v>0.17174797251107821</v>
      </c>
      <c r="F2256" s="2" t="s">
        <v>822</v>
      </c>
      <c r="G2256" s="23" t="s">
        <v>902</v>
      </c>
      <c r="H2256" s="2" t="s">
        <v>822</v>
      </c>
      <c r="J2256" s="31">
        <v>39.570900000000002</v>
      </c>
      <c r="K2256" s="31">
        <v>-20.263099700000001</v>
      </c>
      <c r="L2256" s="31"/>
      <c r="M2256" s="31" t="s">
        <v>854</v>
      </c>
      <c r="N2256" s="6" t="s">
        <v>856</v>
      </c>
    </row>
    <row r="2257" spans="1:14" ht="15" customHeight="1" x14ac:dyDescent="0.2">
      <c r="A2257" s="31">
        <v>0.87606421432913706</v>
      </c>
      <c r="B2257" s="31"/>
      <c r="C2257" s="2" t="s">
        <v>855</v>
      </c>
      <c r="D2257" s="31">
        <f t="shared" si="81"/>
        <v>0.17170858600851088</v>
      </c>
      <c r="F2257" s="2" t="s">
        <v>822</v>
      </c>
      <c r="G2257" s="23" t="s">
        <v>902</v>
      </c>
      <c r="H2257" s="2" t="s">
        <v>822</v>
      </c>
      <c r="J2257" s="31">
        <v>38.130298600000003</v>
      </c>
      <c r="K2257" s="31">
        <v>-22.5314999</v>
      </c>
      <c r="L2257" s="31"/>
      <c r="M2257" s="31" t="s">
        <v>854</v>
      </c>
      <c r="N2257" s="6" t="s">
        <v>856</v>
      </c>
    </row>
    <row r="2258" spans="1:14" ht="15" customHeight="1" x14ac:dyDescent="0.2">
      <c r="A2258" s="31">
        <v>0.87604707139071136</v>
      </c>
      <c r="B2258" s="31"/>
      <c r="C2258" s="2" t="s">
        <v>855</v>
      </c>
      <c r="D2258" s="31">
        <f t="shared" si="81"/>
        <v>0.17170522599257942</v>
      </c>
      <c r="F2258" s="2" t="s">
        <v>822</v>
      </c>
      <c r="G2258" s="23" t="s">
        <v>902</v>
      </c>
      <c r="H2258" s="2" t="s">
        <v>822</v>
      </c>
      <c r="J2258" s="31">
        <v>26.081399900000001</v>
      </c>
      <c r="K2258" s="31">
        <v>-19.886999100000001</v>
      </c>
      <c r="L2258" s="31"/>
      <c r="M2258" s="31" t="s">
        <v>854</v>
      </c>
      <c r="N2258" s="6" t="s">
        <v>856</v>
      </c>
    </row>
    <row r="2259" spans="1:14" ht="15" customHeight="1" x14ac:dyDescent="0.2">
      <c r="A2259" s="31">
        <v>0.87594989835165982</v>
      </c>
      <c r="B2259" s="31"/>
      <c r="C2259" s="2" t="s">
        <v>855</v>
      </c>
      <c r="D2259" s="31">
        <f t="shared" si="81"/>
        <v>0.17168618007692532</v>
      </c>
      <c r="F2259" s="2" t="s">
        <v>822</v>
      </c>
      <c r="G2259" s="23" t="s">
        <v>902</v>
      </c>
      <c r="H2259" s="2" t="s">
        <v>822</v>
      </c>
      <c r="J2259" s="31">
        <v>38.354599</v>
      </c>
      <c r="K2259" s="31">
        <v>-30.0456009</v>
      </c>
      <c r="L2259" s="31"/>
      <c r="M2259" s="31" t="s">
        <v>854</v>
      </c>
      <c r="N2259" s="6" t="s">
        <v>856</v>
      </c>
    </row>
    <row r="2260" spans="1:14" ht="15" customHeight="1" x14ac:dyDescent="0.2">
      <c r="A2260" s="31">
        <v>0.87579943256359005</v>
      </c>
      <c r="B2260" s="31"/>
      <c r="C2260" s="2" t="s">
        <v>855</v>
      </c>
      <c r="D2260" s="31">
        <f t="shared" si="81"/>
        <v>0.17165668878246365</v>
      </c>
      <c r="F2260" s="2" t="s">
        <v>822</v>
      </c>
      <c r="G2260" s="23" t="s">
        <v>902</v>
      </c>
      <c r="H2260" s="2" t="s">
        <v>822</v>
      </c>
      <c r="J2260" s="31">
        <v>34.617900800000001</v>
      </c>
      <c r="K2260" s="31">
        <v>30.237899800000001</v>
      </c>
      <c r="L2260" s="31"/>
      <c r="M2260" s="31" t="s">
        <v>854</v>
      </c>
      <c r="N2260" s="6" t="s">
        <v>856</v>
      </c>
    </row>
    <row r="2261" spans="1:14" ht="15" customHeight="1" x14ac:dyDescent="0.2">
      <c r="A2261" s="31">
        <v>0.87575778406327953</v>
      </c>
      <c r="B2261" s="31"/>
      <c r="C2261" s="2" t="s">
        <v>855</v>
      </c>
      <c r="D2261" s="31">
        <f t="shared" si="81"/>
        <v>0.17164852567640279</v>
      </c>
      <c r="F2261" s="2" t="s">
        <v>822</v>
      </c>
      <c r="G2261" s="23" t="s">
        <v>902</v>
      </c>
      <c r="H2261" s="2" t="s">
        <v>822</v>
      </c>
      <c r="J2261" s="31">
        <v>42.047298400000003</v>
      </c>
      <c r="K2261" s="31">
        <v>-32.522701300000001</v>
      </c>
      <c r="L2261" s="31"/>
      <c r="M2261" s="31" t="s">
        <v>854</v>
      </c>
      <c r="N2261" s="6" t="s">
        <v>856</v>
      </c>
    </row>
    <row r="2262" spans="1:14" ht="15" customHeight="1" x14ac:dyDescent="0.2">
      <c r="A2262" s="31">
        <v>0.87486372971391624</v>
      </c>
      <c r="B2262" s="31"/>
      <c r="C2262" s="2" t="s">
        <v>855</v>
      </c>
      <c r="D2262" s="31">
        <f t="shared" si="81"/>
        <v>0.17147329102392758</v>
      </c>
      <c r="F2262" s="2" t="s">
        <v>822</v>
      </c>
      <c r="G2262" s="23" t="s">
        <v>902</v>
      </c>
      <c r="H2262" s="2" t="s">
        <v>822</v>
      </c>
      <c r="J2262" s="31">
        <v>26.664400100000002</v>
      </c>
      <c r="K2262" s="31">
        <v>34.048801400000002</v>
      </c>
      <c r="L2262" s="31"/>
      <c r="M2262" s="31" t="s">
        <v>854</v>
      </c>
      <c r="N2262" s="6" t="s">
        <v>856</v>
      </c>
    </row>
    <row r="2263" spans="1:14" ht="15" customHeight="1" x14ac:dyDescent="0.2">
      <c r="A2263" s="31">
        <v>0.87464814728946338</v>
      </c>
      <c r="B2263" s="31"/>
      <c r="C2263" s="2" t="s">
        <v>855</v>
      </c>
      <c r="D2263" s="31">
        <f t="shared" si="81"/>
        <v>0.17143103686873484</v>
      </c>
      <c r="F2263" s="2" t="s">
        <v>822</v>
      </c>
      <c r="G2263" s="23" t="s">
        <v>902</v>
      </c>
      <c r="H2263" s="2" t="s">
        <v>822</v>
      </c>
      <c r="J2263" s="31">
        <v>54.487499200000002</v>
      </c>
      <c r="K2263" s="31">
        <v>15.661299700000001</v>
      </c>
      <c r="L2263" s="31"/>
      <c r="M2263" s="31" t="s">
        <v>854</v>
      </c>
      <c r="N2263" s="6" t="s">
        <v>856</v>
      </c>
    </row>
    <row r="2264" spans="1:14" ht="15" customHeight="1" x14ac:dyDescent="0.2">
      <c r="A2264" s="31">
        <v>0.87391445911062304</v>
      </c>
      <c r="B2264" s="31"/>
      <c r="C2264" s="2" t="s">
        <v>855</v>
      </c>
      <c r="D2264" s="31">
        <f t="shared" si="81"/>
        <v>0.17128723398568213</v>
      </c>
      <c r="F2264" s="2" t="s">
        <v>822</v>
      </c>
      <c r="G2264" s="23" t="s">
        <v>902</v>
      </c>
      <c r="H2264" s="2" t="s">
        <v>822</v>
      </c>
      <c r="J2264" s="31">
        <v>54.197498299999999</v>
      </c>
      <c r="K2264" s="31">
        <v>14.5206003</v>
      </c>
      <c r="L2264" s="31"/>
      <c r="M2264" s="31" t="s">
        <v>854</v>
      </c>
      <c r="N2264" s="6" t="s">
        <v>856</v>
      </c>
    </row>
    <row r="2265" spans="1:14" ht="15" customHeight="1" x14ac:dyDescent="0.2">
      <c r="A2265" s="31">
        <v>0.87353749978953887</v>
      </c>
      <c r="B2265" s="31"/>
      <c r="C2265" s="2" t="s">
        <v>855</v>
      </c>
      <c r="D2265" s="31">
        <f t="shared" si="81"/>
        <v>0.17121334995874962</v>
      </c>
      <c r="F2265" s="2" t="s">
        <v>822</v>
      </c>
      <c r="G2265" s="23" t="s">
        <v>902</v>
      </c>
      <c r="H2265" s="2" t="s">
        <v>822</v>
      </c>
      <c r="J2265" s="31">
        <v>37.800998700000001</v>
      </c>
      <c r="K2265" s="31">
        <v>-22.4745998</v>
      </c>
      <c r="L2265" s="31"/>
      <c r="M2265" s="31" t="s">
        <v>854</v>
      </c>
      <c r="N2265" s="6" t="s">
        <v>856</v>
      </c>
    </row>
    <row r="2266" spans="1:14" ht="15" customHeight="1" x14ac:dyDescent="0.2">
      <c r="A2266" s="31">
        <v>0.87345445565518809</v>
      </c>
      <c r="B2266" s="31"/>
      <c r="C2266" s="2" t="s">
        <v>855</v>
      </c>
      <c r="D2266" s="31">
        <f t="shared" si="81"/>
        <v>0.17119707330841688</v>
      </c>
      <c r="F2266" s="2" t="s">
        <v>822</v>
      </c>
      <c r="G2266" s="23" t="s">
        <v>902</v>
      </c>
      <c r="H2266" s="2" t="s">
        <v>822</v>
      </c>
      <c r="J2266" s="31">
        <v>36.728000600000001</v>
      </c>
      <c r="K2266" s="31">
        <v>20.628499999999999</v>
      </c>
      <c r="L2266" s="31"/>
      <c r="M2266" s="31" t="s">
        <v>854</v>
      </c>
      <c r="N2266" s="6" t="s">
        <v>856</v>
      </c>
    </row>
    <row r="2267" spans="1:14" ht="15" customHeight="1" x14ac:dyDescent="0.2">
      <c r="A2267" s="31">
        <v>0.87340323814969767</v>
      </c>
      <c r="B2267" s="31"/>
      <c r="C2267" s="2" t="s">
        <v>855</v>
      </c>
      <c r="D2267" s="31">
        <f t="shared" si="81"/>
        <v>0.17118703467734075</v>
      </c>
      <c r="F2267" s="2" t="s">
        <v>822</v>
      </c>
      <c r="G2267" s="23" t="s">
        <v>902</v>
      </c>
      <c r="H2267" s="2" t="s">
        <v>822</v>
      </c>
      <c r="J2267" s="31">
        <v>43.459800700000002</v>
      </c>
      <c r="K2267" s="31">
        <v>-4.2158799</v>
      </c>
      <c r="L2267" s="31"/>
      <c r="M2267" s="31" t="s">
        <v>854</v>
      </c>
      <c r="N2267" s="6" t="s">
        <v>856</v>
      </c>
    </row>
    <row r="2268" spans="1:14" ht="15" customHeight="1" x14ac:dyDescent="0.2">
      <c r="A2268" s="31">
        <v>0.87334614143085598</v>
      </c>
      <c r="B2268" s="31"/>
      <c r="C2268" s="2" t="s">
        <v>855</v>
      </c>
      <c r="D2268" s="31">
        <f t="shared" si="81"/>
        <v>0.17117584372044778</v>
      </c>
      <c r="F2268" s="2" t="s">
        <v>822</v>
      </c>
      <c r="G2268" s="23" t="s">
        <v>902</v>
      </c>
      <c r="H2268" s="2" t="s">
        <v>822</v>
      </c>
      <c r="J2268" s="31">
        <v>41.445800800000001</v>
      </c>
      <c r="K2268" s="31">
        <v>-33.066001900000003</v>
      </c>
      <c r="L2268" s="31"/>
      <c r="M2268" s="31" t="s">
        <v>854</v>
      </c>
      <c r="N2268" s="6" t="s">
        <v>856</v>
      </c>
    </row>
    <row r="2269" spans="1:14" ht="15" customHeight="1" x14ac:dyDescent="0.2">
      <c r="A2269" s="31">
        <v>0.87298942901419174</v>
      </c>
      <c r="B2269" s="31"/>
      <c r="C2269" s="2" t="s">
        <v>855</v>
      </c>
      <c r="D2269" s="31">
        <f t="shared" si="81"/>
        <v>0.1711059280867816</v>
      </c>
      <c r="F2269" s="2" t="s">
        <v>822</v>
      </c>
      <c r="G2269" s="23" t="s">
        <v>902</v>
      </c>
      <c r="H2269" s="2" t="s">
        <v>822</v>
      </c>
      <c r="J2269" s="31">
        <v>54.964401199999998</v>
      </c>
      <c r="K2269" s="31">
        <v>21.237199799999999</v>
      </c>
      <c r="L2269" s="31"/>
      <c r="M2269" s="31" t="s">
        <v>854</v>
      </c>
      <c r="N2269" s="6" t="s">
        <v>856</v>
      </c>
    </row>
    <row r="2270" spans="1:14" ht="15" customHeight="1" x14ac:dyDescent="0.2">
      <c r="A2270" s="31">
        <v>0.87293493042156989</v>
      </c>
      <c r="B2270" s="31"/>
      <c r="C2270" s="2" t="s">
        <v>855</v>
      </c>
      <c r="D2270" s="31">
        <f t="shared" si="81"/>
        <v>0.17109524636262771</v>
      </c>
      <c r="F2270" s="2" t="s">
        <v>822</v>
      </c>
      <c r="G2270" s="23" t="s">
        <v>902</v>
      </c>
      <c r="H2270" s="2" t="s">
        <v>822</v>
      </c>
      <c r="J2270" s="31">
        <v>45.8965988</v>
      </c>
      <c r="K2270" s="31">
        <v>-4.5101800000000001</v>
      </c>
      <c r="L2270" s="31"/>
      <c r="M2270" s="31" t="s">
        <v>854</v>
      </c>
      <c r="N2270" s="6" t="s">
        <v>856</v>
      </c>
    </row>
    <row r="2271" spans="1:14" ht="15" customHeight="1" x14ac:dyDescent="0.2">
      <c r="A2271" s="31">
        <v>0.87281455360374005</v>
      </c>
      <c r="B2271" s="31"/>
      <c r="C2271" s="2" t="s">
        <v>855</v>
      </c>
      <c r="D2271" s="31">
        <f t="shared" si="81"/>
        <v>0.17107165250633305</v>
      </c>
      <c r="F2271" s="2" t="s">
        <v>822</v>
      </c>
      <c r="G2271" s="23" t="s">
        <v>902</v>
      </c>
      <c r="H2271" s="2" t="s">
        <v>822</v>
      </c>
      <c r="J2271" s="31">
        <v>52.190399200000002</v>
      </c>
      <c r="K2271" s="31">
        <v>-4.6870197999999998</v>
      </c>
      <c r="L2271" s="31"/>
      <c r="M2271" s="31" t="s">
        <v>854</v>
      </c>
      <c r="N2271" s="6" t="s">
        <v>856</v>
      </c>
    </row>
    <row r="2272" spans="1:14" ht="15" customHeight="1" x14ac:dyDescent="0.2">
      <c r="A2272" s="31">
        <v>0.87259566507708164</v>
      </c>
      <c r="B2272" s="31"/>
      <c r="C2272" s="2" t="s">
        <v>855</v>
      </c>
      <c r="D2272" s="31">
        <f t="shared" si="81"/>
        <v>0.17102875035510801</v>
      </c>
      <c r="F2272" s="2" t="s">
        <v>822</v>
      </c>
      <c r="G2272" s="23" t="s">
        <v>902</v>
      </c>
      <c r="H2272" s="2" t="s">
        <v>822</v>
      </c>
      <c r="J2272" s="31">
        <v>61.549198199999999</v>
      </c>
      <c r="K2272" s="31">
        <v>17.938199999999998</v>
      </c>
      <c r="L2272" s="31"/>
      <c r="M2272" s="31" t="s">
        <v>854</v>
      </c>
      <c r="N2272" s="6" t="s">
        <v>856</v>
      </c>
    </row>
    <row r="2273" spans="1:14" ht="15" customHeight="1" x14ac:dyDescent="0.2">
      <c r="A2273" s="31">
        <v>0.87238201878660471</v>
      </c>
      <c r="B2273" s="31"/>
      <c r="C2273" s="2" t="s">
        <v>855</v>
      </c>
      <c r="D2273" s="31">
        <f t="shared" si="81"/>
        <v>0.17098687568217452</v>
      </c>
      <c r="F2273" s="2" t="s">
        <v>822</v>
      </c>
      <c r="G2273" s="23" t="s">
        <v>902</v>
      </c>
      <c r="H2273" s="2" t="s">
        <v>822</v>
      </c>
      <c r="J2273" s="31">
        <v>42.071998600000001</v>
      </c>
      <c r="K2273" s="31">
        <v>-25.1919994</v>
      </c>
      <c r="L2273" s="31"/>
      <c r="M2273" s="31" t="s">
        <v>854</v>
      </c>
      <c r="N2273" s="6" t="s">
        <v>856</v>
      </c>
    </row>
    <row r="2274" spans="1:14" ht="15" customHeight="1" x14ac:dyDescent="0.2">
      <c r="A2274" s="31">
        <v>0.87201108577051667</v>
      </c>
      <c r="B2274" s="31"/>
      <c r="C2274" s="2" t="s">
        <v>855</v>
      </c>
      <c r="D2274" s="31">
        <f t="shared" si="81"/>
        <v>0.17091417281102128</v>
      </c>
      <c r="F2274" s="2" t="s">
        <v>822</v>
      </c>
      <c r="G2274" s="23" t="s">
        <v>902</v>
      </c>
      <c r="H2274" s="2" t="s">
        <v>822</v>
      </c>
      <c r="J2274" s="31">
        <v>39.777801500000002</v>
      </c>
      <c r="K2274" s="31">
        <v>-36.802799200000003</v>
      </c>
      <c r="L2274" s="31"/>
      <c r="M2274" s="31" t="s">
        <v>854</v>
      </c>
      <c r="N2274" s="6" t="s">
        <v>856</v>
      </c>
    </row>
    <row r="2275" spans="1:14" ht="15" customHeight="1" x14ac:dyDescent="0.2">
      <c r="A2275" s="31">
        <v>0.87170290280339324</v>
      </c>
      <c r="B2275" s="31"/>
      <c r="C2275" s="2" t="s">
        <v>855</v>
      </c>
      <c r="D2275" s="31">
        <f t="shared" si="81"/>
        <v>0.17085376894946508</v>
      </c>
      <c r="F2275" s="2" t="s">
        <v>822</v>
      </c>
      <c r="G2275" s="23" t="s">
        <v>902</v>
      </c>
      <c r="H2275" s="2" t="s">
        <v>822</v>
      </c>
      <c r="J2275" s="31">
        <v>56.771099100000001</v>
      </c>
      <c r="K2275" s="31">
        <v>18.642299699999999</v>
      </c>
      <c r="L2275" s="31"/>
      <c r="M2275" s="31" t="s">
        <v>854</v>
      </c>
      <c r="N2275" s="6" t="s">
        <v>856</v>
      </c>
    </row>
    <row r="2276" spans="1:14" ht="15" customHeight="1" x14ac:dyDescent="0.2">
      <c r="A2276" s="22">
        <v>0.17076493724910569</v>
      </c>
      <c r="B2276" s="22"/>
      <c r="C2276" s="2" t="s">
        <v>891</v>
      </c>
      <c r="D2276" s="2">
        <f>A2276</f>
        <v>0.17076493724910569</v>
      </c>
      <c r="F2276" s="2">
        <v>2023</v>
      </c>
      <c r="G2276" s="23" t="s">
        <v>902</v>
      </c>
      <c r="H2276" s="2" t="s">
        <v>768</v>
      </c>
      <c r="I2276" s="23" t="s">
        <v>188</v>
      </c>
      <c r="J2276" s="23">
        <v>58.250642999999997</v>
      </c>
      <c r="K2276" s="23">
        <v>11.445015</v>
      </c>
      <c r="L2276" s="23" t="s">
        <v>819</v>
      </c>
      <c r="M2276" s="2" t="s">
        <v>825</v>
      </c>
      <c r="N2276" s="6" t="s">
        <v>828</v>
      </c>
    </row>
    <row r="2277" spans="1:14" ht="15" customHeight="1" x14ac:dyDescent="0.2">
      <c r="A2277" s="31">
        <v>0.87123952489117307</v>
      </c>
      <c r="B2277" s="31"/>
      <c r="C2277" s="2" t="s">
        <v>855</v>
      </c>
      <c r="D2277" s="31">
        <f t="shared" ref="D2277:D2340" si="82" xml:space="preserve"> A2277 * 0.196</f>
        <v>0.17076294687866994</v>
      </c>
      <c r="F2277" s="2" t="s">
        <v>822</v>
      </c>
      <c r="G2277" s="23" t="s">
        <v>902</v>
      </c>
      <c r="H2277" s="2" t="s">
        <v>822</v>
      </c>
      <c r="J2277" s="31">
        <v>33.3572998</v>
      </c>
      <c r="K2277" s="31">
        <v>-39.911998699999998</v>
      </c>
      <c r="L2277" s="31"/>
      <c r="M2277" s="31" t="s">
        <v>854</v>
      </c>
      <c r="N2277" s="6" t="s">
        <v>856</v>
      </c>
    </row>
    <row r="2278" spans="1:14" ht="15" customHeight="1" x14ac:dyDescent="0.2">
      <c r="A2278" s="31">
        <v>0.87123649746451204</v>
      </c>
      <c r="B2278" s="31"/>
      <c r="C2278" s="2" t="s">
        <v>855</v>
      </c>
      <c r="D2278" s="31">
        <f t="shared" si="82"/>
        <v>0.17076235350304436</v>
      </c>
      <c r="F2278" s="2" t="s">
        <v>822</v>
      </c>
      <c r="G2278" s="23" t="s">
        <v>902</v>
      </c>
      <c r="H2278" s="2" t="s">
        <v>822</v>
      </c>
      <c r="J2278" s="31">
        <v>51.766998299999997</v>
      </c>
      <c r="K2278" s="31">
        <v>-2.3931700999999999</v>
      </c>
      <c r="L2278" s="31"/>
      <c r="M2278" s="31" t="s">
        <v>854</v>
      </c>
      <c r="N2278" s="6" t="s">
        <v>856</v>
      </c>
    </row>
    <row r="2279" spans="1:14" ht="15" customHeight="1" x14ac:dyDescent="0.2">
      <c r="A2279" s="31">
        <v>0.87027008212275159</v>
      </c>
      <c r="B2279" s="31"/>
      <c r="C2279" s="2" t="s">
        <v>855</v>
      </c>
      <c r="D2279" s="31">
        <f t="shared" si="82"/>
        <v>0.17057293609605931</v>
      </c>
      <c r="F2279" s="2" t="s">
        <v>822</v>
      </c>
      <c r="G2279" s="23" t="s">
        <v>902</v>
      </c>
      <c r="H2279" s="2" t="s">
        <v>822</v>
      </c>
      <c r="J2279" s="31">
        <v>38.295600899999997</v>
      </c>
      <c r="K2279" s="31">
        <v>-41.956401800000002</v>
      </c>
      <c r="L2279" s="31"/>
      <c r="M2279" s="31" t="s">
        <v>854</v>
      </c>
      <c r="N2279" s="6" t="s">
        <v>856</v>
      </c>
    </row>
    <row r="2280" spans="1:14" ht="15" customHeight="1" x14ac:dyDescent="0.2">
      <c r="A2280" s="31">
        <v>0.86995167649607019</v>
      </c>
      <c r="B2280" s="31"/>
      <c r="C2280" s="2" t="s">
        <v>855</v>
      </c>
      <c r="D2280" s="31">
        <f t="shared" si="82"/>
        <v>0.17051052859322977</v>
      </c>
      <c r="F2280" s="2" t="s">
        <v>822</v>
      </c>
      <c r="G2280" s="23" t="s">
        <v>902</v>
      </c>
      <c r="H2280" s="2" t="s">
        <v>822</v>
      </c>
      <c r="J2280" s="31">
        <v>32.932899499999998</v>
      </c>
      <c r="K2280" s="31">
        <v>12.3298998</v>
      </c>
      <c r="L2280" s="31"/>
      <c r="M2280" s="31" t="s">
        <v>854</v>
      </c>
      <c r="N2280" s="6" t="s">
        <v>856</v>
      </c>
    </row>
    <row r="2281" spans="1:14" ht="15" customHeight="1" x14ac:dyDescent="0.2">
      <c r="A2281" s="31">
        <v>0.86975819101224461</v>
      </c>
      <c r="B2281" s="31"/>
      <c r="C2281" s="2" t="s">
        <v>855</v>
      </c>
      <c r="D2281" s="31">
        <f t="shared" si="82"/>
        <v>0.17047260543839995</v>
      </c>
      <c r="F2281" s="2" t="s">
        <v>822</v>
      </c>
      <c r="G2281" s="23" t="s">
        <v>902</v>
      </c>
      <c r="H2281" s="2" t="s">
        <v>822</v>
      </c>
      <c r="J2281" s="31">
        <v>43.141201000000002</v>
      </c>
      <c r="K2281" s="31">
        <v>-29.4286995</v>
      </c>
      <c r="L2281" s="31"/>
      <c r="M2281" s="31" t="s">
        <v>854</v>
      </c>
      <c r="N2281" s="6" t="s">
        <v>856</v>
      </c>
    </row>
    <row r="2282" spans="1:14" ht="15" customHeight="1" x14ac:dyDescent="0.2">
      <c r="A2282" s="31">
        <v>0.8696749563617413</v>
      </c>
      <c r="B2282" s="31"/>
      <c r="C2282" s="2" t="s">
        <v>855</v>
      </c>
      <c r="D2282" s="31">
        <f t="shared" si="82"/>
        <v>0.1704562914469013</v>
      </c>
      <c r="F2282" s="2" t="s">
        <v>822</v>
      </c>
      <c r="G2282" s="23" t="s">
        <v>902</v>
      </c>
      <c r="H2282" s="2" t="s">
        <v>822</v>
      </c>
      <c r="J2282" s="31">
        <v>43.408000899999998</v>
      </c>
      <c r="K2282" s="31">
        <v>-24.5240002</v>
      </c>
      <c r="L2282" s="31"/>
      <c r="M2282" s="31" t="s">
        <v>854</v>
      </c>
      <c r="N2282" s="6" t="s">
        <v>856</v>
      </c>
    </row>
    <row r="2283" spans="1:14" ht="15" customHeight="1" x14ac:dyDescent="0.2">
      <c r="A2283" s="31">
        <v>0.86967020670664608</v>
      </c>
      <c r="B2283" s="31"/>
      <c r="C2283" s="2" t="s">
        <v>855</v>
      </c>
      <c r="D2283" s="31">
        <f t="shared" si="82"/>
        <v>0.17045536051450264</v>
      </c>
      <c r="F2283" s="2" t="s">
        <v>822</v>
      </c>
      <c r="G2283" s="23" t="s">
        <v>902</v>
      </c>
      <c r="H2283" s="2" t="s">
        <v>822</v>
      </c>
      <c r="J2283" s="31">
        <v>31.595500900000001</v>
      </c>
      <c r="K2283" s="31">
        <v>-42.771499599999999</v>
      </c>
      <c r="L2283" s="31"/>
      <c r="M2283" s="31" t="s">
        <v>854</v>
      </c>
      <c r="N2283" s="6" t="s">
        <v>856</v>
      </c>
    </row>
    <row r="2284" spans="1:14" ht="15" customHeight="1" x14ac:dyDescent="0.2">
      <c r="A2284" s="31">
        <v>0.86956671437118571</v>
      </c>
      <c r="B2284" s="31"/>
      <c r="C2284" s="2" t="s">
        <v>855</v>
      </c>
      <c r="D2284" s="31">
        <f t="shared" si="82"/>
        <v>0.1704350760167524</v>
      </c>
      <c r="F2284" s="2" t="s">
        <v>822</v>
      </c>
      <c r="G2284" s="23" t="s">
        <v>902</v>
      </c>
      <c r="H2284" s="2" t="s">
        <v>822</v>
      </c>
      <c r="J2284" s="31">
        <v>34.284198799999999</v>
      </c>
      <c r="K2284" s="31">
        <v>22.798999800000001</v>
      </c>
      <c r="L2284" s="31"/>
      <c r="M2284" s="31" t="s">
        <v>854</v>
      </c>
      <c r="N2284" s="6" t="s">
        <v>856</v>
      </c>
    </row>
    <row r="2285" spans="1:14" ht="15" customHeight="1" x14ac:dyDescent="0.2">
      <c r="A2285" s="31">
        <v>0.86924549519339478</v>
      </c>
      <c r="B2285" s="31"/>
      <c r="C2285" s="2" t="s">
        <v>855</v>
      </c>
      <c r="D2285" s="31">
        <f t="shared" si="82"/>
        <v>0.17037211705790539</v>
      </c>
      <c r="F2285" s="2" t="s">
        <v>822</v>
      </c>
      <c r="G2285" s="23" t="s">
        <v>902</v>
      </c>
      <c r="H2285" s="2" t="s">
        <v>822</v>
      </c>
      <c r="J2285" s="31">
        <v>27.656700099999998</v>
      </c>
      <c r="K2285" s="31">
        <v>33.990299200000003</v>
      </c>
      <c r="L2285" s="31"/>
      <c r="M2285" s="31" t="s">
        <v>854</v>
      </c>
      <c r="N2285" s="6" t="s">
        <v>856</v>
      </c>
    </row>
    <row r="2286" spans="1:14" ht="15" customHeight="1" x14ac:dyDescent="0.2">
      <c r="A2286" s="31">
        <v>0.8691311399350673</v>
      </c>
      <c r="B2286" s="31"/>
      <c r="C2286" s="2" t="s">
        <v>855</v>
      </c>
      <c r="D2286" s="31">
        <f t="shared" si="82"/>
        <v>0.17034970342727321</v>
      </c>
      <c r="F2286" s="2" t="s">
        <v>822</v>
      </c>
      <c r="G2286" s="23" t="s">
        <v>902</v>
      </c>
      <c r="H2286" s="2" t="s">
        <v>822</v>
      </c>
      <c r="J2286" s="31">
        <v>43.058399199999997</v>
      </c>
      <c r="K2286" s="31">
        <v>-15.5966997</v>
      </c>
      <c r="L2286" s="31"/>
      <c r="M2286" s="31" t="s">
        <v>854</v>
      </c>
      <c r="N2286" s="6" t="s">
        <v>856</v>
      </c>
    </row>
    <row r="2287" spans="1:14" ht="15" customHeight="1" x14ac:dyDescent="0.2">
      <c r="A2287" s="31">
        <v>0.86896490015746197</v>
      </c>
      <c r="B2287" s="31"/>
      <c r="C2287" s="2" t="s">
        <v>855</v>
      </c>
      <c r="D2287" s="31">
        <f t="shared" si="82"/>
        <v>0.17031712043086256</v>
      </c>
      <c r="F2287" s="2" t="s">
        <v>822</v>
      </c>
      <c r="G2287" s="23" t="s">
        <v>902</v>
      </c>
      <c r="H2287" s="2" t="s">
        <v>822</v>
      </c>
      <c r="J2287" s="31">
        <v>40.014099100000003</v>
      </c>
      <c r="K2287" s="31">
        <v>-35.851501499999998</v>
      </c>
      <c r="L2287" s="31"/>
      <c r="M2287" s="31" t="s">
        <v>854</v>
      </c>
      <c r="N2287" s="6" t="s">
        <v>856</v>
      </c>
    </row>
    <row r="2288" spans="1:14" ht="15" customHeight="1" x14ac:dyDescent="0.2">
      <c r="A2288" s="31">
        <v>0.868867265712021</v>
      </c>
      <c r="B2288" s="31"/>
      <c r="C2288" s="2" t="s">
        <v>855</v>
      </c>
      <c r="D2288" s="31">
        <f t="shared" si="82"/>
        <v>0.17029798407955613</v>
      </c>
      <c r="F2288" s="2" t="s">
        <v>822</v>
      </c>
      <c r="G2288" s="23" t="s">
        <v>902</v>
      </c>
      <c r="H2288" s="2" t="s">
        <v>822</v>
      </c>
      <c r="J2288" s="31">
        <v>39.016498599999998</v>
      </c>
      <c r="K2288" s="31">
        <v>14.800399799999999</v>
      </c>
      <c r="L2288" s="31"/>
      <c r="M2288" s="31" t="s">
        <v>854</v>
      </c>
      <c r="N2288" s="6" t="s">
        <v>856</v>
      </c>
    </row>
    <row r="2289" spans="1:14" ht="15" customHeight="1" x14ac:dyDescent="0.2">
      <c r="A2289" s="31">
        <v>0.86849244153898064</v>
      </c>
      <c r="B2289" s="31"/>
      <c r="C2289" s="2" t="s">
        <v>855</v>
      </c>
      <c r="D2289" s="31">
        <f t="shared" si="82"/>
        <v>0.17022451854164022</v>
      </c>
      <c r="F2289" s="2" t="s">
        <v>822</v>
      </c>
      <c r="G2289" s="23" t="s">
        <v>902</v>
      </c>
      <c r="H2289" s="2" t="s">
        <v>822</v>
      </c>
      <c r="J2289" s="31">
        <v>35.391998299999997</v>
      </c>
      <c r="K2289" s="31">
        <v>-9.8280001000000006</v>
      </c>
      <c r="L2289" s="31"/>
      <c r="M2289" s="31" t="s">
        <v>854</v>
      </c>
      <c r="N2289" s="6" t="s">
        <v>856</v>
      </c>
    </row>
    <row r="2290" spans="1:14" ht="15" customHeight="1" x14ac:dyDescent="0.2">
      <c r="A2290" s="31">
        <v>0.86829191540483375</v>
      </c>
      <c r="B2290" s="31"/>
      <c r="C2290" s="2" t="s">
        <v>855</v>
      </c>
      <c r="D2290" s="31">
        <f t="shared" si="82"/>
        <v>0.17018521541934742</v>
      </c>
      <c r="F2290" s="2" t="s">
        <v>822</v>
      </c>
      <c r="G2290" s="23" t="s">
        <v>902</v>
      </c>
      <c r="H2290" s="2" t="s">
        <v>822</v>
      </c>
      <c r="J2290" s="31">
        <v>34.504699700000003</v>
      </c>
      <c r="K2290" s="31">
        <v>26.935199699999998</v>
      </c>
      <c r="L2290" s="31"/>
      <c r="M2290" s="31" t="s">
        <v>854</v>
      </c>
      <c r="N2290" s="6" t="s">
        <v>856</v>
      </c>
    </row>
    <row r="2291" spans="1:14" ht="15" customHeight="1" x14ac:dyDescent="0.2">
      <c r="A2291" s="31">
        <v>0.86786158642997513</v>
      </c>
      <c r="B2291" s="31"/>
      <c r="C2291" s="2" t="s">
        <v>855</v>
      </c>
      <c r="D2291" s="31">
        <f t="shared" si="82"/>
        <v>0.17010087094027512</v>
      </c>
      <c r="F2291" s="2" t="s">
        <v>822</v>
      </c>
      <c r="G2291" s="23" t="s">
        <v>902</v>
      </c>
      <c r="H2291" s="2" t="s">
        <v>822</v>
      </c>
      <c r="J2291" s="31">
        <v>35.247798899999999</v>
      </c>
      <c r="K2291" s="31">
        <v>-41.123600000000003</v>
      </c>
      <c r="L2291" s="31"/>
      <c r="M2291" s="31" t="s">
        <v>854</v>
      </c>
      <c r="N2291" s="6" t="s">
        <v>856</v>
      </c>
    </row>
    <row r="2292" spans="1:14" ht="15" customHeight="1" x14ac:dyDescent="0.2">
      <c r="A2292" s="31">
        <v>0.86762666802573674</v>
      </c>
      <c r="B2292" s="31"/>
      <c r="C2292" s="2" t="s">
        <v>855</v>
      </c>
      <c r="D2292" s="31">
        <f t="shared" si="82"/>
        <v>0.17005482693304441</v>
      </c>
      <c r="F2292" s="2" t="s">
        <v>822</v>
      </c>
      <c r="G2292" s="23" t="s">
        <v>902</v>
      </c>
      <c r="H2292" s="2" t="s">
        <v>822</v>
      </c>
      <c r="J2292" s="31">
        <v>36.932201399999997</v>
      </c>
      <c r="K2292" s="31">
        <v>-31.641199100000001</v>
      </c>
      <c r="L2292" s="31"/>
      <c r="M2292" s="31" t="s">
        <v>854</v>
      </c>
      <c r="N2292" s="6" t="s">
        <v>856</v>
      </c>
    </row>
    <row r="2293" spans="1:14" ht="15" customHeight="1" x14ac:dyDescent="0.2">
      <c r="A2293" s="31">
        <v>0.86751641391772927</v>
      </c>
      <c r="B2293" s="31"/>
      <c r="C2293" s="2" t="s">
        <v>855</v>
      </c>
      <c r="D2293" s="31">
        <f t="shared" si="82"/>
        <v>0.17003321712787495</v>
      </c>
      <c r="F2293" s="2" t="s">
        <v>822</v>
      </c>
      <c r="G2293" s="23" t="s">
        <v>902</v>
      </c>
      <c r="H2293" s="2" t="s">
        <v>822</v>
      </c>
      <c r="J2293" s="31">
        <v>45.411998699999998</v>
      </c>
      <c r="K2293" s="31">
        <v>-22.520000499999998</v>
      </c>
      <c r="L2293" s="31"/>
      <c r="M2293" s="31" t="s">
        <v>854</v>
      </c>
      <c r="N2293" s="6" t="s">
        <v>856</v>
      </c>
    </row>
    <row r="2294" spans="1:14" ht="15" customHeight="1" x14ac:dyDescent="0.2">
      <c r="A2294" s="31">
        <v>0.86742803274075564</v>
      </c>
      <c r="B2294" s="31"/>
      <c r="C2294" s="2" t="s">
        <v>855</v>
      </c>
      <c r="D2294" s="31">
        <f t="shared" si="82"/>
        <v>0.17001589441718812</v>
      </c>
      <c r="F2294" s="2" t="s">
        <v>822</v>
      </c>
      <c r="G2294" s="23" t="s">
        <v>902</v>
      </c>
      <c r="H2294" s="2" t="s">
        <v>822</v>
      </c>
      <c r="J2294" s="31">
        <v>42.294700599999999</v>
      </c>
      <c r="K2294" s="31">
        <v>-41.780700699999997</v>
      </c>
      <c r="L2294" s="31"/>
      <c r="M2294" s="31" t="s">
        <v>854</v>
      </c>
      <c r="N2294" s="6" t="s">
        <v>856</v>
      </c>
    </row>
    <row r="2295" spans="1:14" ht="15" customHeight="1" x14ac:dyDescent="0.2">
      <c r="A2295" s="31">
        <v>0.86722421646763104</v>
      </c>
      <c r="B2295" s="31"/>
      <c r="C2295" s="2" t="s">
        <v>855</v>
      </c>
      <c r="D2295" s="31">
        <f t="shared" si="82"/>
        <v>0.16997594642765568</v>
      </c>
      <c r="F2295" s="2" t="s">
        <v>822</v>
      </c>
      <c r="G2295" s="23" t="s">
        <v>902</v>
      </c>
      <c r="H2295" s="2" t="s">
        <v>822</v>
      </c>
      <c r="J2295" s="31">
        <v>40.0680008</v>
      </c>
      <c r="K2295" s="31">
        <v>-41.223998999999999</v>
      </c>
      <c r="L2295" s="31"/>
      <c r="M2295" s="31" t="s">
        <v>854</v>
      </c>
      <c r="N2295" s="6" t="s">
        <v>856</v>
      </c>
    </row>
    <row r="2296" spans="1:14" ht="15" customHeight="1" x14ac:dyDescent="0.2">
      <c r="A2296" s="31">
        <v>0.86719418081309851</v>
      </c>
      <c r="B2296" s="31"/>
      <c r="C2296" s="2" t="s">
        <v>855</v>
      </c>
      <c r="D2296" s="31">
        <f t="shared" si="82"/>
        <v>0.16997005943936733</v>
      </c>
      <c r="F2296" s="2" t="s">
        <v>822</v>
      </c>
      <c r="G2296" s="23" t="s">
        <v>902</v>
      </c>
      <c r="H2296" s="2" t="s">
        <v>822</v>
      </c>
      <c r="J2296" s="31">
        <v>36.957000700000002</v>
      </c>
      <c r="K2296" s="31">
        <v>15.224300400000001</v>
      </c>
      <c r="L2296" s="31"/>
      <c r="M2296" s="31" t="s">
        <v>854</v>
      </c>
      <c r="N2296" s="6" t="s">
        <v>856</v>
      </c>
    </row>
    <row r="2297" spans="1:14" ht="15" customHeight="1" x14ac:dyDescent="0.2">
      <c r="A2297" s="31">
        <v>0.86690971426474162</v>
      </c>
      <c r="B2297" s="31"/>
      <c r="C2297" s="2" t="s">
        <v>855</v>
      </c>
      <c r="D2297" s="31">
        <f t="shared" si="82"/>
        <v>0.16991430399588936</v>
      </c>
      <c r="F2297" s="2" t="s">
        <v>822</v>
      </c>
      <c r="G2297" s="23" t="s">
        <v>902</v>
      </c>
      <c r="H2297" s="2" t="s">
        <v>822</v>
      </c>
      <c r="J2297" s="31">
        <v>40.745601700000002</v>
      </c>
      <c r="K2297" s="31">
        <v>5.5460099999999999</v>
      </c>
      <c r="L2297" s="31"/>
      <c r="M2297" s="31" t="s">
        <v>854</v>
      </c>
      <c r="N2297" s="6" t="s">
        <v>856</v>
      </c>
    </row>
    <row r="2298" spans="1:14" ht="15" customHeight="1" x14ac:dyDescent="0.2">
      <c r="A2298" s="31">
        <v>0.86666296073005911</v>
      </c>
      <c r="B2298" s="31"/>
      <c r="C2298" s="2" t="s">
        <v>855</v>
      </c>
      <c r="D2298" s="31">
        <f t="shared" si="82"/>
        <v>0.1698659403030916</v>
      </c>
      <c r="F2298" s="2" t="s">
        <v>822</v>
      </c>
      <c r="G2298" s="23" t="s">
        <v>902</v>
      </c>
      <c r="H2298" s="2" t="s">
        <v>822</v>
      </c>
      <c r="J2298" s="31">
        <v>54.3484993</v>
      </c>
      <c r="K2298" s="31">
        <v>-8.7946300999999991</v>
      </c>
      <c r="L2298" s="31"/>
      <c r="M2298" s="31" t="s">
        <v>854</v>
      </c>
      <c r="N2298" s="6" t="s">
        <v>856</v>
      </c>
    </row>
    <row r="2299" spans="1:14" ht="15" customHeight="1" x14ac:dyDescent="0.2">
      <c r="A2299" s="31">
        <v>0.86654418182597803</v>
      </c>
      <c r="B2299" s="31"/>
      <c r="C2299" s="2" t="s">
        <v>855</v>
      </c>
      <c r="D2299" s="31">
        <f t="shared" si="82"/>
        <v>0.16984265963789169</v>
      </c>
      <c r="F2299" s="2" t="s">
        <v>822</v>
      </c>
      <c r="G2299" s="23" t="s">
        <v>902</v>
      </c>
      <c r="H2299" s="2" t="s">
        <v>822</v>
      </c>
      <c r="J2299" s="31">
        <v>46.347099299999996</v>
      </c>
      <c r="K2299" s="31">
        <v>-14.667699799999999</v>
      </c>
      <c r="L2299" s="31"/>
      <c r="M2299" s="31" t="s">
        <v>854</v>
      </c>
      <c r="N2299" s="6" t="s">
        <v>856</v>
      </c>
    </row>
    <row r="2300" spans="1:14" ht="15" customHeight="1" x14ac:dyDescent="0.2">
      <c r="A2300" s="31">
        <v>0.86632074553811966</v>
      </c>
      <c r="B2300" s="31"/>
      <c r="C2300" s="2" t="s">
        <v>855</v>
      </c>
      <c r="D2300" s="31">
        <f t="shared" si="82"/>
        <v>0.16979886612547146</v>
      </c>
      <c r="F2300" s="2" t="s">
        <v>822</v>
      </c>
      <c r="G2300" s="23" t="s">
        <v>902</v>
      </c>
      <c r="H2300" s="2" t="s">
        <v>822</v>
      </c>
      <c r="J2300" s="31">
        <v>43.368000000000002</v>
      </c>
      <c r="K2300" s="31">
        <v>4.3943000000000003</v>
      </c>
      <c r="L2300" s="31"/>
      <c r="M2300" s="31" t="s">
        <v>854</v>
      </c>
      <c r="N2300" s="6" t="s">
        <v>856</v>
      </c>
    </row>
    <row r="2301" spans="1:14" ht="15" customHeight="1" x14ac:dyDescent="0.2">
      <c r="A2301" s="31">
        <v>0.86624154073342197</v>
      </c>
      <c r="B2301" s="31"/>
      <c r="C2301" s="2" t="s">
        <v>855</v>
      </c>
      <c r="D2301" s="31">
        <f t="shared" si="82"/>
        <v>0.16978334198375072</v>
      </c>
      <c r="F2301" s="2" t="s">
        <v>822</v>
      </c>
      <c r="G2301" s="23" t="s">
        <v>902</v>
      </c>
      <c r="H2301" s="2" t="s">
        <v>822</v>
      </c>
      <c r="J2301" s="31">
        <v>36.513099699999998</v>
      </c>
      <c r="K2301" s="31">
        <v>0.723526</v>
      </c>
      <c r="L2301" s="31"/>
      <c r="M2301" s="31" t="s">
        <v>854</v>
      </c>
      <c r="N2301" s="6" t="s">
        <v>856</v>
      </c>
    </row>
    <row r="2302" spans="1:14" ht="15" customHeight="1" x14ac:dyDescent="0.2">
      <c r="A2302" s="31">
        <v>0.86621760343898491</v>
      </c>
      <c r="B2302" s="31"/>
      <c r="C2302" s="2" t="s">
        <v>855</v>
      </c>
      <c r="D2302" s="31">
        <f t="shared" si="82"/>
        <v>0.16977865027404104</v>
      </c>
      <c r="F2302" s="2" t="s">
        <v>822</v>
      </c>
      <c r="G2302" s="23" t="s">
        <v>902</v>
      </c>
      <c r="H2302" s="2" t="s">
        <v>822</v>
      </c>
      <c r="J2302" s="31">
        <v>55.219600700000001</v>
      </c>
      <c r="K2302" s="31">
        <v>14.452500300000001</v>
      </c>
      <c r="L2302" s="31"/>
      <c r="M2302" s="31" t="s">
        <v>854</v>
      </c>
      <c r="N2302" s="6" t="s">
        <v>856</v>
      </c>
    </row>
    <row r="2303" spans="1:14" ht="15" customHeight="1" x14ac:dyDescent="0.2">
      <c r="A2303" s="31">
        <v>0.86607471212499043</v>
      </c>
      <c r="B2303" s="31"/>
      <c r="C2303" s="2" t="s">
        <v>855</v>
      </c>
      <c r="D2303" s="31">
        <f t="shared" si="82"/>
        <v>0.16975064357649813</v>
      </c>
      <c r="F2303" s="2" t="s">
        <v>822</v>
      </c>
      <c r="G2303" s="23" t="s">
        <v>902</v>
      </c>
      <c r="H2303" s="2" t="s">
        <v>822</v>
      </c>
      <c r="J2303" s="31">
        <v>38.063999199999998</v>
      </c>
      <c r="K2303" s="31">
        <v>-12.5</v>
      </c>
      <c r="L2303" s="31"/>
      <c r="M2303" s="31" t="s">
        <v>854</v>
      </c>
      <c r="N2303" s="6" t="s">
        <v>856</v>
      </c>
    </row>
    <row r="2304" spans="1:14" ht="15" customHeight="1" x14ac:dyDescent="0.2">
      <c r="A2304" s="31">
        <v>0.86577050422004409</v>
      </c>
      <c r="B2304" s="31"/>
      <c r="C2304" s="2" t="s">
        <v>855</v>
      </c>
      <c r="D2304" s="31">
        <f t="shared" si="82"/>
        <v>0.16969101882712864</v>
      </c>
      <c r="F2304" s="2" t="s">
        <v>822</v>
      </c>
      <c r="G2304" s="23" t="s">
        <v>902</v>
      </c>
      <c r="H2304" s="2" t="s">
        <v>822</v>
      </c>
      <c r="J2304" s="31">
        <v>34.7140007</v>
      </c>
      <c r="K2304" s="31">
        <v>-41.183498399999998</v>
      </c>
      <c r="L2304" s="31"/>
      <c r="M2304" s="31" t="s">
        <v>854</v>
      </c>
      <c r="N2304" s="6" t="s">
        <v>856</v>
      </c>
    </row>
    <row r="2305" spans="1:14" ht="15" customHeight="1" x14ac:dyDescent="0.2">
      <c r="A2305" s="31">
        <v>0.86565220749702787</v>
      </c>
      <c r="B2305" s="31"/>
      <c r="C2305" s="2" t="s">
        <v>855</v>
      </c>
      <c r="D2305" s="31">
        <f t="shared" si="82"/>
        <v>0.16966783266941746</v>
      </c>
      <c r="F2305" s="2" t="s">
        <v>822</v>
      </c>
      <c r="G2305" s="23" t="s">
        <v>902</v>
      </c>
      <c r="H2305" s="2" t="s">
        <v>822</v>
      </c>
      <c r="J2305" s="31">
        <v>43.310501100000003</v>
      </c>
      <c r="K2305" s="31">
        <v>-18.525600399999998</v>
      </c>
      <c r="L2305" s="31"/>
      <c r="M2305" s="31" t="s">
        <v>854</v>
      </c>
      <c r="N2305" s="6" t="s">
        <v>856</v>
      </c>
    </row>
    <row r="2306" spans="1:14" ht="15" customHeight="1" x14ac:dyDescent="0.2">
      <c r="A2306" s="31">
        <v>0.865431629019765</v>
      </c>
      <c r="B2306" s="31"/>
      <c r="C2306" s="2" t="s">
        <v>855</v>
      </c>
      <c r="D2306" s="31">
        <f t="shared" si="82"/>
        <v>0.16962459928787393</v>
      </c>
      <c r="F2306" s="2" t="s">
        <v>822</v>
      </c>
      <c r="G2306" s="23" t="s">
        <v>902</v>
      </c>
      <c r="H2306" s="2" t="s">
        <v>822</v>
      </c>
      <c r="J2306" s="31">
        <v>54.223701499999997</v>
      </c>
      <c r="K2306" s="31">
        <v>14.0275002</v>
      </c>
      <c r="L2306" s="31"/>
      <c r="M2306" s="31" t="s">
        <v>854</v>
      </c>
      <c r="N2306" s="6" t="s">
        <v>856</v>
      </c>
    </row>
    <row r="2307" spans="1:14" ht="15" customHeight="1" x14ac:dyDescent="0.2">
      <c r="A2307" s="31">
        <v>0.86510193170714367</v>
      </c>
      <c r="B2307" s="31"/>
      <c r="C2307" s="2" t="s">
        <v>855</v>
      </c>
      <c r="D2307" s="31">
        <f t="shared" si="82"/>
        <v>0.16955997861460018</v>
      </c>
      <c r="F2307" s="2" t="s">
        <v>822</v>
      </c>
      <c r="G2307" s="23" t="s">
        <v>902</v>
      </c>
      <c r="H2307" s="2" t="s">
        <v>822</v>
      </c>
      <c r="J2307" s="31">
        <v>35.120300299999997</v>
      </c>
      <c r="K2307" s="31">
        <v>-2.0823901</v>
      </c>
      <c r="L2307" s="31"/>
      <c r="M2307" s="31" t="s">
        <v>854</v>
      </c>
      <c r="N2307" s="6" t="s">
        <v>856</v>
      </c>
    </row>
    <row r="2308" spans="1:14" ht="15" customHeight="1" x14ac:dyDescent="0.2">
      <c r="A2308" s="31">
        <v>0.86505860761590669</v>
      </c>
      <c r="B2308" s="31"/>
      <c r="C2308" s="2" t="s">
        <v>855</v>
      </c>
      <c r="D2308" s="31">
        <f t="shared" si="82"/>
        <v>0.16955148709271772</v>
      </c>
      <c r="F2308" s="2" t="s">
        <v>822</v>
      </c>
      <c r="G2308" s="23" t="s">
        <v>902</v>
      </c>
      <c r="H2308" s="2" t="s">
        <v>822</v>
      </c>
      <c r="J2308" s="31">
        <v>35.391998299999997</v>
      </c>
      <c r="K2308" s="31">
        <v>-23.521999399999999</v>
      </c>
      <c r="L2308" s="31"/>
      <c r="M2308" s="31" t="s">
        <v>854</v>
      </c>
      <c r="N2308" s="6" t="s">
        <v>856</v>
      </c>
    </row>
    <row r="2309" spans="1:14" ht="15" customHeight="1" x14ac:dyDescent="0.2">
      <c r="A2309" s="31">
        <v>0.8648417818717411</v>
      </c>
      <c r="B2309" s="31"/>
      <c r="C2309" s="2" t="s">
        <v>855</v>
      </c>
      <c r="D2309" s="31">
        <f t="shared" si="82"/>
        <v>0.16950898924686125</v>
      </c>
      <c r="F2309" s="2" t="s">
        <v>822</v>
      </c>
      <c r="G2309" s="23" t="s">
        <v>902</v>
      </c>
      <c r="H2309" s="2" t="s">
        <v>822</v>
      </c>
      <c r="J2309" s="31">
        <v>41.111598999999998</v>
      </c>
      <c r="K2309" s="31">
        <v>-36.548000299999998</v>
      </c>
      <c r="L2309" s="31"/>
      <c r="M2309" s="31" t="s">
        <v>854</v>
      </c>
      <c r="N2309" s="6" t="s">
        <v>856</v>
      </c>
    </row>
    <row r="2310" spans="1:14" ht="15" customHeight="1" x14ac:dyDescent="0.2">
      <c r="A2310" s="31">
        <v>0.8647847915455581</v>
      </c>
      <c r="B2310" s="31"/>
      <c r="C2310" s="2" t="s">
        <v>855</v>
      </c>
      <c r="D2310" s="31">
        <f t="shared" si="82"/>
        <v>0.16949781914292938</v>
      </c>
      <c r="F2310" s="2" t="s">
        <v>822</v>
      </c>
      <c r="G2310" s="23" t="s">
        <v>902</v>
      </c>
      <c r="H2310" s="2" t="s">
        <v>822</v>
      </c>
      <c r="J2310" s="31">
        <v>40.168498999999997</v>
      </c>
      <c r="K2310" s="31">
        <v>0.38213399999999997</v>
      </c>
      <c r="L2310" s="31"/>
      <c r="M2310" s="31" t="s">
        <v>854</v>
      </c>
      <c r="N2310" s="6" t="s">
        <v>856</v>
      </c>
    </row>
    <row r="2311" spans="1:14" ht="15" customHeight="1" x14ac:dyDescent="0.2">
      <c r="A2311" s="31">
        <v>0.86466720059452074</v>
      </c>
      <c r="B2311" s="31"/>
      <c r="C2311" s="2" t="s">
        <v>855</v>
      </c>
      <c r="D2311" s="31">
        <f t="shared" si="82"/>
        <v>0.16947477131652608</v>
      </c>
      <c r="F2311" s="2" t="s">
        <v>822</v>
      </c>
      <c r="G2311" s="23" t="s">
        <v>902</v>
      </c>
      <c r="H2311" s="2" t="s">
        <v>822</v>
      </c>
      <c r="J2311" s="31">
        <v>44.1078987</v>
      </c>
      <c r="K2311" s="31">
        <v>-26.5646992</v>
      </c>
      <c r="L2311" s="31"/>
      <c r="M2311" s="31" t="s">
        <v>854</v>
      </c>
      <c r="N2311" s="6" t="s">
        <v>856</v>
      </c>
    </row>
    <row r="2312" spans="1:14" ht="15" customHeight="1" x14ac:dyDescent="0.2">
      <c r="A2312" s="31">
        <v>0.86464291164673235</v>
      </c>
      <c r="B2312" s="31"/>
      <c r="C2312" s="2" t="s">
        <v>855</v>
      </c>
      <c r="D2312" s="31">
        <f t="shared" si="82"/>
        <v>0.16947001068275955</v>
      </c>
      <c r="F2312" s="2" t="s">
        <v>822</v>
      </c>
      <c r="G2312" s="23" t="s">
        <v>902</v>
      </c>
      <c r="H2312" s="2" t="s">
        <v>822</v>
      </c>
      <c r="J2312" s="31">
        <v>60.834400199999997</v>
      </c>
      <c r="K2312" s="31">
        <v>18.445600500000001</v>
      </c>
      <c r="L2312" s="31"/>
      <c r="M2312" s="31" t="s">
        <v>854</v>
      </c>
      <c r="N2312" s="6" t="s">
        <v>856</v>
      </c>
    </row>
    <row r="2313" spans="1:14" ht="15" customHeight="1" x14ac:dyDescent="0.2">
      <c r="A2313" s="31">
        <v>0.86461917691138468</v>
      </c>
      <c r="B2313" s="31"/>
      <c r="C2313" s="2" t="s">
        <v>855</v>
      </c>
      <c r="D2313" s="31">
        <f t="shared" si="82"/>
        <v>0.16946535867463142</v>
      </c>
      <c r="F2313" s="2" t="s">
        <v>822</v>
      </c>
      <c r="G2313" s="23" t="s">
        <v>902</v>
      </c>
      <c r="H2313" s="2" t="s">
        <v>822</v>
      </c>
      <c r="J2313" s="31">
        <v>46.080001799999998</v>
      </c>
      <c r="K2313" s="31">
        <v>-25.860000599999999</v>
      </c>
      <c r="L2313" s="31"/>
      <c r="M2313" s="31" t="s">
        <v>854</v>
      </c>
      <c r="N2313" s="6" t="s">
        <v>856</v>
      </c>
    </row>
    <row r="2314" spans="1:14" ht="15" customHeight="1" x14ac:dyDescent="0.2">
      <c r="A2314" s="31">
        <v>0.86460566504065062</v>
      </c>
      <c r="B2314" s="31"/>
      <c r="C2314" s="2" t="s">
        <v>855</v>
      </c>
      <c r="D2314" s="31">
        <f t="shared" si="82"/>
        <v>0.16946271034796753</v>
      </c>
      <c r="F2314" s="2" t="s">
        <v>822</v>
      </c>
      <c r="G2314" s="23" t="s">
        <v>902</v>
      </c>
      <c r="H2314" s="2" t="s">
        <v>822</v>
      </c>
      <c r="J2314" s="31">
        <v>42.684699999999999</v>
      </c>
      <c r="K2314" s="31">
        <v>-12.595000300000001</v>
      </c>
      <c r="L2314" s="31"/>
      <c r="M2314" s="31" t="s">
        <v>854</v>
      </c>
      <c r="N2314" s="6" t="s">
        <v>856</v>
      </c>
    </row>
    <row r="2315" spans="1:14" ht="15" customHeight="1" x14ac:dyDescent="0.2">
      <c r="A2315" s="31">
        <v>0.86457438300586409</v>
      </c>
      <c r="B2315" s="31"/>
      <c r="C2315" s="2" t="s">
        <v>855</v>
      </c>
      <c r="D2315" s="31">
        <f t="shared" si="82"/>
        <v>0.16945657906914938</v>
      </c>
      <c r="F2315" s="2" t="s">
        <v>822</v>
      </c>
      <c r="G2315" s="23" t="s">
        <v>902</v>
      </c>
      <c r="H2315" s="2" t="s">
        <v>822</v>
      </c>
      <c r="J2315" s="31">
        <v>31.526699099999998</v>
      </c>
      <c r="K2315" s="31">
        <v>-42.992099799999998</v>
      </c>
      <c r="L2315" s="31"/>
      <c r="M2315" s="31" t="s">
        <v>854</v>
      </c>
      <c r="N2315" s="6" t="s">
        <v>856</v>
      </c>
    </row>
    <row r="2316" spans="1:14" ht="15" customHeight="1" x14ac:dyDescent="0.2">
      <c r="A2316" s="31">
        <v>0.86435802314616816</v>
      </c>
      <c r="B2316" s="31"/>
      <c r="C2316" s="2" t="s">
        <v>855</v>
      </c>
      <c r="D2316" s="31">
        <f t="shared" si="82"/>
        <v>0.16941417253664898</v>
      </c>
      <c r="F2316" s="2" t="s">
        <v>822</v>
      </c>
      <c r="G2316" s="23" t="s">
        <v>902</v>
      </c>
      <c r="H2316" s="2" t="s">
        <v>822</v>
      </c>
      <c r="J2316" s="31">
        <v>40.2776985</v>
      </c>
      <c r="K2316" s="31">
        <v>17.6697998</v>
      </c>
      <c r="L2316" s="31"/>
      <c r="M2316" s="31" t="s">
        <v>854</v>
      </c>
      <c r="N2316" s="6" t="s">
        <v>856</v>
      </c>
    </row>
    <row r="2317" spans="1:14" ht="15" customHeight="1" x14ac:dyDescent="0.2">
      <c r="A2317" s="31">
        <v>0.86434810964599063</v>
      </c>
      <c r="B2317" s="31"/>
      <c r="C2317" s="2" t="s">
        <v>855</v>
      </c>
      <c r="D2317" s="31">
        <f t="shared" si="82"/>
        <v>0.16941222949061416</v>
      </c>
      <c r="F2317" s="2" t="s">
        <v>822</v>
      </c>
      <c r="G2317" s="23" t="s">
        <v>902</v>
      </c>
      <c r="H2317" s="2" t="s">
        <v>822</v>
      </c>
      <c r="J2317" s="31">
        <v>44.076000200000003</v>
      </c>
      <c r="K2317" s="31">
        <v>-35.212001800000003</v>
      </c>
      <c r="L2317" s="31"/>
      <c r="M2317" s="31" t="s">
        <v>854</v>
      </c>
      <c r="N2317" s="6" t="s">
        <v>856</v>
      </c>
    </row>
    <row r="2318" spans="1:14" ht="15" customHeight="1" x14ac:dyDescent="0.2">
      <c r="A2318" s="31">
        <v>0.8640894150226639</v>
      </c>
      <c r="B2318" s="31"/>
      <c r="C2318" s="2" t="s">
        <v>855</v>
      </c>
      <c r="D2318" s="31">
        <f t="shared" si="82"/>
        <v>0.16936152534444213</v>
      </c>
      <c r="F2318" s="2" t="s">
        <v>822</v>
      </c>
      <c r="G2318" s="23" t="s">
        <v>902</v>
      </c>
      <c r="H2318" s="2" t="s">
        <v>822</v>
      </c>
      <c r="J2318" s="31">
        <v>40.494800599999998</v>
      </c>
      <c r="K2318" s="31">
        <v>-13.4018002</v>
      </c>
      <c r="L2318" s="31"/>
      <c r="M2318" s="31" t="s">
        <v>854</v>
      </c>
      <c r="N2318" s="6" t="s">
        <v>856</v>
      </c>
    </row>
    <row r="2319" spans="1:14" ht="15" customHeight="1" x14ac:dyDescent="0.2">
      <c r="A2319" s="31">
        <v>0.86397948594661544</v>
      </c>
      <c r="B2319" s="31"/>
      <c r="C2319" s="2" t="s">
        <v>855</v>
      </c>
      <c r="D2319" s="31">
        <f t="shared" si="82"/>
        <v>0.16933997924553662</v>
      </c>
      <c r="F2319" s="2" t="s">
        <v>822</v>
      </c>
      <c r="G2319" s="23" t="s">
        <v>902</v>
      </c>
      <c r="H2319" s="2" t="s">
        <v>822</v>
      </c>
      <c r="J2319" s="31">
        <v>28.390600200000002</v>
      </c>
      <c r="K2319" s="31">
        <v>49.513801600000001</v>
      </c>
      <c r="L2319" s="31"/>
      <c r="M2319" s="31" t="s">
        <v>854</v>
      </c>
      <c r="N2319" s="6" t="s">
        <v>856</v>
      </c>
    </row>
    <row r="2320" spans="1:14" ht="15" customHeight="1" x14ac:dyDescent="0.2">
      <c r="A2320" s="31">
        <v>0.86347964721600812</v>
      </c>
      <c r="B2320" s="31"/>
      <c r="C2320" s="2" t="s">
        <v>855</v>
      </c>
      <c r="D2320" s="31">
        <f t="shared" si="82"/>
        <v>0.1692420108543376</v>
      </c>
      <c r="F2320" s="2" t="s">
        <v>822</v>
      </c>
      <c r="G2320" s="23" t="s">
        <v>902</v>
      </c>
      <c r="H2320" s="2" t="s">
        <v>822</v>
      </c>
      <c r="J2320" s="31">
        <v>45.411998699999998</v>
      </c>
      <c r="K2320" s="31">
        <v>-23.187999699999999</v>
      </c>
      <c r="L2320" s="31"/>
      <c r="M2320" s="31" t="s">
        <v>854</v>
      </c>
      <c r="N2320" s="6" t="s">
        <v>856</v>
      </c>
    </row>
    <row r="2321" spans="1:14" ht="15" customHeight="1" x14ac:dyDescent="0.2">
      <c r="A2321" s="31">
        <v>0.86336982281364205</v>
      </c>
      <c r="B2321" s="31"/>
      <c r="C2321" s="2" t="s">
        <v>855</v>
      </c>
      <c r="D2321" s="31">
        <f t="shared" si="82"/>
        <v>0.16922048527147385</v>
      </c>
      <c r="F2321" s="2" t="s">
        <v>822</v>
      </c>
      <c r="G2321" s="23" t="s">
        <v>902</v>
      </c>
      <c r="H2321" s="2" t="s">
        <v>822</v>
      </c>
      <c r="J2321" s="31">
        <v>39.359600100000002</v>
      </c>
      <c r="K2321" s="31">
        <v>-23.856000900000002</v>
      </c>
      <c r="L2321" s="31"/>
      <c r="M2321" s="31" t="s">
        <v>854</v>
      </c>
      <c r="N2321" s="6" t="s">
        <v>856</v>
      </c>
    </row>
    <row r="2322" spans="1:14" ht="15" customHeight="1" x14ac:dyDescent="0.2">
      <c r="A2322" s="31">
        <v>0.8633241891537764</v>
      </c>
      <c r="B2322" s="31"/>
      <c r="C2322" s="2" t="s">
        <v>855</v>
      </c>
      <c r="D2322" s="31">
        <f t="shared" si="82"/>
        <v>0.16921154107414019</v>
      </c>
      <c r="F2322" s="2" t="s">
        <v>822</v>
      </c>
      <c r="G2322" s="23" t="s">
        <v>902</v>
      </c>
      <c r="H2322" s="2" t="s">
        <v>822</v>
      </c>
      <c r="J2322" s="31">
        <v>27.386699700000001</v>
      </c>
      <c r="K2322" s="31">
        <v>33.806598700000002</v>
      </c>
      <c r="L2322" s="31"/>
      <c r="M2322" s="31" t="s">
        <v>854</v>
      </c>
      <c r="N2322" s="6" t="s">
        <v>856</v>
      </c>
    </row>
    <row r="2323" spans="1:14" ht="15" customHeight="1" x14ac:dyDescent="0.2">
      <c r="A2323" s="31">
        <v>0.86319651101015171</v>
      </c>
      <c r="B2323" s="31"/>
      <c r="C2323" s="2" t="s">
        <v>855</v>
      </c>
      <c r="D2323" s="31">
        <f t="shared" si="82"/>
        <v>0.16918651615798974</v>
      </c>
      <c r="F2323" s="2" t="s">
        <v>822</v>
      </c>
      <c r="G2323" s="23" t="s">
        <v>902</v>
      </c>
      <c r="H2323" s="2" t="s">
        <v>822</v>
      </c>
      <c r="J2323" s="31">
        <v>42.071998600000001</v>
      </c>
      <c r="K2323" s="31">
        <v>-24.5240002</v>
      </c>
      <c r="L2323" s="31"/>
      <c r="M2323" s="31" t="s">
        <v>854</v>
      </c>
      <c r="N2323" s="6" t="s">
        <v>856</v>
      </c>
    </row>
    <row r="2324" spans="1:14" ht="15" customHeight="1" x14ac:dyDescent="0.2">
      <c r="A2324" s="31">
        <v>0.86290714529068757</v>
      </c>
      <c r="B2324" s="31"/>
      <c r="C2324" s="2" t="s">
        <v>855</v>
      </c>
      <c r="D2324" s="31">
        <f t="shared" si="82"/>
        <v>0.16912980047697476</v>
      </c>
      <c r="F2324" s="2" t="s">
        <v>822</v>
      </c>
      <c r="G2324" s="23" t="s">
        <v>902</v>
      </c>
      <c r="H2324" s="2" t="s">
        <v>822</v>
      </c>
      <c r="J2324" s="31">
        <v>30.7159996</v>
      </c>
      <c r="K2324" s="31">
        <v>-15.8400002</v>
      </c>
      <c r="L2324" s="31"/>
      <c r="M2324" s="31" t="s">
        <v>854</v>
      </c>
      <c r="N2324" s="6" t="s">
        <v>856</v>
      </c>
    </row>
    <row r="2325" spans="1:14" ht="15" customHeight="1" x14ac:dyDescent="0.2">
      <c r="A2325" s="31">
        <v>0.86290642752219171</v>
      </c>
      <c r="B2325" s="31"/>
      <c r="C2325" s="2" t="s">
        <v>855</v>
      </c>
      <c r="D2325" s="31">
        <f t="shared" si="82"/>
        <v>0.16912965979434957</v>
      </c>
      <c r="F2325" s="2" t="s">
        <v>822</v>
      </c>
      <c r="G2325" s="23" t="s">
        <v>902</v>
      </c>
      <c r="H2325" s="2" t="s">
        <v>822</v>
      </c>
      <c r="J2325" s="31">
        <v>37.205100999999999</v>
      </c>
      <c r="K2325" s="31">
        <v>-19.826499900000002</v>
      </c>
      <c r="L2325" s="31"/>
      <c r="M2325" s="31" t="s">
        <v>854</v>
      </c>
      <c r="N2325" s="6" t="s">
        <v>856</v>
      </c>
    </row>
    <row r="2326" spans="1:14" ht="15" customHeight="1" x14ac:dyDescent="0.2">
      <c r="A2326" s="31">
        <v>0.86280052739173407</v>
      </c>
      <c r="B2326" s="31"/>
      <c r="C2326" s="2" t="s">
        <v>855</v>
      </c>
      <c r="D2326" s="31">
        <f t="shared" si="82"/>
        <v>0.16910890336877987</v>
      </c>
      <c r="F2326" s="2" t="s">
        <v>822</v>
      </c>
      <c r="G2326" s="23" t="s">
        <v>902</v>
      </c>
      <c r="H2326" s="2" t="s">
        <v>822</v>
      </c>
      <c r="J2326" s="31">
        <v>43.605701400000001</v>
      </c>
      <c r="K2326" s="31">
        <v>-12.3549004</v>
      </c>
      <c r="L2326" s="31"/>
      <c r="M2326" s="31" t="s">
        <v>854</v>
      </c>
      <c r="N2326" s="6" t="s">
        <v>856</v>
      </c>
    </row>
    <row r="2327" spans="1:14" ht="15" customHeight="1" x14ac:dyDescent="0.2">
      <c r="A2327" s="31">
        <v>0.86275592157067615</v>
      </c>
      <c r="B2327" s="31"/>
      <c r="C2327" s="2" t="s">
        <v>855</v>
      </c>
      <c r="D2327" s="31">
        <f t="shared" si="82"/>
        <v>0.16910016062785252</v>
      </c>
      <c r="F2327" s="2" t="s">
        <v>822</v>
      </c>
      <c r="G2327" s="23" t="s">
        <v>902</v>
      </c>
      <c r="H2327" s="2" t="s">
        <v>822</v>
      </c>
      <c r="J2327" s="31">
        <v>28.711999899999999</v>
      </c>
      <c r="K2327" s="31">
        <v>-36.548000299999998</v>
      </c>
      <c r="L2327" s="31"/>
      <c r="M2327" s="31" t="s">
        <v>854</v>
      </c>
      <c r="N2327" s="6" t="s">
        <v>856</v>
      </c>
    </row>
    <row r="2328" spans="1:14" ht="15" customHeight="1" x14ac:dyDescent="0.2">
      <c r="A2328" s="31">
        <v>0.86221669563122194</v>
      </c>
      <c r="B2328" s="31"/>
      <c r="C2328" s="2" t="s">
        <v>855</v>
      </c>
      <c r="D2328" s="31">
        <f t="shared" si="82"/>
        <v>0.1689944723437195</v>
      </c>
      <c r="F2328" s="2" t="s">
        <v>822</v>
      </c>
      <c r="G2328" s="23" t="s">
        <v>902</v>
      </c>
      <c r="H2328" s="2" t="s">
        <v>822</v>
      </c>
      <c r="J2328" s="31">
        <v>33.881198900000001</v>
      </c>
      <c r="K2328" s="31">
        <v>-41.583099400000002</v>
      </c>
      <c r="L2328" s="31"/>
      <c r="M2328" s="31" t="s">
        <v>854</v>
      </c>
      <c r="N2328" s="6" t="s">
        <v>856</v>
      </c>
    </row>
    <row r="2329" spans="1:14" ht="15" customHeight="1" x14ac:dyDescent="0.2">
      <c r="A2329" s="31">
        <v>0.86201657216204652</v>
      </c>
      <c r="B2329" s="31"/>
      <c r="C2329" s="2" t="s">
        <v>855</v>
      </c>
      <c r="D2329" s="31">
        <f t="shared" si="82"/>
        <v>0.16895524814376112</v>
      </c>
      <c r="F2329" s="2" t="s">
        <v>822</v>
      </c>
      <c r="G2329" s="23" t="s">
        <v>902</v>
      </c>
      <c r="H2329" s="2" t="s">
        <v>822</v>
      </c>
      <c r="J2329" s="31">
        <v>39.400001500000002</v>
      </c>
      <c r="K2329" s="31">
        <v>-11.8319998</v>
      </c>
      <c r="L2329" s="31"/>
      <c r="M2329" s="31" t="s">
        <v>854</v>
      </c>
      <c r="N2329" s="6" t="s">
        <v>856</v>
      </c>
    </row>
    <row r="2330" spans="1:14" ht="15" customHeight="1" x14ac:dyDescent="0.2">
      <c r="A2330" s="31">
        <v>0.86162792042280945</v>
      </c>
      <c r="B2330" s="31"/>
      <c r="C2330" s="2" t="s">
        <v>855</v>
      </c>
      <c r="D2330" s="31">
        <f t="shared" si="82"/>
        <v>0.16887907240287064</v>
      </c>
      <c r="F2330" s="2" t="s">
        <v>822</v>
      </c>
      <c r="G2330" s="23" t="s">
        <v>902</v>
      </c>
      <c r="H2330" s="2" t="s">
        <v>822</v>
      </c>
      <c r="J2330" s="31">
        <v>35.160499600000001</v>
      </c>
      <c r="K2330" s="31">
        <v>-35.214401199999998</v>
      </c>
      <c r="L2330" s="31"/>
      <c r="M2330" s="31" t="s">
        <v>854</v>
      </c>
      <c r="N2330" s="6" t="s">
        <v>856</v>
      </c>
    </row>
    <row r="2331" spans="1:14" ht="15" customHeight="1" x14ac:dyDescent="0.2">
      <c r="A2331" s="31">
        <v>0.8613692183370345</v>
      </c>
      <c r="B2331" s="31"/>
      <c r="C2331" s="2" t="s">
        <v>855</v>
      </c>
      <c r="D2331" s="31">
        <f t="shared" si="82"/>
        <v>0.16882836679405877</v>
      </c>
      <c r="F2331" s="2" t="s">
        <v>822</v>
      </c>
      <c r="G2331" s="23" t="s">
        <v>902</v>
      </c>
      <c r="H2331" s="2" t="s">
        <v>822</v>
      </c>
      <c r="J2331" s="31">
        <v>44.743999500000001</v>
      </c>
      <c r="K2331" s="31">
        <v>-31.204000499999999</v>
      </c>
      <c r="L2331" s="31"/>
      <c r="M2331" s="31" t="s">
        <v>854</v>
      </c>
      <c r="N2331" s="6" t="s">
        <v>856</v>
      </c>
    </row>
    <row r="2332" spans="1:14" ht="15" customHeight="1" x14ac:dyDescent="0.2">
      <c r="A2332" s="31">
        <v>0.86127334745077821</v>
      </c>
      <c r="B2332" s="31"/>
      <c r="C2332" s="2" t="s">
        <v>855</v>
      </c>
      <c r="D2332" s="31">
        <f t="shared" si="82"/>
        <v>0.16880957610035255</v>
      </c>
      <c r="F2332" s="2" t="s">
        <v>822</v>
      </c>
      <c r="G2332" s="23" t="s">
        <v>902</v>
      </c>
      <c r="H2332" s="2" t="s">
        <v>822</v>
      </c>
      <c r="J2332" s="31">
        <v>48.909500100000002</v>
      </c>
      <c r="K2332" s="31">
        <v>-3.0885899000000001</v>
      </c>
      <c r="L2332" s="31"/>
      <c r="M2332" s="31" t="s">
        <v>854</v>
      </c>
      <c r="N2332" s="6" t="s">
        <v>856</v>
      </c>
    </row>
    <row r="2333" spans="1:14" ht="15" customHeight="1" x14ac:dyDescent="0.2">
      <c r="A2333" s="31">
        <v>0.86120899968877451</v>
      </c>
      <c r="B2333" s="31"/>
      <c r="C2333" s="2" t="s">
        <v>855</v>
      </c>
      <c r="D2333" s="31">
        <f t="shared" si="82"/>
        <v>0.16879696393899982</v>
      </c>
      <c r="F2333" s="2" t="s">
        <v>822</v>
      </c>
      <c r="G2333" s="23" t="s">
        <v>902</v>
      </c>
      <c r="H2333" s="2" t="s">
        <v>822</v>
      </c>
      <c r="J2333" s="31">
        <v>44.743999500000001</v>
      </c>
      <c r="K2333" s="31">
        <v>-14.5039997</v>
      </c>
      <c r="L2333" s="31"/>
      <c r="M2333" s="31" t="s">
        <v>854</v>
      </c>
      <c r="N2333" s="6" t="s">
        <v>856</v>
      </c>
    </row>
    <row r="2334" spans="1:14" ht="15" customHeight="1" x14ac:dyDescent="0.2">
      <c r="A2334" s="31">
        <v>0.86074423577875436</v>
      </c>
      <c r="B2334" s="31"/>
      <c r="C2334" s="2" t="s">
        <v>855</v>
      </c>
      <c r="D2334" s="31">
        <f t="shared" si="82"/>
        <v>0.16870587021263586</v>
      </c>
      <c r="F2334" s="2" t="s">
        <v>822</v>
      </c>
      <c r="G2334" s="23" t="s">
        <v>902</v>
      </c>
      <c r="H2334" s="2" t="s">
        <v>822</v>
      </c>
      <c r="J2334" s="31">
        <v>30.7159996</v>
      </c>
      <c r="K2334" s="31">
        <v>-17.8439999</v>
      </c>
      <c r="L2334" s="31"/>
      <c r="M2334" s="31" t="s">
        <v>854</v>
      </c>
      <c r="N2334" s="6" t="s">
        <v>856</v>
      </c>
    </row>
    <row r="2335" spans="1:14" ht="15" customHeight="1" x14ac:dyDescent="0.2">
      <c r="A2335" s="31">
        <v>0.86053705736471864</v>
      </c>
      <c r="B2335" s="31"/>
      <c r="C2335" s="2" t="s">
        <v>855</v>
      </c>
      <c r="D2335" s="31">
        <f t="shared" si="82"/>
        <v>0.16866526324348485</v>
      </c>
      <c r="F2335" s="2" t="s">
        <v>822</v>
      </c>
      <c r="G2335" s="23" t="s">
        <v>902</v>
      </c>
      <c r="H2335" s="2" t="s">
        <v>822</v>
      </c>
      <c r="J2335" s="31">
        <v>35.301299999999998</v>
      </c>
      <c r="K2335" s="31">
        <v>-33.698200200000002</v>
      </c>
      <c r="L2335" s="31"/>
      <c r="M2335" s="31" t="s">
        <v>854</v>
      </c>
      <c r="N2335" s="6" t="s">
        <v>856</v>
      </c>
    </row>
    <row r="2336" spans="1:14" ht="15" customHeight="1" x14ac:dyDescent="0.2">
      <c r="A2336" s="31">
        <v>0.85997604739021949</v>
      </c>
      <c r="B2336" s="31"/>
      <c r="C2336" s="2" t="s">
        <v>855</v>
      </c>
      <c r="D2336" s="31">
        <f t="shared" si="82"/>
        <v>0.16855530528848303</v>
      </c>
      <c r="F2336" s="2" t="s">
        <v>822</v>
      </c>
      <c r="G2336" s="23" t="s">
        <v>902</v>
      </c>
      <c r="H2336" s="2" t="s">
        <v>822</v>
      </c>
      <c r="J2336" s="31">
        <v>42.740001700000001</v>
      </c>
      <c r="K2336" s="31">
        <v>-38.551998099999999</v>
      </c>
      <c r="L2336" s="31"/>
      <c r="M2336" s="31" t="s">
        <v>854</v>
      </c>
      <c r="N2336" s="6" t="s">
        <v>856</v>
      </c>
    </row>
    <row r="2337" spans="1:14" ht="15" customHeight="1" x14ac:dyDescent="0.2">
      <c r="A2337" s="31">
        <v>0.85990487630967793</v>
      </c>
      <c r="B2337" s="31"/>
      <c r="C2337" s="2" t="s">
        <v>855</v>
      </c>
      <c r="D2337" s="31">
        <f t="shared" si="82"/>
        <v>0.16854135575669688</v>
      </c>
      <c r="F2337" s="2" t="s">
        <v>822</v>
      </c>
      <c r="G2337" s="23" t="s">
        <v>902</v>
      </c>
      <c r="H2337" s="2" t="s">
        <v>822</v>
      </c>
      <c r="J2337" s="31">
        <v>30.7159996</v>
      </c>
      <c r="K2337" s="31">
        <v>-17.176000599999998</v>
      </c>
      <c r="L2337" s="31"/>
      <c r="M2337" s="31" t="s">
        <v>854</v>
      </c>
      <c r="N2337" s="6" t="s">
        <v>856</v>
      </c>
    </row>
    <row r="2338" spans="1:14" ht="15" customHeight="1" x14ac:dyDescent="0.2">
      <c r="A2338" s="31">
        <v>0.85967561839676765</v>
      </c>
      <c r="B2338" s="31"/>
      <c r="C2338" s="2" t="s">
        <v>855</v>
      </c>
      <c r="D2338" s="31">
        <f t="shared" si="82"/>
        <v>0.16849642120576647</v>
      </c>
      <c r="F2338" s="2" t="s">
        <v>822</v>
      </c>
      <c r="G2338" s="23" t="s">
        <v>902</v>
      </c>
      <c r="H2338" s="2" t="s">
        <v>822</v>
      </c>
      <c r="J2338" s="31">
        <v>39.037200900000002</v>
      </c>
      <c r="K2338" s="31">
        <v>9.2396697999999997</v>
      </c>
      <c r="L2338" s="31"/>
      <c r="M2338" s="31" t="s">
        <v>854</v>
      </c>
      <c r="N2338" s="6" t="s">
        <v>856</v>
      </c>
    </row>
    <row r="2339" spans="1:14" ht="15" customHeight="1" x14ac:dyDescent="0.2">
      <c r="A2339" s="31">
        <v>0.85957142145026488</v>
      </c>
      <c r="B2339" s="31"/>
      <c r="C2339" s="2" t="s">
        <v>855</v>
      </c>
      <c r="D2339" s="31">
        <f t="shared" si="82"/>
        <v>0.16847599860425191</v>
      </c>
      <c r="F2339" s="2" t="s">
        <v>822</v>
      </c>
      <c r="G2339" s="23" t="s">
        <v>902</v>
      </c>
      <c r="H2339" s="2" t="s">
        <v>822</v>
      </c>
      <c r="J2339" s="31">
        <v>38.503398900000001</v>
      </c>
      <c r="K2339" s="31">
        <v>-10.5186996</v>
      </c>
      <c r="L2339" s="31"/>
      <c r="M2339" s="31" t="s">
        <v>854</v>
      </c>
      <c r="N2339" s="6" t="s">
        <v>856</v>
      </c>
    </row>
    <row r="2340" spans="1:14" ht="15" customHeight="1" x14ac:dyDescent="0.2">
      <c r="A2340" s="31">
        <v>0.85940013885751088</v>
      </c>
      <c r="B2340" s="31"/>
      <c r="C2340" s="2" t="s">
        <v>855</v>
      </c>
      <c r="D2340" s="31">
        <f t="shared" si="82"/>
        <v>0.16844242721607214</v>
      </c>
      <c r="F2340" s="2" t="s">
        <v>822</v>
      </c>
      <c r="G2340" s="23" t="s">
        <v>902</v>
      </c>
      <c r="H2340" s="2" t="s">
        <v>822</v>
      </c>
      <c r="J2340" s="31">
        <v>40.0680008</v>
      </c>
      <c r="K2340" s="31">
        <v>-26.103200900000001</v>
      </c>
      <c r="L2340" s="31"/>
      <c r="M2340" s="31" t="s">
        <v>854</v>
      </c>
      <c r="N2340" s="6" t="s">
        <v>856</v>
      </c>
    </row>
    <row r="2341" spans="1:14" ht="15" customHeight="1" x14ac:dyDescent="0.2">
      <c r="A2341" s="31">
        <v>0.85923135412169793</v>
      </c>
      <c r="B2341" s="31"/>
      <c r="C2341" s="2" t="s">
        <v>855</v>
      </c>
      <c r="D2341" s="31">
        <f t="shared" ref="D2341:D2404" si="83" xml:space="preserve"> A2341 * 0.196</f>
        <v>0.1684093454078528</v>
      </c>
      <c r="F2341" s="2" t="s">
        <v>822</v>
      </c>
      <c r="G2341" s="23" t="s">
        <v>902</v>
      </c>
      <c r="H2341" s="2" t="s">
        <v>822</v>
      </c>
      <c r="J2341" s="31">
        <v>30.048000300000002</v>
      </c>
      <c r="K2341" s="31">
        <v>-20.516000699999999</v>
      </c>
      <c r="L2341" s="31"/>
      <c r="M2341" s="31" t="s">
        <v>854</v>
      </c>
      <c r="N2341" s="6" t="s">
        <v>856</v>
      </c>
    </row>
    <row r="2342" spans="1:14" ht="15" customHeight="1" x14ac:dyDescent="0.2">
      <c r="A2342" s="31">
        <v>0.85907331883119042</v>
      </c>
      <c r="B2342" s="31"/>
      <c r="C2342" s="2" t="s">
        <v>855</v>
      </c>
      <c r="D2342" s="31">
        <f t="shared" si="83"/>
        <v>0.16837837049091334</v>
      </c>
      <c r="F2342" s="2" t="s">
        <v>822</v>
      </c>
      <c r="G2342" s="23" t="s">
        <v>902</v>
      </c>
      <c r="H2342" s="2" t="s">
        <v>822</v>
      </c>
      <c r="J2342" s="31">
        <v>33.3667984</v>
      </c>
      <c r="K2342" s="31">
        <v>-35.851600599999998</v>
      </c>
      <c r="L2342" s="31"/>
      <c r="M2342" s="31" t="s">
        <v>854</v>
      </c>
      <c r="N2342" s="6" t="s">
        <v>856</v>
      </c>
    </row>
    <row r="2343" spans="1:14" ht="15" customHeight="1" x14ac:dyDescent="0.2">
      <c r="A2343" s="31">
        <v>0.85898254898509652</v>
      </c>
      <c r="B2343" s="31"/>
      <c r="C2343" s="2" t="s">
        <v>855</v>
      </c>
      <c r="D2343" s="31">
        <f t="shared" si="83"/>
        <v>0.16836057960107892</v>
      </c>
      <c r="F2343" s="2" t="s">
        <v>822</v>
      </c>
      <c r="G2343" s="23" t="s">
        <v>902</v>
      </c>
      <c r="H2343" s="2" t="s">
        <v>822</v>
      </c>
      <c r="J2343" s="31">
        <v>38.731998400000002</v>
      </c>
      <c r="K2343" s="31">
        <v>-15.171999899999999</v>
      </c>
      <c r="L2343" s="31"/>
      <c r="M2343" s="31" t="s">
        <v>854</v>
      </c>
      <c r="N2343" s="6" t="s">
        <v>856</v>
      </c>
    </row>
    <row r="2344" spans="1:14" ht="15" customHeight="1" x14ac:dyDescent="0.2">
      <c r="A2344" s="31">
        <v>0.85877662976927793</v>
      </c>
      <c r="B2344" s="31"/>
      <c r="C2344" s="2" t="s">
        <v>855</v>
      </c>
      <c r="D2344" s="31">
        <f t="shared" si="83"/>
        <v>0.16832021943477848</v>
      </c>
      <c r="F2344" s="2" t="s">
        <v>822</v>
      </c>
      <c r="G2344" s="23" t="s">
        <v>902</v>
      </c>
      <c r="H2344" s="2" t="s">
        <v>822</v>
      </c>
      <c r="J2344" s="31">
        <v>28.0440006</v>
      </c>
      <c r="K2344" s="31">
        <v>-19.1800003</v>
      </c>
      <c r="L2344" s="31"/>
      <c r="M2344" s="31" t="s">
        <v>854</v>
      </c>
      <c r="N2344" s="6" t="s">
        <v>856</v>
      </c>
    </row>
    <row r="2345" spans="1:14" ht="15" customHeight="1" x14ac:dyDescent="0.2">
      <c r="A2345" s="31">
        <v>0.85874063055524297</v>
      </c>
      <c r="B2345" s="31"/>
      <c r="C2345" s="2" t="s">
        <v>855</v>
      </c>
      <c r="D2345" s="31">
        <f t="shared" si="83"/>
        <v>0.16831316358882764</v>
      </c>
      <c r="F2345" s="2" t="s">
        <v>822</v>
      </c>
      <c r="G2345" s="23" t="s">
        <v>902</v>
      </c>
      <c r="H2345" s="2" t="s">
        <v>822</v>
      </c>
      <c r="J2345" s="31">
        <v>40.787300100000003</v>
      </c>
      <c r="K2345" s="31">
        <v>-9.9116602</v>
      </c>
      <c r="L2345" s="31"/>
      <c r="M2345" s="31" t="s">
        <v>854</v>
      </c>
      <c r="N2345" s="6" t="s">
        <v>856</v>
      </c>
    </row>
    <row r="2346" spans="1:14" ht="15" customHeight="1" x14ac:dyDescent="0.2">
      <c r="A2346" s="31">
        <v>0.85869778682274034</v>
      </c>
      <c r="B2346" s="31"/>
      <c r="C2346" s="2" t="s">
        <v>855</v>
      </c>
      <c r="D2346" s="31">
        <f t="shared" si="83"/>
        <v>0.16830476621725712</v>
      </c>
      <c r="F2346" s="2" t="s">
        <v>822</v>
      </c>
      <c r="G2346" s="23" t="s">
        <v>902</v>
      </c>
      <c r="H2346" s="2" t="s">
        <v>822</v>
      </c>
      <c r="J2346" s="31">
        <v>27.375999499999999</v>
      </c>
      <c r="K2346" s="31">
        <v>-22.520000499999998</v>
      </c>
      <c r="L2346" s="31"/>
      <c r="M2346" s="31" t="s">
        <v>854</v>
      </c>
      <c r="N2346" s="6" t="s">
        <v>856</v>
      </c>
    </row>
    <row r="2347" spans="1:14" ht="15" customHeight="1" x14ac:dyDescent="0.2">
      <c r="A2347" s="31">
        <v>0.85869730480587814</v>
      </c>
      <c r="B2347" s="31"/>
      <c r="C2347" s="2" t="s">
        <v>855</v>
      </c>
      <c r="D2347" s="31">
        <f t="shared" si="83"/>
        <v>0.16830467174195213</v>
      </c>
      <c r="F2347" s="2" t="s">
        <v>822</v>
      </c>
      <c r="G2347" s="23" t="s">
        <v>902</v>
      </c>
      <c r="H2347" s="2" t="s">
        <v>822</v>
      </c>
      <c r="J2347" s="31">
        <v>37.546298999999998</v>
      </c>
      <c r="K2347" s="31">
        <v>-31.528099099999999</v>
      </c>
      <c r="L2347" s="31"/>
      <c r="M2347" s="31" t="s">
        <v>854</v>
      </c>
      <c r="N2347" s="6" t="s">
        <v>856</v>
      </c>
    </row>
    <row r="2348" spans="1:14" ht="15" customHeight="1" x14ac:dyDescent="0.2">
      <c r="A2348" s="31">
        <v>0.85861110459031886</v>
      </c>
      <c r="B2348" s="31"/>
      <c r="C2348" s="2" t="s">
        <v>855</v>
      </c>
      <c r="D2348" s="31">
        <f t="shared" si="83"/>
        <v>0.1682877764997025</v>
      </c>
      <c r="F2348" s="2" t="s">
        <v>822</v>
      </c>
      <c r="G2348" s="23" t="s">
        <v>902</v>
      </c>
      <c r="H2348" s="2" t="s">
        <v>822</v>
      </c>
      <c r="J2348" s="31">
        <v>36.344101000000002</v>
      </c>
      <c r="K2348" s="31">
        <v>25.829200700000001</v>
      </c>
      <c r="L2348" s="31"/>
      <c r="M2348" s="31" t="s">
        <v>854</v>
      </c>
      <c r="N2348" s="6" t="s">
        <v>856</v>
      </c>
    </row>
    <row r="2349" spans="1:14" ht="15" customHeight="1" x14ac:dyDescent="0.2">
      <c r="A2349" s="31">
        <v>0.85857730457323478</v>
      </c>
      <c r="B2349" s="31"/>
      <c r="C2349" s="2" t="s">
        <v>855</v>
      </c>
      <c r="D2349" s="31">
        <f t="shared" si="83"/>
        <v>0.16828115169635402</v>
      </c>
      <c r="F2349" s="2" t="s">
        <v>822</v>
      </c>
      <c r="G2349" s="23" t="s">
        <v>902</v>
      </c>
      <c r="H2349" s="2" t="s">
        <v>822</v>
      </c>
      <c r="J2349" s="31">
        <v>39.411800399999997</v>
      </c>
      <c r="K2349" s="31">
        <v>8.5087899999999994</v>
      </c>
      <c r="L2349" s="31"/>
      <c r="M2349" s="31" t="s">
        <v>854</v>
      </c>
      <c r="N2349" s="6" t="s">
        <v>856</v>
      </c>
    </row>
    <row r="2350" spans="1:14" ht="15" customHeight="1" x14ac:dyDescent="0.2">
      <c r="A2350" s="31">
        <v>0.85822064919750585</v>
      </c>
      <c r="B2350" s="31"/>
      <c r="C2350" s="2" t="s">
        <v>855</v>
      </c>
      <c r="D2350" s="31">
        <f t="shared" si="83"/>
        <v>0.16821124724271116</v>
      </c>
      <c r="F2350" s="2" t="s">
        <v>822</v>
      </c>
      <c r="G2350" s="23" t="s">
        <v>902</v>
      </c>
      <c r="H2350" s="2" t="s">
        <v>822</v>
      </c>
      <c r="J2350" s="31">
        <v>46.252498600000003</v>
      </c>
      <c r="K2350" s="31">
        <v>-6.5374298</v>
      </c>
      <c r="L2350" s="31"/>
      <c r="M2350" s="31" t="s">
        <v>854</v>
      </c>
      <c r="N2350" s="6" t="s">
        <v>856</v>
      </c>
    </row>
    <row r="2351" spans="1:14" ht="15" customHeight="1" x14ac:dyDescent="0.2">
      <c r="A2351" s="31">
        <v>0.85806867704892709</v>
      </c>
      <c r="B2351" s="31"/>
      <c r="C2351" s="2" t="s">
        <v>855</v>
      </c>
      <c r="D2351" s="31">
        <f t="shared" si="83"/>
        <v>0.16818146070158971</v>
      </c>
      <c r="F2351" s="2" t="s">
        <v>822</v>
      </c>
      <c r="G2351" s="23" t="s">
        <v>902</v>
      </c>
      <c r="H2351" s="2" t="s">
        <v>822</v>
      </c>
      <c r="J2351" s="31">
        <v>42.724201200000003</v>
      </c>
      <c r="K2351" s="31">
        <v>-20.5074997</v>
      </c>
      <c r="L2351" s="31"/>
      <c r="M2351" s="31" t="s">
        <v>854</v>
      </c>
      <c r="N2351" s="6" t="s">
        <v>856</v>
      </c>
    </row>
    <row r="2352" spans="1:14" ht="15" customHeight="1" x14ac:dyDescent="0.2">
      <c r="A2352" s="31">
        <v>0.85786990440454547</v>
      </c>
      <c r="B2352" s="31"/>
      <c r="C2352" s="2" t="s">
        <v>855</v>
      </c>
      <c r="D2352" s="31">
        <f t="shared" si="83"/>
        <v>0.16814250126329092</v>
      </c>
      <c r="F2352" s="2" t="s">
        <v>822</v>
      </c>
      <c r="G2352" s="23" t="s">
        <v>902</v>
      </c>
      <c r="H2352" s="2" t="s">
        <v>822</v>
      </c>
      <c r="J2352" s="31">
        <v>26.050800299999999</v>
      </c>
      <c r="K2352" s="31">
        <v>-27.873100300000001</v>
      </c>
      <c r="L2352" s="31"/>
      <c r="M2352" s="31" t="s">
        <v>854</v>
      </c>
      <c r="N2352" s="6" t="s">
        <v>856</v>
      </c>
    </row>
    <row r="2353" spans="1:14" ht="15" customHeight="1" x14ac:dyDescent="0.2">
      <c r="A2353" s="31">
        <v>0.85775445485562729</v>
      </c>
      <c r="B2353" s="31"/>
      <c r="C2353" s="2" t="s">
        <v>855</v>
      </c>
      <c r="D2353" s="31">
        <f t="shared" si="83"/>
        <v>0.16811987315170296</v>
      </c>
      <c r="F2353" s="2" t="s">
        <v>822</v>
      </c>
      <c r="G2353" s="23" t="s">
        <v>902</v>
      </c>
      <c r="H2353" s="2" t="s">
        <v>822</v>
      </c>
      <c r="J2353" s="31">
        <v>37.865200000000002</v>
      </c>
      <c r="K2353" s="31">
        <v>-17.798799500000001</v>
      </c>
      <c r="L2353" s="31"/>
      <c r="M2353" s="31" t="s">
        <v>854</v>
      </c>
      <c r="N2353" s="6" t="s">
        <v>856</v>
      </c>
    </row>
    <row r="2354" spans="1:14" ht="15" customHeight="1" x14ac:dyDescent="0.2">
      <c r="A2354" s="31">
        <v>0.85746808022882648</v>
      </c>
      <c r="B2354" s="31"/>
      <c r="C2354" s="2" t="s">
        <v>855</v>
      </c>
      <c r="D2354" s="31">
        <f t="shared" si="83"/>
        <v>0.16806374372485</v>
      </c>
      <c r="F2354" s="2" t="s">
        <v>822</v>
      </c>
      <c r="G2354" s="23" t="s">
        <v>902</v>
      </c>
      <c r="H2354" s="2" t="s">
        <v>822</v>
      </c>
      <c r="J2354" s="31">
        <v>33.388000499999997</v>
      </c>
      <c r="K2354" s="31">
        <v>-14.5039997</v>
      </c>
      <c r="L2354" s="31"/>
      <c r="M2354" s="31" t="s">
        <v>854</v>
      </c>
      <c r="N2354" s="6" t="s">
        <v>856</v>
      </c>
    </row>
    <row r="2355" spans="1:14" ht="15" customHeight="1" x14ac:dyDescent="0.2">
      <c r="A2355" s="31">
        <v>0.85724333485106186</v>
      </c>
      <c r="B2355" s="31"/>
      <c r="C2355" s="2" t="s">
        <v>855</v>
      </c>
      <c r="D2355" s="31">
        <f t="shared" si="83"/>
        <v>0.16801969363080813</v>
      </c>
      <c r="F2355" s="2" t="s">
        <v>822</v>
      </c>
      <c r="G2355" s="23" t="s">
        <v>902</v>
      </c>
      <c r="H2355" s="2" t="s">
        <v>822</v>
      </c>
      <c r="J2355" s="31">
        <v>43.531299599999997</v>
      </c>
      <c r="K2355" s="31">
        <v>-30.0121994</v>
      </c>
      <c r="L2355" s="31"/>
      <c r="M2355" s="31" t="s">
        <v>854</v>
      </c>
      <c r="N2355" s="6" t="s">
        <v>856</v>
      </c>
    </row>
    <row r="2356" spans="1:14" ht="15" customHeight="1" x14ac:dyDescent="0.2">
      <c r="A2356" s="31">
        <v>0.85711020352766554</v>
      </c>
      <c r="B2356" s="31"/>
      <c r="C2356" s="2" t="s">
        <v>855</v>
      </c>
      <c r="D2356" s="31">
        <f t="shared" si="83"/>
        <v>0.16799359989142246</v>
      </c>
      <c r="F2356" s="2" t="s">
        <v>822</v>
      </c>
      <c r="G2356" s="23" t="s">
        <v>902</v>
      </c>
      <c r="H2356" s="2" t="s">
        <v>822</v>
      </c>
      <c r="J2356" s="31">
        <v>30.628200499999998</v>
      </c>
      <c r="K2356" s="31">
        <v>-37.198898300000003</v>
      </c>
      <c r="L2356" s="31"/>
      <c r="M2356" s="31" t="s">
        <v>854</v>
      </c>
      <c r="N2356" s="6" t="s">
        <v>856</v>
      </c>
    </row>
    <row r="2357" spans="1:14" ht="15" customHeight="1" x14ac:dyDescent="0.2">
      <c r="A2357" s="31">
        <v>0.85703826365145042</v>
      </c>
      <c r="B2357" s="31"/>
      <c r="C2357" s="2" t="s">
        <v>855</v>
      </c>
      <c r="D2357" s="31">
        <f t="shared" si="83"/>
        <v>0.16797949967568429</v>
      </c>
      <c r="F2357" s="2" t="s">
        <v>822</v>
      </c>
      <c r="G2357" s="23" t="s">
        <v>902</v>
      </c>
      <c r="H2357" s="2" t="s">
        <v>822</v>
      </c>
      <c r="J2357" s="31">
        <v>31.504299199999998</v>
      </c>
      <c r="K2357" s="31">
        <v>32.891899100000003</v>
      </c>
      <c r="L2357" s="31"/>
      <c r="M2357" s="31" t="s">
        <v>854</v>
      </c>
      <c r="N2357" s="6" t="s">
        <v>856</v>
      </c>
    </row>
    <row r="2358" spans="1:14" ht="15" customHeight="1" x14ac:dyDescent="0.2">
      <c r="A2358" s="31">
        <v>0.85646276366997254</v>
      </c>
      <c r="B2358" s="31"/>
      <c r="C2358" s="2" t="s">
        <v>855</v>
      </c>
      <c r="D2358" s="31">
        <f t="shared" si="83"/>
        <v>0.16786670167931461</v>
      </c>
      <c r="F2358" s="2" t="s">
        <v>822</v>
      </c>
      <c r="G2358" s="23" t="s">
        <v>902</v>
      </c>
      <c r="H2358" s="2" t="s">
        <v>822</v>
      </c>
      <c r="J2358" s="31">
        <v>38.063999199999998</v>
      </c>
      <c r="K2358" s="31">
        <v>7.54</v>
      </c>
      <c r="L2358" s="31"/>
      <c r="M2358" s="31" t="s">
        <v>854</v>
      </c>
      <c r="N2358" s="6" t="s">
        <v>856</v>
      </c>
    </row>
    <row r="2359" spans="1:14" ht="15" customHeight="1" x14ac:dyDescent="0.2">
      <c r="A2359" s="31">
        <v>0.85637911125617872</v>
      </c>
      <c r="B2359" s="31"/>
      <c r="C2359" s="2" t="s">
        <v>855</v>
      </c>
      <c r="D2359" s="31">
        <f t="shared" si="83"/>
        <v>0.16785030580621105</v>
      </c>
      <c r="F2359" s="2" t="s">
        <v>822</v>
      </c>
      <c r="G2359" s="23" t="s">
        <v>902</v>
      </c>
      <c r="H2359" s="2" t="s">
        <v>822</v>
      </c>
      <c r="J2359" s="31">
        <v>40.671199799999997</v>
      </c>
      <c r="K2359" s="31">
        <v>-13.7938004</v>
      </c>
      <c r="L2359" s="31"/>
      <c r="M2359" s="31" t="s">
        <v>854</v>
      </c>
      <c r="N2359" s="6" t="s">
        <v>856</v>
      </c>
    </row>
    <row r="2360" spans="1:14" ht="15" customHeight="1" x14ac:dyDescent="0.2">
      <c r="A2360" s="31">
        <v>0.85607423286045614</v>
      </c>
      <c r="B2360" s="31"/>
      <c r="C2360" s="2" t="s">
        <v>855</v>
      </c>
      <c r="D2360" s="31">
        <f t="shared" si="83"/>
        <v>0.16779054964064941</v>
      </c>
      <c r="F2360" s="2" t="s">
        <v>822</v>
      </c>
      <c r="G2360" s="23" t="s">
        <v>902</v>
      </c>
      <c r="H2360" s="2" t="s">
        <v>822</v>
      </c>
      <c r="J2360" s="31">
        <v>44.287799800000002</v>
      </c>
      <c r="K2360" s="31">
        <v>-1.38185</v>
      </c>
      <c r="L2360" s="31"/>
      <c r="M2360" s="31" t="s">
        <v>854</v>
      </c>
      <c r="N2360" s="6" t="s">
        <v>856</v>
      </c>
    </row>
    <row r="2361" spans="1:14" ht="15" customHeight="1" x14ac:dyDescent="0.2">
      <c r="A2361" s="31">
        <v>0.85566542482136387</v>
      </c>
      <c r="B2361" s="31"/>
      <c r="C2361" s="2" t="s">
        <v>855</v>
      </c>
      <c r="D2361" s="31">
        <f t="shared" si="83"/>
        <v>0.16771042326498733</v>
      </c>
      <c r="F2361" s="2" t="s">
        <v>822</v>
      </c>
      <c r="G2361" s="23" t="s">
        <v>902</v>
      </c>
      <c r="H2361" s="2" t="s">
        <v>822</v>
      </c>
      <c r="J2361" s="31">
        <v>29.054199199999999</v>
      </c>
      <c r="K2361" s="31">
        <v>-26.871799500000002</v>
      </c>
      <c r="L2361" s="31"/>
      <c r="M2361" s="31" t="s">
        <v>854</v>
      </c>
      <c r="N2361" s="6" t="s">
        <v>856</v>
      </c>
    </row>
    <row r="2362" spans="1:14" ht="15" customHeight="1" x14ac:dyDescent="0.2">
      <c r="A2362" s="31">
        <v>0.85563045839581964</v>
      </c>
      <c r="B2362" s="31"/>
      <c r="C2362" s="2" t="s">
        <v>855</v>
      </c>
      <c r="D2362" s="31">
        <f t="shared" si="83"/>
        <v>0.16770356984558066</v>
      </c>
      <c r="F2362" s="2" t="s">
        <v>822</v>
      </c>
      <c r="G2362" s="23" t="s">
        <v>902</v>
      </c>
      <c r="H2362" s="2" t="s">
        <v>822</v>
      </c>
      <c r="J2362" s="31">
        <v>29.3799992</v>
      </c>
      <c r="K2362" s="31">
        <v>-40.555999800000002</v>
      </c>
      <c r="L2362" s="31"/>
      <c r="M2362" s="31" t="s">
        <v>854</v>
      </c>
      <c r="N2362" s="6" t="s">
        <v>856</v>
      </c>
    </row>
    <row r="2363" spans="1:14" ht="15" customHeight="1" x14ac:dyDescent="0.2">
      <c r="A2363" s="31">
        <v>0.85556669474846392</v>
      </c>
      <c r="B2363" s="31"/>
      <c r="C2363" s="2" t="s">
        <v>855</v>
      </c>
      <c r="D2363" s="31">
        <f t="shared" si="83"/>
        <v>0.16769107217069892</v>
      </c>
      <c r="F2363" s="2" t="s">
        <v>822</v>
      </c>
      <c r="G2363" s="23" t="s">
        <v>902</v>
      </c>
      <c r="H2363" s="2" t="s">
        <v>822</v>
      </c>
      <c r="J2363" s="31">
        <v>41.9109993</v>
      </c>
      <c r="K2363" s="31">
        <v>4.5549998</v>
      </c>
      <c r="L2363" s="31"/>
      <c r="M2363" s="31" t="s">
        <v>854</v>
      </c>
      <c r="N2363" s="6" t="s">
        <v>856</v>
      </c>
    </row>
    <row r="2364" spans="1:14" ht="15" customHeight="1" x14ac:dyDescent="0.2">
      <c r="A2364" s="31">
        <v>0.85470750329318401</v>
      </c>
      <c r="B2364" s="31"/>
      <c r="C2364" s="2" t="s">
        <v>855</v>
      </c>
      <c r="D2364" s="31">
        <f t="shared" si="83"/>
        <v>0.16752267064546408</v>
      </c>
      <c r="F2364" s="2" t="s">
        <v>822</v>
      </c>
      <c r="G2364" s="23" t="s">
        <v>902</v>
      </c>
      <c r="H2364" s="2" t="s">
        <v>822</v>
      </c>
      <c r="J2364" s="31">
        <v>40.4673996</v>
      </c>
      <c r="K2364" s="31">
        <v>-38.580501599999998</v>
      </c>
      <c r="L2364" s="31"/>
      <c r="M2364" s="31" t="s">
        <v>854</v>
      </c>
      <c r="N2364" s="6" t="s">
        <v>856</v>
      </c>
    </row>
    <row r="2365" spans="1:14" ht="15" customHeight="1" x14ac:dyDescent="0.2">
      <c r="A2365" s="31">
        <v>0.85461284693518402</v>
      </c>
      <c r="B2365" s="31"/>
      <c r="C2365" s="2" t="s">
        <v>855</v>
      </c>
      <c r="D2365" s="31">
        <f t="shared" si="83"/>
        <v>0.16750411799929607</v>
      </c>
      <c r="F2365" s="2" t="s">
        <v>822</v>
      </c>
      <c r="G2365" s="23" t="s">
        <v>902</v>
      </c>
      <c r="H2365" s="2" t="s">
        <v>822</v>
      </c>
      <c r="J2365" s="31">
        <v>40.0680008</v>
      </c>
      <c r="K2365" s="31">
        <v>-39.888000499999997</v>
      </c>
      <c r="L2365" s="31"/>
      <c r="M2365" s="31" t="s">
        <v>854</v>
      </c>
      <c r="N2365" s="6" t="s">
        <v>856</v>
      </c>
    </row>
    <row r="2366" spans="1:14" ht="15" customHeight="1" x14ac:dyDescent="0.2">
      <c r="A2366" s="31">
        <v>0.85451486968296453</v>
      </c>
      <c r="B2366" s="31"/>
      <c r="C2366" s="2" t="s">
        <v>855</v>
      </c>
      <c r="D2366" s="31">
        <f t="shared" si="83"/>
        <v>0.16748491445786107</v>
      </c>
      <c r="F2366" s="2" t="s">
        <v>822</v>
      </c>
      <c r="G2366" s="23" t="s">
        <v>902</v>
      </c>
      <c r="H2366" s="2" t="s">
        <v>822</v>
      </c>
      <c r="J2366" s="31">
        <v>39.421001400000002</v>
      </c>
      <c r="K2366" s="31">
        <v>7.3302002000000002</v>
      </c>
      <c r="L2366" s="31"/>
      <c r="M2366" s="31" t="s">
        <v>854</v>
      </c>
      <c r="N2366" s="6" t="s">
        <v>856</v>
      </c>
    </row>
    <row r="2367" spans="1:14" ht="15" customHeight="1" x14ac:dyDescent="0.2">
      <c r="A2367" s="31">
        <v>0.8544478163461019</v>
      </c>
      <c r="B2367" s="31"/>
      <c r="C2367" s="2" t="s">
        <v>855</v>
      </c>
      <c r="D2367" s="31">
        <f t="shared" si="83"/>
        <v>0.16747177200383598</v>
      </c>
      <c r="F2367" s="2" t="s">
        <v>822</v>
      </c>
      <c r="G2367" s="23" t="s">
        <v>902</v>
      </c>
      <c r="H2367" s="2" t="s">
        <v>822</v>
      </c>
      <c r="J2367" s="31">
        <v>30.7159996</v>
      </c>
      <c r="K2367" s="31">
        <v>-33.208000200000001</v>
      </c>
      <c r="L2367" s="31"/>
      <c r="M2367" s="31" t="s">
        <v>854</v>
      </c>
      <c r="N2367" s="6" t="s">
        <v>856</v>
      </c>
    </row>
    <row r="2368" spans="1:14" ht="15" customHeight="1" x14ac:dyDescent="0.2">
      <c r="A2368" s="31">
        <v>0.85418243092028934</v>
      </c>
      <c r="B2368" s="31"/>
      <c r="C2368" s="2" t="s">
        <v>855</v>
      </c>
      <c r="D2368" s="31">
        <f t="shared" si="83"/>
        <v>0.16741975646037671</v>
      </c>
      <c r="F2368" s="2" t="s">
        <v>822</v>
      </c>
      <c r="G2368" s="23" t="s">
        <v>902</v>
      </c>
      <c r="H2368" s="2" t="s">
        <v>822</v>
      </c>
      <c r="J2368" s="31">
        <v>37.9817009</v>
      </c>
      <c r="K2368" s="31">
        <v>-38.562801399999998</v>
      </c>
      <c r="L2368" s="31"/>
      <c r="M2368" s="31" t="s">
        <v>854</v>
      </c>
      <c r="N2368" s="6" t="s">
        <v>856</v>
      </c>
    </row>
    <row r="2369" spans="1:14" ht="15" customHeight="1" x14ac:dyDescent="0.2">
      <c r="A2369" s="31">
        <v>0.85407807086442922</v>
      </c>
      <c r="B2369" s="31"/>
      <c r="C2369" s="2" t="s">
        <v>855</v>
      </c>
      <c r="D2369" s="31">
        <f t="shared" si="83"/>
        <v>0.16739930188942814</v>
      </c>
      <c r="F2369" s="2" t="s">
        <v>822</v>
      </c>
      <c r="G2369" s="23" t="s">
        <v>902</v>
      </c>
      <c r="H2369" s="2" t="s">
        <v>822</v>
      </c>
      <c r="J2369" s="31">
        <v>45.329700500000001</v>
      </c>
      <c r="K2369" s="31">
        <v>-3.8582698999999998</v>
      </c>
      <c r="L2369" s="31"/>
      <c r="M2369" s="31" t="s">
        <v>854</v>
      </c>
      <c r="N2369" s="6" t="s">
        <v>856</v>
      </c>
    </row>
    <row r="2370" spans="1:14" ht="15" customHeight="1" x14ac:dyDescent="0.2">
      <c r="A2370" s="31">
        <v>0.85384051051389642</v>
      </c>
      <c r="B2370" s="31"/>
      <c r="C2370" s="2" t="s">
        <v>855</v>
      </c>
      <c r="D2370" s="31">
        <f t="shared" si="83"/>
        <v>0.1673527400607237</v>
      </c>
      <c r="F2370" s="2" t="s">
        <v>822</v>
      </c>
      <c r="G2370" s="23" t="s">
        <v>902</v>
      </c>
      <c r="H2370" s="2" t="s">
        <v>822</v>
      </c>
      <c r="J2370" s="31">
        <v>31.9347992</v>
      </c>
      <c r="K2370" s="31">
        <v>-28.691499700000001</v>
      </c>
      <c r="L2370" s="31"/>
      <c r="M2370" s="31" t="s">
        <v>854</v>
      </c>
      <c r="N2370" s="6" t="s">
        <v>856</v>
      </c>
    </row>
    <row r="2371" spans="1:14" ht="15" customHeight="1" x14ac:dyDescent="0.2">
      <c r="A2371" s="31">
        <v>0.85383966464973182</v>
      </c>
      <c r="B2371" s="31"/>
      <c r="C2371" s="2" t="s">
        <v>855</v>
      </c>
      <c r="D2371" s="31">
        <f t="shared" si="83"/>
        <v>0.16735257427134745</v>
      </c>
      <c r="F2371" s="2" t="s">
        <v>822</v>
      </c>
      <c r="G2371" s="23" t="s">
        <v>902</v>
      </c>
      <c r="H2371" s="2" t="s">
        <v>822</v>
      </c>
      <c r="J2371" s="31">
        <v>45.438499499999999</v>
      </c>
      <c r="K2371" s="31">
        <v>-35.246398900000003</v>
      </c>
      <c r="L2371" s="31"/>
      <c r="M2371" s="31" t="s">
        <v>854</v>
      </c>
      <c r="N2371" s="6" t="s">
        <v>856</v>
      </c>
    </row>
    <row r="2372" spans="1:14" ht="15" customHeight="1" x14ac:dyDescent="0.2">
      <c r="A2372" s="31">
        <v>0.85367846362905464</v>
      </c>
      <c r="B2372" s="31"/>
      <c r="C2372" s="2" t="s">
        <v>855</v>
      </c>
      <c r="D2372" s="31">
        <f t="shared" si="83"/>
        <v>0.16732097887129471</v>
      </c>
      <c r="F2372" s="2" t="s">
        <v>822</v>
      </c>
      <c r="G2372" s="23" t="s">
        <v>902</v>
      </c>
      <c r="H2372" s="2" t="s">
        <v>822</v>
      </c>
      <c r="J2372" s="31">
        <v>36.189701100000001</v>
      </c>
      <c r="K2372" s="31">
        <v>-31.841699599999998</v>
      </c>
      <c r="L2372" s="31"/>
      <c r="M2372" s="31" t="s">
        <v>854</v>
      </c>
      <c r="N2372" s="6" t="s">
        <v>856</v>
      </c>
    </row>
    <row r="2373" spans="1:14" ht="15" customHeight="1" x14ac:dyDescent="0.2">
      <c r="A2373" s="31">
        <v>0.85364843965921866</v>
      </c>
      <c r="B2373" s="31"/>
      <c r="C2373" s="2" t="s">
        <v>855</v>
      </c>
      <c r="D2373" s="31">
        <f t="shared" si="83"/>
        <v>0.16731509417320686</v>
      </c>
      <c r="F2373" s="2" t="s">
        <v>822</v>
      </c>
      <c r="G2373" s="23" t="s">
        <v>902</v>
      </c>
      <c r="H2373" s="2" t="s">
        <v>822</v>
      </c>
      <c r="J2373" s="31">
        <v>39.338298799999997</v>
      </c>
      <c r="K2373" s="31">
        <v>-36.558601400000001</v>
      </c>
      <c r="L2373" s="31"/>
      <c r="M2373" s="31" t="s">
        <v>854</v>
      </c>
      <c r="N2373" s="6" t="s">
        <v>856</v>
      </c>
    </row>
    <row r="2374" spans="1:14" ht="15" customHeight="1" x14ac:dyDescent="0.2">
      <c r="A2374" s="31">
        <v>0.85347095943320961</v>
      </c>
      <c r="B2374" s="31"/>
      <c r="C2374" s="2" t="s">
        <v>855</v>
      </c>
      <c r="D2374" s="31">
        <f t="shared" si="83"/>
        <v>0.16728030804890909</v>
      </c>
      <c r="F2374" s="2" t="s">
        <v>822</v>
      </c>
      <c r="G2374" s="23" t="s">
        <v>902</v>
      </c>
      <c r="H2374" s="2" t="s">
        <v>822</v>
      </c>
      <c r="J2374" s="31">
        <v>46.080001799999998</v>
      </c>
      <c r="K2374" s="31">
        <v>-21.184000000000001</v>
      </c>
      <c r="L2374" s="31"/>
      <c r="M2374" s="31" t="s">
        <v>854</v>
      </c>
      <c r="N2374" s="6" t="s">
        <v>856</v>
      </c>
    </row>
    <row r="2375" spans="1:14" ht="15" customHeight="1" x14ac:dyDescent="0.2">
      <c r="A2375" s="31">
        <v>0.85344028994939236</v>
      </c>
      <c r="B2375" s="31"/>
      <c r="C2375" s="2" t="s">
        <v>855</v>
      </c>
      <c r="D2375" s="31">
        <f t="shared" si="83"/>
        <v>0.16727429683008091</v>
      </c>
      <c r="F2375" s="2" t="s">
        <v>822</v>
      </c>
      <c r="G2375" s="23" t="s">
        <v>902</v>
      </c>
      <c r="H2375" s="2" t="s">
        <v>822</v>
      </c>
      <c r="J2375" s="31">
        <v>28.3910999</v>
      </c>
      <c r="K2375" s="31">
        <v>-14.2257996</v>
      </c>
      <c r="L2375" s="31"/>
      <c r="M2375" s="31" t="s">
        <v>854</v>
      </c>
      <c r="N2375" s="6" t="s">
        <v>856</v>
      </c>
    </row>
    <row r="2376" spans="1:14" ht="15" customHeight="1" x14ac:dyDescent="0.2">
      <c r="A2376" s="31">
        <v>0.853348765551871</v>
      </c>
      <c r="B2376" s="31"/>
      <c r="C2376" s="2" t="s">
        <v>855</v>
      </c>
      <c r="D2376" s="31">
        <f t="shared" si="83"/>
        <v>0.16725635804816671</v>
      </c>
      <c r="F2376" s="2" t="s">
        <v>822</v>
      </c>
      <c r="G2376" s="23" t="s">
        <v>902</v>
      </c>
      <c r="H2376" s="2" t="s">
        <v>822</v>
      </c>
      <c r="J2376" s="31">
        <v>41.112598400000003</v>
      </c>
      <c r="K2376" s="31">
        <v>-26.184299500000002</v>
      </c>
      <c r="L2376" s="31"/>
      <c r="M2376" s="31" t="s">
        <v>854</v>
      </c>
      <c r="N2376" s="6" t="s">
        <v>856</v>
      </c>
    </row>
    <row r="2377" spans="1:14" ht="15" customHeight="1" x14ac:dyDescent="0.2">
      <c r="A2377" s="31">
        <v>0.85325035347610634</v>
      </c>
      <c r="B2377" s="31"/>
      <c r="C2377" s="2" t="s">
        <v>855</v>
      </c>
      <c r="D2377" s="31">
        <f t="shared" si="83"/>
        <v>0.16723706928131685</v>
      </c>
      <c r="F2377" s="2" t="s">
        <v>822</v>
      </c>
      <c r="G2377" s="23" t="s">
        <v>902</v>
      </c>
      <c r="H2377" s="2" t="s">
        <v>822</v>
      </c>
      <c r="J2377" s="31">
        <v>46.079700500000001</v>
      </c>
      <c r="K2377" s="31">
        <v>-11.255299600000001</v>
      </c>
      <c r="L2377" s="31"/>
      <c r="M2377" s="31" t="s">
        <v>854</v>
      </c>
      <c r="N2377" s="6" t="s">
        <v>856</v>
      </c>
    </row>
    <row r="2378" spans="1:14" ht="15" customHeight="1" x14ac:dyDescent="0.2">
      <c r="A2378" s="31">
        <v>0.85303154488547817</v>
      </c>
      <c r="B2378" s="31"/>
      <c r="C2378" s="2" t="s">
        <v>855</v>
      </c>
      <c r="D2378" s="31">
        <f t="shared" si="83"/>
        <v>0.16719418279755371</v>
      </c>
      <c r="F2378" s="2" t="s">
        <v>822</v>
      </c>
      <c r="G2378" s="23" t="s">
        <v>902</v>
      </c>
      <c r="H2378" s="2" t="s">
        <v>822</v>
      </c>
      <c r="J2378" s="31">
        <v>41.224498699999998</v>
      </c>
      <c r="K2378" s="31">
        <v>16.659700399999998</v>
      </c>
      <c r="L2378" s="31"/>
      <c r="M2378" s="31" t="s">
        <v>854</v>
      </c>
      <c r="N2378" s="6" t="s">
        <v>856</v>
      </c>
    </row>
    <row r="2379" spans="1:14" ht="15" customHeight="1" x14ac:dyDescent="0.2">
      <c r="A2379" s="31">
        <v>0.85253848612320582</v>
      </c>
      <c r="B2379" s="31"/>
      <c r="C2379" s="2" t="s">
        <v>855</v>
      </c>
      <c r="D2379" s="31">
        <f t="shared" si="83"/>
        <v>0.16709754328014834</v>
      </c>
      <c r="F2379" s="2" t="s">
        <v>822</v>
      </c>
      <c r="G2379" s="23" t="s">
        <v>902</v>
      </c>
      <c r="H2379" s="2" t="s">
        <v>822</v>
      </c>
      <c r="J2379" s="31">
        <v>38.063999199999998</v>
      </c>
      <c r="K2379" s="31">
        <v>5.5359997999999999</v>
      </c>
      <c r="L2379" s="31"/>
      <c r="M2379" s="31" t="s">
        <v>854</v>
      </c>
      <c r="N2379" s="6" t="s">
        <v>856</v>
      </c>
    </row>
    <row r="2380" spans="1:14" ht="15" customHeight="1" x14ac:dyDescent="0.2">
      <c r="A2380" s="31">
        <v>0.85250557289831674</v>
      </c>
      <c r="B2380" s="31"/>
      <c r="C2380" s="2" t="s">
        <v>855</v>
      </c>
      <c r="D2380" s="31">
        <f t="shared" si="83"/>
        <v>0.16709109228807009</v>
      </c>
      <c r="F2380" s="2" t="s">
        <v>822</v>
      </c>
      <c r="G2380" s="23" t="s">
        <v>902</v>
      </c>
      <c r="H2380" s="2" t="s">
        <v>822</v>
      </c>
      <c r="J2380" s="31">
        <v>57.007301300000002</v>
      </c>
      <c r="K2380" s="31">
        <v>18.0990009</v>
      </c>
      <c r="L2380" s="31"/>
      <c r="M2380" s="31" t="s">
        <v>854</v>
      </c>
      <c r="N2380" s="6" t="s">
        <v>856</v>
      </c>
    </row>
    <row r="2381" spans="1:14" ht="15" customHeight="1" x14ac:dyDescent="0.2">
      <c r="A2381" s="31">
        <v>0.85209041098654215</v>
      </c>
      <c r="B2381" s="31"/>
      <c r="C2381" s="2" t="s">
        <v>855</v>
      </c>
      <c r="D2381" s="31">
        <f t="shared" si="83"/>
        <v>0.16700972055336227</v>
      </c>
      <c r="F2381" s="2" t="s">
        <v>822</v>
      </c>
      <c r="G2381" s="23" t="s">
        <v>902</v>
      </c>
      <c r="H2381" s="2" t="s">
        <v>822</v>
      </c>
      <c r="J2381" s="31">
        <v>32.727100399999998</v>
      </c>
      <c r="K2381" s="31">
        <v>-40.5503006</v>
      </c>
      <c r="L2381" s="31"/>
      <c r="M2381" s="31" t="s">
        <v>854</v>
      </c>
      <c r="N2381" s="6" t="s">
        <v>856</v>
      </c>
    </row>
    <row r="2382" spans="1:14" ht="15" customHeight="1" x14ac:dyDescent="0.2">
      <c r="A2382" s="31">
        <v>0.85203105139746393</v>
      </c>
      <c r="B2382" s="31"/>
      <c r="C2382" s="2" t="s">
        <v>855</v>
      </c>
      <c r="D2382" s="31">
        <f t="shared" si="83"/>
        <v>0.16699808607390293</v>
      </c>
      <c r="F2382" s="2" t="s">
        <v>822</v>
      </c>
      <c r="G2382" s="23" t="s">
        <v>902</v>
      </c>
      <c r="H2382" s="2" t="s">
        <v>822</v>
      </c>
      <c r="J2382" s="31">
        <v>40.986499799999997</v>
      </c>
      <c r="K2382" s="31">
        <v>9.5809002000000003</v>
      </c>
      <c r="L2382" s="31"/>
      <c r="M2382" s="31" t="s">
        <v>854</v>
      </c>
      <c r="N2382" s="6" t="s">
        <v>856</v>
      </c>
    </row>
    <row r="2383" spans="1:14" ht="15" customHeight="1" x14ac:dyDescent="0.2">
      <c r="A2383" s="31">
        <v>0.85199846672114199</v>
      </c>
      <c r="B2383" s="31"/>
      <c r="C2383" s="2" t="s">
        <v>855</v>
      </c>
      <c r="D2383" s="31">
        <f t="shared" si="83"/>
        <v>0.16699169947734382</v>
      </c>
      <c r="F2383" s="2" t="s">
        <v>822</v>
      </c>
      <c r="G2383" s="23" t="s">
        <v>902</v>
      </c>
      <c r="H2383" s="2" t="s">
        <v>822</v>
      </c>
      <c r="J2383" s="31">
        <v>41.652000399999999</v>
      </c>
      <c r="K2383" s="31">
        <v>-22.481300399999999</v>
      </c>
      <c r="L2383" s="31"/>
      <c r="M2383" s="31" t="s">
        <v>854</v>
      </c>
      <c r="N2383" s="6" t="s">
        <v>856</v>
      </c>
    </row>
    <row r="2384" spans="1:14" ht="15" customHeight="1" x14ac:dyDescent="0.2">
      <c r="A2384" s="31">
        <v>0.85193491226135365</v>
      </c>
      <c r="B2384" s="31"/>
      <c r="C2384" s="2" t="s">
        <v>855</v>
      </c>
      <c r="D2384" s="31">
        <f t="shared" si="83"/>
        <v>0.16697924280322532</v>
      </c>
      <c r="F2384" s="2" t="s">
        <v>822</v>
      </c>
      <c r="G2384" s="23" t="s">
        <v>902</v>
      </c>
      <c r="H2384" s="2" t="s">
        <v>822</v>
      </c>
      <c r="J2384" s="31">
        <v>35.106601699999999</v>
      </c>
      <c r="K2384" s="31">
        <v>-12.869199800000001</v>
      </c>
      <c r="L2384" s="31"/>
      <c r="M2384" s="31" t="s">
        <v>854</v>
      </c>
      <c r="N2384" s="6" t="s">
        <v>856</v>
      </c>
    </row>
    <row r="2385" spans="1:14" ht="15" customHeight="1" x14ac:dyDescent="0.2">
      <c r="A2385" s="31">
        <v>0.85169433451553911</v>
      </c>
      <c r="B2385" s="31"/>
      <c r="C2385" s="2" t="s">
        <v>855</v>
      </c>
      <c r="D2385" s="31">
        <f t="shared" si="83"/>
        <v>0.16693208956504568</v>
      </c>
      <c r="F2385" s="2" t="s">
        <v>822</v>
      </c>
      <c r="G2385" s="23" t="s">
        <v>902</v>
      </c>
      <c r="H2385" s="2" t="s">
        <v>822</v>
      </c>
      <c r="J2385" s="31">
        <v>28.711999899999999</v>
      </c>
      <c r="K2385" s="31">
        <v>-28.531999599999999</v>
      </c>
      <c r="L2385" s="31"/>
      <c r="M2385" s="31" t="s">
        <v>854</v>
      </c>
      <c r="N2385" s="6" t="s">
        <v>856</v>
      </c>
    </row>
    <row r="2386" spans="1:14" ht="15" customHeight="1" x14ac:dyDescent="0.2">
      <c r="A2386" s="31">
        <v>0.85158424295763946</v>
      </c>
      <c r="B2386" s="31"/>
      <c r="C2386" s="2" t="s">
        <v>855</v>
      </c>
      <c r="D2386" s="31">
        <f t="shared" si="83"/>
        <v>0.16691051161969733</v>
      </c>
      <c r="F2386" s="2" t="s">
        <v>822</v>
      </c>
      <c r="G2386" s="23" t="s">
        <v>902</v>
      </c>
      <c r="H2386" s="2" t="s">
        <v>822</v>
      </c>
      <c r="J2386" s="31">
        <v>25.3719997</v>
      </c>
      <c r="K2386" s="31">
        <v>-37.883998900000002</v>
      </c>
      <c r="L2386" s="31"/>
      <c r="M2386" s="31" t="s">
        <v>854</v>
      </c>
      <c r="N2386" s="6" t="s">
        <v>856</v>
      </c>
    </row>
    <row r="2387" spans="1:14" ht="15" customHeight="1" x14ac:dyDescent="0.2">
      <c r="A2387" s="31">
        <v>0.85149461455205133</v>
      </c>
      <c r="B2387" s="31"/>
      <c r="C2387" s="2" t="s">
        <v>855</v>
      </c>
      <c r="D2387" s="31">
        <f t="shared" si="83"/>
        <v>0.16689294445220207</v>
      </c>
      <c r="F2387" s="2" t="s">
        <v>822</v>
      </c>
      <c r="G2387" s="23" t="s">
        <v>902</v>
      </c>
      <c r="H2387" s="2" t="s">
        <v>822</v>
      </c>
      <c r="J2387" s="31">
        <v>32.339401199999998</v>
      </c>
      <c r="K2387" s="31">
        <v>23.170799299999999</v>
      </c>
      <c r="L2387" s="31"/>
      <c r="M2387" s="31" t="s">
        <v>854</v>
      </c>
      <c r="N2387" s="6" t="s">
        <v>856</v>
      </c>
    </row>
    <row r="2388" spans="1:14" ht="15" customHeight="1" x14ac:dyDescent="0.2">
      <c r="A2388" s="31">
        <v>0.85149174694848351</v>
      </c>
      <c r="B2388" s="31"/>
      <c r="C2388" s="2" t="s">
        <v>855</v>
      </c>
      <c r="D2388" s="31">
        <f t="shared" si="83"/>
        <v>0.16689238240190277</v>
      </c>
      <c r="F2388" s="2" t="s">
        <v>822</v>
      </c>
      <c r="G2388" s="23" t="s">
        <v>902</v>
      </c>
      <c r="H2388" s="2" t="s">
        <v>822</v>
      </c>
      <c r="J2388" s="31">
        <v>25.220600099999999</v>
      </c>
      <c r="K2388" s="31">
        <v>-21.1812</v>
      </c>
      <c r="L2388" s="31"/>
      <c r="M2388" s="31" t="s">
        <v>854</v>
      </c>
      <c r="N2388" s="6" t="s">
        <v>856</v>
      </c>
    </row>
    <row r="2389" spans="1:14" ht="15" customHeight="1" x14ac:dyDescent="0.2">
      <c r="A2389" s="31">
        <v>0.8514609466369405</v>
      </c>
      <c r="B2389" s="31"/>
      <c r="C2389" s="2" t="s">
        <v>855</v>
      </c>
      <c r="D2389" s="31">
        <f t="shared" si="83"/>
        <v>0.16688634554084034</v>
      </c>
      <c r="F2389" s="2" t="s">
        <v>822</v>
      </c>
      <c r="G2389" s="23" t="s">
        <v>902</v>
      </c>
      <c r="H2389" s="2" t="s">
        <v>822</v>
      </c>
      <c r="J2389" s="31">
        <v>25.0123997</v>
      </c>
      <c r="K2389" s="31">
        <v>-14.8352003</v>
      </c>
      <c r="L2389" s="31"/>
      <c r="M2389" s="31" t="s">
        <v>854</v>
      </c>
      <c r="N2389" s="6" t="s">
        <v>856</v>
      </c>
    </row>
    <row r="2390" spans="1:14" ht="15" customHeight="1" x14ac:dyDescent="0.2">
      <c r="A2390" s="31">
        <v>0.85137488779144221</v>
      </c>
      <c r="B2390" s="31"/>
      <c r="C2390" s="2" t="s">
        <v>855</v>
      </c>
      <c r="D2390" s="31">
        <f t="shared" si="83"/>
        <v>0.16686947800712268</v>
      </c>
      <c r="F2390" s="2" t="s">
        <v>822</v>
      </c>
      <c r="G2390" s="23" t="s">
        <v>902</v>
      </c>
      <c r="H2390" s="2" t="s">
        <v>822</v>
      </c>
      <c r="J2390" s="31">
        <v>34.055999800000002</v>
      </c>
      <c r="K2390" s="31">
        <v>28.247999199999999</v>
      </c>
      <c r="L2390" s="31"/>
      <c r="M2390" s="31" t="s">
        <v>854</v>
      </c>
      <c r="N2390" s="6" t="s">
        <v>856</v>
      </c>
    </row>
    <row r="2391" spans="1:14" ht="15" customHeight="1" x14ac:dyDescent="0.2">
      <c r="A2391" s="31">
        <v>0.85118818771535876</v>
      </c>
      <c r="B2391" s="31"/>
      <c r="C2391" s="2" t="s">
        <v>855</v>
      </c>
      <c r="D2391" s="31">
        <f t="shared" si="83"/>
        <v>0.16683288479221031</v>
      </c>
      <c r="F2391" s="2" t="s">
        <v>822</v>
      </c>
      <c r="G2391" s="23" t="s">
        <v>902</v>
      </c>
      <c r="H2391" s="2" t="s">
        <v>822</v>
      </c>
      <c r="J2391" s="31">
        <v>36.609298699999997</v>
      </c>
      <c r="K2391" s="31">
        <v>-25.139299399999999</v>
      </c>
      <c r="L2391" s="31"/>
      <c r="M2391" s="31" t="s">
        <v>854</v>
      </c>
      <c r="N2391" s="6" t="s">
        <v>856</v>
      </c>
    </row>
    <row r="2392" spans="1:14" ht="15" customHeight="1" x14ac:dyDescent="0.2">
      <c r="A2392" s="31">
        <v>0.85090978753567004</v>
      </c>
      <c r="B2392" s="31"/>
      <c r="C2392" s="2" t="s">
        <v>855</v>
      </c>
      <c r="D2392" s="31">
        <f t="shared" si="83"/>
        <v>0.16677831835699133</v>
      </c>
      <c r="F2392" s="2" t="s">
        <v>822</v>
      </c>
      <c r="G2392" s="23" t="s">
        <v>902</v>
      </c>
      <c r="H2392" s="2" t="s">
        <v>822</v>
      </c>
      <c r="J2392" s="31">
        <v>25.9988995</v>
      </c>
      <c r="K2392" s="31">
        <v>-29.850799599999998</v>
      </c>
      <c r="L2392" s="31"/>
      <c r="M2392" s="31" t="s">
        <v>854</v>
      </c>
      <c r="N2392" s="6" t="s">
        <v>856</v>
      </c>
    </row>
    <row r="2393" spans="1:14" ht="15" customHeight="1" x14ac:dyDescent="0.2">
      <c r="A2393" s="31">
        <v>0.85038532109971876</v>
      </c>
      <c r="B2393" s="31"/>
      <c r="C2393" s="2" t="s">
        <v>855</v>
      </c>
      <c r="D2393" s="31">
        <f t="shared" si="83"/>
        <v>0.16667552293554488</v>
      </c>
      <c r="F2393" s="2" t="s">
        <v>822</v>
      </c>
      <c r="G2393" s="23" t="s">
        <v>902</v>
      </c>
      <c r="H2393" s="2" t="s">
        <v>822</v>
      </c>
      <c r="J2393" s="31">
        <v>43.245700800000002</v>
      </c>
      <c r="K2393" s="31">
        <v>-36.5735016</v>
      </c>
      <c r="L2393" s="31"/>
      <c r="M2393" s="31" t="s">
        <v>854</v>
      </c>
      <c r="N2393" s="6" t="s">
        <v>856</v>
      </c>
    </row>
    <row r="2394" spans="1:14" ht="15" customHeight="1" x14ac:dyDescent="0.2">
      <c r="A2394" s="31">
        <v>0.84984651566157732</v>
      </c>
      <c r="B2394" s="31"/>
      <c r="C2394" s="2" t="s">
        <v>855</v>
      </c>
      <c r="D2394" s="31">
        <f t="shared" si="83"/>
        <v>0.16656991706966917</v>
      </c>
      <c r="F2394" s="2" t="s">
        <v>822</v>
      </c>
      <c r="G2394" s="23" t="s">
        <v>902</v>
      </c>
      <c r="H2394" s="2" t="s">
        <v>822</v>
      </c>
      <c r="J2394" s="31">
        <v>37.3959999</v>
      </c>
      <c r="K2394" s="31">
        <v>5.5359997999999999</v>
      </c>
      <c r="L2394" s="31"/>
      <c r="M2394" s="31" t="s">
        <v>854</v>
      </c>
      <c r="N2394" s="6" t="s">
        <v>856</v>
      </c>
    </row>
    <row r="2395" spans="1:14" ht="15" customHeight="1" x14ac:dyDescent="0.2">
      <c r="A2395" s="31">
        <v>0.84959234806117456</v>
      </c>
      <c r="B2395" s="31"/>
      <c r="C2395" s="2" t="s">
        <v>855</v>
      </c>
      <c r="D2395" s="31">
        <f t="shared" si="83"/>
        <v>0.16652010021999022</v>
      </c>
      <c r="F2395" s="2" t="s">
        <v>822</v>
      </c>
      <c r="G2395" s="23" t="s">
        <v>902</v>
      </c>
      <c r="H2395" s="2" t="s">
        <v>822</v>
      </c>
      <c r="J2395" s="31">
        <v>43.359798400000003</v>
      </c>
      <c r="K2395" s="31">
        <v>-22.522499100000001</v>
      </c>
      <c r="L2395" s="31"/>
      <c r="M2395" s="31" t="s">
        <v>854</v>
      </c>
      <c r="N2395" s="6" t="s">
        <v>856</v>
      </c>
    </row>
    <row r="2396" spans="1:14" ht="15" customHeight="1" x14ac:dyDescent="0.2">
      <c r="A2396" s="31">
        <v>0.84952155665436002</v>
      </c>
      <c r="B2396" s="31"/>
      <c r="C2396" s="2" t="s">
        <v>855</v>
      </c>
      <c r="D2396" s="31">
        <f t="shared" si="83"/>
        <v>0.16650622510425456</v>
      </c>
      <c r="F2396" s="2" t="s">
        <v>822</v>
      </c>
      <c r="G2396" s="23" t="s">
        <v>902</v>
      </c>
      <c r="H2396" s="2" t="s">
        <v>822</v>
      </c>
      <c r="J2396" s="31">
        <v>36.625900299999998</v>
      </c>
      <c r="K2396" s="31">
        <v>24.357999800000002</v>
      </c>
      <c r="L2396" s="31"/>
      <c r="M2396" s="31" t="s">
        <v>854</v>
      </c>
      <c r="N2396" s="6" t="s">
        <v>856</v>
      </c>
    </row>
    <row r="2397" spans="1:14" ht="15" customHeight="1" x14ac:dyDescent="0.2">
      <c r="A2397" s="31">
        <v>0.84883969435454842</v>
      </c>
      <c r="B2397" s="31"/>
      <c r="C2397" s="2" t="s">
        <v>855</v>
      </c>
      <c r="D2397" s="31">
        <f t="shared" si="83"/>
        <v>0.16637258009349148</v>
      </c>
      <c r="F2397" s="2" t="s">
        <v>822</v>
      </c>
      <c r="G2397" s="23" t="s">
        <v>902</v>
      </c>
      <c r="H2397" s="2" t="s">
        <v>822</v>
      </c>
      <c r="J2397" s="31">
        <v>38.275600400000002</v>
      </c>
      <c r="K2397" s="31">
        <v>-20.097200399999998</v>
      </c>
      <c r="L2397" s="31"/>
      <c r="M2397" s="31" t="s">
        <v>854</v>
      </c>
      <c r="N2397" s="6" t="s">
        <v>856</v>
      </c>
    </row>
    <row r="2398" spans="1:14" ht="15" customHeight="1" x14ac:dyDescent="0.2">
      <c r="A2398" s="31">
        <v>0.84858455263001364</v>
      </c>
      <c r="B2398" s="31"/>
      <c r="C2398" s="2" t="s">
        <v>855</v>
      </c>
      <c r="D2398" s="31">
        <f t="shared" si="83"/>
        <v>0.16632257231548267</v>
      </c>
      <c r="F2398" s="2" t="s">
        <v>822</v>
      </c>
      <c r="G2398" s="23" t="s">
        <v>902</v>
      </c>
      <c r="H2398" s="2" t="s">
        <v>822</v>
      </c>
      <c r="J2398" s="31">
        <v>38.402198800000001</v>
      </c>
      <c r="K2398" s="31">
        <v>2.5241201000000002</v>
      </c>
      <c r="L2398" s="31"/>
      <c r="M2398" s="31" t="s">
        <v>854</v>
      </c>
      <c r="N2398" s="6" t="s">
        <v>856</v>
      </c>
    </row>
    <row r="2399" spans="1:14" ht="15" customHeight="1" x14ac:dyDescent="0.2">
      <c r="A2399" s="31">
        <v>0.84846614686271071</v>
      </c>
      <c r="B2399" s="31"/>
      <c r="C2399" s="2" t="s">
        <v>855</v>
      </c>
      <c r="D2399" s="31">
        <f t="shared" si="83"/>
        <v>0.1662993647850913</v>
      </c>
      <c r="F2399" s="2" t="s">
        <v>822</v>
      </c>
      <c r="G2399" s="23" t="s">
        <v>902</v>
      </c>
      <c r="H2399" s="2" t="s">
        <v>822</v>
      </c>
      <c r="J2399" s="31">
        <v>42.740001700000001</v>
      </c>
      <c r="K2399" s="31">
        <v>-25.1919994</v>
      </c>
      <c r="L2399" s="31"/>
      <c r="M2399" s="31" t="s">
        <v>854</v>
      </c>
      <c r="N2399" s="6" t="s">
        <v>856</v>
      </c>
    </row>
    <row r="2400" spans="1:14" ht="15" customHeight="1" x14ac:dyDescent="0.2">
      <c r="A2400" s="31">
        <v>0.84838729805997437</v>
      </c>
      <c r="B2400" s="31"/>
      <c r="C2400" s="2" t="s">
        <v>855</v>
      </c>
      <c r="D2400" s="31">
        <f t="shared" si="83"/>
        <v>0.16628391041975499</v>
      </c>
      <c r="F2400" s="2" t="s">
        <v>822</v>
      </c>
      <c r="G2400" s="23" t="s">
        <v>902</v>
      </c>
      <c r="H2400" s="2" t="s">
        <v>822</v>
      </c>
      <c r="J2400" s="31">
        <v>27.375999499999999</v>
      </c>
      <c r="K2400" s="31">
        <v>-40.555999800000002</v>
      </c>
      <c r="L2400" s="31"/>
      <c r="M2400" s="31" t="s">
        <v>854</v>
      </c>
      <c r="N2400" s="6" t="s">
        <v>856</v>
      </c>
    </row>
    <row r="2401" spans="1:14" ht="15" customHeight="1" x14ac:dyDescent="0.2">
      <c r="A2401" s="31">
        <v>0.84831905574874511</v>
      </c>
      <c r="B2401" s="31"/>
      <c r="C2401" s="2" t="s">
        <v>855</v>
      </c>
      <c r="D2401" s="31">
        <f t="shared" si="83"/>
        <v>0.16627053492675406</v>
      </c>
      <c r="F2401" s="2" t="s">
        <v>822</v>
      </c>
      <c r="G2401" s="23" t="s">
        <v>902</v>
      </c>
      <c r="H2401" s="2" t="s">
        <v>822</v>
      </c>
      <c r="J2401" s="31">
        <v>60.260898599999997</v>
      </c>
      <c r="K2401" s="31">
        <v>19.111099200000002</v>
      </c>
      <c r="L2401" s="31"/>
      <c r="M2401" s="31" t="s">
        <v>854</v>
      </c>
      <c r="N2401" s="6" t="s">
        <v>856</v>
      </c>
    </row>
    <row r="2402" spans="1:14" ht="15" customHeight="1" x14ac:dyDescent="0.2">
      <c r="A2402" s="31">
        <v>0.84812223735741665</v>
      </c>
      <c r="B2402" s="31"/>
      <c r="C2402" s="2" t="s">
        <v>855</v>
      </c>
      <c r="D2402" s="31">
        <f t="shared" si="83"/>
        <v>0.16623195852205366</v>
      </c>
      <c r="F2402" s="2" t="s">
        <v>822</v>
      </c>
      <c r="G2402" s="23" t="s">
        <v>902</v>
      </c>
      <c r="H2402" s="2" t="s">
        <v>822</v>
      </c>
      <c r="J2402" s="31">
        <v>36.022300700000002</v>
      </c>
      <c r="K2402" s="31">
        <v>19.657499300000001</v>
      </c>
      <c r="L2402" s="31"/>
      <c r="M2402" s="31" t="s">
        <v>854</v>
      </c>
      <c r="N2402" s="6" t="s">
        <v>856</v>
      </c>
    </row>
    <row r="2403" spans="1:14" ht="15" customHeight="1" x14ac:dyDescent="0.2">
      <c r="A2403" s="31">
        <v>0.84806074925491748</v>
      </c>
      <c r="B2403" s="31"/>
      <c r="C2403" s="2" t="s">
        <v>855</v>
      </c>
      <c r="D2403" s="31">
        <f t="shared" si="83"/>
        <v>0.16621990685396384</v>
      </c>
      <c r="F2403" s="2" t="s">
        <v>822</v>
      </c>
      <c r="G2403" s="23" t="s">
        <v>902</v>
      </c>
      <c r="H2403" s="2" t="s">
        <v>822</v>
      </c>
      <c r="J2403" s="31">
        <v>26.021999399999999</v>
      </c>
      <c r="K2403" s="31">
        <v>-26.540800099999998</v>
      </c>
      <c r="L2403" s="31"/>
      <c r="M2403" s="31" t="s">
        <v>854</v>
      </c>
      <c r="N2403" s="6" t="s">
        <v>856</v>
      </c>
    </row>
    <row r="2404" spans="1:14" ht="15" customHeight="1" x14ac:dyDescent="0.2">
      <c r="A2404" s="31">
        <v>0.84805636831591702</v>
      </c>
      <c r="B2404" s="31"/>
      <c r="C2404" s="2" t="s">
        <v>855</v>
      </c>
      <c r="D2404" s="31">
        <f t="shared" si="83"/>
        <v>0.16621904818991975</v>
      </c>
      <c r="F2404" s="2" t="s">
        <v>822</v>
      </c>
      <c r="G2404" s="23" t="s">
        <v>902</v>
      </c>
      <c r="H2404" s="2" t="s">
        <v>822</v>
      </c>
      <c r="J2404" s="31">
        <v>39.492599499999997</v>
      </c>
      <c r="K2404" s="31">
        <v>-34.477600099999997</v>
      </c>
      <c r="L2404" s="31"/>
      <c r="M2404" s="31" t="s">
        <v>854</v>
      </c>
      <c r="N2404" s="6" t="s">
        <v>856</v>
      </c>
    </row>
    <row r="2405" spans="1:14" ht="15" customHeight="1" x14ac:dyDescent="0.2">
      <c r="A2405" s="31">
        <v>0.84785612958841394</v>
      </c>
      <c r="B2405" s="31"/>
      <c r="C2405" s="2" t="s">
        <v>855</v>
      </c>
      <c r="D2405" s="31">
        <f t="shared" ref="D2405:D2468" si="84" xml:space="preserve"> A2405 * 0.196</f>
        <v>0.16617980139932914</v>
      </c>
      <c r="F2405" s="2" t="s">
        <v>822</v>
      </c>
      <c r="G2405" s="23" t="s">
        <v>902</v>
      </c>
      <c r="H2405" s="2" t="s">
        <v>822</v>
      </c>
      <c r="J2405" s="31">
        <v>28.4239006</v>
      </c>
      <c r="K2405" s="31">
        <v>-27.5851994</v>
      </c>
      <c r="L2405" s="31"/>
      <c r="M2405" s="31" t="s">
        <v>854</v>
      </c>
      <c r="N2405" s="6" t="s">
        <v>856</v>
      </c>
    </row>
    <row r="2406" spans="1:14" ht="15" customHeight="1" x14ac:dyDescent="0.2">
      <c r="A2406" s="31">
        <v>0.84766366733546306</v>
      </c>
      <c r="B2406" s="31"/>
      <c r="C2406" s="2" t="s">
        <v>855</v>
      </c>
      <c r="D2406" s="31">
        <f t="shared" si="84"/>
        <v>0.16614207879775075</v>
      </c>
      <c r="F2406" s="2" t="s">
        <v>822</v>
      </c>
      <c r="G2406" s="23" t="s">
        <v>902</v>
      </c>
      <c r="H2406" s="2" t="s">
        <v>822</v>
      </c>
      <c r="J2406" s="31">
        <v>36.668098399999998</v>
      </c>
      <c r="K2406" s="31">
        <v>-18.935499199999999</v>
      </c>
      <c r="L2406" s="31"/>
      <c r="M2406" s="31" t="s">
        <v>854</v>
      </c>
      <c r="N2406" s="6" t="s">
        <v>856</v>
      </c>
    </row>
    <row r="2407" spans="1:14" ht="15" customHeight="1" x14ac:dyDescent="0.2">
      <c r="A2407" s="31">
        <v>0.84761816537249457</v>
      </c>
      <c r="B2407" s="31"/>
      <c r="C2407" s="2" t="s">
        <v>855</v>
      </c>
      <c r="D2407" s="31">
        <f t="shared" si="84"/>
        <v>0.16613316041300893</v>
      </c>
      <c r="F2407" s="2" t="s">
        <v>822</v>
      </c>
      <c r="G2407" s="23" t="s">
        <v>902</v>
      </c>
      <c r="H2407" s="2" t="s">
        <v>822</v>
      </c>
      <c r="J2407" s="31">
        <v>26.289400100000002</v>
      </c>
      <c r="K2407" s="31">
        <v>-29.972200399999998</v>
      </c>
      <c r="L2407" s="31"/>
      <c r="M2407" s="31" t="s">
        <v>854</v>
      </c>
      <c r="N2407" s="6" t="s">
        <v>856</v>
      </c>
    </row>
    <row r="2408" spans="1:14" ht="15" customHeight="1" x14ac:dyDescent="0.2">
      <c r="A2408" s="31">
        <v>0.84745573253950135</v>
      </c>
      <c r="B2408" s="31"/>
      <c r="C2408" s="2" t="s">
        <v>855</v>
      </c>
      <c r="D2408" s="31">
        <f t="shared" si="84"/>
        <v>0.16610132357774227</v>
      </c>
      <c r="F2408" s="2" t="s">
        <v>822</v>
      </c>
      <c r="G2408" s="23" t="s">
        <v>902</v>
      </c>
      <c r="H2408" s="2" t="s">
        <v>822</v>
      </c>
      <c r="J2408" s="31">
        <v>34.779701199999998</v>
      </c>
      <c r="K2408" s="31">
        <v>11.385199500000001</v>
      </c>
      <c r="L2408" s="31"/>
      <c r="M2408" s="31" t="s">
        <v>854</v>
      </c>
      <c r="N2408" s="6" t="s">
        <v>856</v>
      </c>
    </row>
    <row r="2409" spans="1:14" ht="15" customHeight="1" x14ac:dyDescent="0.2">
      <c r="A2409" s="31">
        <v>0.84676667575086506</v>
      </c>
      <c r="B2409" s="31"/>
      <c r="C2409" s="2" t="s">
        <v>855</v>
      </c>
      <c r="D2409" s="31">
        <f t="shared" si="84"/>
        <v>0.16596626844716955</v>
      </c>
      <c r="F2409" s="2" t="s">
        <v>822</v>
      </c>
      <c r="G2409" s="23" t="s">
        <v>902</v>
      </c>
      <c r="H2409" s="2" t="s">
        <v>822</v>
      </c>
      <c r="J2409" s="31">
        <v>28.711999899999999</v>
      </c>
      <c r="K2409" s="31">
        <v>-26.527999900000001</v>
      </c>
      <c r="L2409" s="31"/>
      <c r="M2409" s="31" t="s">
        <v>854</v>
      </c>
      <c r="N2409" s="6" t="s">
        <v>856</v>
      </c>
    </row>
    <row r="2410" spans="1:14" ht="15" customHeight="1" x14ac:dyDescent="0.2">
      <c r="A2410" s="31">
        <v>0.84671490160274043</v>
      </c>
      <c r="B2410" s="31"/>
      <c r="C2410" s="2" t="s">
        <v>855</v>
      </c>
      <c r="D2410" s="31">
        <f t="shared" si="84"/>
        <v>0.16595612071413712</v>
      </c>
      <c r="F2410" s="2" t="s">
        <v>822</v>
      </c>
      <c r="G2410" s="23" t="s">
        <v>902</v>
      </c>
      <c r="H2410" s="2" t="s">
        <v>822</v>
      </c>
      <c r="J2410" s="31">
        <v>43.181899999999999</v>
      </c>
      <c r="K2410" s="31">
        <v>8.1944798999999993</v>
      </c>
      <c r="L2410" s="31"/>
      <c r="M2410" s="31" t="s">
        <v>854</v>
      </c>
      <c r="N2410" s="6" t="s">
        <v>856</v>
      </c>
    </row>
    <row r="2411" spans="1:14" ht="15" customHeight="1" x14ac:dyDescent="0.2">
      <c r="A2411" s="31">
        <v>0.84660365491085499</v>
      </c>
      <c r="B2411" s="31"/>
      <c r="C2411" s="2" t="s">
        <v>855</v>
      </c>
      <c r="D2411" s="31">
        <f t="shared" si="84"/>
        <v>0.16593431636252759</v>
      </c>
      <c r="F2411" s="2" t="s">
        <v>822</v>
      </c>
      <c r="G2411" s="23" t="s">
        <v>902</v>
      </c>
      <c r="H2411" s="2" t="s">
        <v>822</v>
      </c>
      <c r="J2411" s="31">
        <v>45.699600199999999</v>
      </c>
      <c r="K2411" s="31">
        <v>-11.2552004</v>
      </c>
      <c r="L2411" s="31"/>
      <c r="M2411" s="31" t="s">
        <v>854</v>
      </c>
      <c r="N2411" s="6" t="s">
        <v>856</v>
      </c>
    </row>
    <row r="2412" spans="1:14" ht="15" customHeight="1" x14ac:dyDescent="0.2">
      <c r="A2412" s="31">
        <v>0.84629217219259667</v>
      </c>
      <c r="B2412" s="31"/>
      <c r="C2412" s="2" t="s">
        <v>855</v>
      </c>
      <c r="D2412" s="31">
        <f t="shared" si="84"/>
        <v>0.16587326574974895</v>
      </c>
      <c r="F2412" s="2" t="s">
        <v>822</v>
      </c>
      <c r="G2412" s="23" t="s">
        <v>902</v>
      </c>
      <c r="H2412" s="2" t="s">
        <v>822</v>
      </c>
      <c r="J2412" s="31">
        <v>30.046499300000001</v>
      </c>
      <c r="K2412" s="31">
        <v>-16.513399100000001</v>
      </c>
      <c r="L2412" s="31"/>
      <c r="M2412" s="31" t="s">
        <v>854</v>
      </c>
      <c r="N2412" s="6" t="s">
        <v>856</v>
      </c>
    </row>
    <row r="2413" spans="1:14" ht="15" customHeight="1" x14ac:dyDescent="0.2">
      <c r="A2413" s="31">
        <v>0.84627344394850923</v>
      </c>
      <c r="B2413" s="31"/>
      <c r="C2413" s="2" t="s">
        <v>855</v>
      </c>
      <c r="D2413" s="31">
        <f t="shared" si="84"/>
        <v>0.16586959501390783</v>
      </c>
      <c r="F2413" s="2" t="s">
        <v>822</v>
      </c>
      <c r="G2413" s="23" t="s">
        <v>902</v>
      </c>
      <c r="H2413" s="2" t="s">
        <v>822</v>
      </c>
      <c r="J2413" s="31">
        <v>42.071998600000001</v>
      </c>
      <c r="K2413" s="31">
        <v>-22.520000499999998</v>
      </c>
      <c r="L2413" s="31"/>
      <c r="M2413" s="31" t="s">
        <v>854</v>
      </c>
      <c r="N2413" s="6" t="s">
        <v>856</v>
      </c>
    </row>
    <row r="2414" spans="1:14" ht="15" customHeight="1" x14ac:dyDescent="0.2">
      <c r="A2414" s="31">
        <v>0.84622719975116134</v>
      </c>
      <c r="B2414" s="31"/>
      <c r="C2414" s="2" t="s">
        <v>855</v>
      </c>
      <c r="D2414" s="31">
        <f t="shared" si="84"/>
        <v>0.16586053115122762</v>
      </c>
      <c r="F2414" s="2" t="s">
        <v>822</v>
      </c>
      <c r="G2414" s="23" t="s">
        <v>902</v>
      </c>
      <c r="H2414" s="2" t="s">
        <v>822</v>
      </c>
      <c r="J2414" s="31">
        <v>37.189399700000003</v>
      </c>
      <c r="K2414" s="31">
        <v>25.3146992</v>
      </c>
      <c r="L2414" s="31"/>
      <c r="M2414" s="31" t="s">
        <v>854</v>
      </c>
      <c r="N2414" s="6" t="s">
        <v>856</v>
      </c>
    </row>
    <row r="2415" spans="1:14" ht="15" customHeight="1" x14ac:dyDescent="0.2">
      <c r="A2415" s="31">
        <v>0.84617615083890307</v>
      </c>
      <c r="B2415" s="31"/>
      <c r="C2415" s="2" t="s">
        <v>855</v>
      </c>
      <c r="D2415" s="31">
        <f t="shared" si="84"/>
        <v>0.16585052556442501</v>
      </c>
      <c r="F2415" s="2" t="s">
        <v>822</v>
      </c>
      <c r="G2415" s="23" t="s">
        <v>902</v>
      </c>
      <c r="H2415" s="2" t="s">
        <v>822</v>
      </c>
      <c r="J2415" s="31">
        <v>34.055999800000002</v>
      </c>
      <c r="K2415" s="31">
        <v>-21.184000000000001</v>
      </c>
      <c r="L2415" s="31"/>
      <c r="M2415" s="31" t="s">
        <v>854</v>
      </c>
      <c r="N2415" s="6" t="s">
        <v>856</v>
      </c>
    </row>
    <row r="2416" spans="1:14" ht="15" customHeight="1" x14ac:dyDescent="0.2">
      <c r="A2416" s="31">
        <v>0.84603663295695852</v>
      </c>
      <c r="B2416" s="31"/>
      <c r="C2416" s="2" t="s">
        <v>855</v>
      </c>
      <c r="D2416" s="31">
        <f t="shared" si="84"/>
        <v>0.16582318005956387</v>
      </c>
      <c r="F2416" s="2" t="s">
        <v>822</v>
      </c>
      <c r="G2416" s="23" t="s">
        <v>902</v>
      </c>
      <c r="H2416" s="2" t="s">
        <v>822</v>
      </c>
      <c r="J2416" s="31">
        <v>55.744399999999999</v>
      </c>
      <c r="K2416" s="31">
        <v>16.7203999</v>
      </c>
      <c r="L2416" s="31"/>
      <c r="M2416" s="31" t="s">
        <v>854</v>
      </c>
      <c r="N2416" s="6" t="s">
        <v>856</v>
      </c>
    </row>
    <row r="2417" spans="1:14" ht="15" customHeight="1" x14ac:dyDescent="0.2">
      <c r="A2417" s="31">
        <v>0.84594496207374792</v>
      </c>
      <c r="B2417" s="31"/>
      <c r="C2417" s="2" t="s">
        <v>855</v>
      </c>
      <c r="D2417" s="31">
        <f t="shared" si="84"/>
        <v>0.16580521256645459</v>
      </c>
      <c r="F2417" s="2" t="s">
        <v>822</v>
      </c>
      <c r="G2417" s="23" t="s">
        <v>902</v>
      </c>
      <c r="H2417" s="2" t="s">
        <v>822</v>
      </c>
      <c r="J2417" s="31">
        <v>39.6935997</v>
      </c>
      <c r="K2417" s="31">
        <v>-33.527198800000001</v>
      </c>
      <c r="L2417" s="31"/>
      <c r="M2417" s="31" t="s">
        <v>854</v>
      </c>
      <c r="N2417" s="6" t="s">
        <v>856</v>
      </c>
    </row>
    <row r="2418" spans="1:14" ht="15" customHeight="1" x14ac:dyDescent="0.2">
      <c r="A2418" s="31">
        <v>0.84587516991802525</v>
      </c>
      <c r="B2418" s="31"/>
      <c r="C2418" s="2" t="s">
        <v>855</v>
      </c>
      <c r="D2418" s="31">
        <f t="shared" si="84"/>
        <v>0.16579153330393295</v>
      </c>
      <c r="F2418" s="2" t="s">
        <v>822</v>
      </c>
      <c r="G2418" s="23" t="s">
        <v>902</v>
      </c>
      <c r="H2418" s="2" t="s">
        <v>822</v>
      </c>
      <c r="J2418" s="31">
        <v>29.3799992</v>
      </c>
      <c r="K2418" s="31">
        <v>-19.1800003</v>
      </c>
      <c r="L2418" s="31"/>
      <c r="M2418" s="31" t="s">
        <v>854</v>
      </c>
      <c r="N2418" s="6" t="s">
        <v>856</v>
      </c>
    </row>
    <row r="2419" spans="1:14" ht="15" customHeight="1" x14ac:dyDescent="0.2">
      <c r="A2419" s="31">
        <v>0.8457918138368129</v>
      </c>
      <c r="B2419" s="31"/>
      <c r="C2419" s="2" t="s">
        <v>855</v>
      </c>
      <c r="D2419" s="31">
        <f t="shared" si="84"/>
        <v>0.16577519551201533</v>
      </c>
      <c r="F2419" s="2" t="s">
        <v>822</v>
      </c>
      <c r="G2419" s="23" t="s">
        <v>902</v>
      </c>
      <c r="H2419" s="2" t="s">
        <v>822</v>
      </c>
      <c r="J2419" s="31">
        <v>30.7159996</v>
      </c>
      <c r="K2419" s="31">
        <v>-23.856000900000002</v>
      </c>
      <c r="L2419" s="31"/>
      <c r="M2419" s="31" t="s">
        <v>854</v>
      </c>
      <c r="N2419" s="6" t="s">
        <v>856</v>
      </c>
    </row>
    <row r="2420" spans="1:14" ht="15" customHeight="1" x14ac:dyDescent="0.2">
      <c r="A2420" s="31">
        <v>0.84508661412607267</v>
      </c>
      <c r="B2420" s="31"/>
      <c r="C2420" s="2" t="s">
        <v>855</v>
      </c>
      <c r="D2420" s="31">
        <f t="shared" si="84"/>
        <v>0.16563697636871025</v>
      </c>
      <c r="F2420" s="2" t="s">
        <v>822</v>
      </c>
      <c r="G2420" s="23" t="s">
        <v>902</v>
      </c>
      <c r="H2420" s="2" t="s">
        <v>822</v>
      </c>
      <c r="J2420" s="31">
        <v>25.6443996</v>
      </c>
      <c r="K2420" s="31">
        <v>-28.063100800000001</v>
      </c>
      <c r="L2420" s="31"/>
      <c r="M2420" s="31" t="s">
        <v>854</v>
      </c>
      <c r="N2420" s="6" t="s">
        <v>856</v>
      </c>
    </row>
    <row r="2421" spans="1:14" ht="15" customHeight="1" x14ac:dyDescent="0.2">
      <c r="A2421" s="31">
        <v>0.84473767288702073</v>
      </c>
      <c r="B2421" s="31"/>
      <c r="C2421" s="2" t="s">
        <v>855</v>
      </c>
      <c r="D2421" s="31">
        <f t="shared" si="84"/>
        <v>0.16556858388585607</v>
      </c>
      <c r="F2421" s="2" t="s">
        <v>822</v>
      </c>
      <c r="G2421" s="23" t="s">
        <v>902</v>
      </c>
      <c r="H2421" s="2" t="s">
        <v>822</v>
      </c>
      <c r="J2421" s="31">
        <v>42.757198299999999</v>
      </c>
      <c r="K2421" s="31">
        <v>-30.5408993</v>
      </c>
      <c r="L2421" s="31"/>
      <c r="M2421" s="31" t="s">
        <v>854</v>
      </c>
      <c r="N2421" s="6" t="s">
        <v>856</v>
      </c>
    </row>
    <row r="2422" spans="1:14" ht="15" customHeight="1" x14ac:dyDescent="0.2">
      <c r="A2422" s="31">
        <v>0.84472418623227186</v>
      </c>
      <c r="B2422" s="31"/>
      <c r="C2422" s="2" t="s">
        <v>855</v>
      </c>
      <c r="D2422" s="31">
        <f t="shared" si="84"/>
        <v>0.16556594050152529</v>
      </c>
      <c r="F2422" s="2" t="s">
        <v>822</v>
      </c>
      <c r="G2422" s="23" t="s">
        <v>902</v>
      </c>
      <c r="H2422" s="2" t="s">
        <v>822</v>
      </c>
      <c r="J2422" s="31">
        <v>43.707099900000003</v>
      </c>
      <c r="K2422" s="31">
        <v>-11.942399999999999</v>
      </c>
      <c r="L2422" s="31"/>
      <c r="M2422" s="31" t="s">
        <v>854</v>
      </c>
      <c r="N2422" s="6" t="s">
        <v>856</v>
      </c>
    </row>
    <row r="2423" spans="1:14" ht="15" customHeight="1" x14ac:dyDescent="0.2">
      <c r="A2423" s="31">
        <v>0.84464541586272235</v>
      </c>
      <c r="B2423" s="31"/>
      <c r="C2423" s="2" t="s">
        <v>855</v>
      </c>
      <c r="D2423" s="31">
        <f t="shared" si="84"/>
        <v>0.16555050150909359</v>
      </c>
      <c r="F2423" s="2" t="s">
        <v>822</v>
      </c>
      <c r="G2423" s="23" t="s">
        <v>902</v>
      </c>
      <c r="H2423" s="2" t="s">
        <v>822</v>
      </c>
      <c r="J2423" s="31">
        <v>45.411998699999998</v>
      </c>
      <c r="K2423" s="31">
        <v>-24.5240002</v>
      </c>
      <c r="L2423" s="31"/>
      <c r="M2423" s="31" t="s">
        <v>854</v>
      </c>
      <c r="N2423" s="6" t="s">
        <v>856</v>
      </c>
    </row>
    <row r="2424" spans="1:14" ht="15" customHeight="1" x14ac:dyDescent="0.2">
      <c r="A2424" s="31">
        <v>0.84463803581367158</v>
      </c>
      <c r="B2424" s="31"/>
      <c r="C2424" s="2" t="s">
        <v>855</v>
      </c>
      <c r="D2424" s="31">
        <f t="shared" si="84"/>
        <v>0.16554905501947964</v>
      </c>
      <c r="F2424" s="2" t="s">
        <v>822</v>
      </c>
      <c r="G2424" s="23" t="s">
        <v>902</v>
      </c>
      <c r="H2424" s="2" t="s">
        <v>822</v>
      </c>
      <c r="J2424" s="31">
        <v>44.334201800000002</v>
      </c>
      <c r="K2424" s="31">
        <v>-8.4601603000000001</v>
      </c>
      <c r="L2424" s="31"/>
      <c r="M2424" s="31" t="s">
        <v>854</v>
      </c>
      <c r="N2424" s="6" t="s">
        <v>856</v>
      </c>
    </row>
    <row r="2425" spans="1:14" ht="15" customHeight="1" x14ac:dyDescent="0.2">
      <c r="A2425" s="31">
        <v>0.84439403972899807</v>
      </c>
      <c r="B2425" s="31"/>
      <c r="C2425" s="2" t="s">
        <v>855</v>
      </c>
      <c r="D2425" s="31">
        <f t="shared" si="84"/>
        <v>0.16550123178688364</v>
      </c>
      <c r="F2425" s="2" t="s">
        <v>822</v>
      </c>
      <c r="G2425" s="23" t="s">
        <v>902</v>
      </c>
      <c r="H2425" s="2" t="s">
        <v>822</v>
      </c>
      <c r="J2425" s="31">
        <v>38.128200499999998</v>
      </c>
      <c r="K2425" s="31">
        <v>16.2236996</v>
      </c>
      <c r="L2425" s="31"/>
      <c r="M2425" s="31" t="s">
        <v>854</v>
      </c>
      <c r="N2425" s="6" t="s">
        <v>856</v>
      </c>
    </row>
    <row r="2426" spans="1:14" ht="15" customHeight="1" x14ac:dyDescent="0.2">
      <c r="A2426" s="31">
        <v>0.84425761428617496</v>
      </c>
      <c r="B2426" s="31"/>
      <c r="C2426" s="2" t="s">
        <v>855</v>
      </c>
      <c r="D2426" s="31">
        <f t="shared" si="84"/>
        <v>0.1654744924000903</v>
      </c>
      <c r="F2426" s="2" t="s">
        <v>822</v>
      </c>
      <c r="G2426" s="23" t="s">
        <v>902</v>
      </c>
      <c r="H2426" s="2" t="s">
        <v>822</v>
      </c>
      <c r="J2426" s="31">
        <v>43.469799000000002</v>
      </c>
      <c r="K2426" s="31">
        <v>-16.496200600000002</v>
      </c>
      <c r="L2426" s="31"/>
      <c r="M2426" s="31" t="s">
        <v>854</v>
      </c>
      <c r="N2426" s="6" t="s">
        <v>856</v>
      </c>
    </row>
    <row r="2427" spans="1:14" ht="15" customHeight="1" x14ac:dyDescent="0.2">
      <c r="A2427" s="31">
        <v>0.84412896127038384</v>
      </c>
      <c r="B2427" s="31"/>
      <c r="C2427" s="2" t="s">
        <v>855</v>
      </c>
      <c r="D2427" s="31">
        <f t="shared" si="84"/>
        <v>0.16544927640899523</v>
      </c>
      <c r="F2427" s="2" t="s">
        <v>822</v>
      </c>
      <c r="G2427" s="23" t="s">
        <v>902</v>
      </c>
      <c r="H2427" s="2" t="s">
        <v>822</v>
      </c>
      <c r="J2427" s="31">
        <v>42.722198499999998</v>
      </c>
      <c r="K2427" s="31">
        <v>14.0986996</v>
      </c>
      <c r="L2427" s="31"/>
      <c r="M2427" s="31" t="s">
        <v>854</v>
      </c>
      <c r="N2427" s="6" t="s">
        <v>856</v>
      </c>
    </row>
    <row r="2428" spans="1:14" ht="15" customHeight="1" x14ac:dyDescent="0.2">
      <c r="A2428" s="31">
        <v>0.84408599670230067</v>
      </c>
      <c r="B2428" s="31"/>
      <c r="C2428" s="2" t="s">
        <v>855</v>
      </c>
      <c r="D2428" s="31">
        <f t="shared" si="84"/>
        <v>0.16544085535365094</v>
      </c>
      <c r="F2428" s="2" t="s">
        <v>822</v>
      </c>
      <c r="G2428" s="23" t="s">
        <v>902</v>
      </c>
      <c r="H2428" s="2" t="s">
        <v>822</v>
      </c>
      <c r="J2428" s="31">
        <v>27.785900099999999</v>
      </c>
      <c r="K2428" s="31">
        <v>-16.695800800000001</v>
      </c>
      <c r="L2428" s="31"/>
      <c r="M2428" s="31" t="s">
        <v>854</v>
      </c>
      <c r="N2428" s="6" t="s">
        <v>856</v>
      </c>
    </row>
    <row r="2429" spans="1:14" ht="15" customHeight="1" x14ac:dyDescent="0.2">
      <c r="A2429" s="31">
        <v>0.84401980575018898</v>
      </c>
      <c r="B2429" s="31"/>
      <c r="C2429" s="2" t="s">
        <v>855</v>
      </c>
      <c r="D2429" s="31">
        <f t="shared" si="84"/>
        <v>0.16542788192703706</v>
      </c>
      <c r="F2429" s="2" t="s">
        <v>822</v>
      </c>
      <c r="G2429" s="23" t="s">
        <v>902</v>
      </c>
      <c r="H2429" s="2" t="s">
        <v>822</v>
      </c>
      <c r="J2429" s="31">
        <v>36.728000600000001</v>
      </c>
      <c r="K2429" s="31">
        <v>-21.184000000000001</v>
      </c>
      <c r="L2429" s="31"/>
      <c r="M2429" s="31" t="s">
        <v>854</v>
      </c>
      <c r="N2429" s="6" t="s">
        <v>856</v>
      </c>
    </row>
    <row r="2430" spans="1:14" ht="15" customHeight="1" x14ac:dyDescent="0.2">
      <c r="A2430" s="31">
        <v>0.84397636797980014</v>
      </c>
      <c r="B2430" s="31"/>
      <c r="C2430" s="2" t="s">
        <v>855</v>
      </c>
      <c r="D2430" s="31">
        <f t="shared" si="84"/>
        <v>0.16541936812404084</v>
      </c>
      <c r="F2430" s="2" t="s">
        <v>822</v>
      </c>
      <c r="G2430" s="23" t="s">
        <v>902</v>
      </c>
      <c r="H2430" s="2" t="s">
        <v>822</v>
      </c>
      <c r="J2430" s="31">
        <v>44.286498999999999</v>
      </c>
      <c r="K2430" s="31">
        <v>-3.5179999</v>
      </c>
      <c r="L2430" s="31"/>
      <c r="M2430" s="31" t="s">
        <v>854</v>
      </c>
      <c r="N2430" s="6" t="s">
        <v>856</v>
      </c>
    </row>
    <row r="2431" spans="1:14" ht="15" customHeight="1" x14ac:dyDescent="0.2">
      <c r="A2431" s="31">
        <v>0.84382674037589922</v>
      </c>
      <c r="B2431" s="31"/>
      <c r="C2431" s="2" t="s">
        <v>855</v>
      </c>
      <c r="D2431" s="31">
        <f t="shared" si="84"/>
        <v>0.16539004111367625</v>
      </c>
      <c r="F2431" s="2" t="s">
        <v>822</v>
      </c>
      <c r="G2431" s="23" t="s">
        <v>902</v>
      </c>
      <c r="H2431" s="2" t="s">
        <v>822</v>
      </c>
      <c r="J2431" s="31">
        <v>56.925399800000001</v>
      </c>
      <c r="K2431" s="31">
        <v>21.235799799999999</v>
      </c>
      <c r="L2431" s="31"/>
      <c r="M2431" s="31" t="s">
        <v>854</v>
      </c>
      <c r="N2431" s="6" t="s">
        <v>856</v>
      </c>
    </row>
    <row r="2432" spans="1:14" ht="15" customHeight="1" x14ac:dyDescent="0.2">
      <c r="A2432" s="31">
        <v>0.84374519482833155</v>
      </c>
      <c r="B2432" s="31"/>
      <c r="C2432" s="2" t="s">
        <v>855</v>
      </c>
      <c r="D2432" s="31">
        <f t="shared" si="84"/>
        <v>0.16537405818635298</v>
      </c>
      <c r="F2432" s="2" t="s">
        <v>822</v>
      </c>
      <c r="G2432" s="23" t="s">
        <v>902</v>
      </c>
      <c r="H2432" s="2" t="s">
        <v>822</v>
      </c>
      <c r="J2432" s="31">
        <v>32.978599500000001</v>
      </c>
      <c r="K2432" s="31">
        <v>-42.560001399999997</v>
      </c>
      <c r="L2432" s="31"/>
      <c r="M2432" s="31" t="s">
        <v>854</v>
      </c>
      <c r="N2432" s="6" t="s">
        <v>856</v>
      </c>
    </row>
    <row r="2433" spans="1:14" ht="15" customHeight="1" x14ac:dyDescent="0.2">
      <c r="A2433" s="31">
        <v>0.8436484650654541</v>
      </c>
      <c r="B2433" s="31"/>
      <c r="C2433" s="2" t="s">
        <v>855</v>
      </c>
      <c r="D2433" s="31">
        <f t="shared" si="84"/>
        <v>0.165355099152829</v>
      </c>
      <c r="F2433" s="2" t="s">
        <v>822</v>
      </c>
      <c r="G2433" s="23" t="s">
        <v>902</v>
      </c>
      <c r="H2433" s="2" t="s">
        <v>822</v>
      </c>
      <c r="J2433" s="31">
        <v>35.451900500000001</v>
      </c>
      <c r="K2433" s="31">
        <v>-11.8473997</v>
      </c>
      <c r="L2433" s="31"/>
      <c r="M2433" s="31" t="s">
        <v>854</v>
      </c>
      <c r="N2433" s="6" t="s">
        <v>856</v>
      </c>
    </row>
    <row r="2434" spans="1:14" ht="15" customHeight="1" x14ac:dyDescent="0.2">
      <c r="A2434" s="31">
        <v>0.84308457635558487</v>
      </c>
      <c r="B2434" s="31"/>
      <c r="C2434" s="2" t="s">
        <v>855</v>
      </c>
      <c r="D2434" s="31">
        <f t="shared" si="84"/>
        <v>0.16524457696569464</v>
      </c>
      <c r="F2434" s="2" t="s">
        <v>822</v>
      </c>
      <c r="G2434" s="23" t="s">
        <v>902</v>
      </c>
      <c r="H2434" s="2" t="s">
        <v>822</v>
      </c>
      <c r="J2434" s="31">
        <v>33.810001399999997</v>
      </c>
      <c r="K2434" s="31">
        <v>20.6291008</v>
      </c>
      <c r="L2434" s="31"/>
      <c r="M2434" s="31" t="s">
        <v>854</v>
      </c>
      <c r="N2434" s="6" t="s">
        <v>856</v>
      </c>
    </row>
    <row r="2435" spans="1:14" ht="15" customHeight="1" x14ac:dyDescent="0.2">
      <c r="A2435" s="31">
        <v>0.84286265522028025</v>
      </c>
      <c r="B2435" s="31"/>
      <c r="C2435" s="2" t="s">
        <v>855</v>
      </c>
      <c r="D2435" s="31">
        <f t="shared" si="84"/>
        <v>0.16520108042317494</v>
      </c>
      <c r="F2435" s="2" t="s">
        <v>822</v>
      </c>
      <c r="G2435" s="23" t="s">
        <v>902</v>
      </c>
      <c r="H2435" s="2" t="s">
        <v>822</v>
      </c>
      <c r="J2435" s="31">
        <v>40.0680008</v>
      </c>
      <c r="K2435" s="31">
        <v>-39.220001199999999</v>
      </c>
      <c r="L2435" s="31"/>
      <c r="M2435" s="31" t="s">
        <v>854</v>
      </c>
      <c r="N2435" s="6" t="s">
        <v>856</v>
      </c>
    </row>
    <row r="2436" spans="1:14" ht="15" customHeight="1" x14ac:dyDescent="0.2">
      <c r="A2436" s="31">
        <v>0.84272678448572436</v>
      </c>
      <c r="B2436" s="31"/>
      <c r="C2436" s="2" t="s">
        <v>855</v>
      </c>
      <c r="D2436" s="31">
        <f t="shared" si="84"/>
        <v>0.16517444975920198</v>
      </c>
      <c r="F2436" s="2" t="s">
        <v>822</v>
      </c>
      <c r="G2436" s="23" t="s">
        <v>902</v>
      </c>
      <c r="H2436" s="2" t="s">
        <v>822</v>
      </c>
      <c r="J2436" s="31">
        <v>31.384000799999999</v>
      </c>
      <c r="K2436" s="31">
        <v>-19.847999600000001</v>
      </c>
      <c r="L2436" s="31"/>
      <c r="M2436" s="31" t="s">
        <v>854</v>
      </c>
      <c r="N2436" s="6" t="s">
        <v>856</v>
      </c>
    </row>
    <row r="2437" spans="1:14" ht="15" customHeight="1" x14ac:dyDescent="0.2">
      <c r="A2437" s="31">
        <v>0.84263213408785476</v>
      </c>
      <c r="B2437" s="31"/>
      <c r="C2437" s="2" t="s">
        <v>855</v>
      </c>
      <c r="D2437" s="31">
        <f t="shared" si="84"/>
        <v>0.16515589828121954</v>
      </c>
      <c r="F2437" s="2" t="s">
        <v>822</v>
      </c>
      <c r="G2437" s="23" t="s">
        <v>902</v>
      </c>
      <c r="H2437" s="2" t="s">
        <v>822</v>
      </c>
      <c r="J2437" s="31">
        <v>43.367500300000003</v>
      </c>
      <c r="K2437" s="31">
        <v>14.504899999999999</v>
      </c>
      <c r="L2437" s="31"/>
      <c r="M2437" s="31" t="s">
        <v>854</v>
      </c>
      <c r="N2437" s="6" t="s">
        <v>856</v>
      </c>
    </row>
    <row r="2438" spans="1:14" ht="15" customHeight="1" x14ac:dyDescent="0.2">
      <c r="A2438" s="31">
        <v>0.84250570290664484</v>
      </c>
      <c r="B2438" s="31"/>
      <c r="C2438" s="2" t="s">
        <v>855</v>
      </c>
      <c r="D2438" s="31">
        <f t="shared" si="84"/>
        <v>0.16513111776970241</v>
      </c>
      <c r="F2438" s="2" t="s">
        <v>822</v>
      </c>
      <c r="G2438" s="23" t="s">
        <v>902</v>
      </c>
      <c r="H2438" s="2" t="s">
        <v>822</v>
      </c>
      <c r="J2438" s="31">
        <v>43.917598699999999</v>
      </c>
      <c r="K2438" s="31">
        <v>-6.0021199999999997</v>
      </c>
      <c r="L2438" s="31"/>
      <c r="M2438" s="31" t="s">
        <v>854</v>
      </c>
      <c r="N2438" s="6" t="s">
        <v>856</v>
      </c>
    </row>
    <row r="2439" spans="1:14" ht="15" customHeight="1" x14ac:dyDescent="0.2">
      <c r="A2439" s="31">
        <v>0.84216439083889416</v>
      </c>
      <c r="B2439" s="31"/>
      <c r="C2439" s="2" t="s">
        <v>855</v>
      </c>
      <c r="D2439" s="31">
        <f t="shared" si="84"/>
        <v>0.16506422060442327</v>
      </c>
      <c r="F2439" s="2" t="s">
        <v>822</v>
      </c>
      <c r="G2439" s="23" t="s">
        <v>902</v>
      </c>
      <c r="H2439" s="2" t="s">
        <v>822</v>
      </c>
      <c r="J2439" s="31">
        <v>44.5293007</v>
      </c>
      <c r="K2439" s="31">
        <v>-29.9043007</v>
      </c>
      <c r="L2439" s="31"/>
      <c r="M2439" s="31" t="s">
        <v>854</v>
      </c>
      <c r="N2439" s="6" t="s">
        <v>856</v>
      </c>
    </row>
    <row r="2440" spans="1:14" ht="15" customHeight="1" x14ac:dyDescent="0.2">
      <c r="A2440" s="31">
        <v>0.84150897721149498</v>
      </c>
      <c r="B2440" s="31"/>
      <c r="C2440" s="2" t="s">
        <v>855</v>
      </c>
      <c r="D2440" s="31">
        <f t="shared" si="84"/>
        <v>0.16493575953345302</v>
      </c>
      <c r="F2440" s="2" t="s">
        <v>822</v>
      </c>
      <c r="G2440" s="23" t="s">
        <v>902</v>
      </c>
      <c r="H2440" s="2" t="s">
        <v>822</v>
      </c>
      <c r="J2440" s="31">
        <v>36.978099800000003</v>
      </c>
      <c r="K2440" s="31">
        <v>4.2154198000000003</v>
      </c>
      <c r="L2440" s="31"/>
      <c r="M2440" s="31" t="s">
        <v>854</v>
      </c>
      <c r="N2440" s="6" t="s">
        <v>856</v>
      </c>
    </row>
    <row r="2441" spans="1:14" ht="15" customHeight="1" x14ac:dyDescent="0.2">
      <c r="A2441" s="31">
        <v>0.84145389365370638</v>
      </c>
      <c r="B2441" s="31"/>
      <c r="C2441" s="2" t="s">
        <v>855</v>
      </c>
      <c r="D2441" s="31">
        <f t="shared" si="84"/>
        <v>0.16492496315612645</v>
      </c>
      <c r="F2441" s="2" t="s">
        <v>822</v>
      </c>
      <c r="G2441" s="23" t="s">
        <v>902</v>
      </c>
      <c r="H2441" s="2" t="s">
        <v>822</v>
      </c>
      <c r="J2441" s="31">
        <v>38.136200000000002</v>
      </c>
      <c r="K2441" s="31">
        <v>-25.164400100000002</v>
      </c>
      <c r="L2441" s="31"/>
      <c r="M2441" s="31" t="s">
        <v>854</v>
      </c>
      <c r="N2441" s="6" t="s">
        <v>856</v>
      </c>
    </row>
    <row r="2442" spans="1:14" ht="15" customHeight="1" x14ac:dyDescent="0.2">
      <c r="A2442" s="31">
        <v>0.84142053390915894</v>
      </c>
      <c r="B2442" s="31"/>
      <c r="C2442" s="2" t="s">
        <v>855</v>
      </c>
      <c r="D2442" s="31">
        <f t="shared" si="84"/>
        <v>0.16491842464619516</v>
      </c>
      <c r="F2442" s="2" t="s">
        <v>822</v>
      </c>
      <c r="G2442" s="23" t="s">
        <v>902</v>
      </c>
      <c r="H2442" s="2" t="s">
        <v>822</v>
      </c>
      <c r="J2442" s="31">
        <v>40.979900399999998</v>
      </c>
      <c r="K2442" s="31">
        <v>8.7024603000000003</v>
      </c>
      <c r="L2442" s="31"/>
      <c r="M2442" s="31" t="s">
        <v>854</v>
      </c>
      <c r="N2442" s="6" t="s">
        <v>856</v>
      </c>
    </row>
    <row r="2443" spans="1:14" ht="15" customHeight="1" x14ac:dyDescent="0.2">
      <c r="A2443" s="31">
        <v>0.8410632803011171</v>
      </c>
      <c r="B2443" s="31"/>
      <c r="C2443" s="2" t="s">
        <v>855</v>
      </c>
      <c r="D2443" s="31">
        <f t="shared" si="84"/>
        <v>0.16484840293901895</v>
      </c>
      <c r="F2443" s="2" t="s">
        <v>822</v>
      </c>
      <c r="G2443" s="23" t="s">
        <v>902</v>
      </c>
      <c r="H2443" s="2" t="s">
        <v>822</v>
      </c>
      <c r="J2443" s="31">
        <v>42.087398499999999</v>
      </c>
      <c r="K2443" s="31">
        <v>-27.644599899999999</v>
      </c>
      <c r="L2443" s="31"/>
      <c r="M2443" s="31" t="s">
        <v>854</v>
      </c>
      <c r="N2443" s="6" t="s">
        <v>856</v>
      </c>
    </row>
    <row r="2444" spans="1:14" ht="15" customHeight="1" x14ac:dyDescent="0.2">
      <c r="A2444" s="31">
        <v>0.84103058814592024</v>
      </c>
      <c r="B2444" s="31"/>
      <c r="C2444" s="2" t="s">
        <v>855</v>
      </c>
      <c r="D2444" s="31">
        <f t="shared" si="84"/>
        <v>0.16484199527660037</v>
      </c>
      <c r="F2444" s="2" t="s">
        <v>822</v>
      </c>
      <c r="G2444" s="23" t="s">
        <v>902</v>
      </c>
      <c r="H2444" s="2" t="s">
        <v>822</v>
      </c>
      <c r="J2444" s="31">
        <v>41.595798500000001</v>
      </c>
      <c r="K2444" s="31">
        <v>-21.829200700000001</v>
      </c>
      <c r="L2444" s="31"/>
      <c r="M2444" s="31" t="s">
        <v>854</v>
      </c>
      <c r="N2444" s="6" t="s">
        <v>856</v>
      </c>
    </row>
    <row r="2445" spans="1:14" ht="15" customHeight="1" x14ac:dyDescent="0.2">
      <c r="A2445" s="31">
        <v>0.8405864192802367</v>
      </c>
      <c r="B2445" s="31"/>
      <c r="C2445" s="2" t="s">
        <v>855</v>
      </c>
      <c r="D2445" s="31">
        <f t="shared" si="84"/>
        <v>0.16475493817892639</v>
      </c>
      <c r="F2445" s="2" t="s">
        <v>822</v>
      </c>
      <c r="G2445" s="23" t="s">
        <v>902</v>
      </c>
      <c r="H2445" s="2" t="s">
        <v>822</v>
      </c>
      <c r="J2445" s="31">
        <v>44.076000200000003</v>
      </c>
      <c r="K2445" s="31">
        <v>-16.507999399999999</v>
      </c>
      <c r="L2445" s="31"/>
      <c r="M2445" s="31" t="s">
        <v>854</v>
      </c>
      <c r="N2445" s="6" t="s">
        <v>856</v>
      </c>
    </row>
    <row r="2446" spans="1:14" ht="15" customHeight="1" x14ac:dyDescent="0.2">
      <c r="A2446" s="31">
        <v>0.84020270360058813</v>
      </c>
      <c r="B2446" s="31"/>
      <c r="C2446" s="2" t="s">
        <v>855</v>
      </c>
      <c r="D2446" s="31">
        <f t="shared" si="84"/>
        <v>0.16467972990571528</v>
      </c>
      <c r="F2446" s="2" t="s">
        <v>822</v>
      </c>
      <c r="G2446" s="23" t="s">
        <v>902</v>
      </c>
      <c r="H2446" s="2" t="s">
        <v>822</v>
      </c>
      <c r="J2446" s="31">
        <v>25.7942009</v>
      </c>
      <c r="K2446" s="31">
        <v>-33.746398900000003</v>
      </c>
      <c r="L2446" s="31"/>
      <c r="M2446" s="31" t="s">
        <v>854</v>
      </c>
      <c r="N2446" s="6" t="s">
        <v>856</v>
      </c>
    </row>
    <row r="2447" spans="1:14" ht="15" customHeight="1" x14ac:dyDescent="0.2">
      <c r="A2447" s="31">
        <v>0.83998954473966936</v>
      </c>
      <c r="B2447" s="31"/>
      <c r="C2447" s="2" t="s">
        <v>855</v>
      </c>
      <c r="D2447" s="31">
        <f t="shared" si="84"/>
        <v>0.16463795076897519</v>
      </c>
      <c r="F2447" s="2" t="s">
        <v>822</v>
      </c>
      <c r="G2447" s="23" t="s">
        <v>902</v>
      </c>
      <c r="H2447" s="2" t="s">
        <v>822</v>
      </c>
      <c r="J2447" s="31">
        <v>34.0564003</v>
      </c>
      <c r="K2447" s="31">
        <v>-9.8283795999999999</v>
      </c>
      <c r="L2447" s="31"/>
      <c r="M2447" s="31" t="s">
        <v>854</v>
      </c>
      <c r="N2447" s="6" t="s">
        <v>856</v>
      </c>
    </row>
    <row r="2448" spans="1:14" ht="15" customHeight="1" x14ac:dyDescent="0.2">
      <c r="A2448" s="31">
        <v>0.83995548346515136</v>
      </c>
      <c r="B2448" s="31"/>
      <c r="C2448" s="2" t="s">
        <v>855</v>
      </c>
      <c r="D2448" s="31">
        <f t="shared" si="84"/>
        <v>0.16463127475916967</v>
      </c>
      <c r="F2448" s="2" t="s">
        <v>822</v>
      </c>
      <c r="G2448" s="23" t="s">
        <v>902</v>
      </c>
      <c r="H2448" s="2" t="s">
        <v>822</v>
      </c>
      <c r="J2448" s="31">
        <v>33.689201400000002</v>
      </c>
      <c r="K2448" s="31">
        <v>32.012100199999999</v>
      </c>
      <c r="L2448" s="31"/>
      <c r="M2448" s="31" t="s">
        <v>854</v>
      </c>
      <c r="N2448" s="6" t="s">
        <v>856</v>
      </c>
    </row>
    <row r="2449" spans="1:14" ht="15" customHeight="1" x14ac:dyDescent="0.2">
      <c r="A2449" s="31">
        <v>0.83993409699640509</v>
      </c>
      <c r="B2449" s="31"/>
      <c r="C2449" s="2" t="s">
        <v>855</v>
      </c>
      <c r="D2449" s="31">
        <f t="shared" si="84"/>
        <v>0.16462708301129542</v>
      </c>
      <c r="F2449" s="2" t="s">
        <v>822</v>
      </c>
      <c r="G2449" s="23" t="s">
        <v>902</v>
      </c>
      <c r="H2449" s="2" t="s">
        <v>822</v>
      </c>
      <c r="J2449" s="31">
        <v>32.025199899999997</v>
      </c>
      <c r="K2449" s="31">
        <v>-39.829498299999997</v>
      </c>
      <c r="L2449" s="31"/>
      <c r="M2449" s="31" t="s">
        <v>854</v>
      </c>
      <c r="N2449" s="6" t="s">
        <v>856</v>
      </c>
    </row>
    <row r="2450" spans="1:14" ht="15" customHeight="1" x14ac:dyDescent="0.2">
      <c r="A2450" s="31">
        <v>0.83987700117343878</v>
      </c>
      <c r="B2450" s="31"/>
      <c r="C2450" s="2" t="s">
        <v>855</v>
      </c>
      <c r="D2450" s="31">
        <f t="shared" si="84"/>
        <v>0.16461589222999401</v>
      </c>
      <c r="F2450" s="2" t="s">
        <v>822</v>
      </c>
      <c r="G2450" s="23" t="s">
        <v>902</v>
      </c>
      <c r="H2450" s="2" t="s">
        <v>822</v>
      </c>
      <c r="J2450" s="31">
        <v>43.337200199999998</v>
      </c>
      <c r="K2450" s="31">
        <v>-19.155300100000002</v>
      </c>
      <c r="L2450" s="31"/>
      <c r="M2450" s="31" t="s">
        <v>854</v>
      </c>
      <c r="N2450" s="6" t="s">
        <v>856</v>
      </c>
    </row>
    <row r="2451" spans="1:14" ht="15" customHeight="1" x14ac:dyDescent="0.2">
      <c r="A2451" s="31">
        <v>0.83983566858713865</v>
      </c>
      <c r="B2451" s="31"/>
      <c r="C2451" s="2" t="s">
        <v>855</v>
      </c>
      <c r="D2451" s="31">
        <f t="shared" si="84"/>
        <v>0.16460779104307918</v>
      </c>
      <c r="F2451" s="2" t="s">
        <v>822</v>
      </c>
      <c r="G2451" s="23" t="s">
        <v>902</v>
      </c>
      <c r="H2451" s="2" t="s">
        <v>822</v>
      </c>
      <c r="J2451" s="31">
        <v>36.331501000000003</v>
      </c>
      <c r="K2451" s="31">
        <v>-0.47599999999999998</v>
      </c>
      <c r="L2451" s="31"/>
      <c r="M2451" s="31" t="s">
        <v>854</v>
      </c>
      <c r="N2451" s="6" t="s">
        <v>856</v>
      </c>
    </row>
    <row r="2452" spans="1:14" ht="15" customHeight="1" x14ac:dyDescent="0.2">
      <c r="A2452" s="31">
        <v>0.83979742997384843</v>
      </c>
      <c r="B2452" s="31"/>
      <c r="C2452" s="2" t="s">
        <v>855</v>
      </c>
      <c r="D2452" s="31">
        <f t="shared" si="84"/>
        <v>0.1646002962748743</v>
      </c>
      <c r="F2452" s="2" t="s">
        <v>822</v>
      </c>
      <c r="G2452" s="23" t="s">
        <v>902</v>
      </c>
      <c r="H2452" s="2" t="s">
        <v>822</v>
      </c>
      <c r="J2452" s="31">
        <v>44.743999500000001</v>
      </c>
      <c r="K2452" s="31">
        <v>-16.841999099999999</v>
      </c>
      <c r="L2452" s="31"/>
      <c r="M2452" s="31" t="s">
        <v>854</v>
      </c>
      <c r="N2452" s="6" t="s">
        <v>856</v>
      </c>
    </row>
    <row r="2453" spans="1:14" ht="15" customHeight="1" x14ac:dyDescent="0.2">
      <c r="A2453" s="31">
        <v>0.8392883035211216</v>
      </c>
      <c r="B2453" s="31"/>
      <c r="C2453" s="2" t="s">
        <v>855</v>
      </c>
      <c r="D2453" s="31">
        <f t="shared" si="84"/>
        <v>0.16450050749013984</v>
      </c>
      <c r="F2453" s="2" t="s">
        <v>822</v>
      </c>
      <c r="G2453" s="23" t="s">
        <v>902</v>
      </c>
      <c r="H2453" s="2" t="s">
        <v>822</v>
      </c>
      <c r="J2453" s="31">
        <v>34.043701200000001</v>
      </c>
      <c r="K2453" s="31">
        <v>26.2262001</v>
      </c>
      <c r="L2453" s="31"/>
      <c r="M2453" s="31" t="s">
        <v>854</v>
      </c>
      <c r="N2453" s="6" t="s">
        <v>856</v>
      </c>
    </row>
    <row r="2454" spans="1:14" ht="15" customHeight="1" x14ac:dyDescent="0.2">
      <c r="A2454" s="31">
        <v>0.83906763392935002</v>
      </c>
      <c r="B2454" s="31"/>
      <c r="C2454" s="2" t="s">
        <v>855</v>
      </c>
      <c r="D2454" s="31">
        <f t="shared" si="84"/>
        <v>0.16445725625015262</v>
      </c>
      <c r="F2454" s="2" t="s">
        <v>822</v>
      </c>
      <c r="G2454" s="23" t="s">
        <v>902</v>
      </c>
      <c r="H2454" s="2" t="s">
        <v>822</v>
      </c>
      <c r="J2454" s="31">
        <v>45.163799300000001</v>
      </c>
      <c r="K2454" s="31">
        <v>-18.779699300000001</v>
      </c>
      <c r="L2454" s="31"/>
      <c r="M2454" s="31" t="s">
        <v>854</v>
      </c>
      <c r="N2454" s="6" t="s">
        <v>856</v>
      </c>
    </row>
    <row r="2455" spans="1:14" ht="15" customHeight="1" x14ac:dyDescent="0.2">
      <c r="A2455" s="31">
        <v>0.83898031032651454</v>
      </c>
      <c r="B2455" s="31"/>
      <c r="C2455" s="2" t="s">
        <v>855</v>
      </c>
      <c r="D2455" s="31">
        <f t="shared" si="84"/>
        <v>0.16444014082399686</v>
      </c>
      <c r="F2455" s="2" t="s">
        <v>822</v>
      </c>
      <c r="G2455" s="23" t="s">
        <v>902</v>
      </c>
      <c r="H2455" s="2" t="s">
        <v>822</v>
      </c>
      <c r="J2455" s="31">
        <v>48.869598400000001</v>
      </c>
      <c r="K2455" s="31">
        <v>-2.7881600999999998</v>
      </c>
      <c r="L2455" s="31"/>
      <c r="M2455" s="31" t="s">
        <v>854</v>
      </c>
      <c r="N2455" s="6" t="s">
        <v>856</v>
      </c>
    </row>
    <row r="2456" spans="1:14" ht="15" customHeight="1" x14ac:dyDescent="0.2">
      <c r="A2456" s="31">
        <v>0.83890610324810244</v>
      </c>
      <c r="B2456" s="31"/>
      <c r="C2456" s="2" t="s">
        <v>855</v>
      </c>
      <c r="D2456" s="31">
        <f t="shared" si="84"/>
        <v>0.16442559623662809</v>
      </c>
      <c r="F2456" s="2" t="s">
        <v>822</v>
      </c>
      <c r="G2456" s="23" t="s">
        <v>902</v>
      </c>
      <c r="H2456" s="2" t="s">
        <v>822</v>
      </c>
      <c r="J2456" s="31">
        <v>45.197299999999998</v>
      </c>
      <c r="K2456" s="31">
        <v>-3.5</v>
      </c>
      <c r="L2456" s="31"/>
      <c r="M2456" s="31" t="s">
        <v>854</v>
      </c>
      <c r="N2456" s="6" t="s">
        <v>856</v>
      </c>
    </row>
    <row r="2457" spans="1:14" ht="15" customHeight="1" x14ac:dyDescent="0.2">
      <c r="A2457" s="31">
        <v>0.8388907114454327</v>
      </c>
      <c r="B2457" s="31"/>
      <c r="C2457" s="2" t="s">
        <v>855</v>
      </c>
      <c r="D2457" s="31">
        <f t="shared" si="84"/>
        <v>0.16442257944330482</v>
      </c>
      <c r="F2457" s="2" t="s">
        <v>822</v>
      </c>
      <c r="G2457" s="23" t="s">
        <v>902</v>
      </c>
      <c r="H2457" s="2" t="s">
        <v>822</v>
      </c>
      <c r="J2457" s="31">
        <v>35.175499000000002</v>
      </c>
      <c r="K2457" s="31">
        <v>-24.818300199999999</v>
      </c>
      <c r="L2457" s="31"/>
      <c r="M2457" s="31" t="s">
        <v>854</v>
      </c>
      <c r="N2457" s="6" t="s">
        <v>856</v>
      </c>
    </row>
    <row r="2458" spans="1:14" ht="15" customHeight="1" x14ac:dyDescent="0.2">
      <c r="A2458" s="31">
        <v>0.83809846421110556</v>
      </c>
      <c r="B2458" s="31"/>
      <c r="C2458" s="2" t="s">
        <v>855</v>
      </c>
      <c r="D2458" s="31">
        <f t="shared" si="84"/>
        <v>0.1642672989853767</v>
      </c>
      <c r="F2458" s="2" t="s">
        <v>822</v>
      </c>
      <c r="G2458" s="23" t="s">
        <v>902</v>
      </c>
      <c r="H2458" s="2" t="s">
        <v>822</v>
      </c>
      <c r="J2458" s="31">
        <v>47.416000400000001</v>
      </c>
      <c r="K2458" s="31">
        <v>-12.5</v>
      </c>
      <c r="L2458" s="31"/>
      <c r="M2458" s="31" t="s">
        <v>854</v>
      </c>
      <c r="N2458" s="6" t="s">
        <v>856</v>
      </c>
    </row>
    <row r="2459" spans="1:14" ht="15" customHeight="1" x14ac:dyDescent="0.2">
      <c r="A2459" s="31">
        <v>0.8380957442282263</v>
      </c>
      <c r="B2459" s="31"/>
      <c r="C2459" s="2" t="s">
        <v>855</v>
      </c>
      <c r="D2459" s="31">
        <f t="shared" si="84"/>
        <v>0.16426676586873237</v>
      </c>
      <c r="F2459" s="2" t="s">
        <v>822</v>
      </c>
      <c r="G2459" s="23" t="s">
        <v>902</v>
      </c>
      <c r="H2459" s="2" t="s">
        <v>822</v>
      </c>
      <c r="J2459" s="31">
        <v>37.893501299999997</v>
      </c>
      <c r="K2459" s="31">
        <v>-23.944200500000001</v>
      </c>
      <c r="L2459" s="31"/>
      <c r="M2459" s="31" t="s">
        <v>854</v>
      </c>
      <c r="N2459" s="6" t="s">
        <v>856</v>
      </c>
    </row>
    <row r="2460" spans="1:14" ht="15" customHeight="1" x14ac:dyDescent="0.2">
      <c r="A2460" s="31">
        <v>0.83788961652394556</v>
      </c>
      <c r="B2460" s="31"/>
      <c r="C2460" s="2" t="s">
        <v>855</v>
      </c>
      <c r="D2460" s="31">
        <f t="shared" si="84"/>
        <v>0.16422636483869332</v>
      </c>
      <c r="F2460" s="2" t="s">
        <v>822</v>
      </c>
      <c r="G2460" s="23" t="s">
        <v>902</v>
      </c>
      <c r="H2460" s="2" t="s">
        <v>822</v>
      </c>
      <c r="J2460" s="31">
        <v>43.744098700000002</v>
      </c>
      <c r="K2460" s="31">
        <v>-8.2148199000000002</v>
      </c>
      <c r="L2460" s="31"/>
      <c r="M2460" s="31" t="s">
        <v>854</v>
      </c>
      <c r="N2460" s="6" t="s">
        <v>856</v>
      </c>
    </row>
    <row r="2461" spans="1:14" ht="15" customHeight="1" x14ac:dyDescent="0.2">
      <c r="A2461" s="31">
        <v>0.83783089732324045</v>
      </c>
      <c r="B2461" s="31"/>
      <c r="C2461" s="2" t="s">
        <v>855</v>
      </c>
      <c r="D2461" s="31">
        <f t="shared" si="84"/>
        <v>0.16421485587535514</v>
      </c>
      <c r="F2461" s="2" t="s">
        <v>822</v>
      </c>
      <c r="G2461" s="23" t="s">
        <v>902</v>
      </c>
      <c r="H2461" s="2" t="s">
        <v>822</v>
      </c>
      <c r="J2461" s="31">
        <v>35.356098199999998</v>
      </c>
      <c r="K2461" s="31">
        <v>-8.5847197000000008</v>
      </c>
      <c r="L2461" s="31"/>
      <c r="M2461" s="31" t="s">
        <v>854</v>
      </c>
      <c r="N2461" s="6" t="s">
        <v>856</v>
      </c>
    </row>
    <row r="2462" spans="1:14" ht="15" customHeight="1" x14ac:dyDescent="0.2">
      <c r="A2462" s="31">
        <v>0.8376303919313558</v>
      </c>
      <c r="B2462" s="31"/>
      <c r="C2462" s="2" t="s">
        <v>855</v>
      </c>
      <c r="D2462" s="31">
        <f t="shared" si="84"/>
        <v>0.16417555681854573</v>
      </c>
      <c r="F2462" s="2" t="s">
        <v>822</v>
      </c>
      <c r="G2462" s="23" t="s">
        <v>902</v>
      </c>
      <c r="H2462" s="2" t="s">
        <v>822</v>
      </c>
      <c r="J2462" s="31">
        <v>32.062999699999999</v>
      </c>
      <c r="K2462" s="31">
        <v>-11.1702995</v>
      </c>
      <c r="L2462" s="31"/>
      <c r="M2462" s="31" t="s">
        <v>854</v>
      </c>
      <c r="N2462" s="6" t="s">
        <v>856</v>
      </c>
    </row>
    <row r="2463" spans="1:14" ht="15" customHeight="1" x14ac:dyDescent="0.2">
      <c r="A2463" s="31">
        <v>0.83731584472097387</v>
      </c>
      <c r="B2463" s="31"/>
      <c r="C2463" s="2" t="s">
        <v>855</v>
      </c>
      <c r="D2463" s="31">
        <f t="shared" si="84"/>
        <v>0.16411390556531089</v>
      </c>
      <c r="F2463" s="2" t="s">
        <v>822</v>
      </c>
      <c r="G2463" s="23" t="s">
        <v>902</v>
      </c>
      <c r="H2463" s="2" t="s">
        <v>822</v>
      </c>
      <c r="J2463" s="31">
        <v>43.196601899999997</v>
      </c>
      <c r="K2463" s="31">
        <v>-17.202600499999999</v>
      </c>
      <c r="L2463" s="31"/>
      <c r="M2463" s="31" t="s">
        <v>854</v>
      </c>
      <c r="N2463" s="6" t="s">
        <v>856</v>
      </c>
    </row>
    <row r="2464" spans="1:14" ht="15" customHeight="1" x14ac:dyDescent="0.2">
      <c r="A2464" s="31">
        <v>0.8371716053785373</v>
      </c>
      <c r="B2464" s="31"/>
      <c r="C2464" s="2" t="s">
        <v>855</v>
      </c>
      <c r="D2464" s="31">
        <f t="shared" si="84"/>
        <v>0.16408563465419332</v>
      </c>
      <c r="F2464" s="2" t="s">
        <v>822</v>
      </c>
      <c r="G2464" s="23" t="s">
        <v>902</v>
      </c>
      <c r="H2464" s="2" t="s">
        <v>822</v>
      </c>
      <c r="J2464" s="31">
        <v>30.048000300000002</v>
      </c>
      <c r="K2464" s="31">
        <v>-14.5039997</v>
      </c>
      <c r="L2464" s="31"/>
      <c r="M2464" s="31" t="s">
        <v>854</v>
      </c>
      <c r="N2464" s="6" t="s">
        <v>856</v>
      </c>
    </row>
    <row r="2465" spans="1:14" ht="15" customHeight="1" x14ac:dyDescent="0.2">
      <c r="A2465" s="31">
        <v>0.83706217060338517</v>
      </c>
      <c r="B2465" s="31"/>
      <c r="C2465" s="2" t="s">
        <v>855</v>
      </c>
      <c r="D2465" s="31">
        <f t="shared" si="84"/>
        <v>0.16406418543826351</v>
      </c>
      <c r="F2465" s="2" t="s">
        <v>822</v>
      </c>
      <c r="G2465" s="23" t="s">
        <v>902</v>
      </c>
      <c r="H2465" s="2" t="s">
        <v>822</v>
      </c>
      <c r="J2465" s="31">
        <v>27.3476009</v>
      </c>
      <c r="K2465" s="31">
        <v>-16.218200700000001</v>
      </c>
      <c r="L2465" s="31"/>
      <c r="M2465" s="31" t="s">
        <v>854</v>
      </c>
      <c r="N2465" s="6" t="s">
        <v>856</v>
      </c>
    </row>
    <row r="2466" spans="1:14" ht="15" customHeight="1" x14ac:dyDescent="0.2">
      <c r="A2466" s="31">
        <v>0.83704834182622678</v>
      </c>
      <c r="B2466" s="31"/>
      <c r="C2466" s="2" t="s">
        <v>855</v>
      </c>
      <c r="D2466" s="31">
        <f t="shared" si="84"/>
        <v>0.16406147499794047</v>
      </c>
      <c r="F2466" s="2" t="s">
        <v>822</v>
      </c>
      <c r="G2466" s="23" t="s">
        <v>902</v>
      </c>
      <c r="H2466" s="2" t="s">
        <v>822</v>
      </c>
      <c r="J2466" s="31">
        <v>36.728000600000001</v>
      </c>
      <c r="K2466" s="31">
        <v>16.2240009</v>
      </c>
      <c r="L2466" s="31"/>
      <c r="M2466" s="31" t="s">
        <v>854</v>
      </c>
      <c r="N2466" s="6" t="s">
        <v>856</v>
      </c>
    </row>
    <row r="2467" spans="1:14" ht="15" customHeight="1" x14ac:dyDescent="0.2">
      <c r="A2467" s="31">
        <v>0.83685352708938732</v>
      </c>
      <c r="B2467" s="31"/>
      <c r="C2467" s="2" t="s">
        <v>855</v>
      </c>
      <c r="D2467" s="31">
        <f t="shared" si="84"/>
        <v>0.16402329130951993</v>
      </c>
      <c r="F2467" s="2" t="s">
        <v>822</v>
      </c>
      <c r="G2467" s="23" t="s">
        <v>902</v>
      </c>
      <c r="H2467" s="2" t="s">
        <v>822</v>
      </c>
      <c r="J2467" s="31">
        <v>45.733100899999997</v>
      </c>
      <c r="K2467" s="31">
        <v>-7.4580598</v>
      </c>
      <c r="L2467" s="31"/>
      <c r="M2467" s="31" t="s">
        <v>854</v>
      </c>
      <c r="N2467" s="6" t="s">
        <v>856</v>
      </c>
    </row>
    <row r="2468" spans="1:14" ht="15" customHeight="1" x14ac:dyDescent="0.2">
      <c r="A2468" s="31">
        <v>0.83676732253767183</v>
      </c>
      <c r="B2468" s="31"/>
      <c r="C2468" s="2" t="s">
        <v>855</v>
      </c>
      <c r="D2468" s="31">
        <f t="shared" si="84"/>
        <v>0.16400639521738369</v>
      </c>
      <c r="F2468" s="2" t="s">
        <v>822</v>
      </c>
      <c r="G2468" s="23" t="s">
        <v>902</v>
      </c>
      <c r="H2468" s="2" t="s">
        <v>822</v>
      </c>
      <c r="J2468" s="31">
        <v>27.0506001</v>
      </c>
      <c r="K2468" s="31">
        <v>-30.0251999</v>
      </c>
      <c r="L2468" s="31"/>
      <c r="M2468" s="31" t="s">
        <v>854</v>
      </c>
      <c r="N2468" s="6" t="s">
        <v>856</v>
      </c>
    </row>
    <row r="2469" spans="1:14" ht="15" customHeight="1" x14ac:dyDescent="0.2">
      <c r="A2469" s="31">
        <v>0.83674766580060023</v>
      </c>
      <c r="B2469" s="31"/>
      <c r="C2469" s="2" t="s">
        <v>855</v>
      </c>
      <c r="D2469" s="31">
        <f t="shared" ref="D2469:D2532" si="85" xml:space="preserve"> A2469 * 0.196</f>
        <v>0.16400254249691765</v>
      </c>
      <c r="F2469" s="2" t="s">
        <v>822</v>
      </c>
      <c r="G2469" s="23" t="s">
        <v>902</v>
      </c>
      <c r="H2469" s="2" t="s">
        <v>822</v>
      </c>
      <c r="J2469" s="31">
        <v>39.0685997</v>
      </c>
      <c r="K2469" s="31">
        <v>13.9063997</v>
      </c>
      <c r="L2469" s="31"/>
      <c r="M2469" s="31" t="s">
        <v>854</v>
      </c>
      <c r="N2469" s="6" t="s">
        <v>856</v>
      </c>
    </row>
    <row r="2470" spans="1:14" ht="15" customHeight="1" x14ac:dyDescent="0.2">
      <c r="A2470" s="31">
        <v>0.8366966684812176</v>
      </c>
      <c r="B2470" s="31"/>
      <c r="C2470" s="2" t="s">
        <v>855</v>
      </c>
      <c r="D2470" s="31">
        <f t="shared" si="85"/>
        <v>0.16399254702231866</v>
      </c>
      <c r="F2470" s="2" t="s">
        <v>822</v>
      </c>
      <c r="G2470" s="23" t="s">
        <v>902</v>
      </c>
      <c r="H2470" s="2" t="s">
        <v>822</v>
      </c>
      <c r="J2470" s="31">
        <v>44.116699199999999</v>
      </c>
      <c r="K2470" s="31">
        <v>-41.1316986</v>
      </c>
      <c r="L2470" s="31"/>
      <c r="M2470" s="31" t="s">
        <v>854</v>
      </c>
      <c r="N2470" s="6" t="s">
        <v>856</v>
      </c>
    </row>
    <row r="2471" spans="1:14" ht="15" customHeight="1" x14ac:dyDescent="0.2">
      <c r="A2471" s="31">
        <v>0.83609273562105169</v>
      </c>
      <c r="B2471" s="31"/>
      <c r="C2471" s="2" t="s">
        <v>855</v>
      </c>
      <c r="D2471" s="31">
        <f t="shared" si="85"/>
        <v>0.16387417618172614</v>
      </c>
      <c r="F2471" s="2" t="s">
        <v>822</v>
      </c>
      <c r="G2471" s="23" t="s">
        <v>902</v>
      </c>
      <c r="H2471" s="2" t="s">
        <v>822</v>
      </c>
      <c r="J2471" s="31">
        <v>39.061199199999997</v>
      </c>
      <c r="K2471" s="31">
        <v>-0.15439600000000001</v>
      </c>
      <c r="L2471" s="31"/>
      <c r="M2471" s="31" t="s">
        <v>854</v>
      </c>
      <c r="N2471" s="6" t="s">
        <v>856</v>
      </c>
    </row>
    <row r="2472" spans="1:14" ht="15" customHeight="1" x14ac:dyDescent="0.2">
      <c r="A2472" s="31">
        <v>0.8360767937570035</v>
      </c>
      <c r="B2472" s="31"/>
      <c r="C2472" s="2" t="s">
        <v>855</v>
      </c>
      <c r="D2472" s="31">
        <f t="shared" si="85"/>
        <v>0.16387105157637269</v>
      </c>
      <c r="F2472" s="2" t="s">
        <v>822</v>
      </c>
      <c r="G2472" s="23" t="s">
        <v>902</v>
      </c>
      <c r="H2472" s="2" t="s">
        <v>822</v>
      </c>
      <c r="J2472" s="31">
        <v>54.579399100000003</v>
      </c>
      <c r="K2472" s="31">
        <v>15.5021</v>
      </c>
      <c r="L2472" s="31"/>
      <c r="M2472" s="31" t="s">
        <v>854</v>
      </c>
      <c r="N2472" s="6" t="s">
        <v>856</v>
      </c>
    </row>
    <row r="2473" spans="1:14" ht="15" customHeight="1" x14ac:dyDescent="0.2">
      <c r="A2473" s="31">
        <v>0.83589854377498229</v>
      </c>
      <c r="B2473" s="31"/>
      <c r="C2473" s="2" t="s">
        <v>855</v>
      </c>
      <c r="D2473" s="31">
        <f t="shared" si="85"/>
        <v>0.16383611457989652</v>
      </c>
      <c r="F2473" s="2" t="s">
        <v>822</v>
      </c>
      <c r="G2473" s="23" t="s">
        <v>902</v>
      </c>
      <c r="H2473" s="2" t="s">
        <v>822</v>
      </c>
      <c r="J2473" s="31">
        <v>61.903801000000001</v>
      </c>
      <c r="K2473" s="31">
        <v>18.793600099999999</v>
      </c>
      <c r="L2473" s="31"/>
      <c r="M2473" s="31" t="s">
        <v>854</v>
      </c>
      <c r="N2473" s="6" t="s">
        <v>856</v>
      </c>
    </row>
    <row r="2474" spans="1:14" ht="15" customHeight="1" x14ac:dyDescent="0.2">
      <c r="A2474" s="31">
        <v>0.83564215781819717</v>
      </c>
      <c r="B2474" s="31"/>
      <c r="C2474" s="2" t="s">
        <v>855</v>
      </c>
      <c r="D2474" s="31">
        <f t="shared" si="85"/>
        <v>0.16378586293236666</v>
      </c>
      <c r="F2474" s="2" t="s">
        <v>822</v>
      </c>
      <c r="G2474" s="23" t="s">
        <v>902</v>
      </c>
      <c r="H2474" s="2" t="s">
        <v>822</v>
      </c>
      <c r="J2474" s="31">
        <v>34.326599100000003</v>
      </c>
      <c r="K2474" s="31">
        <v>-41.548000299999998</v>
      </c>
      <c r="L2474" s="31"/>
      <c r="M2474" s="31" t="s">
        <v>854</v>
      </c>
      <c r="N2474" s="6" t="s">
        <v>856</v>
      </c>
    </row>
    <row r="2475" spans="1:14" ht="15" customHeight="1" x14ac:dyDescent="0.2">
      <c r="A2475" s="31">
        <v>0.83561371650294114</v>
      </c>
      <c r="B2475" s="31"/>
      <c r="C2475" s="2" t="s">
        <v>855</v>
      </c>
      <c r="D2475" s="31">
        <f t="shared" si="85"/>
        <v>0.16378028843457648</v>
      </c>
      <c r="F2475" s="2" t="s">
        <v>822</v>
      </c>
      <c r="G2475" s="23" t="s">
        <v>902</v>
      </c>
      <c r="H2475" s="2" t="s">
        <v>822</v>
      </c>
      <c r="J2475" s="31">
        <v>30.7317009</v>
      </c>
      <c r="K2475" s="31">
        <v>-13.859499899999999</v>
      </c>
      <c r="L2475" s="31"/>
      <c r="M2475" s="31" t="s">
        <v>854</v>
      </c>
      <c r="N2475" s="6" t="s">
        <v>856</v>
      </c>
    </row>
    <row r="2476" spans="1:14" ht="15" customHeight="1" x14ac:dyDescent="0.2">
      <c r="A2476" s="31">
        <v>0.83554591867087147</v>
      </c>
      <c r="B2476" s="31"/>
      <c r="C2476" s="2" t="s">
        <v>855</v>
      </c>
      <c r="D2476" s="31">
        <f t="shared" si="85"/>
        <v>0.16376700005949082</v>
      </c>
      <c r="F2476" s="2" t="s">
        <v>822</v>
      </c>
      <c r="G2476" s="23" t="s">
        <v>902</v>
      </c>
      <c r="H2476" s="2" t="s">
        <v>822</v>
      </c>
      <c r="J2476" s="31">
        <v>30.407100700000001</v>
      </c>
      <c r="K2476" s="31">
        <v>18.970899599999999</v>
      </c>
      <c r="L2476" s="31"/>
      <c r="M2476" s="31" t="s">
        <v>854</v>
      </c>
      <c r="N2476" s="6" t="s">
        <v>856</v>
      </c>
    </row>
    <row r="2477" spans="1:14" ht="15" customHeight="1" x14ac:dyDescent="0.2">
      <c r="A2477" s="31">
        <v>0.83549500591679693</v>
      </c>
      <c r="B2477" s="31"/>
      <c r="C2477" s="2" t="s">
        <v>855</v>
      </c>
      <c r="D2477" s="31">
        <f t="shared" si="85"/>
        <v>0.16375702115969221</v>
      </c>
      <c r="F2477" s="2" t="s">
        <v>822</v>
      </c>
      <c r="G2477" s="23" t="s">
        <v>902</v>
      </c>
      <c r="H2477" s="2" t="s">
        <v>822</v>
      </c>
      <c r="J2477" s="31">
        <v>30.7159996</v>
      </c>
      <c r="K2477" s="31">
        <v>-40.555999800000002</v>
      </c>
      <c r="L2477" s="31"/>
      <c r="M2477" s="31" t="s">
        <v>854</v>
      </c>
      <c r="N2477" s="6" t="s">
        <v>856</v>
      </c>
    </row>
    <row r="2478" spans="1:14" ht="15" customHeight="1" x14ac:dyDescent="0.2">
      <c r="A2478" s="31">
        <v>0.83536693104637028</v>
      </c>
      <c r="B2478" s="31"/>
      <c r="C2478" s="2" t="s">
        <v>855</v>
      </c>
      <c r="D2478" s="31">
        <f t="shared" si="85"/>
        <v>0.16373191848508858</v>
      </c>
      <c r="F2478" s="2" t="s">
        <v>822</v>
      </c>
      <c r="G2478" s="23" t="s">
        <v>902</v>
      </c>
      <c r="H2478" s="2" t="s">
        <v>822</v>
      </c>
      <c r="J2478" s="31">
        <v>41.268199899999999</v>
      </c>
      <c r="K2478" s="31">
        <v>-31.522600199999999</v>
      </c>
      <c r="L2478" s="31"/>
      <c r="M2478" s="31" t="s">
        <v>854</v>
      </c>
      <c r="N2478" s="6" t="s">
        <v>856</v>
      </c>
    </row>
    <row r="2479" spans="1:14" ht="15" customHeight="1" x14ac:dyDescent="0.2">
      <c r="A2479" s="31">
        <v>0.83519432072500555</v>
      </c>
      <c r="B2479" s="31"/>
      <c r="C2479" s="2" t="s">
        <v>855</v>
      </c>
      <c r="D2479" s="31">
        <f t="shared" si="85"/>
        <v>0.16369808686210111</v>
      </c>
      <c r="F2479" s="2" t="s">
        <v>822</v>
      </c>
      <c r="G2479" s="23" t="s">
        <v>902</v>
      </c>
      <c r="H2479" s="2" t="s">
        <v>822</v>
      </c>
      <c r="J2479" s="31">
        <v>32.987499200000002</v>
      </c>
      <c r="K2479" s="31">
        <v>24.009000799999999</v>
      </c>
      <c r="L2479" s="31"/>
      <c r="M2479" s="31" t="s">
        <v>854</v>
      </c>
      <c r="N2479" s="6" t="s">
        <v>856</v>
      </c>
    </row>
    <row r="2480" spans="1:14" ht="15" customHeight="1" x14ac:dyDescent="0.2">
      <c r="A2480" s="31">
        <v>0.83517281174941027</v>
      </c>
      <c r="B2480" s="31"/>
      <c r="C2480" s="2" t="s">
        <v>855</v>
      </c>
      <c r="D2480" s="31">
        <f t="shared" si="85"/>
        <v>0.16369387110288441</v>
      </c>
      <c r="F2480" s="2" t="s">
        <v>822</v>
      </c>
      <c r="G2480" s="23" t="s">
        <v>902</v>
      </c>
      <c r="H2480" s="2" t="s">
        <v>822</v>
      </c>
      <c r="J2480" s="31">
        <v>42.688800800000003</v>
      </c>
      <c r="K2480" s="31">
        <v>-15.183400199999999</v>
      </c>
      <c r="L2480" s="31"/>
      <c r="M2480" s="31" t="s">
        <v>854</v>
      </c>
      <c r="N2480" s="6" t="s">
        <v>856</v>
      </c>
    </row>
    <row r="2481" spans="1:14" ht="15" customHeight="1" x14ac:dyDescent="0.2">
      <c r="A2481" s="31">
        <v>0.83502619842771364</v>
      </c>
      <c r="B2481" s="31"/>
      <c r="C2481" s="2" t="s">
        <v>855</v>
      </c>
      <c r="D2481" s="31">
        <f t="shared" si="85"/>
        <v>0.16366513489183188</v>
      </c>
      <c r="F2481" s="2" t="s">
        <v>822</v>
      </c>
      <c r="G2481" s="23" t="s">
        <v>902</v>
      </c>
      <c r="H2481" s="2" t="s">
        <v>822</v>
      </c>
      <c r="J2481" s="31">
        <v>35.261798900000002</v>
      </c>
      <c r="K2481" s="31">
        <v>-4.4837999000000002</v>
      </c>
      <c r="L2481" s="31"/>
      <c r="M2481" s="31" t="s">
        <v>854</v>
      </c>
      <c r="N2481" s="6" t="s">
        <v>856</v>
      </c>
    </row>
    <row r="2482" spans="1:14" ht="15" customHeight="1" x14ac:dyDescent="0.2">
      <c r="A2482" s="31">
        <v>0.83484311832251534</v>
      </c>
      <c r="B2482" s="31"/>
      <c r="C2482" s="2" t="s">
        <v>855</v>
      </c>
      <c r="D2482" s="31">
        <f t="shared" si="85"/>
        <v>0.16362925119121302</v>
      </c>
      <c r="F2482" s="2" t="s">
        <v>822</v>
      </c>
      <c r="G2482" s="23" t="s">
        <v>902</v>
      </c>
      <c r="H2482" s="2" t="s">
        <v>822</v>
      </c>
      <c r="J2482" s="31">
        <v>36.009101899999997</v>
      </c>
      <c r="K2482" s="31">
        <v>-15.2399998</v>
      </c>
      <c r="L2482" s="31"/>
      <c r="M2482" s="31" t="s">
        <v>854</v>
      </c>
      <c r="N2482" s="6" t="s">
        <v>856</v>
      </c>
    </row>
    <row r="2483" spans="1:14" ht="15" customHeight="1" x14ac:dyDescent="0.2">
      <c r="A2483" s="31">
        <v>0.83390060055159132</v>
      </c>
      <c r="B2483" s="31"/>
      <c r="C2483" s="2" t="s">
        <v>855</v>
      </c>
      <c r="D2483" s="31">
        <f t="shared" si="85"/>
        <v>0.16344451770811191</v>
      </c>
      <c r="F2483" s="2" t="s">
        <v>822</v>
      </c>
      <c r="G2483" s="23" t="s">
        <v>902</v>
      </c>
      <c r="H2483" s="2" t="s">
        <v>822</v>
      </c>
      <c r="J2483" s="31">
        <v>45.411998699999998</v>
      </c>
      <c r="K2483" s="31">
        <v>-13.1680002</v>
      </c>
      <c r="L2483" s="31"/>
      <c r="M2483" s="31" t="s">
        <v>854</v>
      </c>
      <c r="N2483" s="6" t="s">
        <v>856</v>
      </c>
    </row>
    <row r="2484" spans="1:14" ht="15" customHeight="1" x14ac:dyDescent="0.2">
      <c r="A2484" s="31">
        <v>0.83364133842831933</v>
      </c>
      <c r="B2484" s="31"/>
      <c r="C2484" s="2" t="s">
        <v>855</v>
      </c>
      <c r="D2484" s="31">
        <f t="shared" si="85"/>
        <v>0.16339370233195061</v>
      </c>
      <c r="F2484" s="2" t="s">
        <v>822</v>
      </c>
      <c r="G2484" s="23" t="s">
        <v>902</v>
      </c>
      <c r="H2484" s="2" t="s">
        <v>822</v>
      </c>
      <c r="J2484" s="31">
        <v>35.2057991</v>
      </c>
      <c r="K2484" s="31">
        <v>-2.45418</v>
      </c>
      <c r="L2484" s="31"/>
      <c r="M2484" s="31" t="s">
        <v>854</v>
      </c>
      <c r="N2484" s="6" t="s">
        <v>856</v>
      </c>
    </row>
    <row r="2485" spans="1:14" ht="15" customHeight="1" x14ac:dyDescent="0.2">
      <c r="A2485" s="31">
        <v>0.83363579684728584</v>
      </c>
      <c r="B2485" s="31"/>
      <c r="C2485" s="2" t="s">
        <v>855</v>
      </c>
      <c r="D2485" s="31">
        <f t="shared" si="85"/>
        <v>0.16339261618206802</v>
      </c>
      <c r="F2485" s="2" t="s">
        <v>822</v>
      </c>
      <c r="G2485" s="23" t="s">
        <v>902</v>
      </c>
      <c r="H2485" s="2" t="s">
        <v>822</v>
      </c>
      <c r="J2485" s="31">
        <v>25.018100700000002</v>
      </c>
      <c r="K2485" s="31">
        <v>-29.411300700000002</v>
      </c>
      <c r="L2485" s="31"/>
      <c r="M2485" s="31" t="s">
        <v>854</v>
      </c>
      <c r="N2485" s="6" t="s">
        <v>856</v>
      </c>
    </row>
    <row r="2486" spans="1:14" ht="15" customHeight="1" x14ac:dyDescent="0.2">
      <c r="A2486" s="31">
        <v>0.83334626880121299</v>
      </c>
      <c r="B2486" s="31"/>
      <c r="C2486" s="2" t="s">
        <v>855</v>
      </c>
      <c r="D2486" s="31">
        <f t="shared" si="85"/>
        <v>0.16333586868503774</v>
      </c>
      <c r="F2486" s="2" t="s">
        <v>822</v>
      </c>
      <c r="G2486" s="23" t="s">
        <v>902</v>
      </c>
      <c r="H2486" s="2" t="s">
        <v>822</v>
      </c>
      <c r="J2486" s="31">
        <v>43.608200099999998</v>
      </c>
      <c r="K2486" s="31">
        <v>-40.579200700000001</v>
      </c>
      <c r="L2486" s="31"/>
      <c r="M2486" s="31" t="s">
        <v>854</v>
      </c>
      <c r="N2486" s="6" t="s">
        <v>856</v>
      </c>
    </row>
    <row r="2487" spans="1:14" ht="15" customHeight="1" x14ac:dyDescent="0.2">
      <c r="A2487" s="31">
        <v>0.83301672422960138</v>
      </c>
      <c r="B2487" s="31"/>
      <c r="C2487" s="2" t="s">
        <v>855</v>
      </c>
      <c r="D2487" s="31">
        <f t="shared" si="85"/>
        <v>0.16327127794900187</v>
      </c>
      <c r="F2487" s="2" t="s">
        <v>822</v>
      </c>
      <c r="G2487" s="23" t="s">
        <v>902</v>
      </c>
      <c r="H2487" s="2" t="s">
        <v>822</v>
      </c>
      <c r="J2487" s="31">
        <v>41.5049019</v>
      </c>
      <c r="K2487" s="31">
        <v>7.4857502</v>
      </c>
      <c r="L2487" s="31"/>
      <c r="M2487" s="31" t="s">
        <v>854</v>
      </c>
      <c r="N2487" s="6" t="s">
        <v>856</v>
      </c>
    </row>
    <row r="2488" spans="1:14" ht="15" customHeight="1" x14ac:dyDescent="0.2">
      <c r="A2488" s="31">
        <v>0.83272036676478689</v>
      </c>
      <c r="B2488" s="31"/>
      <c r="C2488" s="2" t="s">
        <v>855</v>
      </c>
      <c r="D2488" s="31">
        <f t="shared" si="85"/>
        <v>0.16321319188589822</v>
      </c>
      <c r="F2488" s="2" t="s">
        <v>822</v>
      </c>
      <c r="G2488" s="23" t="s">
        <v>902</v>
      </c>
      <c r="H2488" s="2" t="s">
        <v>822</v>
      </c>
      <c r="J2488" s="31">
        <v>28.0440006</v>
      </c>
      <c r="K2488" s="31">
        <v>-37.215999600000004</v>
      </c>
      <c r="L2488" s="31"/>
      <c r="M2488" s="31" t="s">
        <v>854</v>
      </c>
      <c r="N2488" s="6" t="s">
        <v>856</v>
      </c>
    </row>
    <row r="2489" spans="1:14" ht="15" customHeight="1" x14ac:dyDescent="0.2">
      <c r="A2489" s="31">
        <v>0.83266195575021817</v>
      </c>
      <c r="B2489" s="31"/>
      <c r="C2489" s="2" t="s">
        <v>855</v>
      </c>
      <c r="D2489" s="31">
        <f t="shared" si="85"/>
        <v>0.16320174332704276</v>
      </c>
      <c r="F2489" s="2" t="s">
        <v>822</v>
      </c>
      <c r="G2489" s="23" t="s">
        <v>902</v>
      </c>
      <c r="H2489" s="2" t="s">
        <v>822</v>
      </c>
      <c r="J2489" s="31">
        <v>36.640300799999999</v>
      </c>
      <c r="K2489" s="31">
        <v>-33.639099100000003</v>
      </c>
      <c r="L2489" s="31"/>
      <c r="M2489" s="31" t="s">
        <v>854</v>
      </c>
      <c r="N2489" s="6" t="s">
        <v>856</v>
      </c>
    </row>
    <row r="2490" spans="1:14" ht="15" customHeight="1" x14ac:dyDescent="0.2">
      <c r="A2490" s="31">
        <v>0.83239521977700204</v>
      </c>
      <c r="B2490" s="31"/>
      <c r="C2490" s="2" t="s">
        <v>855</v>
      </c>
      <c r="D2490" s="31">
        <f t="shared" si="85"/>
        <v>0.16314946307629241</v>
      </c>
      <c r="F2490" s="2" t="s">
        <v>822</v>
      </c>
      <c r="G2490" s="23" t="s">
        <v>902</v>
      </c>
      <c r="H2490" s="2" t="s">
        <v>822</v>
      </c>
      <c r="J2490" s="31">
        <v>37.643100699999998</v>
      </c>
      <c r="K2490" s="31">
        <v>-19.291299800000001</v>
      </c>
      <c r="L2490" s="31"/>
      <c r="M2490" s="31" t="s">
        <v>854</v>
      </c>
      <c r="N2490" s="6" t="s">
        <v>856</v>
      </c>
    </row>
    <row r="2491" spans="1:14" ht="15" customHeight="1" x14ac:dyDescent="0.2">
      <c r="A2491" s="31">
        <v>0.83206115644331269</v>
      </c>
      <c r="B2491" s="31"/>
      <c r="C2491" s="2" t="s">
        <v>855</v>
      </c>
      <c r="D2491" s="31">
        <f t="shared" si="85"/>
        <v>0.16308398666288929</v>
      </c>
      <c r="F2491" s="2" t="s">
        <v>822</v>
      </c>
      <c r="G2491" s="23" t="s">
        <v>902</v>
      </c>
      <c r="H2491" s="2" t="s">
        <v>822</v>
      </c>
      <c r="J2491" s="31">
        <v>36.9353981</v>
      </c>
      <c r="K2491" s="31">
        <v>27.102199599999999</v>
      </c>
      <c r="L2491" s="31"/>
      <c r="M2491" s="31" t="s">
        <v>854</v>
      </c>
      <c r="N2491" s="6" t="s">
        <v>856</v>
      </c>
    </row>
    <row r="2492" spans="1:14" ht="15" customHeight="1" x14ac:dyDescent="0.2">
      <c r="A2492" s="31">
        <v>0.83201205156188396</v>
      </c>
      <c r="B2492" s="31"/>
      <c r="C2492" s="2" t="s">
        <v>855</v>
      </c>
      <c r="D2492" s="31">
        <f t="shared" si="85"/>
        <v>0.16307436210612927</v>
      </c>
      <c r="F2492" s="2" t="s">
        <v>822</v>
      </c>
      <c r="G2492" s="23" t="s">
        <v>902</v>
      </c>
      <c r="H2492" s="2" t="s">
        <v>822</v>
      </c>
      <c r="J2492" s="31">
        <v>32.2709999</v>
      </c>
      <c r="K2492" s="31">
        <v>15.390000300000001</v>
      </c>
      <c r="L2492" s="31"/>
      <c r="M2492" s="31" t="s">
        <v>854</v>
      </c>
      <c r="N2492" s="6" t="s">
        <v>856</v>
      </c>
    </row>
    <row r="2493" spans="1:14" ht="15" customHeight="1" x14ac:dyDescent="0.2">
      <c r="A2493" s="31">
        <v>0.83188213949305956</v>
      </c>
      <c r="B2493" s="31"/>
      <c r="C2493" s="2" t="s">
        <v>855</v>
      </c>
      <c r="D2493" s="31">
        <f t="shared" si="85"/>
        <v>0.16304889934063968</v>
      </c>
      <c r="F2493" s="2" t="s">
        <v>822</v>
      </c>
      <c r="G2493" s="23" t="s">
        <v>902</v>
      </c>
      <c r="H2493" s="2" t="s">
        <v>822</v>
      </c>
      <c r="J2493" s="31">
        <v>35.417800900000003</v>
      </c>
      <c r="K2493" s="31">
        <v>24.925500899999999</v>
      </c>
      <c r="L2493" s="31"/>
      <c r="M2493" s="31" t="s">
        <v>854</v>
      </c>
      <c r="N2493" s="6" t="s">
        <v>856</v>
      </c>
    </row>
    <row r="2494" spans="1:14" ht="15" customHeight="1" x14ac:dyDescent="0.2">
      <c r="A2494" s="31">
        <v>0.83185460231229158</v>
      </c>
      <c r="B2494" s="31"/>
      <c r="C2494" s="2" t="s">
        <v>855</v>
      </c>
      <c r="D2494" s="31">
        <f t="shared" si="85"/>
        <v>0.16304350205320917</v>
      </c>
      <c r="F2494" s="2" t="s">
        <v>822</v>
      </c>
      <c r="G2494" s="23" t="s">
        <v>902</v>
      </c>
      <c r="H2494" s="2" t="s">
        <v>822</v>
      </c>
      <c r="J2494" s="31">
        <v>39.400001500000002</v>
      </c>
      <c r="K2494" s="31">
        <v>-13.8360004</v>
      </c>
      <c r="L2494" s="31"/>
      <c r="M2494" s="31" t="s">
        <v>854</v>
      </c>
      <c r="N2494" s="6" t="s">
        <v>856</v>
      </c>
    </row>
    <row r="2495" spans="1:14" ht="15" customHeight="1" x14ac:dyDescent="0.2">
      <c r="A2495" s="31">
        <v>0.83162529917344408</v>
      </c>
      <c r="B2495" s="31"/>
      <c r="C2495" s="2" t="s">
        <v>855</v>
      </c>
      <c r="D2495" s="31">
        <f t="shared" si="85"/>
        <v>0.16299855863799503</v>
      </c>
      <c r="F2495" s="2" t="s">
        <v>822</v>
      </c>
      <c r="G2495" s="23" t="s">
        <v>902</v>
      </c>
      <c r="H2495" s="2" t="s">
        <v>822</v>
      </c>
      <c r="J2495" s="31">
        <v>25.3675003</v>
      </c>
      <c r="K2495" s="31">
        <v>-31.890699399999999</v>
      </c>
      <c r="L2495" s="31"/>
      <c r="M2495" s="31" t="s">
        <v>854</v>
      </c>
      <c r="N2495" s="6" t="s">
        <v>856</v>
      </c>
    </row>
    <row r="2496" spans="1:14" ht="15" customHeight="1" x14ac:dyDescent="0.2">
      <c r="A2496" s="31">
        <v>0.83103881264364976</v>
      </c>
      <c r="B2496" s="31"/>
      <c r="C2496" s="2" t="s">
        <v>855</v>
      </c>
      <c r="D2496" s="31">
        <f t="shared" si="85"/>
        <v>0.16288360727815535</v>
      </c>
      <c r="F2496" s="2" t="s">
        <v>822</v>
      </c>
      <c r="G2496" s="23" t="s">
        <v>902</v>
      </c>
      <c r="H2496" s="2" t="s">
        <v>822</v>
      </c>
      <c r="J2496" s="31">
        <v>26.040000899999999</v>
      </c>
      <c r="K2496" s="31">
        <v>-42.560001399999997</v>
      </c>
      <c r="L2496" s="31"/>
      <c r="M2496" s="31" t="s">
        <v>854</v>
      </c>
      <c r="N2496" s="6" t="s">
        <v>856</v>
      </c>
    </row>
    <row r="2497" spans="1:14" ht="15" customHeight="1" x14ac:dyDescent="0.2">
      <c r="A2497" s="31">
        <v>0.83087280668594654</v>
      </c>
      <c r="B2497" s="31"/>
      <c r="C2497" s="2" t="s">
        <v>855</v>
      </c>
      <c r="D2497" s="31">
        <f t="shared" si="85"/>
        <v>0.16285107011044553</v>
      </c>
      <c r="F2497" s="2" t="s">
        <v>822</v>
      </c>
      <c r="G2497" s="23" t="s">
        <v>902</v>
      </c>
      <c r="H2497" s="2" t="s">
        <v>822</v>
      </c>
      <c r="J2497" s="31">
        <v>42.138198899999999</v>
      </c>
      <c r="K2497" s="31">
        <v>16.432300600000001</v>
      </c>
      <c r="L2497" s="31"/>
      <c r="M2497" s="31" t="s">
        <v>854</v>
      </c>
      <c r="N2497" s="6" t="s">
        <v>856</v>
      </c>
    </row>
    <row r="2498" spans="1:14" ht="15" customHeight="1" x14ac:dyDescent="0.2">
      <c r="A2498" s="31">
        <v>0.83083364072045418</v>
      </c>
      <c r="B2498" s="31"/>
      <c r="C2498" s="2" t="s">
        <v>855</v>
      </c>
      <c r="D2498" s="31">
        <f t="shared" si="85"/>
        <v>0.16284339358120903</v>
      </c>
      <c r="F2498" s="2" t="s">
        <v>822</v>
      </c>
      <c r="G2498" s="23" t="s">
        <v>902</v>
      </c>
      <c r="H2498" s="2" t="s">
        <v>822</v>
      </c>
      <c r="J2498" s="31">
        <v>39.396499599999999</v>
      </c>
      <c r="K2498" s="31">
        <v>-15.9223003</v>
      </c>
      <c r="L2498" s="31"/>
      <c r="M2498" s="31" t="s">
        <v>854</v>
      </c>
      <c r="N2498" s="6" t="s">
        <v>856</v>
      </c>
    </row>
    <row r="2499" spans="1:14" ht="15" customHeight="1" x14ac:dyDescent="0.2">
      <c r="A2499" s="31">
        <v>0.83080132819115582</v>
      </c>
      <c r="B2499" s="31"/>
      <c r="C2499" s="2" t="s">
        <v>855</v>
      </c>
      <c r="D2499" s="31">
        <f t="shared" si="85"/>
        <v>0.16283706032546655</v>
      </c>
      <c r="F2499" s="2" t="s">
        <v>822</v>
      </c>
      <c r="G2499" s="23" t="s">
        <v>902</v>
      </c>
      <c r="H2499" s="2" t="s">
        <v>822</v>
      </c>
      <c r="J2499" s="31">
        <v>34.148399400000002</v>
      </c>
      <c r="K2499" s="31">
        <v>24.9347992</v>
      </c>
      <c r="L2499" s="31"/>
      <c r="M2499" s="31" t="s">
        <v>854</v>
      </c>
      <c r="N2499" s="6" t="s">
        <v>856</v>
      </c>
    </row>
    <row r="2500" spans="1:14" ht="15" customHeight="1" x14ac:dyDescent="0.2">
      <c r="A2500" s="31">
        <v>0.83073964161361669</v>
      </c>
      <c r="B2500" s="31"/>
      <c r="C2500" s="2" t="s">
        <v>855</v>
      </c>
      <c r="D2500" s="31">
        <f t="shared" si="85"/>
        <v>0.16282496975626887</v>
      </c>
      <c r="F2500" s="2" t="s">
        <v>822</v>
      </c>
      <c r="G2500" s="23" t="s">
        <v>902</v>
      </c>
      <c r="H2500" s="2" t="s">
        <v>822</v>
      </c>
      <c r="J2500" s="31">
        <v>38.993198399999997</v>
      </c>
      <c r="K2500" s="31">
        <v>8.8464297999999992</v>
      </c>
      <c r="L2500" s="31"/>
      <c r="M2500" s="31" t="s">
        <v>854</v>
      </c>
      <c r="N2500" s="6" t="s">
        <v>856</v>
      </c>
    </row>
    <row r="2501" spans="1:14" ht="15" customHeight="1" x14ac:dyDescent="0.2">
      <c r="A2501" s="31">
        <v>0.83062062786874769</v>
      </c>
      <c r="B2501" s="31"/>
      <c r="C2501" s="2" t="s">
        <v>855</v>
      </c>
      <c r="D2501" s="31">
        <f t="shared" si="85"/>
        <v>0.16280164306227454</v>
      </c>
      <c r="F2501" s="2" t="s">
        <v>822</v>
      </c>
      <c r="G2501" s="23" t="s">
        <v>902</v>
      </c>
      <c r="H2501" s="2" t="s">
        <v>822</v>
      </c>
      <c r="J2501" s="31">
        <v>38.770500200000001</v>
      </c>
      <c r="K2501" s="31">
        <v>-33.398399400000002</v>
      </c>
      <c r="L2501" s="31"/>
      <c r="M2501" s="31" t="s">
        <v>854</v>
      </c>
      <c r="N2501" s="6" t="s">
        <v>856</v>
      </c>
    </row>
    <row r="2502" spans="1:14" ht="15" customHeight="1" x14ac:dyDescent="0.2">
      <c r="A2502" s="31">
        <v>0.83051541968295639</v>
      </c>
      <c r="B2502" s="31"/>
      <c r="C2502" s="2" t="s">
        <v>855</v>
      </c>
      <c r="D2502" s="31">
        <f t="shared" si="85"/>
        <v>0.16278102225785945</v>
      </c>
      <c r="F2502" s="2" t="s">
        <v>822</v>
      </c>
      <c r="G2502" s="23" t="s">
        <v>902</v>
      </c>
      <c r="H2502" s="2" t="s">
        <v>822</v>
      </c>
      <c r="J2502" s="31">
        <v>39.393001599999998</v>
      </c>
      <c r="K2502" s="31">
        <v>10.8887997</v>
      </c>
      <c r="L2502" s="31"/>
      <c r="M2502" s="31" t="s">
        <v>854</v>
      </c>
      <c r="N2502" s="6" t="s">
        <v>856</v>
      </c>
    </row>
    <row r="2503" spans="1:14" ht="15" customHeight="1" x14ac:dyDescent="0.2">
      <c r="A2503" s="31">
        <v>0.8303679939012526</v>
      </c>
      <c r="B2503" s="31"/>
      <c r="C2503" s="2" t="s">
        <v>855</v>
      </c>
      <c r="D2503" s="31">
        <f t="shared" si="85"/>
        <v>0.16275212680464551</v>
      </c>
      <c r="F2503" s="2" t="s">
        <v>822</v>
      </c>
      <c r="G2503" s="23" t="s">
        <v>902</v>
      </c>
      <c r="H2503" s="2" t="s">
        <v>822</v>
      </c>
      <c r="J2503" s="31">
        <v>38.063999199999998</v>
      </c>
      <c r="K2503" s="31">
        <v>-13.8360004</v>
      </c>
      <c r="L2503" s="31"/>
      <c r="M2503" s="31" t="s">
        <v>854</v>
      </c>
      <c r="N2503" s="6" t="s">
        <v>856</v>
      </c>
    </row>
    <row r="2504" spans="1:14" ht="15" customHeight="1" x14ac:dyDescent="0.2">
      <c r="A2504" s="31">
        <v>0.8303594695929476</v>
      </c>
      <c r="B2504" s="31"/>
      <c r="C2504" s="2" t="s">
        <v>855</v>
      </c>
      <c r="D2504" s="31">
        <f t="shared" si="85"/>
        <v>0.16275045604021773</v>
      </c>
      <c r="F2504" s="2" t="s">
        <v>822</v>
      </c>
      <c r="G2504" s="23" t="s">
        <v>902</v>
      </c>
      <c r="H2504" s="2" t="s">
        <v>822</v>
      </c>
      <c r="J2504" s="31">
        <v>60.3927002</v>
      </c>
      <c r="K2504" s="31">
        <v>18.765699399999999</v>
      </c>
      <c r="L2504" s="31"/>
      <c r="M2504" s="31" t="s">
        <v>854</v>
      </c>
      <c r="N2504" s="6" t="s">
        <v>856</v>
      </c>
    </row>
    <row r="2505" spans="1:14" ht="15" customHeight="1" x14ac:dyDescent="0.2">
      <c r="A2505" s="31">
        <v>0.83024266047242334</v>
      </c>
      <c r="B2505" s="31"/>
      <c r="C2505" s="2" t="s">
        <v>855</v>
      </c>
      <c r="D2505" s="31">
        <f t="shared" si="85"/>
        <v>0.16272756145259498</v>
      </c>
      <c r="F2505" s="2" t="s">
        <v>822</v>
      </c>
      <c r="G2505" s="23" t="s">
        <v>902</v>
      </c>
      <c r="H2505" s="2" t="s">
        <v>822</v>
      </c>
      <c r="J2505" s="31">
        <v>38.062999699999999</v>
      </c>
      <c r="K2505" s="31">
        <v>-39.888900800000002</v>
      </c>
      <c r="L2505" s="31"/>
      <c r="M2505" s="31" t="s">
        <v>854</v>
      </c>
      <c r="N2505" s="6" t="s">
        <v>856</v>
      </c>
    </row>
    <row r="2506" spans="1:14" ht="15" customHeight="1" x14ac:dyDescent="0.2">
      <c r="A2506" s="31">
        <v>0.83002720542086894</v>
      </c>
      <c r="B2506" s="31"/>
      <c r="C2506" s="2" t="s">
        <v>855</v>
      </c>
      <c r="D2506" s="31">
        <f t="shared" si="85"/>
        <v>0.16268533226249032</v>
      </c>
      <c r="F2506" s="2" t="s">
        <v>822</v>
      </c>
      <c r="G2506" s="23" t="s">
        <v>902</v>
      </c>
      <c r="H2506" s="2" t="s">
        <v>822</v>
      </c>
      <c r="J2506" s="31">
        <v>52.257801100000002</v>
      </c>
      <c r="K2506" s="31">
        <v>-6.3011198000000004</v>
      </c>
      <c r="L2506" s="31"/>
      <c r="M2506" s="31" t="s">
        <v>854</v>
      </c>
      <c r="N2506" s="6" t="s">
        <v>856</v>
      </c>
    </row>
    <row r="2507" spans="1:14" ht="15" customHeight="1" x14ac:dyDescent="0.2">
      <c r="A2507" s="31">
        <v>0.82968311876526302</v>
      </c>
      <c r="B2507" s="31"/>
      <c r="C2507" s="2" t="s">
        <v>855</v>
      </c>
      <c r="D2507" s="31">
        <f t="shared" si="85"/>
        <v>0.16261789127799156</v>
      </c>
      <c r="F2507" s="2" t="s">
        <v>822</v>
      </c>
      <c r="G2507" s="23" t="s">
        <v>902</v>
      </c>
      <c r="H2507" s="2" t="s">
        <v>822</v>
      </c>
      <c r="J2507" s="31">
        <v>39.847698200000004</v>
      </c>
      <c r="K2507" s="31">
        <v>18.086099600000001</v>
      </c>
      <c r="L2507" s="31"/>
      <c r="M2507" s="31" t="s">
        <v>854</v>
      </c>
      <c r="N2507" s="6" t="s">
        <v>856</v>
      </c>
    </row>
    <row r="2508" spans="1:14" ht="15" customHeight="1" x14ac:dyDescent="0.2">
      <c r="A2508" s="31">
        <v>0.82958615284115289</v>
      </c>
      <c r="B2508" s="31"/>
      <c r="C2508" s="2" t="s">
        <v>855</v>
      </c>
      <c r="D2508" s="31">
        <f t="shared" si="85"/>
        <v>0.16259888595686597</v>
      </c>
      <c r="F2508" s="2" t="s">
        <v>822</v>
      </c>
      <c r="G2508" s="23" t="s">
        <v>902</v>
      </c>
      <c r="H2508" s="2" t="s">
        <v>822</v>
      </c>
      <c r="J2508" s="31">
        <v>42.735199000000001</v>
      </c>
      <c r="K2508" s="31">
        <v>-23.860000599999999</v>
      </c>
      <c r="L2508" s="31"/>
      <c r="M2508" s="31" t="s">
        <v>854</v>
      </c>
      <c r="N2508" s="6" t="s">
        <v>856</v>
      </c>
    </row>
    <row r="2509" spans="1:14" ht="15" customHeight="1" x14ac:dyDescent="0.2">
      <c r="A2509" s="31">
        <v>0.82956737022770277</v>
      </c>
      <c r="B2509" s="31"/>
      <c r="C2509" s="2" t="s">
        <v>855</v>
      </c>
      <c r="D2509" s="31">
        <f t="shared" si="85"/>
        <v>0.16259520456462975</v>
      </c>
      <c r="F2509" s="2" t="s">
        <v>822</v>
      </c>
      <c r="G2509" s="23" t="s">
        <v>902</v>
      </c>
      <c r="H2509" s="2" t="s">
        <v>822</v>
      </c>
      <c r="J2509" s="31">
        <v>44.065300000000001</v>
      </c>
      <c r="K2509" s="31">
        <v>-12.3333998</v>
      </c>
      <c r="L2509" s="31"/>
      <c r="M2509" s="31" t="s">
        <v>854</v>
      </c>
      <c r="N2509" s="6" t="s">
        <v>856</v>
      </c>
    </row>
    <row r="2510" spans="1:14" ht="15" customHeight="1" x14ac:dyDescent="0.2">
      <c r="A2510" s="31">
        <v>0.82945625751789764</v>
      </c>
      <c r="B2510" s="31"/>
      <c r="C2510" s="2" t="s">
        <v>855</v>
      </c>
      <c r="D2510" s="31">
        <f t="shared" si="85"/>
        <v>0.16257342647350795</v>
      </c>
      <c r="F2510" s="2" t="s">
        <v>822</v>
      </c>
      <c r="G2510" s="23" t="s">
        <v>902</v>
      </c>
      <c r="H2510" s="2" t="s">
        <v>822</v>
      </c>
      <c r="J2510" s="31">
        <v>32.914199799999999</v>
      </c>
      <c r="K2510" s="31">
        <v>-35.323001900000001</v>
      </c>
      <c r="L2510" s="31"/>
      <c r="M2510" s="31" t="s">
        <v>854</v>
      </c>
      <c r="N2510" s="6" t="s">
        <v>856</v>
      </c>
    </row>
    <row r="2511" spans="1:14" ht="15" customHeight="1" x14ac:dyDescent="0.2">
      <c r="A2511" s="31">
        <v>0.82944039169647721</v>
      </c>
      <c r="B2511" s="31"/>
      <c r="C2511" s="2" t="s">
        <v>855</v>
      </c>
      <c r="D2511" s="31">
        <f t="shared" si="85"/>
        <v>0.16257031677250955</v>
      </c>
      <c r="F2511" s="2" t="s">
        <v>822</v>
      </c>
      <c r="G2511" s="23" t="s">
        <v>902</v>
      </c>
      <c r="H2511" s="2" t="s">
        <v>822</v>
      </c>
      <c r="J2511" s="31">
        <v>38.479900399999998</v>
      </c>
      <c r="K2511" s="31">
        <v>-24.7306004</v>
      </c>
      <c r="L2511" s="31"/>
      <c r="M2511" s="31" t="s">
        <v>854</v>
      </c>
      <c r="N2511" s="6" t="s">
        <v>856</v>
      </c>
    </row>
    <row r="2512" spans="1:14" ht="15" customHeight="1" x14ac:dyDescent="0.2">
      <c r="A2512" s="31">
        <v>0.82920019896463504</v>
      </c>
      <c r="B2512" s="31"/>
      <c r="C2512" s="2" t="s">
        <v>855</v>
      </c>
      <c r="D2512" s="31">
        <f t="shared" si="85"/>
        <v>0.16252323899706847</v>
      </c>
      <c r="F2512" s="2" t="s">
        <v>822</v>
      </c>
      <c r="G2512" s="23" t="s">
        <v>902</v>
      </c>
      <c r="H2512" s="2" t="s">
        <v>822</v>
      </c>
      <c r="J2512" s="31">
        <v>39.046798699999997</v>
      </c>
      <c r="K2512" s="31">
        <v>-28.3321991</v>
      </c>
      <c r="L2512" s="31"/>
      <c r="M2512" s="31" t="s">
        <v>854</v>
      </c>
      <c r="N2512" s="6" t="s">
        <v>856</v>
      </c>
    </row>
    <row r="2513" spans="1:14" ht="15" customHeight="1" x14ac:dyDescent="0.2">
      <c r="A2513" s="31">
        <v>0.82914686084169431</v>
      </c>
      <c r="B2513" s="31"/>
      <c r="C2513" s="2" t="s">
        <v>855</v>
      </c>
      <c r="D2513" s="31">
        <f t="shared" si="85"/>
        <v>0.1625127847249721</v>
      </c>
      <c r="F2513" s="2" t="s">
        <v>822</v>
      </c>
      <c r="G2513" s="23" t="s">
        <v>902</v>
      </c>
      <c r="H2513" s="2" t="s">
        <v>822</v>
      </c>
      <c r="J2513" s="31">
        <v>33.402000399999999</v>
      </c>
      <c r="K2513" s="31">
        <v>-17.165700900000001</v>
      </c>
      <c r="L2513" s="31"/>
      <c r="M2513" s="31" t="s">
        <v>854</v>
      </c>
      <c r="N2513" s="6" t="s">
        <v>856</v>
      </c>
    </row>
    <row r="2514" spans="1:14" ht="15" customHeight="1" x14ac:dyDescent="0.2">
      <c r="A2514" s="31">
        <v>0.82911572763949326</v>
      </c>
      <c r="B2514" s="31"/>
      <c r="C2514" s="2" t="s">
        <v>855</v>
      </c>
      <c r="D2514" s="31">
        <f t="shared" si="85"/>
        <v>0.16250668261734069</v>
      </c>
      <c r="F2514" s="2" t="s">
        <v>822</v>
      </c>
      <c r="G2514" s="23" t="s">
        <v>902</v>
      </c>
      <c r="H2514" s="2" t="s">
        <v>822</v>
      </c>
      <c r="J2514" s="31">
        <v>36.221099899999999</v>
      </c>
      <c r="K2514" s="31">
        <v>-1.09738</v>
      </c>
      <c r="L2514" s="31"/>
      <c r="M2514" s="31" t="s">
        <v>854</v>
      </c>
      <c r="N2514" s="6" t="s">
        <v>856</v>
      </c>
    </row>
    <row r="2515" spans="1:14" ht="15" customHeight="1" x14ac:dyDescent="0.2">
      <c r="A2515" s="31">
        <v>0.82889116181340183</v>
      </c>
      <c r="B2515" s="31"/>
      <c r="C2515" s="2" t="s">
        <v>855</v>
      </c>
      <c r="D2515" s="31">
        <f t="shared" si="85"/>
        <v>0.16246266771542678</v>
      </c>
      <c r="F2515" s="2" t="s">
        <v>822</v>
      </c>
      <c r="G2515" s="23" t="s">
        <v>902</v>
      </c>
      <c r="H2515" s="2" t="s">
        <v>822</v>
      </c>
      <c r="J2515" s="31">
        <v>32.140998799999998</v>
      </c>
      <c r="K2515" s="31">
        <v>26.135400799999999</v>
      </c>
      <c r="L2515" s="31"/>
      <c r="M2515" s="31" t="s">
        <v>854</v>
      </c>
      <c r="N2515" s="6" t="s">
        <v>856</v>
      </c>
    </row>
    <row r="2516" spans="1:14" ht="15" customHeight="1" x14ac:dyDescent="0.2">
      <c r="A2516" s="31">
        <v>0.8285897180996431</v>
      </c>
      <c r="B2516" s="31"/>
      <c r="C2516" s="2" t="s">
        <v>855</v>
      </c>
      <c r="D2516" s="31">
        <f t="shared" si="85"/>
        <v>0.16240358474753006</v>
      </c>
      <c r="F2516" s="2" t="s">
        <v>822</v>
      </c>
      <c r="G2516" s="23" t="s">
        <v>902</v>
      </c>
      <c r="H2516" s="2" t="s">
        <v>822</v>
      </c>
      <c r="J2516" s="31">
        <v>44.334201800000002</v>
      </c>
      <c r="K2516" s="31">
        <v>-8.7941599000000004</v>
      </c>
      <c r="L2516" s="31"/>
      <c r="M2516" s="31" t="s">
        <v>854</v>
      </c>
      <c r="N2516" s="6" t="s">
        <v>856</v>
      </c>
    </row>
    <row r="2517" spans="1:14" ht="15" customHeight="1" x14ac:dyDescent="0.2">
      <c r="A2517" s="31">
        <v>0.82858118732412012</v>
      </c>
      <c r="B2517" s="31"/>
      <c r="C2517" s="2" t="s">
        <v>855</v>
      </c>
      <c r="D2517" s="31">
        <f t="shared" si="85"/>
        <v>0.16240191271552754</v>
      </c>
      <c r="F2517" s="2" t="s">
        <v>822</v>
      </c>
      <c r="G2517" s="23" t="s">
        <v>902</v>
      </c>
      <c r="H2517" s="2" t="s">
        <v>822</v>
      </c>
      <c r="J2517" s="31">
        <v>41.557899499999998</v>
      </c>
      <c r="K2517" s="31">
        <v>-26.235200899999999</v>
      </c>
      <c r="L2517" s="31"/>
      <c r="M2517" s="31" t="s">
        <v>854</v>
      </c>
      <c r="N2517" s="6" t="s">
        <v>856</v>
      </c>
    </row>
    <row r="2518" spans="1:14" ht="15" customHeight="1" x14ac:dyDescent="0.2">
      <c r="A2518" s="31">
        <v>0.82840597817400718</v>
      </c>
      <c r="B2518" s="31"/>
      <c r="C2518" s="2" t="s">
        <v>855</v>
      </c>
      <c r="D2518" s="31">
        <f t="shared" si="85"/>
        <v>0.16236757172210542</v>
      </c>
      <c r="F2518" s="2" t="s">
        <v>822</v>
      </c>
      <c r="G2518" s="23" t="s">
        <v>902</v>
      </c>
      <c r="H2518" s="2" t="s">
        <v>822</v>
      </c>
      <c r="J2518" s="31">
        <v>37.563701600000002</v>
      </c>
      <c r="K2518" s="31">
        <v>15.2514</v>
      </c>
      <c r="L2518" s="31"/>
      <c r="M2518" s="31" t="s">
        <v>854</v>
      </c>
      <c r="N2518" s="6" t="s">
        <v>856</v>
      </c>
    </row>
    <row r="2519" spans="1:14" ht="15" customHeight="1" x14ac:dyDescent="0.2">
      <c r="A2519" s="31">
        <v>0.828403896115395</v>
      </c>
      <c r="B2519" s="31"/>
      <c r="C2519" s="2" t="s">
        <v>855</v>
      </c>
      <c r="D2519" s="31">
        <f t="shared" si="85"/>
        <v>0.16236716363861742</v>
      </c>
      <c r="F2519" s="2" t="s">
        <v>822</v>
      </c>
      <c r="G2519" s="23" t="s">
        <v>902</v>
      </c>
      <c r="H2519" s="2" t="s">
        <v>822</v>
      </c>
      <c r="J2519" s="31">
        <v>33.442901599999999</v>
      </c>
      <c r="K2519" s="31">
        <v>-38.449001299999999</v>
      </c>
      <c r="L2519" s="31"/>
      <c r="M2519" s="31" t="s">
        <v>854</v>
      </c>
      <c r="N2519" s="6" t="s">
        <v>856</v>
      </c>
    </row>
    <row r="2520" spans="1:14" ht="15" customHeight="1" x14ac:dyDescent="0.2">
      <c r="A2520" s="31">
        <v>0.82836227488051095</v>
      </c>
      <c r="B2520" s="31"/>
      <c r="C2520" s="2" t="s">
        <v>855</v>
      </c>
      <c r="D2520" s="31">
        <f t="shared" si="85"/>
        <v>0.16235900587658014</v>
      </c>
      <c r="F2520" s="2" t="s">
        <v>822</v>
      </c>
      <c r="G2520" s="23" t="s">
        <v>902</v>
      </c>
      <c r="H2520" s="2" t="s">
        <v>822</v>
      </c>
      <c r="J2520" s="31">
        <v>40.736598999999998</v>
      </c>
      <c r="K2520" s="31">
        <v>-22.5198994</v>
      </c>
      <c r="L2520" s="31"/>
      <c r="M2520" s="31" t="s">
        <v>854</v>
      </c>
      <c r="N2520" s="6" t="s">
        <v>856</v>
      </c>
    </row>
    <row r="2521" spans="1:14" ht="15" customHeight="1" x14ac:dyDescent="0.2">
      <c r="A2521" s="31">
        <v>0.82761434442164361</v>
      </c>
      <c r="B2521" s="31"/>
      <c r="C2521" s="2" t="s">
        <v>855</v>
      </c>
      <c r="D2521" s="31">
        <f t="shared" si="85"/>
        <v>0.16221241150664215</v>
      </c>
      <c r="F2521" s="2" t="s">
        <v>822</v>
      </c>
      <c r="G2521" s="23" t="s">
        <v>902</v>
      </c>
      <c r="H2521" s="2" t="s">
        <v>822</v>
      </c>
      <c r="J2521" s="31">
        <v>30.656099300000001</v>
      </c>
      <c r="K2521" s="31">
        <v>-12.705100099999999</v>
      </c>
      <c r="L2521" s="31"/>
      <c r="M2521" s="31" t="s">
        <v>854</v>
      </c>
      <c r="N2521" s="6" t="s">
        <v>856</v>
      </c>
    </row>
    <row r="2522" spans="1:14" ht="15" customHeight="1" x14ac:dyDescent="0.2">
      <c r="A2522" s="31">
        <v>0.82755208013899373</v>
      </c>
      <c r="B2522" s="31"/>
      <c r="C2522" s="2" t="s">
        <v>855</v>
      </c>
      <c r="D2522" s="31">
        <f t="shared" si="85"/>
        <v>0.16220020770724278</v>
      </c>
      <c r="F2522" s="2" t="s">
        <v>822</v>
      </c>
      <c r="G2522" s="23" t="s">
        <v>902</v>
      </c>
      <c r="H2522" s="2" t="s">
        <v>822</v>
      </c>
      <c r="J2522" s="31">
        <v>39.823101000000001</v>
      </c>
      <c r="K2522" s="31">
        <v>14.063099899999999</v>
      </c>
      <c r="L2522" s="31"/>
      <c r="M2522" s="31" t="s">
        <v>854</v>
      </c>
      <c r="N2522" s="6" t="s">
        <v>856</v>
      </c>
    </row>
    <row r="2523" spans="1:14" ht="15" customHeight="1" x14ac:dyDescent="0.2">
      <c r="A2523" s="31">
        <v>0.8275338700677497</v>
      </c>
      <c r="B2523" s="31"/>
      <c r="C2523" s="2" t="s">
        <v>855</v>
      </c>
      <c r="D2523" s="31">
        <f t="shared" si="85"/>
        <v>0.16219663853327895</v>
      </c>
      <c r="F2523" s="2" t="s">
        <v>822</v>
      </c>
      <c r="G2523" s="23" t="s">
        <v>902</v>
      </c>
      <c r="H2523" s="2" t="s">
        <v>822</v>
      </c>
      <c r="J2523" s="31">
        <v>40.402599299999999</v>
      </c>
      <c r="K2523" s="31">
        <v>-22.558200800000002</v>
      </c>
      <c r="L2523" s="31"/>
      <c r="M2523" s="31" t="s">
        <v>854</v>
      </c>
      <c r="N2523" s="6" t="s">
        <v>856</v>
      </c>
    </row>
    <row r="2524" spans="1:14" ht="15" customHeight="1" x14ac:dyDescent="0.2">
      <c r="A2524" s="31">
        <v>0.82751685711299883</v>
      </c>
      <c r="B2524" s="31"/>
      <c r="C2524" s="2" t="s">
        <v>855</v>
      </c>
      <c r="D2524" s="31">
        <f t="shared" si="85"/>
        <v>0.16219330399414777</v>
      </c>
      <c r="F2524" s="2" t="s">
        <v>822</v>
      </c>
      <c r="G2524" s="23" t="s">
        <v>902</v>
      </c>
      <c r="H2524" s="2" t="s">
        <v>822</v>
      </c>
      <c r="J2524" s="31">
        <v>39.329898800000002</v>
      </c>
      <c r="K2524" s="31">
        <v>24.0807991</v>
      </c>
      <c r="L2524" s="31"/>
      <c r="M2524" s="31" t="s">
        <v>854</v>
      </c>
      <c r="N2524" s="6" t="s">
        <v>856</v>
      </c>
    </row>
    <row r="2525" spans="1:14" ht="15" customHeight="1" x14ac:dyDescent="0.2">
      <c r="A2525" s="31">
        <v>0.82692878388465541</v>
      </c>
      <c r="B2525" s="31"/>
      <c r="C2525" s="2" t="s">
        <v>855</v>
      </c>
      <c r="D2525" s="31">
        <f t="shared" si="85"/>
        <v>0.16207804164139247</v>
      </c>
      <c r="F2525" s="2" t="s">
        <v>822</v>
      </c>
      <c r="G2525" s="23" t="s">
        <v>902</v>
      </c>
      <c r="H2525" s="2" t="s">
        <v>822</v>
      </c>
      <c r="J2525" s="31">
        <v>30.048000300000002</v>
      </c>
      <c r="K2525" s="31">
        <v>-19.1800003</v>
      </c>
      <c r="L2525" s="31"/>
      <c r="M2525" s="31" t="s">
        <v>854</v>
      </c>
      <c r="N2525" s="6" t="s">
        <v>856</v>
      </c>
    </row>
    <row r="2526" spans="1:14" ht="15" customHeight="1" x14ac:dyDescent="0.2">
      <c r="A2526" s="31">
        <v>0.82690597177223291</v>
      </c>
      <c r="B2526" s="31"/>
      <c r="C2526" s="2" t="s">
        <v>855</v>
      </c>
      <c r="D2526" s="31">
        <f t="shared" si="85"/>
        <v>0.16207357046735765</v>
      </c>
      <c r="F2526" s="2" t="s">
        <v>822</v>
      </c>
      <c r="G2526" s="23" t="s">
        <v>902</v>
      </c>
      <c r="H2526" s="2" t="s">
        <v>822</v>
      </c>
      <c r="J2526" s="31">
        <v>57.009300199999998</v>
      </c>
      <c r="K2526" s="31">
        <v>18.7145996</v>
      </c>
      <c r="L2526" s="31"/>
      <c r="M2526" s="31" t="s">
        <v>854</v>
      </c>
      <c r="N2526" s="6" t="s">
        <v>856</v>
      </c>
    </row>
    <row r="2527" spans="1:14" ht="15" customHeight="1" x14ac:dyDescent="0.2">
      <c r="A2527" s="31">
        <v>0.8267248355638751</v>
      </c>
      <c r="B2527" s="31"/>
      <c r="C2527" s="2" t="s">
        <v>855</v>
      </c>
      <c r="D2527" s="31">
        <f t="shared" si="85"/>
        <v>0.16203806777051952</v>
      </c>
      <c r="F2527" s="2" t="s">
        <v>822</v>
      </c>
      <c r="G2527" s="23" t="s">
        <v>902</v>
      </c>
      <c r="H2527" s="2" t="s">
        <v>822</v>
      </c>
      <c r="J2527" s="31">
        <v>35.627300300000002</v>
      </c>
      <c r="K2527" s="31">
        <v>-37.260501900000001</v>
      </c>
      <c r="L2527" s="31"/>
      <c r="M2527" s="31" t="s">
        <v>854</v>
      </c>
      <c r="N2527" s="6" t="s">
        <v>856</v>
      </c>
    </row>
    <row r="2528" spans="1:14" ht="15" customHeight="1" x14ac:dyDescent="0.2">
      <c r="A2528" s="31">
        <v>0.82672115428990378</v>
      </c>
      <c r="B2528" s="31"/>
      <c r="C2528" s="2" t="s">
        <v>855</v>
      </c>
      <c r="D2528" s="31">
        <f t="shared" si="85"/>
        <v>0.16203734624082114</v>
      </c>
      <c r="F2528" s="2" t="s">
        <v>822</v>
      </c>
      <c r="G2528" s="23" t="s">
        <v>902</v>
      </c>
      <c r="H2528" s="2" t="s">
        <v>822</v>
      </c>
      <c r="J2528" s="31">
        <v>38.883499100000002</v>
      </c>
      <c r="K2528" s="31">
        <v>16.743200300000002</v>
      </c>
      <c r="L2528" s="31"/>
      <c r="M2528" s="31" t="s">
        <v>854</v>
      </c>
      <c r="N2528" s="6" t="s">
        <v>856</v>
      </c>
    </row>
    <row r="2529" spans="1:14" ht="15" customHeight="1" x14ac:dyDescent="0.2">
      <c r="A2529" s="31">
        <v>0.82667571948663754</v>
      </c>
      <c r="B2529" s="31"/>
      <c r="C2529" s="2" t="s">
        <v>855</v>
      </c>
      <c r="D2529" s="31">
        <f t="shared" si="85"/>
        <v>0.16202844101938096</v>
      </c>
      <c r="F2529" s="2" t="s">
        <v>822</v>
      </c>
      <c r="G2529" s="23" t="s">
        <v>902</v>
      </c>
      <c r="H2529" s="2" t="s">
        <v>822</v>
      </c>
      <c r="J2529" s="31">
        <v>44.050098400000003</v>
      </c>
      <c r="K2529" s="31">
        <v>-36.522098499999998</v>
      </c>
      <c r="L2529" s="31"/>
      <c r="M2529" s="31" t="s">
        <v>854</v>
      </c>
      <c r="N2529" s="6" t="s">
        <v>856</v>
      </c>
    </row>
    <row r="2530" spans="1:14" ht="15" customHeight="1" x14ac:dyDescent="0.2">
      <c r="A2530" s="31">
        <v>0.82664205321859674</v>
      </c>
      <c r="B2530" s="31"/>
      <c r="C2530" s="2" t="s">
        <v>855</v>
      </c>
      <c r="D2530" s="31">
        <f t="shared" si="85"/>
        <v>0.16202184243084497</v>
      </c>
      <c r="F2530" s="2" t="s">
        <v>822</v>
      </c>
      <c r="G2530" s="23" t="s">
        <v>902</v>
      </c>
      <c r="H2530" s="2" t="s">
        <v>822</v>
      </c>
      <c r="J2530" s="31">
        <v>51.701499900000002</v>
      </c>
      <c r="K2530" s="31">
        <v>-5.3084898000000003</v>
      </c>
      <c r="L2530" s="31"/>
      <c r="M2530" s="31" t="s">
        <v>854</v>
      </c>
      <c r="N2530" s="6" t="s">
        <v>856</v>
      </c>
    </row>
    <row r="2531" spans="1:14" ht="15" customHeight="1" x14ac:dyDescent="0.2">
      <c r="A2531" s="31">
        <v>0.82607572395135664</v>
      </c>
      <c r="B2531" s="31"/>
      <c r="C2531" s="2" t="s">
        <v>855</v>
      </c>
      <c r="D2531" s="31">
        <f t="shared" si="85"/>
        <v>0.16191084189446592</v>
      </c>
      <c r="F2531" s="2" t="s">
        <v>822</v>
      </c>
      <c r="G2531" s="23" t="s">
        <v>902</v>
      </c>
      <c r="H2531" s="2" t="s">
        <v>822</v>
      </c>
      <c r="J2531" s="31">
        <v>31.5093994</v>
      </c>
      <c r="K2531" s="31">
        <v>-29.2157993</v>
      </c>
      <c r="L2531" s="31"/>
      <c r="M2531" s="31" t="s">
        <v>854</v>
      </c>
      <c r="N2531" s="6" t="s">
        <v>856</v>
      </c>
    </row>
    <row r="2532" spans="1:14" ht="15" customHeight="1" x14ac:dyDescent="0.2">
      <c r="A2532" s="31">
        <v>0.82586472320251791</v>
      </c>
      <c r="B2532" s="31"/>
      <c r="C2532" s="2" t="s">
        <v>855</v>
      </c>
      <c r="D2532" s="31">
        <f t="shared" si="85"/>
        <v>0.16186948574769353</v>
      </c>
      <c r="F2532" s="2" t="s">
        <v>822</v>
      </c>
      <c r="G2532" s="23" t="s">
        <v>902</v>
      </c>
      <c r="H2532" s="2" t="s">
        <v>822</v>
      </c>
      <c r="J2532" s="31">
        <v>36.416301699999998</v>
      </c>
      <c r="K2532" s="31">
        <v>-38.441398599999999</v>
      </c>
      <c r="L2532" s="31"/>
      <c r="M2532" s="31" t="s">
        <v>854</v>
      </c>
      <c r="N2532" s="6" t="s">
        <v>856</v>
      </c>
    </row>
    <row r="2533" spans="1:14" ht="15" customHeight="1" x14ac:dyDescent="0.2">
      <c r="A2533" s="31">
        <v>0.82583489741392235</v>
      </c>
      <c r="B2533" s="31"/>
      <c r="C2533" s="2" t="s">
        <v>855</v>
      </c>
      <c r="D2533" s="31">
        <f t="shared" ref="D2533:D2561" si="86" xml:space="preserve"> A2533 * 0.196</f>
        <v>0.1618636398931288</v>
      </c>
      <c r="F2533" s="2" t="s">
        <v>822</v>
      </c>
      <c r="G2533" s="23" t="s">
        <v>902</v>
      </c>
      <c r="H2533" s="2" t="s">
        <v>822</v>
      </c>
      <c r="J2533" s="31">
        <v>35.531398799999998</v>
      </c>
      <c r="K2533" s="31">
        <v>-33.805400800000001</v>
      </c>
      <c r="L2533" s="31"/>
      <c r="M2533" s="31" t="s">
        <v>854</v>
      </c>
      <c r="N2533" s="6" t="s">
        <v>856</v>
      </c>
    </row>
    <row r="2534" spans="1:14" ht="15" customHeight="1" x14ac:dyDescent="0.2">
      <c r="A2534" s="31">
        <v>0.82564282524781563</v>
      </c>
      <c r="B2534" s="31"/>
      <c r="C2534" s="2" t="s">
        <v>855</v>
      </c>
      <c r="D2534" s="31">
        <f t="shared" si="86"/>
        <v>0.16182599374857187</v>
      </c>
      <c r="F2534" s="2" t="s">
        <v>822</v>
      </c>
      <c r="G2534" s="23" t="s">
        <v>902</v>
      </c>
      <c r="H2534" s="2" t="s">
        <v>822</v>
      </c>
      <c r="J2534" s="31">
        <v>36.767898600000002</v>
      </c>
      <c r="K2534" s="31">
        <v>-11.8857002</v>
      </c>
      <c r="L2534" s="31"/>
      <c r="M2534" s="31" t="s">
        <v>854</v>
      </c>
      <c r="N2534" s="6" t="s">
        <v>856</v>
      </c>
    </row>
    <row r="2535" spans="1:14" ht="15" customHeight="1" x14ac:dyDescent="0.2">
      <c r="A2535" s="31">
        <v>0.82543647312780744</v>
      </c>
      <c r="B2535" s="31"/>
      <c r="C2535" s="2" t="s">
        <v>855</v>
      </c>
      <c r="D2535" s="31">
        <f t="shared" si="86"/>
        <v>0.16178554873305026</v>
      </c>
      <c r="F2535" s="2" t="s">
        <v>822</v>
      </c>
      <c r="G2535" s="23" t="s">
        <v>902</v>
      </c>
      <c r="H2535" s="2" t="s">
        <v>822</v>
      </c>
      <c r="J2535" s="31">
        <v>45.411998699999998</v>
      </c>
      <c r="K2535" s="31">
        <v>-38.551998099999999</v>
      </c>
      <c r="L2535" s="31"/>
      <c r="M2535" s="31" t="s">
        <v>854</v>
      </c>
      <c r="N2535" s="6" t="s">
        <v>856</v>
      </c>
    </row>
    <row r="2536" spans="1:14" ht="15" customHeight="1" x14ac:dyDescent="0.2">
      <c r="A2536" s="31">
        <v>0.82542289224739351</v>
      </c>
      <c r="B2536" s="31"/>
      <c r="C2536" s="2" t="s">
        <v>855</v>
      </c>
      <c r="D2536" s="31">
        <f t="shared" si="86"/>
        <v>0.16178288688048914</v>
      </c>
      <c r="F2536" s="2" t="s">
        <v>822</v>
      </c>
      <c r="G2536" s="23" t="s">
        <v>902</v>
      </c>
      <c r="H2536" s="2" t="s">
        <v>822</v>
      </c>
      <c r="J2536" s="31">
        <v>44.930000300000003</v>
      </c>
      <c r="K2536" s="31">
        <v>-2.7891499999999998</v>
      </c>
      <c r="L2536" s="31"/>
      <c r="M2536" s="31" t="s">
        <v>854</v>
      </c>
      <c r="N2536" s="6" t="s">
        <v>856</v>
      </c>
    </row>
    <row r="2537" spans="1:14" ht="15" customHeight="1" x14ac:dyDescent="0.2">
      <c r="A2537" s="31">
        <v>0.82536318115620189</v>
      </c>
      <c r="B2537" s="31"/>
      <c r="C2537" s="2" t="s">
        <v>855</v>
      </c>
      <c r="D2537" s="31">
        <f t="shared" si="86"/>
        <v>0.16177118350661557</v>
      </c>
      <c r="F2537" s="2" t="s">
        <v>822</v>
      </c>
      <c r="G2537" s="23" t="s">
        <v>902</v>
      </c>
      <c r="H2537" s="2" t="s">
        <v>822</v>
      </c>
      <c r="J2537" s="31">
        <v>36.979801199999997</v>
      </c>
      <c r="K2537" s="31">
        <v>-1.6385799999999999</v>
      </c>
      <c r="L2537" s="31"/>
      <c r="M2537" s="31" t="s">
        <v>854</v>
      </c>
      <c r="N2537" s="6" t="s">
        <v>856</v>
      </c>
    </row>
    <row r="2538" spans="1:14" ht="15" customHeight="1" x14ac:dyDescent="0.2">
      <c r="A2538" s="31">
        <v>0.8252940714118292</v>
      </c>
      <c r="B2538" s="31"/>
      <c r="C2538" s="2" t="s">
        <v>855</v>
      </c>
      <c r="D2538" s="31">
        <f t="shared" si="86"/>
        <v>0.16175763799671852</v>
      </c>
      <c r="F2538" s="2" t="s">
        <v>822</v>
      </c>
      <c r="G2538" s="23" t="s">
        <v>902</v>
      </c>
      <c r="H2538" s="2" t="s">
        <v>822</v>
      </c>
      <c r="J2538" s="31">
        <v>43.092300399999999</v>
      </c>
      <c r="K2538" s="31">
        <v>-34.256599399999999</v>
      </c>
      <c r="L2538" s="31"/>
      <c r="M2538" s="31" t="s">
        <v>854</v>
      </c>
      <c r="N2538" s="6" t="s">
        <v>856</v>
      </c>
    </row>
    <row r="2539" spans="1:14" ht="15" customHeight="1" x14ac:dyDescent="0.2">
      <c r="A2539" s="31">
        <v>0.82521814627226642</v>
      </c>
      <c r="B2539" s="31"/>
      <c r="C2539" s="2" t="s">
        <v>855</v>
      </c>
      <c r="D2539" s="31">
        <f t="shared" si="86"/>
        <v>0.16174275666936422</v>
      </c>
      <c r="F2539" s="2" t="s">
        <v>822</v>
      </c>
      <c r="G2539" s="23" t="s">
        <v>902</v>
      </c>
      <c r="H2539" s="2" t="s">
        <v>822</v>
      </c>
      <c r="J2539" s="31">
        <v>45.4319992</v>
      </c>
      <c r="K2539" s="31">
        <v>-37.146400499999999</v>
      </c>
      <c r="L2539" s="31"/>
      <c r="M2539" s="31" t="s">
        <v>854</v>
      </c>
      <c r="N2539" s="6" t="s">
        <v>856</v>
      </c>
    </row>
    <row r="2540" spans="1:14" ht="15" customHeight="1" x14ac:dyDescent="0.2">
      <c r="A2540" s="31">
        <v>0.82514403107966661</v>
      </c>
      <c r="B2540" s="31"/>
      <c r="C2540" s="2" t="s">
        <v>855</v>
      </c>
      <c r="D2540" s="31">
        <f t="shared" si="86"/>
        <v>0.16172823009161466</v>
      </c>
      <c r="F2540" s="2" t="s">
        <v>822</v>
      </c>
      <c r="G2540" s="23" t="s">
        <v>902</v>
      </c>
      <c r="H2540" s="2" t="s">
        <v>822</v>
      </c>
      <c r="J2540" s="31">
        <v>40.402599299999999</v>
      </c>
      <c r="K2540" s="31">
        <v>0.46517999999999998</v>
      </c>
      <c r="L2540" s="31"/>
      <c r="M2540" s="31" t="s">
        <v>854</v>
      </c>
      <c r="N2540" s="6" t="s">
        <v>856</v>
      </c>
    </row>
    <row r="2541" spans="1:14" ht="15" customHeight="1" x14ac:dyDescent="0.2">
      <c r="A2541" s="31">
        <v>0.82511672785615842</v>
      </c>
      <c r="B2541" s="31"/>
      <c r="C2541" s="2" t="s">
        <v>855</v>
      </c>
      <c r="D2541" s="31">
        <f t="shared" si="86"/>
        <v>0.16172287865980706</v>
      </c>
      <c r="F2541" s="2" t="s">
        <v>822</v>
      </c>
      <c r="G2541" s="23" t="s">
        <v>902</v>
      </c>
      <c r="H2541" s="2" t="s">
        <v>822</v>
      </c>
      <c r="J2541" s="31">
        <v>40.227901500000002</v>
      </c>
      <c r="K2541" s="31">
        <v>-13.2833004</v>
      </c>
      <c r="L2541" s="31"/>
      <c r="M2541" s="31" t="s">
        <v>854</v>
      </c>
      <c r="N2541" s="6" t="s">
        <v>856</v>
      </c>
    </row>
    <row r="2542" spans="1:14" ht="15" customHeight="1" x14ac:dyDescent="0.2">
      <c r="A2542" s="31">
        <v>0.82491297167529842</v>
      </c>
      <c r="B2542" s="31"/>
      <c r="C2542" s="2" t="s">
        <v>855</v>
      </c>
      <c r="D2542" s="31">
        <f t="shared" si="86"/>
        <v>0.16168294244835849</v>
      </c>
      <c r="F2542" s="2" t="s">
        <v>822</v>
      </c>
      <c r="G2542" s="23" t="s">
        <v>902</v>
      </c>
      <c r="H2542" s="2" t="s">
        <v>822</v>
      </c>
      <c r="J2542" s="31">
        <v>36.060001399999997</v>
      </c>
      <c r="K2542" s="31">
        <v>-11.1639996</v>
      </c>
      <c r="L2542" s="31"/>
      <c r="M2542" s="31" t="s">
        <v>854</v>
      </c>
      <c r="N2542" s="6" t="s">
        <v>856</v>
      </c>
    </row>
    <row r="2543" spans="1:14" ht="15" customHeight="1" x14ac:dyDescent="0.2">
      <c r="A2543" s="31">
        <v>0.82483591551297619</v>
      </c>
      <c r="B2543" s="31"/>
      <c r="C2543" s="2" t="s">
        <v>855</v>
      </c>
      <c r="D2543" s="31">
        <f t="shared" si="86"/>
        <v>0.16166783944054333</v>
      </c>
      <c r="F2543" s="2" t="s">
        <v>822</v>
      </c>
      <c r="G2543" s="23" t="s">
        <v>902</v>
      </c>
      <c r="H2543" s="2" t="s">
        <v>822</v>
      </c>
      <c r="J2543" s="31">
        <v>39.75</v>
      </c>
      <c r="K2543" s="31">
        <v>-14.921799699999999</v>
      </c>
      <c r="L2543" s="31"/>
      <c r="M2543" s="31" t="s">
        <v>854</v>
      </c>
      <c r="N2543" s="6" t="s">
        <v>856</v>
      </c>
    </row>
    <row r="2544" spans="1:14" ht="15" customHeight="1" x14ac:dyDescent="0.2">
      <c r="A2544" s="31">
        <v>0.82465395854028667</v>
      </c>
      <c r="B2544" s="31"/>
      <c r="C2544" s="2" t="s">
        <v>855</v>
      </c>
      <c r="D2544" s="31">
        <f t="shared" si="86"/>
        <v>0.16163217587389619</v>
      </c>
      <c r="F2544" s="2" t="s">
        <v>822</v>
      </c>
      <c r="G2544" s="23" t="s">
        <v>902</v>
      </c>
      <c r="H2544" s="2" t="s">
        <v>822</v>
      </c>
      <c r="J2544" s="31">
        <v>33.521701800000002</v>
      </c>
      <c r="K2544" s="31">
        <v>21.2973003</v>
      </c>
      <c r="L2544" s="31"/>
      <c r="M2544" s="31" t="s">
        <v>854</v>
      </c>
      <c r="N2544" s="6" t="s">
        <v>856</v>
      </c>
    </row>
    <row r="2545" spans="1:14" ht="15" customHeight="1" x14ac:dyDescent="0.2">
      <c r="A2545" s="31">
        <v>0.82462674357085508</v>
      </c>
      <c r="B2545" s="31"/>
      <c r="C2545" s="2" t="s">
        <v>855</v>
      </c>
      <c r="D2545" s="31">
        <f t="shared" si="86"/>
        <v>0.16162684173988759</v>
      </c>
      <c r="F2545" s="2" t="s">
        <v>822</v>
      </c>
      <c r="G2545" s="23" t="s">
        <v>902</v>
      </c>
      <c r="H2545" s="2" t="s">
        <v>822</v>
      </c>
      <c r="J2545" s="31">
        <v>46.077098800000002</v>
      </c>
      <c r="K2545" s="31">
        <v>-27.893100700000002</v>
      </c>
      <c r="L2545" s="31"/>
      <c r="M2545" s="31" t="s">
        <v>854</v>
      </c>
      <c r="N2545" s="6" t="s">
        <v>856</v>
      </c>
    </row>
    <row r="2546" spans="1:14" ht="15" customHeight="1" x14ac:dyDescent="0.2">
      <c r="A2546" s="31">
        <v>0.82459513796530737</v>
      </c>
      <c r="B2546" s="31"/>
      <c r="C2546" s="2" t="s">
        <v>855</v>
      </c>
      <c r="D2546" s="31">
        <f t="shared" si="86"/>
        <v>0.16162064704120024</v>
      </c>
      <c r="F2546" s="2" t="s">
        <v>822</v>
      </c>
      <c r="G2546" s="23" t="s">
        <v>902</v>
      </c>
      <c r="H2546" s="2" t="s">
        <v>822</v>
      </c>
      <c r="J2546" s="31">
        <v>25.219499599999999</v>
      </c>
      <c r="K2546" s="31">
        <v>-19.7651997</v>
      </c>
      <c r="L2546" s="31"/>
      <c r="M2546" s="31" t="s">
        <v>854</v>
      </c>
      <c r="N2546" s="6" t="s">
        <v>856</v>
      </c>
    </row>
    <row r="2547" spans="1:14" ht="15" customHeight="1" x14ac:dyDescent="0.2">
      <c r="A2547" s="31">
        <v>0.82432085534880895</v>
      </c>
      <c r="B2547" s="31"/>
      <c r="C2547" s="2" t="s">
        <v>855</v>
      </c>
      <c r="D2547" s="31">
        <f t="shared" si="86"/>
        <v>0.16156688764836655</v>
      </c>
      <c r="F2547" s="2" t="s">
        <v>822</v>
      </c>
      <c r="G2547" s="23" t="s">
        <v>902</v>
      </c>
      <c r="H2547" s="2" t="s">
        <v>822</v>
      </c>
      <c r="J2547" s="31">
        <v>38.079799700000002</v>
      </c>
      <c r="K2547" s="31">
        <v>-23.194099399999999</v>
      </c>
      <c r="L2547" s="31"/>
      <c r="M2547" s="31" t="s">
        <v>854</v>
      </c>
      <c r="N2547" s="6" t="s">
        <v>856</v>
      </c>
    </row>
    <row r="2548" spans="1:14" ht="15" customHeight="1" x14ac:dyDescent="0.2">
      <c r="A2548" s="31">
        <v>0.82426915378332644</v>
      </c>
      <c r="B2548" s="31"/>
      <c r="C2548" s="2" t="s">
        <v>855</v>
      </c>
      <c r="D2548" s="31">
        <f t="shared" si="86"/>
        <v>0.16155675414153198</v>
      </c>
      <c r="F2548" s="2" t="s">
        <v>822</v>
      </c>
      <c r="G2548" s="23" t="s">
        <v>902</v>
      </c>
      <c r="H2548" s="2" t="s">
        <v>822</v>
      </c>
      <c r="J2548" s="31">
        <v>41.240001700000001</v>
      </c>
      <c r="K2548" s="31">
        <v>-21.185199699999998</v>
      </c>
      <c r="L2548" s="31"/>
      <c r="M2548" s="31" t="s">
        <v>854</v>
      </c>
      <c r="N2548" s="6" t="s">
        <v>856</v>
      </c>
    </row>
    <row r="2549" spans="1:14" ht="15" customHeight="1" x14ac:dyDescent="0.2">
      <c r="A2549" s="31">
        <v>0.82421248685852344</v>
      </c>
      <c r="B2549" s="31"/>
      <c r="C2549" s="2" t="s">
        <v>855</v>
      </c>
      <c r="D2549" s="31">
        <f t="shared" si="86"/>
        <v>0.16154564742427061</v>
      </c>
      <c r="F2549" s="2" t="s">
        <v>822</v>
      </c>
      <c r="G2549" s="23" t="s">
        <v>902</v>
      </c>
      <c r="H2549" s="2" t="s">
        <v>822</v>
      </c>
      <c r="J2549" s="31">
        <v>34.640201599999997</v>
      </c>
      <c r="K2549" s="31">
        <v>-35.809898400000002</v>
      </c>
      <c r="L2549" s="31"/>
      <c r="M2549" s="31" t="s">
        <v>854</v>
      </c>
      <c r="N2549" s="6" t="s">
        <v>856</v>
      </c>
    </row>
    <row r="2550" spans="1:14" ht="15" customHeight="1" x14ac:dyDescent="0.2">
      <c r="A2550" s="31">
        <v>0.82413215393810679</v>
      </c>
      <c r="B2550" s="31"/>
      <c r="C2550" s="2" t="s">
        <v>855</v>
      </c>
      <c r="D2550" s="31">
        <f t="shared" si="86"/>
        <v>0.16152990217186894</v>
      </c>
      <c r="F2550" s="2" t="s">
        <v>822</v>
      </c>
      <c r="G2550" s="23" t="s">
        <v>902</v>
      </c>
      <c r="H2550" s="2" t="s">
        <v>822</v>
      </c>
      <c r="J2550" s="31">
        <v>35.708698300000002</v>
      </c>
      <c r="K2550" s="31">
        <v>15.8345003</v>
      </c>
      <c r="L2550" s="31"/>
      <c r="M2550" s="31" t="s">
        <v>854</v>
      </c>
      <c r="N2550" s="6" t="s">
        <v>856</v>
      </c>
    </row>
    <row r="2551" spans="1:14" ht="15" customHeight="1" x14ac:dyDescent="0.2">
      <c r="A2551" s="31">
        <v>0.82400070695106231</v>
      </c>
      <c r="B2551" s="31"/>
      <c r="C2551" s="2" t="s">
        <v>855</v>
      </c>
      <c r="D2551" s="31">
        <f t="shared" si="86"/>
        <v>0.16150413856240822</v>
      </c>
      <c r="F2551" s="2" t="s">
        <v>822</v>
      </c>
      <c r="G2551" s="23" t="s">
        <v>902</v>
      </c>
      <c r="H2551" s="2" t="s">
        <v>822</v>
      </c>
      <c r="J2551" s="31">
        <v>37.399501800000003</v>
      </c>
      <c r="K2551" s="31">
        <v>4.2036699999999998</v>
      </c>
      <c r="L2551" s="31"/>
      <c r="M2551" s="31" t="s">
        <v>854</v>
      </c>
      <c r="N2551" s="6" t="s">
        <v>856</v>
      </c>
    </row>
    <row r="2552" spans="1:14" ht="15" customHeight="1" x14ac:dyDescent="0.2">
      <c r="A2552" s="31">
        <v>0.82389350027864028</v>
      </c>
      <c r="B2552" s="31"/>
      <c r="C2552" s="2" t="s">
        <v>855</v>
      </c>
      <c r="D2552" s="31">
        <f t="shared" si="86"/>
        <v>0.16148312605461351</v>
      </c>
      <c r="F2552" s="2" t="s">
        <v>822</v>
      </c>
      <c r="G2552" s="23" t="s">
        <v>902</v>
      </c>
      <c r="H2552" s="2" t="s">
        <v>822</v>
      </c>
      <c r="J2552" s="31">
        <v>36.783901200000003</v>
      </c>
      <c r="K2552" s="31">
        <v>-41.746898700000003</v>
      </c>
      <c r="L2552" s="31"/>
      <c r="M2552" s="31" t="s">
        <v>854</v>
      </c>
      <c r="N2552" s="6" t="s">
        <v>856</v>
      </c>
    </row>
    <row r="2553" spans="1:14" ht="15" customHeight="1" x14ac:dyDescent="0.2">
      <c r="A2553" s="31">
        <v>0.82350324812752262</v>
      </c>
      <c r="B2553" s="31"/>
      <c r="C2553" s="2" t="s">
        <v>855</v>
      </c>
      <c r="D2553" s="31">
        <f t="shared" si="86"/>
        <v>0.16140663663299443</v>
      </c>
      <c r="F2553" s="2" t="s">
        <v>822</v>
      </c>
      <c r="G2553" s="23" t="s">
        <v>902</v>
      </c>
      <c r="H2553" s="2" t="s">
        <v>822</v>
      </c>
      <c r="J2553" s="31">
        <v>32.5348015</v>
      </c>
      <c r="K2553" s="31">
        <v>-17.6534996</v>
      </c>
      <c r="L2553" s="31"/>
      <c r="M2553" s="31" t="s">
        <v>854</v>
      </c>
      <c r="N2553" s="6" t="s">
        <v>856</v>
      </c>
    </row>
    <row r="2554" spans="1:14" ht="15" customHeight="1" x14ac:dyDescent="0.2">
      <c r="A2554" s="31">
        <v>0.82331200694581941</v>
      </c>
      <c r="B2554" s="31"/>
      <c r="C2554" s="2" t="s">
        <v>855</v>
      </c>
      <c r="D2554" s="31">
        <f t="shared" si="86"/>
        <v>0.16136915336138061</v>
      </c>
      <c r="F2554" s="2" t="s">
        <v>822</v>
      </c>
      <c r="G2554" s="23" t="s">
        <v>902</v>
      </c>
      <c r="H2554" s="2" t="s">
        <v>822</v>
      </c>
      <c r="J2554" s="31">
        <v>57.108299299999999</v>
      </c>
      <c r="K2554" s="31">
        <v>18.811300299999999</v>
      </c>
      <c r="L2554" s="31"/>
      <c r="M2554" s="31" t="s">
        <v>854</v>
      </c>
      <c r="N2554" s="6" t="s">
        <v>856</v>
      </c>
    </row>
    <row r="2555" spans="1:14" ht="15" customHeight="1" x14ac:dyDescent="0.2">
      <c r="A2555" s="31">
        <v>0.82330479705920223</v>
      </c>
      <c r="B2555" s="31"/>
      <c r="C2555" s="2" t="s">
        <v>855</v>
      </c>
      <c r="D2555" s="31">
        <f t="shared" si="86"/>
        <v>0.16136774022360365</v>
      </c>
      <c r="F2555" s="2" t="s">
        <v>822</v>
      </c>
      <c r="G2555" s="23" t="s">
        <v>902</v>
      </c>
      <c r="H2555" s="2" t="s">
        <v>822</v>
      </c>
      <c r="J2555" s="31">
        <v>37.3959999</v>
      </c>
      <c r="K2555" s="31">
        <v>18.8959999</v>
      </c>
      <c r="L2555" s="31"/>
      <c r="M2555" s="31" t="s">
        <v>854</v>
      </c>
      <c r="N2555" s="6" t="s">
        <v>856</v>
      </c>
    </row>
    <row r="2556" spans="1:14" ht="15" customHeight="1" x14ac:dyDescent="0.2">
      <c r="A2556" s="31">
        <v>0.82317141888745415</v>
      </c>
      <c r="B2556" s="31"/>
      <c r="C2556" s="2" t="s">
        <v>855</v>
      </c>
      <c r="D2556" s="31">
        <f t="shared" si="86"/>
        <v>0.16134159810194101</v>
      </c>
      <c r="F2556" s="2" t="s">
        <v>822</v>
      </c>
      <c r="G2556" s="23" t="s">
        <v>902</v>
      </c>
      <c r="H2556" s="2" t="s">
        <v>822</v>
      </c>
      <c r="J2556" s="31">
        <v>41.097999600000001</v>
      </c>
      <c r="K2556" s="31">
        <v>8.9350299999999994</v>
      </c>
      <c r="L2556" s="31"/>
      <c r="M2556" s="31" t="s">
        <v>854</v>
      </c>
      <c r="N2556" s="6" t="s">
        <v>856</v>
      </c>
    </row>
    <row r="2557" spans="1:14" ht="15" customHeight="1" x14ac:dyDescent="0.2">
      <c r="A2557" s="31">
        <v>0.82315084242155068</v>
      </c>
      <c r="B2557" s="31"/>
      <c r="C2557" s="2" t="s">
        <v>855</v>
      </c>
      <c r="D2557" s="31">
        <f t="shared" si="86"/>
        <v>0.16133756511462394</v>
      </c>
      <c r="F2557" s="2" t="s">
        <v>822</v>
      </c>
      <c r="G2557" s="23" t="s">
        <v>902</v>
      </c>
      <c r="H2557" s="2" t="s">
        <v>822</v>
      </c>
      <c r="J2557" s="31">
        <v>34.937198600000002</v>
      </c>
      <c r="K2557" s="31">
        <v>19.660299299999998</v>
      </c>
      <c r="L2557" s="31"/>
      <c r="M2557" s="31" t="s">
        <v>854</v>
      </c>
      <c r="N2557" s="6" t="s">
        <v>856</v>
      </c>
    </row>
    <row r="2558" spans="1:14" ht="15" customHeight="1" x14ac:dyDescent="0.2">
      <c r="A2558" s="31">
        <v>0.82293303445853483</v>
      </c>
      <c r="B2558" s="31"/>
      <c r="C2558" s="2" t="s">
        <v>855</v>
      </c>
      <c r="D2558" s="31">
        <f t="shared" si="86"/>
        <v>0.16129487475387283</v>
      </c>
      <c r="F2558" s="2" t="s">
        <v>822</v>
      </c>
      <c r="G2558" s="23" t="s">
        <v>902</v>
      </c>
      <c r="H2558" s="2" t="s">
        <v>822</v>
      </c>
      <c r="J2558" s="31">
        <v>40.028301200000001</v>
      </c>
      <c r="K2558" s="31">
        <v>-28.262300499999998</v>
      </c>
      <c r="L2558" s="31"/>
      <c r="M2558" s="31" t="s">
        <v>854</v>
      </c>
      <c r="N2558" s="6" t="s">
        <v>856</v>
      </c>
    </row>
    <row r="2559" spans="1:14" ht="15" customHeight="1" x14ac:dyDescent="0.2">
      <c r="A2559" s="31">
        <v>0.82234781552876568</v>
      </c>
      <c r="B2559" s="31"/>
      <c r="C2559" s="2" t="s">
        <v>855</v>
      </c>
      <c r="D2559" s="31">
        <f t="shared" si="86"/>
        <v>0.16118017184363809</v>
      </c>
      <c r="F2559" s="2" t="s">
        <v>822</v>
      </c>
      <c r="G2559" s="23" t="s">
        <v>902</v>
      </c>
      <c r="H2559" s="2" t="s">
        <v>822</v>
      </c>
      <c r="J2559" s="31">
        <v>31.384000799999999</v>
      </c>
      <c r="K2559" s="31">
        <v>-16.507999399999999</v>
      </c>
      <c r="L2559" s="31"/>
      <c r="M2559" s="31" t="s">
        <v>854</v>
      </c>
      <c r="N2559" s="6" t="s">
        <v>856</v>
      </c>
    </row>
    <row r="2560" spans="1:14" ht="15" customHeight="1" x14ac:dyDescent="0.2">
      <c r="A2560" s="31">
        <v>0.82215383269654518</v>
      </c>
      <c r="B2560" s="31"/>
      <c r="C2560" s="2" t="s">
        <v>855</v>
      </c>
      <c r="D2560" s="31">
        <f t="shared" si="86"/>
        <v>0.16114215120852285</v>
      </c>
      <c r="F2560" s="2" t="s">
        <v>822</v>
      </c>
      <c r="G2560" s="23" t="s">
        <v>902</v>
      </c>
      <c r="H2560" s="2" t="s">
        <v>822</v>
      </c>
      <c r="J2560" s="31">
        <v>38.525100700000003</v>
      </c>
      <c r="K2560" s="31">
        <v>0.61732299999999996</v>
      </c>
      <c r="L2560" s="31"/>
      <c r="M2560" s="31" t="s">
        <v>854</v>
      </c>
      <c r="N2560" s="6" t="s">
        <v>856</v>
      </c>
    </row>
    <row r="2561" spans="1:14" ht="15" customHeight="1" x14ac:dyDescent="0.2">
      <c r="A2561" s="31">
        <v>0.82206520340270972</v>
      </c>
      <c r="B2561" s="31"/>
      <c r="C2561" s="2" t="s">
        <v>855</v>
      </c>
      <c r="D2561" s="31">
        <f t="shared" si="86"/>
        <v>0.16112477986693111</v>
      </c>
      <c r="F2561" s="2" t="s">
        <v>822</v>
      </c>
      <c r="G2561" s="23" t="s">
        <v>902</v>
      </c>
      <c r="H2561" s="2" t="s">
        <v>822</v>
      </c>
      <c r="J2561" s="31">
        <v>38.890300799999999</v>
      </c>
      <c r="K2561" s="31">
        <v>10.378500000000001</v>
      </c>
      <c r="L2561" s="31"/>
      <c r="M2561" s="31" t="s">
        <v>854</v>
      </c>
      <c r="N2561" s="6" t="s">
        <v>856</v>
      </c>
    </row>
    <row r="2562" spans="1:14" ht="15" customHeight="1" x14ac:dyDescent="0.2">
      <c r="A2562" s="22">
        <v>0.16111733460421349</v>
      </c>
      <c r="B2562" s="22"/>
      <c r="C2562" s="2" t="s">
        <v>891</v>
      </c>
      <c r="D2562" s="2">
        <f>A2562</f>
        <v>0.16111733460421349</v>
      </c>
      <c r="F2562" s="2">
        <v>2023</v>
      </c>
      <c r="G2562" s="23" t="s">
        <v>902</v>
      </c>
      <c r="H2562" s="2" t="s">
        <v>769</v>
      </c>
      <c r="I2562" s="23" t="s">
        <v>189</v>
      </c>
      <c r="J2562" s="23">
        <v>57963959</v>
      </c>
      <c r="K2562" s="23">
        <v>11720457</v>
      </c>
      <c r="L2562" s="23" t="s">
        <v>819</v>
      </c>
      <c r="M2562" s="2" t="s">
        <v>825</v>
      </c>
      <c r="N2562" s="6" t="s">
        <v>828</v>
      </c>
    </row>
    <row r="2563" spans="1:14" ht="15" customHeight="1" x14ac:dyDescent="0.2">
      <c r="A2563" s="31">
        <v>0.82196824020315673</v>
      </c>
      <c r="B2563" s="31"/>
      <c r="C2563" s="2" t="s">
        <v>855</v>
      </c>
      <c r="D2563" s="31">
        <f t="shared" ref="D2563:D2577" si="87" xml:space="preserve"> A2563 * 0.196</f>
        <v>0.16110577507981871</v>
      </c>
      <c r="F2563" s="2" t="s">
        <v>822</v>
      </c>
      <c r="G2563" s="23" t="s">
        <v>902</v>
      </c>
      <c r="H2563" s="2" t="s">
        <v>822</v>
      </c>
      <c r="J2563" s="31">
        <v>34.338798500000003</v>
      </c>
      <c r="K2563" s="31">
        <v>-33.4220009</v>
      </c>
      <c r="L2563" s="31"/>
      <c r="M2563" s="31" t="s">
        <v>854</v>
      </c>
      <c r="N2563" s="6" t="s">
        <v>856</v>
      </c>
    </row>
    <row r="2564" spans="1:14" ht="15" customHeight="1" x14ac:dyDescent="0.2">
      <c r="A2564" s="31">
        <v>0.82193991240262232</v>
      </c>
      <c r="B2564" s="31"/>
      <c r="C2564" s="2" t="s">
        <v>855</v>
      </c>
      <c r="D2564" s="31">
        <f t="shared" si="87"/>
        <v>0.16110022283091399</v>
      </c>
      <c r="F2564" s="2" t="s">
        <v>822</v>
      </c>
      <c r="G2564" s="23" t="s">
        <v>902</v>
      </c>
      <c r="H2564" s="2" t="s">
        <v>822</v>
      </c>
      <c r="J2564" s="31">
        <v>38.664398200000001</v>
      </c>
      <c r="K2564" s="31">
        <v>7.4932198999999997</v>
      </c>
      <c r="L2564" s="31"/>
      <c r="M2564" s="31" t="s">
        <v>854</v>
      </c>
      <c r="N2564" s="6" t="s">
        <v>856</v>
      </c>
    </row>
    <row r="2565" spans="1:14" ht="15" customHeight="1" x14ac:dyDescent="0.2">
      <c r="A2565" s="31">
        <v>0.82189192874898287</v>
      </c>
      <c r="B2565" s="31"/>
      <c r="C2565" s="2" t="s">
        <v>855</v>
      </c>
      <c r="D2565" s="31">
        <f t="shared" si="87"/>
        <v>0.16109081803480066</v>
      </c>
      <c r="F2565" s="2" t="s">
        <v>822</v>
      </c>
      <c r="G2565" s="23" t="s">
        <v>902</v>
      </c>
      <c r="H2565" s="2" t="s">
        <v>822</v>
      </c>
      <c r="J2565" s="31">
        <v>42.071998600000001</v>
      </c>
      <c r="K2565" s="31">
        <v>-39.888000499999997</v>
      </c>
      <c r="L2565" s="31"/>
      <c r="M2565" s="31" t="s">
        <v>854</v>
      </c>
      <c r="N2565" s="6" t="s">
        <v>856</v>
      </c>
    </row>
    <row r="2566" spans="1:14" ht="15" customHeight="1" x14ac:dyDescent="0.2">
      <c r="A2566" s="31">
        <v>0.82160123754304015</v>
      </c>
      <c r="B2566" s="31"/>
      <c r="C2566" s="2" t="s">
        <v>855</v>
      </c>
      <c r="D2566" s="31">
        <f t="shared" si="87"/>
        <v>0.16103384255843586</v>
      </c>
      <c r="F2566" s="2" t="s">
        <v>822</v>
      </c>
      <c r="G2566" s="23" t="s">
        <v>902</v>
      </c>
      <c r="H2566" s="2" t="s">
        <v>822</v>
      </c>
      <c r="J2566" s="31">
        <v>50.235401199999998</v>
      </c>
      <c r="K2566" s="31">
        <v>-3.8168799999999998</v>
      </c>
      <c r="L2566" s="31"/>
      <c r="M2566" s="31" t="s">
        <v>854</v>
      </c>
      <c r="N2566" s="6" t="s">
        <v>856</v>
      </c>
    </row>
    <row r="2567" spans="1:14" ht="15" customHeight="1" x14ac:dyDescent="0.2">
      <c r="A2567" s="31">
        <v>0.82133545874284841</v>
      </c>
      <c r="B2567" s="31"/>
      <c r="C2567" s="2" t="s">
        <v>855</v>
      </c>
      <c r="D2567" s="31">
        <f t="shared" si="87"/>
        <v>0.16098174991359829</v>
      </c>
      <c r="F2567" s="2" t="s">
        <v>822</v>
      </c>
      <c r="G2567" s="23" t="s">
        <v>902</v>
      </c>
      <c r="H2567" s="2" t="s">
        <v>822</v>
      </c>
      <c r="J2567" s="31">
        <v>48.865001700000001</v>
      </c>
      <c r="K2567" s="31">
        <v>-2.4490099000000001</v>
      </c>
      <c r="L2567" s="31"/>
      <c r="M2567" s="31" t="s">
        <v>854</v>
      </c>
      <c r="N2567" s="6" t="s">
        <v>856</v>
      </c>
    </row>
    <row r="2568" spans="1:14" ht="15" customHeight="1" x14ac:dyDescent="0.2">
      <c r="A2568" s="31">
        <v>0.82129438998369686</v>
      </c>
      <c r="B2568" s="31"/>
      <c r="C2568" s="2" t="s">
        <v>855</v>
      </c>
      <c r="D2568" s="31">
        <f t="shared" si="87"/>
        <v>0.16097370043680459</v>
      </c>
      <c r="F2568" s="2" t="s">
        <v>822</v>
      </c>
      <c r="G2568" s="23" t="s">
        <v>902</v>
      </c>
      <c r="H2568" s="2" t="s">
        <v>822</v>
      </c>
      <c r="J2568" s="31">
        <v>44.485900899999997</v>
      </c>
      <c r="K2568" s="31">
        <v>-4.6919798999999998</v>
      </c>
      <c r="L2568" s="31"/>
      <c r="M2568" s="31" t="s">
        <v>854</v>
      </c>
      <c r="N2568" s="6" t="s">
        <v>856</v>
      </c>
    </row>
    <row r="2569" spans="1:14" ht="15" customHeight="1" x14ac:dyDescent="0.2">
      <c r="A2569" s="31">
        <v>0.82127287570360596</v>
      </c>
      <c r="B2569" s="31"/>
      <c r="C2569" s="2" t="s">
        <v>855</v>
      </c>
      <c r="D2569" s="31">
        <f t="shared" si="87"/>
        <v>0.16096948363790678</v>
      </c>
      <c r="F2569" s="2" t="s">
        <v>822</v>
      </c>
      <c r="G2569" s="23" t="s">
        <v>902</v>
      </c>
      <c r="H2569" s="2" t="s">
        <v>822</v>
      </c>
      <c r="J2569" s="31">
        <v>30.0813007</v>
      </c>
      <c r="K2569" s="31">
        <v>-23.821399700000001</v>
      </c>
      <c r="L2569" s="31"/>
      <c r="M2569" s="31" t="s">
        <v>854</v>
      </c>
      <c r="N2569" s="6" t="s">
        <v>856</v>
      </c>
    </row>
    <row r="2570" spans="1:14" ht="15" customHeight="1" x14ac:dyDescent="0.2">
      <c r="A2570" s="31">
        <v>0.82114643224979122</v>
      </c>
      <c r="B2570" s="31"/>
      <c r="C2570" s="2" t="s">
        <v>855</v>
      </c>
      <c r="D2570" s="31">
        <f t="shared" si="87"/>
        <v>0.16094470072095909</v>
      </c>
      <c r="F2570" s="2" t="s">
        <v>822</v>
      </c>
      <c r="G2570" s="23" t="s">
        <v>902</v>
      </c>
      <c r="H2570" s="2" t="s">
        <v>822</v>
      </c>
      <c r="J2570" s="31">
        <v>29.4424992</v>
      </c>
      <c r="K2570" s="31">
        <v>-13.8860998</v>
      </c>
      <c r="L2570" s="31"/>
      <c r="M2570" s="31" t="s">
        <v>854</v>
      </c>
      <c r="N2570" s="6" t="s">
        <v>856</v>
      </c>
    </row>
    <row r="2571" spans="1:14" ht="15" customHeight="1" x14ac:dyDescent="0.2">
      <c r="A2571" s="31">
        <v>0.82112914547101934</v>
      </c>
      <c r="B2571" s="31"/>
      <c r="C2571" s="2" t="s">
        <v>855</v>
      </c>
      <c r="D2571" s="31">
        <f t="shared" si="87"/>
        <v>0.1609413125123198</v>
      </c>
      <c r="F2571" s="2" t="s">
        <v>822</v>
      </c>
      <c r="G2571" s="23" t="s">
        <v>902</v>
      </c>
      <c r="H2571" s="2" t="s">
        <v>822</v>
      </c>
      <c r="J2571" s="31">
        <v>45.006900799999997</v>
      </c>
      <c r="K2571" s="31">
        <v>-8.7540397999999993</v>
      </c>
      <c r="L2571" s="31"/>
      <c r="M2571" s="31" t="s">
        <v>854</v>
      </c>
      <c r="N2571" s="6" t="s">
        <v>856</v>
      </c>
    </row>
    <row r="2572" spans="1:14" ht="15" customHeight="1" x14ac:dyDescent="0.2">
      <c r="A2572" s="31">
        <v>0.82110535431781206</v>
      </c>
      <c r="B2572" s="31"/>
      <c r="C2572" s="2" t="s">
        <v>855</v>
      </c>
      <c r="D2572" s="31">
        <f t="shared" si="87"/>
        <v>0.16093664944629116</v>
      </c>
      <c r="F2572" s="2" t="s">
        <v>822</v>
      </c>
      <c r="G2572" s="23" t="s">
        <v>902</v>
      </c>
      <c r="H2572" s="2" t="s">
        <v>822</v>
      </c>
      <c r="J2572" s="31">
        <v>25.3719997</v>
      </c>
      <c r="K2572" s="31">
        <v>-37.215999600000004</v>
      </c>
      <c r="L2572" s="31"/>
      <c r="M2572" s="31" t="s">
        <v>854</v>
      </c>
      <c r="N2572" s="6" t="s">
        <v>856</v>
      </c>
    </row>
    <row r="2573" spans="1:14" ht="15" customHeight="1" x14ac:dyDescent="0.2">
      <c r="A2573" s="31">
        <v>0.82108023369192451</v>
      </c>
      <c r="B2573" s="31"/>
      <c r="C2573" s="2" t="s">
        <v>855</v>
      </c>
      <c r="D2573" s="31">
        <f t="shared" si="87"/>
        <v>0.1609317258036172</v>
      </c>
      <c r="F2573" s="2" t="s">
        <v>822</v>
      </c>
      <c r="G2573" s="23" t="s">
        <v>902</v>
      </c>
      <c r="H2573" s="2" t="s">
        <v>822</v>
      </c>
      <c r="J2573" s="31">
        <v>40.402599299999999</v>
      </c>
      <c r="K2573" s="31">
        <v>-25.435199699999998</v>
      </c>
      <c r="L2573" s="31"/>
      <c r="M2573" s="31" t="s">
        <v>854</v>
      </c>
      <c r="N2573" s="6" t="s">
        <v>856</v>
      </c>
    </row>
    <row r="2574" spans="1:14" ht="15" customHeight="1" x14ac:dyDescent="0.2">
      <c r="A2574" s="31">
        <v>0.82107269565210339</v>
      </c>
      <c r="B2574" s="31"/>
      <c r="C2574" s="2" t="s">
        <v>855</v>
      </c>
      <c r="D2574" s="31">
        <f t="shared" si="87"/>
        <v>0.16093024834781228</v>
      </c>
      <c r="F2574" s="2" t="s">
        <v>822</v>
      </c>
      <c r="G2574" s="23" t="s">
        <v>902</v>
      </c>
      <c r="H2574" s="2" t="s">
        <v>822</v>
      </c>
      <c r="J2574" s="31">
        <v>40.7997017</v>
      </c>
      <c r="K2574" s="31">
        <v>-38.545200299999998</v>
      </c>
      <c r="L2574" s="31"/>
      <c r="M2574" s="31" t="s">
        <v>854</v>
      </c>
      <c r="N2574" s="6" t="s">
        <v>856</v>
      </c>
    </row>
    <row r="2575" spans="1:14" ht="15" customHeight="1" x14ac:dyDescent="0.2">
      <c r="A2575" s="31">
        <v>0.82104221080566553</v>
      </c>
      <c r="B2575" s="31"/>
      <c r="C2575" s="2" t="s">
        <v>855</v>
      </c>
      <c r="D2575" s="31">
        <f t="shared" si="87"/>
        <v>0.16092427331791045</v>
      </c>
      <c r="F2575" s="2" t="s">
        <v>822</v>
      </c>
      <c r="G2575" s="23" t="s">
        <v>902</v>
      </c>
      <c r="H2575" s="2" t="s">
        <v>822</v>
      </c>
      <c r="J2575" s="31">
        <v>40.743499800000002</v>
      </c>
      <c r="K2575" s="31">
        <v>-25.474100100000001</v>
      </c>
      <c r="L2575" s="31"/>
      <c r="M2575" s="31" t="s">
        <v>854</v>
      </c>
      <c r="N2575" s="6" t="s">
        <v>856</v>
      </c>
    </row>
    <row r="2576" spans="1:14" ht="15" customHeight="1" x14ac:dyDescent="0.2">
      <c r="A2576" s="31">
        <v>0.82104023711625462</v>
      </c>
      <c r="B2576" s="31"/>
      <c r="C2576" s="2" t="s">
        <v>855</v>
      </c>
      <c r="D2576" s="31">
        <f t="shared" si="87"/>
        <v>0.16092388647478592</v>
      </c>
      <c r="F2576" s="2" t="s">
        <v>822</v>
      </c>
      <c r="G2576" s="23" t="s">
        <v>902</v>
      </c>
      <c r="H2576" s="2" t="s">
        <v>822</v>
      </c>
      <c r="J2576" s="31">
        <v>40.411899599999998</v>
      </c>
      <c r="K2576" s="31">
        <v>-37.450199099999999</v>
      </c>
      <c r="L2576" s="31"/>
      <c r="M2576" s="31" t="s">
        <v>854</v>
      </c>
      <c r="N2576" s="6" t="s">
        <v>856</v>
      </c>
    </row>
    <row r="2577" spans="1:14" ht="15" customHeight="1" x14ac:dyDescent="0.2">
      <c r="A2577" s="31">
        <v>0.82098850535439283</v>
      </c>
      <c r="B2577" s="31"/>
      <c r="C2577" s="2" t="s">
        <v>855</v>
      </c>
      <c r="D2577" s="31">
        <f t="shared" si="87"/>
        <v>0.16091374704946099</v>
      </c>
      <c r="F2577" s="2" t="s">
        <v>822</v>
      </c>
      <c r="G2577" s="23" t="s">
        <v>902</v>
      </c>
      <c r="H2577" s="2" t="s">
        <v>822</v>
      </c>
      <c r="J2577" s="31">
        <v>35.405200999999998</v>
      </c>
      <c r="K2577" s="31">
        <v>-12.484000200000001</v>
      </c>
      <c r="L2577" s="31"/>
      <c r="M2577" s="31" t="s">
        <v>854</v>
      </c>
      <c r="N2577" s="6" t="s">
        <v>856</v>
      </c>
    </row>
    <row r="2578" spans="1:14" ht="15" customHeight="1" x14ac:dyDescent="0.2">
      <c r="A2578" s="22">
        <v>0.1609084725357498</v>
      </c>
      <c r="B2578" s="22"/>
      <c r="C2578" s="2" t="s">
        <v>891</v>
      </c>
      <c r="D2578" s="2">
        <f>A2578</f>
        <v>0.1609084725357498</v>
      </c>
      <c r="F2578" s="2">
        <v>2023</v>
      </c>
      <c r="G2578" s="23" t="s">
        <v>902</v>
      </c>
      <c r="H2578" s="2" t="s">
        <v>771</v>
      </c>
      <c r="I2578" s="23" t="s">
        <v>189</v>
      </c>
      <c r="J2578" s="23">
        <v>58100656</v>
      </c>
      <c r="K2578" s="23">
        <v>11804836</v>
      </c>
      <c r="L2578" s="23" t="s">
        <v>819</v>
      </c>
      <c r="M2578" s="2" t="s">
        <v>825</v>
      </c>
      <c r="N2578" s="6" t="s">
        <v>828</v>
      </c>
    </row>
    <row r="2579" spans="1:14" ht="15" customHeight="1" x14ac:dyDescent="0.2">
      <c r="A2579" s="31">
        <v>0.82059524229764114</v>
      </c>
      <c r="B2579" s="31"/>
      <c r="C2579" s="2" t="s">
        <v>855</v>
      </c>
      <c r="D2579" s="31">
        <f t="shared" ref="D2579:D2618" si="88" xml:space="preserve"> A2579 * 0.196</f>
        <v>0.16083666749033768</v>
      </c>
      <c r="F2579" s="2" t="s">
        <v>822</v>
      </c>
      <c r="G2579" s="23" t="s">
        <v>902</v>
      </c>
      <c r="H2579" s="2" t="s">
        <v>822</v>
      </c>
      <c r="J2579" s="31">
        <v>59.8412018</v>
      </c>
      <c r="K2579" s="31">
        <v>25.931899999999999</v>
      </c>
      <c r="L2579" s="31"/>
      <c r="M2579" s="31" t="s">
        <v>854</v>
      </c>
      <c r="N2579" s="6" t="s">
        <v>856</v>
      </c>
    </row>
    <row r="2580" spans="1:14" ht="15" customHeight="1" x14ac:dyDescent="0.2">
      <c r="A2580" s="31">
        <v>0.82038488588447189</v>
      </c>
      <c r="B2580" s="31"/>
      <c r="C2580" s="2" t="s">
        <v>855</v>
      </c>
      <c r="D2580" s="31">
        <f t="shared" si="88"/>
        <v>0.16079543763335649</v>
      </c>
      <c r="F2580" s="2" t="s">
        <v>822</v>
      </c>
      <c r="G2580" s="23" t="s">
        <v>902</v>
      </c>
      <c r="H2580" s="2" t="s">
        <v>822</v>
      </c>
      <c r="J2580" s="31">
        <v>53.845500899999998</v>
      </c>
      <c r="K2580" s="31">
        <v>-6.2221298000000003</v>
      </c>
      <c r="L2580" s="31"/>
      <c r="M2580" s="31" t="s">
        <v>854</v>
      </c>
      <c r="N2580" s="6" t="s">
        <v>856</v>
      </c>
    </row>
    <row r="2581" spans="1:14" ht="15" customHeight="1" x14ac:dyDescent="0.2">
      <c r="A2581" s="31">
        <v>0.82029119329589595</v>
      </c>
      <c r="B2581" s="31"/>
      <c r="C2581" s="2" t="s">
        <v>855</v>
      </c>
      <c r="D2581" s="31">
        <f t="shared" si="88"/>
        <v>0.1607770738859956</v>
      </c>
      <c r="F2581" s="2" t="s">
        <v>822</v>
      </c>
      <c r="G2581" s="23" t="s">
        <v>902</v>
      </c>
      <c r="H2581" s="2" t="s">
        <v>822</v>
      </c>
      <c r="J2581" s="31">
        <v>41.308700600000002</v>
      </c>
      <c r="K2581" s="31">
        <v>-13.6850004</v>
      </c>
      <c r="L2581" s="31"/>
      <c r="M2581" s="31" t="s">
        <v>854</v>
      </c>
      <c r="N2581" s="6" t="s">
        <v>856</v>
      </c>
    </row>
    <row r="2582" spans="1:14" ht="15" customHeight="1" x14ac:dyDescent="0.2">
      <c r="A2582" s="31">
        <v>0.82017896105176391</v>
      </c>
      <c r="B2582" s="31"/>
      <c r="C2582" s="2" t="s">
        <v>855</v>
      </c>
      <c r="D2582" s="31">
        <f t="shared" si="88"/>
        <v>0.16075507636614572</v>
      </c>
      <c r="F2582" s="2" t="s">
        <v>822</v>
      </c>
      <c r="G2582" s="23" t="s">
        <v>902</v>
      </c>
      <c r="H2582" s="2" t="s">
        <v>822</v>
      </c>
      <c r="J2582" s="31">
        <v>27.375999499999999</v>
      </c>
      <c r="K2582" s="31">
        <v>-30.5359993</v>
      </c>
      <c r="L2582" s="31"/>
      <c r="M2582" s="31" t="s">
        <v>854</v>
      </c>
      <c r="N2582" s="6" t="s">
        <v>856</v>
      </c>
    </row>
    <row r="2583" spans="1:14" ht="15" customHeight="1" x14ac:dyDescent="0.2">
      <c r="A2583" s="31">
        <v>0.81986401564252787</v>
      </c>
      <c r="B2583" s="31"/>
      <c r="C2583" s="2" t="s">
        <v>855</v>
      </c>
      <c r="D2583" s="31">
        <f t="shared" si="88"/>
        <v>0.16069334706593547</v>
      </c>
      <c r="F2583" s="2" t="s">
        <v>822</v>
      </c>
      <c r="G2583" s="23" t="s">
        <v>902</v>
      </c>
      <c r="H2583" s="2" t="s">
        <v>822</v>
      </c>
      <c r="J2583" s="31">
        <v>40.585201300000001</v>
      </c>
      <c r="K2583" s="31">
        <v>-41.8838005</v>
      </c>
      <c r="L2583" s="31"/>
      <c r="M2583" s="31" t="s">
        <v>854</v>
      </c>
      <c r="N2583" s="6" t="s">
        <v>856</v>
      </c>
    </row>
    <row r="2584" spans="1:14" ht="15" customHeight="1" x14ac:dyDescent="0.2">
      <c r="A2584" s="31">
        <v>0.81968447632883079</v>
      </c>
      <c r="B2584" s="31"/>
      <c r="C2584" s="2" t="s">
        <v>855</v>
      </c>
      <c r="D2584" s="31">
        <f t="shared" si="88"/>
        <v>0.16065815736045083</v>
      </c>
      <c r="F2584" s="2" t="s">
        <v>822</v>
      </c>
      <c r="G2584" s="23" t="s">
        <v>902</v>
      </c>
      <c r="H2584" s="2" t="s">
        <v>822</v>
      </c>
      <c r="J2584" s="31">
        <v>25.766500499999999</v>
      </c>
      <c r="K2584" s="31">
        <v>-33.240200000000002</v>
      </c>
      <c r="L2584" s="31"/>
      <c r="M2584" s="31" t="s">
        <v>854</v>
      </c>
      <c r="N2584" s="6" t="s">
        <v>856</v>
      </c>
    </row>
    <row r="2585" spans="1:14" ht="15" customHeight="1" x14ac:dyDescent="0.2">
      <c r="A2585" s="31">
        <v>0.81960497561913692</v>
      </c>
      <c r="B2585" s="31"/>
      <c r="C2585" s="2" t="s">
        <v>855</v>
      </c>
      <c r="D2585" s="31">
        <f t="shared" si="88"/>
        <v>0.16064257522135084</v>
      </c>
      <c r="F2585" s="2" t="s">
        <v>822</v>
      </c>
      <c r="G2585" s="23" t="s">
        <v>902</v>
      </c>
      <c r="H2585" s="2" t="s">
        <v>822</v>
      </c>
      <c r="J2585" s="31">
        <v>32.752498600000003</v>
      </c>
      <c r="K2585" s="31">
        <v>14.2052002</v>
      </c>
      <c r="L2585" s="31"/>
      <c r="M2585" s="31" t="s">
        <v>854</v>
      </c>
      <c r="N2585" s="6" t="s">
        <v>856</v>
      </c>
    </row>
    <row r="2586" spans="1:14" ht="15" customHeight="1" x14ac:dyDescent="0.2">
      <c r="A2586" s="31">
        <v>0.81927472084989306</v>
      </c>
      <c r="B2586" s="31"/>
      <c r="C2586" s="2" t="s">
        <v>855</v>
      </c>
      <c r="D2586" s="31">
        <f t="shared" si="88"/>
        <v>0.16057784528657904</v>
      </c>
      <c r="F2586" s="2" t="s">
        <v>822</v>
      </c>
      <c r="G2586" s="23" t="s">
        <v>902</v>
      </c>
      <c r="H2586" s="2" t="s">
        <v>822</v>
      </c>
      <c r="J2586" s="31">
        <v>42.206401800000002</v>
      </c>
      <c r="K2586" s="31">
        <v>-13.2126999</v>
      </c>
      <c r="L2586" s="31"/>
      <c r="M2586" s="31" t="s">
        <v>854</v>
      </c>
      <c r="N2586" s="6" t="s">
        <v>856</v>
      </c>
    </row>
    <row r="2587" spans="1:14" ht="15" customHeight="1" x14ac:dyDescent="0.2">
      <c r="A2587" s="31">
        <v>0.8192442074203683</v>
      </c>
      <c r="B2587" s="31"/>
      <c r="C2587" s="2" t="s">
        <v>855</v>
      </c>
      <c r="D2587" s="31">
        <f t="shared" si="88"/>
        <v>0.16057186465439219</v>
      </c>
      <c r="F2587" s="2" t="s">
        <v>822</v>
      </c>
      <c r="G2587" s="23" t="s">
        <v>902</v>
      </c>
      <c r="H2587" s="2" t="s">
        <v>822</v>
      </c>
      <c r="J2587" s="31">
        <v>40.521701800000002</v>
      </c>
      <c r="K2587" s="31">
        <v>-10.6400995</v>
      </c>
      <c r="L2587" s="31"/>
      <c r="M2587" s="31" t="s">
        <v>854</v>
      </c>
      <c r="N2587" s="6" t="s">
        <v>856</v>
      </c>
    </row>
    <row r="2588" spans="1:14" ht="15" customHeight="1" x14ac:dyDescent="0.2">
      <c r="A2588" s="31">
        <v>0.81903220862245685</v>
      </c>
      <c r="B2588" s="31"/>
      <c r="C2588" s="2" t="s">
        <v>855</v>
      </c>
      <c r="D2588" s="31">
        <f t="shared" si="88"/>
        <v>0.16053031289000155</v>
      </c>
      <c r="F2588" s="2" t="s">
        <v>822</v>
      </c>
      <c r="G2588" s="23" t="s">
        <v>902</v>
      </c>
      <c r="H2588" s="2" t="s">
        <v>822</v>
      </c>
      <c r="J2588" s="31">
        <v>34.6366005</v>
      </c>
      <c r="K2588" s="31">
        <v>18.1061993</v>
      </c>
      <c r="L2588" s="31"/>
      <c r="M2588" s="31" t="s">
        <v>854</v>
      </c>
      <c r="N2588" s="6" t="s">
        <v>856</v>
      </c>
    </row>
    <row r="2589" spans="1:14" ht="15" customHeight="1" x14ac:dyDescent="0.2">
      <c r="A2589" s="31">
        <v>0.81902297275134772</v>
      </c>
      <c r="B2589" s="31"/>
      <c r="C2589" s="2" t="s">
        <v>855</v>
      </c>
      <c r="D2589" s="31">
        <f t="shared" si="88"/>
        <v>0.16052850265926416</v>
      </c>
      <c r="F2589" s="2" t="s">
        <v>822</v>
      </c>
      <c r="G2589" s="23" t="s">
        <v>902</v>
      </c>
      <c r="H2589" s="2" t="s">
        <v>822</v>
      </c>
      <c r="J2589" s="31">
        <v>25.734699200000001</v>
      </c>
      <c r="K2589" s="31">
        <v>-32.616401699999997</v>
      </c>
      <c r="L2589" s="31"/>
      <c r="M2589" s="31" t="s">
        <v>854</v>
      </c>
      <c r="N2589" s="6" t="s">
        <v>856</v>
      </c>
    </row>
    <row r="2590" spans="1:14" ht="15" customHeight="1" x14ac:dyDescent="0.2">
      <c r="A2590" s="31">
        <v>0.81850558592116218</v>
      </c>
      <c r="B2590" s="31"/>
      <c r="C2590" s="2" t="s">
        <v>855</v>
      </c>
      <c r="D2590" s="31">
        <f t="shared" si="88"/>
        <v>0.16042709484054779</v>
      </c>
      <c r="F2590" s="2" t="s">
        <v>822</v>
      </c>
      <c r="G2590" s="23" t="s">
        <v>902</v>
      </c>
      <c r="H2590" s="2" t="s">
        <v>822</v>
      </c>
      <c r="J2590" s="31">
        <v>37.3959999</v>
      </c>
      <c r="K2590" s="31">
        <v>1.528</v>
      </c>
      <c r="L2590" s="31"/>
      <c r="M2590" s="31" t="s">
        <v>854</v>
      </c>
      <c r="N2590" s="6" t="s">
        <v>856</v>
      </c>
    </row>
    <row r="2591" spans="1:14" ht="15" customHeight="1" x14ac:dyDescent="0.2">
      <c r="A2591" s="31">
        <v>0.81841695440401196</v>
      </c>
      <c r="B2591" s="31"/>
      <c r="C2591" s="2" t="s">
        <v>855</v>
      </c>
      <c r="D2591" s="31">
        <f t="shared" si="88"/>
        <v>0.16040972306318635</v>
      </c>
      <c r="F2591" s="2" t="s">
        <v>822</v>
      </c>
      <c r="G2591" s="23" t="s">
        <v>902</v>
      </c>
      <c r="H2591" s="2" t="s">
        <v>822</v>
      </c>
      <c r="J2591" s="31">
        <v>38.748500800000002</v>
      </c>
      <c r="K2591" s="31">
        <v>11.7393999</v>
      </c>
      <c r="L2591" s="31"/>
      <c r="M2591" s="31" t="s">
        <v>854</v>
      </c>
      <c r="N2591" s="6" t="s">
        <v>856</v>
      </c>
    </row>
    <row r="2592" spans="1:14" ht="15" customHeight="1" x14ac:dyDescent="0.2">
      <c r="A2592" s="31">
        <v>0.81828425660693271</v>
      </c>
      <c r="B2592" s="31"/>
      <c r="C2592" s="2" t="s">
        <v>855</v>
      </c>
      <c r="D2592" s="31">
        <f t="shared" si="88"/>
        <v>0.16038371429495882</v>
      </c>
      <c r="F2592" s="2" t="s">
        <v>822</v>
      </c>
      <c r="G2592" s="23" t="s">
        <v>902</v>
      </c>
      <c r="H2592" s="2" t="s">
        <v>822</v>
      </c>
      <c r="J2592" s="31">
        <v>31.596000700000001</v>
      </c>
      <c r="K2592" s="31">
        <v>31.606899299999998</v>
      </c>
      <c r="L2592" s="31"/>
      <c r="M2592" s="31" t="s">
        <v>854</v>
      </c>
      <c r="N2592" s="6" t="s">
        <v>856</v>
      </c>
    </row>
    <row r="2593" spans="1:14" ht="15" customHeight="1" x14ac:dyDescent="0.2">
      <c r="A2593" s="31">
        <v>0.81814690394859046</v>
      </c>
      <c r="B2593" s="31"/>
      <c r="C2593" s="2" t="s">
        <v>855</v>
      </c>
      <c r="D2593" s="31">
        <f t="shared" si="88"/>
        <v>0.16035679317392373</v>
      </c>
      <c r="F2593" s="2" t="s">
        <v>822</v>
      </c>
      <c r="G2593" s="23" t="s">
        <v>902</v>
      </c>
      <c r="H2593" s="2" t="s">
        <v>822</v>
      </c>
      <c r="J2593" s="31">
        <v>28.0440006</v>
      </c>
      <c r="K2593" s="31">
        <v>-38.551998099999999</v>
      </c>
      <c r="L2593" s="31"/>
      <c r="M2593" s="31" t="s">
        <v>854</v>
      </c>
      <c r="N2593" s="6" t="s">
        <v>856</v>
      </c>
    </row>
    <row r="2594" spans="1:14" ht="15" customHeight="1" x14ac:dyDescent="0.2">
      <c r="A2594" s="31">
        <v>0.81789183683314526</v>
      </c>
      <c r="B2594" s="31"/>
      <c r="C2594" s="2" t="s">
        <v>855</v>
      </c>
      <c r="D2594" s="31">
        <f t="shared" si="88"/>
        <v>0.16030680001929648</v>
      </c>
      <c r="F2594" s="2" t="s">
        <v>822</v>
      </c>
      <c r="G2594" s="23" t="s">
        <v>902</v>
      </c>
      <c r="H2594" s="2" t="s">
        <v>822</v>
      </c>
      <c r="J2594" s="31">
        <v>40.186100000000003</v>
      </c>
      <c r="K2594" s="31">
        <v>-13.8526001</v>
      </c>
      <c r="L2594" s="31"/>
      <c r="M2594" s="31" t="s">
        <v>854</v>
      </c>
      <c r="N2594" s="6" t="s">
        <v>856</v>
      </c>
    </row>
    <row r="2595" spans="1:14" ht="15" customHeight="1" x14ac:dyDescent="0.2">
      <c r="A2595" s="31">
        <v>0.81760012602887389</v>
      </c>
      <c r="B2595" s="31"/>
      <c r="C2595" s="2" t="s">
        <v>855</v>
      </c>
      <c r="D2595" s="31">
        <f t="shared" si="88"/>
        <v>0.16024962470165929</v>
      </c>
      <c r="F2595" s="2" t="s">
        <v>822</v>
      </c>
      <c r="G2595" s="23" t="s">
        <v>902</v>
      </c>
      <c r="H2595" s="2" t="s">
        <v>822</v>
      </c>
      <c r="J2595" s="31">
        <v>34.839500399999999</v>
      </c>
      <c r="K2595" s="31">
        <v>-30.255399700000002</v>
      </c>
      <c r="L2595" s="31"/>
      <c r="M2595" s="31" t="s">
        <v>854</v>
      </c>
      <c r="N2595" s="6" t="s">
        <v>856</v>
      </c>
    </row>
    <row r="2596" spans="1:14" ht="15" customHeight="1" x14ac:dyDescent="0.2">
      <c r="A2596" s="31">
        <v>0.81759814441886847</v>
      </c>
      <c r="B2596" s="31"/>
      <c r="C2596" s="2" t="s">
        <v>855</v>
      </c>
      <c r="D2596" s="31">
        <f t="shared" si="88"/>
        <v>0.16024923630609822</v>
      </c>
      <c r="F2596" s="2" t="s">
        <v>822</v>
      </c>
      <c r="G2596" s="23" t="s">
        <v>902</v>
      </c>
      <c r="H2596" s="2" t="s">
        <v>822</v>
      </c>
      <c r="J2596" s="31">
        <v>46.081699399999998</v>
      </c>
      <c r="K2596" s="31">
        <v>-37.214298200000002</v>
      </c>
      <c r="L2596" s="31"/>
      <c r="M2596" s="31" t="s">
        <v>854</v>
      </c>
      <c r="N2596" s="6" t="s">
        <v>856</v>
      </c>
    </row>
    <row r="2597" spans="1:14" ht="15" customHeight="1" x14ac:dyDescent="0.2">
      <c r="A2597" s="31">
        <v>0.81743869459751395</v>
      </c>
      <c r="B2597" s="31"/>
      <c r="C2597" s="2" t="s">
        <v>855</v>
      </c>
      <c r="D2597" s="31">
        <f t="shared" si="88"/>
        <v>0.16021798414111274</v>
      </c>
      <c r="F2597" s="2" t="s">
        <v>822</v>
      </c>
      <c r="G2597" s="23" t="s">
        <v>902</v>
      </c>
      <c r="H2597" s="2" t="s">
        <v>822</v>
      </c>
      <c r="J2597" s="31">
        <v>37.514400500000001</v>
      </c>
      <c r="K2597" s="31">
        <v>7.5315899999999996</v>
      </c>
      <c r="L2597" s="31"/>
      <c r="M2597" s="31" t="s">
        <v>854</v>
      </c>
      <c r="N2597" s="6" t="s">
        <v>856</v>
      </c>
    </row>
    <row r="2598" spans="1:14" ht="15" customHeight="1" x14ac:dyDescent="0.2">
      <c r="A2598" s="31">
        <v>0.81730185665252153</v>
      </c>
      <c r="B2598" s="31"/>
      <c r="C2598" s="2" t="s">
        <v>855</v>
      </c>
      <c r="D2598" s="31">
        <f t="shared" si="88"/>
        <v>0.16019116390389423</v>
      </c>
      <c r="F2598" s="2" t="s">
        <v>822</v>
      </c>
      <c r="G2598" s="23" t="s">
        <v>902</v>
      </c>
      <c r="H2598" s="2" t="s">
        <v>822</v>
      </c>
      <c r="J2598" s="31">
        <v>44.656898499999997</v>
      </c>
      <c r="K2598" s="31">
        <v>13.102700199999999</v>
      </c>
      <c r="L2598" s="31"/>
      <c r="M2598" s="31" t="s">
        <v>854</v>
      </c>
      <c r="N2598" s="6" t="s">
        <v>856</v>
      </c>
    </row>
    <row r="2599" spans="1:14" ht="15" customHeight="1" x14ac:dyDescent="0.2">
      <c r="A2599" s="31">
        <v>0.81701798585970808</v>
      </c>
      <c r="B2599" s="31"/>
      <c r="C2599" s="2" t="s">
        <v>855</v>
      </c>
      <c r="D2599" s="31">
        <f t="shared" si="88"/>
        <v>0.1601355252285028</v>
      </c>
      <c r="F2599" s="2" t="s">
        <v>822</v>
      </c>
      <c r="G2599" s="23" t="s">
        <v>902</v>
      </c>
      <c r="H2599" s="2" t="s">
        <v>822</v>
      </c>
      <c r="J2599" s="31">
        <v>32.051998099999999</v>
      </c>
      <c r="K2599" s="31">
        <v>-21.184000000000001</v>
      </c>
      <c r="L2599" s="31"/>
      <c r="M2599" s="31" t="s">
        <v>854</v>
      </c>
      <c r="N2599" s="6" t="s">
        <v>856</v>
      </c>
    </row>
    <row r="2600" spans="1:14" ht="15" customHeight="1" x14ac:dyDescent="0.2">
      <c r="A2600" s="31">
        <v>0.81698985915638955</v>
      </c>
      <c r="B2600" s="31"/>
      <c r="C2600" s="2" t="s">
        <v>855</v>
      </c>
      <c r="D2600" s="31">
        <f t="shared" si="88"/>
        <v>0.16013001239465235</v>
      </c>
      <c r="F2600" s="2" t="s">
        <v>822</v>
      </c>
      <c r="G2600" s="23" t="s">
        <v>902</v>
      </c>
      <c r="H2600" s="2" t="s">
        <v>822</v>
      </c>
      <c r="J2600" s="31">
        <v>32.922798200000003</v>
      </c>
      <c r="K2600" s="31">
        <v>22.107500099999999</v>
      </c>
      <c r="L2600" s="31"/>
      <c r="M2600" s="31" t="s">
        <v>854</v>
      </c>
      <c r="N2600" s="6" t="s">
        <v>856</v>
      </c>
    </row>
    <row r="2601" spans="1:14" ht="15" customHeight="1" x14ac:dyDescent="0.2">
      <c r="A2601" s="31">
        <v>0.81692697155903982</v>
      </c>
      <c r="B2601" s="31"/>
      <c r="C2601" s="2" t="s">
        <v>855</v>
      </c>
      <c r="D2601" s="31">
        <f t="shared" si="88"/>
        <v>0.16011768642557181</v>
      </c>
      <c r="F2601" s="2" t="s">
        <v>822</v>
      </c>
      <c r="G2601" s="23" t="s">
        <v>902</v>
      </c>
      <c r="H2601" s="2" t="s">
        <v>822</v>
      </c>
      <c r="J2601" s="31">
        <v>55.959301000000004</v>
      </c>
      <c r="K2601" s="31">
        <v>16.9825993</v>
      </c>
      <c r="L2601" s="31"/>
      <c r="M2601" s="31" t="s">
        <v>854</v>
      </c>
      <c r="N2601" s="6" t="s">
        <v>856</v>
      </c>
    </row>
    <row r="2602" spans="1:14" ht="15" customHeight="1" x14ac:dyDescent="0.2">
      <c r="A2602" s="31">
        <v>0.8166067447049431</v>
      </c>
      <c r="B2602" s="31"/>
      <c r="C2602" s="2" t="s">
        <v>855</v>
      </c>
      <c r="D2602" s="31">
        <f t="shared" si="88"/>
        <v>0.16005492196216886</v>
      </c>
      <c r="F2602" s="2" t="s">
        <v>822</v>
      </c>
      <c r="G2602" s="23" t="s">
        <v>902</v>
      </c>
      <c r="H2602" s="2" t="s">
        <v>822</v>
      </c>
      <c r="J2602" s="31">
        <v>36.718601200000002</v>
      </c>
      <c r="K2602" s="31">
        <v>-1.0516599</v>
      </c>
      <c r="L2602" s="31"/>
      <c r="M2602" s="31" t="s">
        <v>854</v>
      </c>
      <c r="N2602" s="6" t="s">
        <v>856</v>
      </c>
    </row>
    <row r="2603" spans="1:14" ht="15" customHeight="1" x14ac:dyDescent="0.2">
      <c r="A2603" s="31">
        <v>0.81624061897182776</v>
      </c>
      <c r="B2603" s="31"/>
      <c r="C2603" s="2" t="s">
        <v>855</v>
      </c>
      <c r="D2603" s="31">
        <f t="shared" si="88"/>
        <v>0.15998316131847826</v>
      </c>
      <c r="F2603" s="2" t="s">
        <v>822</v>
      </c>
      <c r="G2603" s="23" t="s">
        <v>902</v>
      </c>
      <c r="H2603" s="2" t="s">
        <v>822</v>
      </c>
      <c r="J2603" s="31">
        <v>26.708000200000001</v>
      </c>
      <c r="K2603" s="31">
        <v>-39.220001199999999</v>
      </c>
      <c r="L2603" s="31"/>
      <c r="M2603" s="31" t="s">
        <v>854</v>
      </c>
      <c r="N2603" s="6" t="s">
        <v>856</v>
      </c>
    </row>
    <row r="2604" spans="1:14" ht="15" customHeight="1" x14ac:dyDescent="0.2">
      <c r="A2604" s="31">
        <v>0.81616168604213812</v>
      </c>
      <c r="B2604" s="31"/>
      <c r="C2604" s="2" t="s">
        <v>855</v>
      </c>
      <c r="D2604" s="31">
        <f t="shared" si="88"/>
        <v>0.15996769046425907</v>
      </c>
      <c r="F2604" s="2" t="s">
        <v>822</v>
      </c>
      <c r="G2604" s="23" t="s">
        <v>902</v>
      </c>
      <c r="H2604" s="2" t="s">
        <v>822</v>
      </c>
      <c r="J2604" s="31">
        <v>44.257900200000002</v>
      </c>
      <c r="K2604" s="31">
        <v>-9.2423096000000005</v>
      </c>
      <c r="L2604" s="31"/>
      <c r="M2604" s="31" t="s">
        <v>854</v>
      </c>
      <c r="N2604" s="6" t="s">
        <v>856</v>
      </c>
    </row>
    <row r="2605" spans="1:14" ht="15" customHeight="1" x14ac:dyDescent="0.2">
      <c r="A2605" s="31">
        <v>0.81615063601537552</v>
      </c>
      <c r="B2605" s="31"/>
      <c r="C2605" s="2" t="s">
        <v>855</v>
      </c>
      <c r="D2605" s="31">
        <f t="shared" si="88"/>
        <v>0.15996552465901362</v>
      </c>
      <c r="F2605" s="2" t="s">
        <v>822</v>
      </c>
      <c r="G2605" s="23" t="s">
        <v>902</v>
      </c>
      <c r="H2605" s="2" t="s">
        <v>822</v>
      </c>
      <c r="J2605" s="31">
        <v>37.452499400000001</v>
      </c>
      <c r="K2605" s="31">
        <v>-13.796299899999999</v>
      </c>
      <c r="L2605" s="31"/>
      <c r="M2605" s="31" t="s">
        <v>854</v>
      </c>
      <c r="N2605" s="6" t="s">
        <v>856</v>
      </c>
    </row>
    <row r="2606" spans="1:14" ht="15" customHeight="1" x14ac:dyDescent="0.2">
      <c r="A2606" s="31">
        <v>0.8160895647995402</v>
      </c>
      <c r="B2606" s="31"/>
      <c r="C2606" s="2" t="s">
        <v>855</v>
      </c>
      <c r="D2606" s="31">
        <f t="shared" si="88"/>
        <v>0.15995355470070988</v>
      </c>
      <c r="F2606" s="2" t="s">
        <v>822</v>
      </c>
      <c r="G2606" s="23" t="s">
        <v>902</v>
      </c>
      <c r="H2606" s="2" t="s">
        <v>822</v>
      </c>
      <c r="J2606" s="31">
        <v>41.897201500000001</v>
      </c>
      <c r="K2606" s="31">
        <v>-8.8162298000000003</v>
      </c>
      <c r="L2606" s="31"/>
      <c r="M2606" s="31" t="s">
        <v>854</v>
      </c>
      <c r="N2606" s="6" t="s">
        <v>856</v>
      </c>
    </row>
    <row r="2607" spans="1:14" ht="15" customHeight="1" x14ac:dyDescent="0.2">
      <c r="A2607" s="31">
        <v>0.81597754386919219</v>
      </c>
      <c r="B2607" s="31"/>
      <c r="C2607" s="2" t="s">
        <v>855</v>
      </c>
      <c r="D2607" s="31">
        <f t="shared" si="88"/>
        <v>0.15993159859836167</v>
      </c>
      <c r="F2607" s="2" t="s">
        <v>822</v>
      </c>
      <c r="G2607" s="23" t="s">
        <v>902</v>
      </c>
      <c r="H2607" s="2" t="s">
        <v>822</v>
      </c>
      <c r="J2607" s="31">
        <v>36.038898500000002</v>
      </c>
      <c r="K2607" s="31">
        <v>-38.550998700000001</v>
      </c>
      <c r="L2607" s="31"/>
      <c r="M2607" s="31" t="s">
        <v>854</v>
      </c>
      <c r="N2607" s="6" t="s">
        <v>856</v>
      </c>
    </row>
    <row r="2608" spans="1:14" ht="15" customHeight="1" x14ac:dyDescent="0.2">
      <c r="A2608" s="31">
        <v>0.81579328040249688</v>
      </c>
      <c r="B2608" s="31"/>
      <c r="C2608" s="2" t="s">
        <v>855</v>
      </c>
      <c r="D2608" s="31">
        <f t="shared" si="88"/>
        <v>0.15989548295888939</v>
      </c>
      <c r="F2608" s="2" t="s">
        <v>822</v>
      </c>
      <c r="G2608" s="23" t="s">
        <v>902</v>
      </c>
      <c r="H2608" s="2" t="s">
        <v>822</v>
      </c>
      <c r="J2608" s="31">
        <v>35.391998299999997</v>
      </c>
      <c r="K2608" s="31">
        <v>-39.220001199999999</v>
      </c>
      <c r="L2608" s="31"/>
      <c r="M2608" s="31" t="s">
        <v>854</v>
      </c>
      <c r="N2608" s="6" t="s">
        <v>856</v>
      </c>
    </row>
    <row r="2609" spans="1:14" ht="15" customHeight="1" x14ac:dyDescent="0.2">
      <c r="A2609" s="31">
        <v>0.81568938164923854</v>
      </c>
      <c r="B2609" s="31"/>
      <c r="C2609" s="2" t="s">
        <v>855</v>
      </c>
      <c r="D2609" s="31">
        <f t="shared" si="88"/>
        <v>0.15987511880325075</v>
      </c>
      <c r="F2609" s="2" t="s">
        <v>822</v>
      </c>
      <c r="G2609" s="23" t="s">
        <v>902</v>
      </c>
      <c r="H2609" s="2" t="s">
        <v>822</v>
      </c>
      <c r="J2609" s="31">
        <v>54.133300800000001</v>
      </c>
      <c r="K2609" s="31">
        <v>-5.0343900000000001</v>
      </c>
      <c r="L2609" s="31"/>
      <c r="M2609" s="31" t="s">
        <v>854</v>
      </c>
      <c r="N2609" s="6" t="s">
        <v>856</v>
      </c>
    </row>
    <row r="2610" spans="1:14" ht="15" customHeight="1" x14ac:dyDescent="0.2">
      <c r="A2610" s="31">
        <v>0.81539252913371052</v>
      </c>
      <c r="B2610" s="31"/>
      <c r="C2610" s="2" t="s">
        <v>855</v>
      </c>
      <c r="D2610" s="31">
        <f t="shared" si="88"/>
        <v>0.15981693571020728</v>
      </c>
      <c r="F2610" s="2" t="s">
        <v>822</v>
      </c>
      <c r="G2610" s="23" t="s">
        <v>902</v>
      </c>
      <c r="H2610" s="2" t="s">
        <v>822</v>
      </c>
      <c r="J2610" s="31">
        <v>37.032901799999998</v>
      </c>
      <c r="K2610" s="31">
        <v>-32.405101799999997</v>
      </c>
      <c r="L2610" s="31"/>
      <c r="M2610" s="31" t="s">
        <v>854</v>
      </c>
      <c r="N2610" s="6" t="s">
        <v>856</v>
      </c>
    </row>
    <row r="2611" spans="1:14" ht="15" customHeight="1" x14ac:dyDescent="0.2">
      <c r="A2611" s="31">
        <v>0.81538841685777219</v>
      </c>
      <c r="B2611" s="31"/>
      <c r="C2611" s="2" t="s">
        <v>855</v>
      </c>
      <c r="D2611" s="31">
        <f t="shared" si="88"/>
        <v>0.15981612970412334</v>
      </c>
      <c r="F2611" s="2" t="s">
        <v>822</v>
      </c>
      <c r="G2611" s="23" t="s">
        <v>902</v>
      </c>
      <c r="H2611" s="2" t="s">
        <v>822</v>
      </c>
      <c r="J2611" s="31">
        <v>44.987999000000002</v>
      </c>
      <c r="K2611" s="31">
        <v>13.4596996</v>
      </c>
      <c r="L2611" s="31"/>
      <c r="M2611" s="31" t="s">
        <v>854</v>
      </c>
      <c r="N2611" s="6" t="s">
        <v>856</v>
      </c>
    </row>
    <row r="2612" spans="1:14" ht="15" customHeight="1" x14ac:dyDescent="0.2">
      <c r="A2612" s="31">
        <v>0.81516951767946189</v>
      </c>
      <c r="B2612" s="31"/>
      <c r="C2612" s="2" t="s">
        <v>855</v>
      </c>
      <c r="D2612" s="31">
        <f t="shared" si="88"/>
        <v>0.15977322546517453</v>
      </c>
      <c r="F2612" s="2" t="s">
        <v>822</v>
      </c>
      <c r="G2612" s="23" t="s">
        <v>902</v>
      </c>
      <c r="H2612" s="2" t="s">
        <v>822</v>
      </c>
      <c r="J2612" s="31">
        <v>54.548599199999998</v>
      </c>
      <c r="K2612" s="31">
        <v>15.9389</v>
      </c>
      <c r="L2612" s="31"/>
      <c r="M2612" s="31" t="s">
        <v>854</v>
      </c>
      <c r="N2612" s="6" t="s">
        <v>856</v>
      </c>
    </row>
    <row r="2613" spans="1:14" ht="15" customHeight="1" x14ac:dyDescent="0.2">
      <c r="A2613" s="31">
        <v>0.81491040499711653</v>
      </c>
      <c r="B2613" s="31"/>
      <c r="C2613" s="2" t="s">
        <v>855</v>
      </c>
      <c r="D2613" s="31">
        <f t="shared" si="88"/>
        <v>0.15972243937943484</v>
      </c>
      <c r="F2613" s="2" t="s">
        <v>822</v>
      </c>
      <c r="G2613" s="23" t="s">
        <v>902</v>
      </c>
      <c r="H2613" s="2" t="s">
        <v>822</v>
      </c>
      <c r="J2613" s="31">
        <v>42.177200300000003</v>
      </c>
      <c r="K2613" s="31">
        <v>-41.266601600000001</v>
      </c>
      <c r="L2613" s="31"/>
      <c r="M2613" s="31" t="s">
        <v>854</v>
      </c>
      <c r="N2613" s="6" t="s">
        <v>856</v>
      </c>
    </row>
    <row r="2614" spans="1:14" ht="15" customHeight="1" x14ac:dyDescent="0.2">
      <c r="A2614" s="31">
        <v>0.81476101050521088</v>
      </c>
      <c r="B2614" s="31"/>
      <c r="C2614" s="2" t="s">
        <v>855</v>
      </c>
      <c r="D2614" s="31">
        <f t="shared" si="88"/>
        <v>0.15969315805902135</v>
      </c>
      <c r="F2614" s="2" t="s">
        <v>822</v>
      </c>
      <c r="G2614" s="23" t="s">
        <v>902</v>
      </c>
      <c r="H2614" s="2" t="s">
        <v>822</v>
      </c>
      <c r="J2614" s="31">
        <v>25.447799700000001</v>
      </c>
      <c r="K2614" s="31">
        <v>-14.8028002</v>
      </c>
      <c r="L2614" s="31"/>
      <c r="M2614" s="31" t="s">
        <v>854</v>
      </c>
      <c r="N2614" s="6" t="s">
        <v>856</v>
      </c>
    </row>
    <row r="2615" spans="1:14" ht="15" customHeight="1" x14ac:dyDescent="0.2">
      <c r="A2615" s="31">
        <v>0.8147202401564867</v>
      </c>
      <c r="B2615" s="31"/>
      <c r="C2615" s="2" t="s">
        <v>855</v>
      </c>
      <c r="D2615" s="31">
        <f t="shared" si="88"/>
        <v>0.1596851670706714</v>
      </c>
      <c r="F2615" s="2" t="s">
        <v>822</v>
      </c>
      <c r="G2615" s="23" t="s">
        <v>902</v>
      </c>
      <c r="H2615" s="2" t="s">
        <v>822</v>
      </c>
      <c r="J2615" s="31">
        <v>57.603298199999998</v>
      </c>
      <c r="K2615" s="31">
        <v>21.277700400000001</v>
      </c>
      <c r="L2615" s="31"/>
      <c r="M2615" s="31" t="s">
        <v>854</v>
      </c>
      <c r="N2615" s="6" t="s">
        <v>856</v>
      </c>
    </row>
    <row r="2616" spans="1:14" ht="15" customHeight="1" x14ac:dyDescent="0.2">
      <c r="A2616" s="31">
        <v>0.81468858680009593</v>
      </c>
      <c r="B2616" s="31"/>
      <c r="C2616" s="2" t="s">
        <v>855</v>
      </c>
      <c r="D2616" s="31">
        <f t="shared" si="88"/>
        <v>0.15967896301281881</v>
      </c>
      <c r="F2616" s="2" t="s">
        <v>822</v>
      </c>
      <c r="G2616" s="23" t="s">
        <v>902</v>
      </c>
      <c r="H2616" s="2" t="s">
        <v>822</v>
      </c>
      <c r="J2616" s="31">
        <v>33.649799299999998</v>
      </c>
      <c r="K2616" s="31">
        <v>32.062099500000002</v>
      </c>
      <c r="L2616" s="31"/>
      <c r="M2616" s="31" t="s">
        <v>854</v>
      </c>
      <c r="N2616" s="6" t="s">
        <v>856</v>
      </c>
    </row>
    <row r="2617" spans="1:14" ht="15" customHeight="1" x14ac:dyDescent="0.2">
      <c r="A2617" s="31">
        <v>0.81461205291440475</v>
      </c>
      <c r="B2617" s="31"/>
      <c r="C2617" s="2" t="s">
        <v>855</v>
      </c>
      <c r="D2617" s="31">
        <f t="shared" si="88"/>
        <v>0.15966396237122335</v>
      </c>
      <c r="F2617" s="2" t="s">
        <v>822</v>
      </c>
      <c r="G2617" s="23" t="s">
        <v>902</v>
      </c>
      <c r="H2617" s="2" t="s">
        <v>822</v>
      </c>
      <c r="J2617" s="31">
        <v>45.636200000000002</v>
      </c>
      <c r="K2617" s="31">
        <v>-16.5851994</v>
      </c>
      <c r="L2617" s="31"/>
      <c r="M2617" s="31" t="s">
        <v>854</v>
      </c>
      <c r="N2617" s="6" t="s">
        <v>856</v>
      </c>
    </row>
    <row r="2618" spans="1:14" ht="15" customHeight="1" x14ac:dyDescent="0.2">
      <c r="A2618" s="31">
        <v>0.81459351631125976</v>
      </c>
      <c r="B2618" s="31"/>
      <c r="C2618" s="2" t="s">
        <v>855</v>
      </c>
      <c r="D2618" s="31">
        <f t="shared" si="88"/>
        <v>0.15966032919700693</v>
      </c>
      <c r="F2618" s="2" t="s">
        <v>822</v>
      </c>
      <c r="G2618" s="23" t="s">
        <v>902</v>
      </c>
      <c r="H2618" s="2" t="s">
        <v>822</v>
      </c>
      <c r="J2618" s="31">
        <v>37.217300399999999</v>
      </c>
      <c r="K2618" s="31">
        <v>15.6585999</v>
      </c>
      <c r="L2618" s="31"/>
      <c r="M2618" s="31" t="s">
        <v>854</v>
      </c>
      <c r="N2618" s="6" t="s">
        <v>856</v>
      </c>
    </row>
    <row r="2619" spans="1:14" ht="15" customHeight="1" x14ac:dyDescent="0.2">
      <c r="A2619" s="22">
        <v>0.15964519768342381</v>
      </c>
      <c r="B2619" s="22"/>
      <c r="C2619" s="2" t="s">
        <v>891</v>
      </c>
      <c r="D2619" s="2">
        <f>A2619</f>
        <v>0.15964519768342381</v>
      </c>
      <c r="F2619" s="2">
        <v>2023</v>
      </c>
      <c r="G2619" s="23" t="s">
        <v>902</v>
      </c>
      <c r="H2619" s="2" t="s">
        <v>771</v>
      </c>
      <c r="I2619" s="23" t="s">
        <v>189</v>
      </c>
      <c r="J2619" s="23">
        <v>58077391</v>
      </c>
      <c r="K2619" s="23">
        <v>11813524</v>
      </c>
      <c r="L2619" s="23" t="s">
        <v>819</v>
      </c>
      <c r="M2619" s="2" t="s">
        <v>825</v>
      </c>
      <c r="N2619" s="6" t="s">
        <v>828</v>
      </c>
    </row>
    <row r="2620" spans="1:14" ht="15" customHeight="1" x14ac:dyDescent="0.2">
      <c r="A2620" s="31">
        <v>0.81437513813804474</v>
      </c>
      <c r="B2620" s="31"/>
      <c r="C2620" s="2" t="s">
        <v>855</v>
      </c>
      <c r="D2620" s="31">
        <f t="shared" ref="D2620:D2651" si="89" xml:space="preserve"> A2620 * 0.196</f>
        <v>0.15961752707505678</v>
      </c>
      <c r="F2620" s="2" t="s">
        <v>822</v>
      </c>
      <c r="G2620" s="23" t="s">
        <v>902</v>
      </c>
      <c r="H2620" s="2" t="s">
        <v>822</v>
      </c>
      <c r="J2620" s="31">
        <v>41.430999800000002</v>
      </c>
      <c r="K2620" s="31">
        <v>-37.440399200000002</v>
      </c>
      <c r="L2620" s="31"/>
      <c r="M2620" s="31" t="s">
        <v>854</v>
      </c>
      <c r="N2620" s="6" t="s">
        <v>856</v>
      </c>
    </row>
    <row r="2621" spans="1:14" ht="15" customHeight="1" x14ac:dyDescent="0.2">
      <c r="A2621" s="31">
        <v>0.8143705831595287</v>
      </c>
      <c r="B2621" s="31"/>
      <c r="C2621" s="2" t="s">
        <v>855</v>
      </c>
      <c r="D2621" s="31">
        <f t="shared" si="89"/>
        <v>0.15961663429926765</v>
      </c>
      <c r="F2621" s="2" t="s">
        <v>822</v>
      </c>
      <c r="G2621" s="23" t="s">
        <v>902</v>
      </c>
      <c r="H2621" s="2" t="s">
        <v>822</v>
      </c>
      <c r="J2621" s="31">
        <v>37.110199000000001</v>
      </c>
      <c r="K2621" s="31">
        <v>17.9892006</v>
      </c>
      <c r="L2621" s="31"/>
      <c r="M2621" s="31" t="s">
        <v>854</v>
      </c>
      <c r="N2621" s="6" t="s">
        <v>856</v>
      </c>
    </row>
    <row r="2622" spans="1:14" ht="15" customHeight="1" x14ac:dyDescent="0.2">
      <c r="A2622" s="31">
        <v>0.81403737309099833</v>
      </c>
      <c r="B2622" s="31"/>
      <c r="C2622" s="2" t="s">
        <v>855</v>
      </c>
      <c r="D2622" s="31">
        <f t="shared" si="89"/>
        <v>0.15955132512583567</v>
      </c>
      <c r="F2622" s="2" t="s">
        <v>822</v>
      </c>
      <c r="G2622" s="23" t="s">
        <v>902</v>
      </c>
      <c r="H2622" s="2" t="s">
        <v>822</v>
      </c>
      <c r="J2622" s="31">
        <v>43.401199300000002</v>
      </c>
      <c r="K2622" s="31">
        <v>-32.534198799999999</v>
      </c>
      <c r="L2622" s="31"/>
      <c r="M2622" s="31" t="s">
        <v>854</v>
      </c>
      <c r="N2622" s="6" t="s">
        <v>856</v>
      </c>
    </row>
    <row r="2623" spans="1:14" ht="15" customHeight="1" x14ac:dyDescent="0.2">
      <c r="A2623" s="31">
        <v>0.81391704448075675</v>
      </c>
      <c r="B2623" s="31"/>
      <c r="C2623" s="2" t="s">
        <v>855</v>
      </c>
      <c r="D2623" s="31">
        <f t="shared" si="89"/>
        <v>0.15952774071822834</v>
      </c>
      <c r="F2623" s="2" t="s">
        <v>822</v>
      </c>
      <c r="G2623" s="23" t="s">
        <v>902</v>
      </c>
      <c r="H2623" s="2" t="s">
        <v>822</v>
      </c>
      <c r="J2623" s="31">
        <v>42.072299999999998</v>
      </c>
      <c r="K2623" s="31">
        <v>-13.8362999</v>
      </c>
      <c r="L2623" s="31"/>
      <c r="M2623" s="31" t="s">
        <v>854</v>
      </c>
      <c r="N2623" s="6" t="s">
        <v>856</v>
      </c>
    </row>
    <row r="2624" spans="1:14" ht="15" customHeight="1" x14ac:dyDescent="0.2">
      <c r="A2624" s="31">
        <v>0.81376626802261209</v>
      </c>
      <c r="B2624" s="31"/>
      <c r="C2624" s="2" t="s">
        <v>855</v>
      </c>
      <c r="D2624" s="31">
        <f t="shared" si="89"/>
        <v>0.15949818853243197</v>
      </c>
      <c r="F2624" s="2" t="s">
        <v>822</v>
      </c>
      <c r="G2624" s="23" t="s">
        <v>902</v>
      </c>
      <c r="H2624" s="2" t="s">
        <v>822</v>
      </c>
      <c r="J2624" s="31">
        <v>34.758098599999997</v>
      </c>
      <c r="K2624" s="31">
        <v>-13.0494003</v>
      </c>
      <c r="L2624" s="31"/>
      <c r="M2624" s="31" t="s">
        <v>854</v>
      </c>
      <c r="N2624" s="6" t="s">
        <v>856</v>
      </c>
    </row>
    <row r="2625" spans="1:14" ht="15" customHeight="1" x14ac:dyDescent="0.2">
      <c r="A2625" s="31">
        <v>0.81357879805244537</v>
      </c>
      <c r="B2625" s="31"/>
      <c r="C2625" s="2" t="s">
        <v>855</v>
      </c>
      <c r="D2625" s="31">
        <f t="shared" si="89"/>
        <v>0.15946144441827931</v>
      </c>
      <c r="F2625" s="2" t="s">
        <v>822</v>
      </c>
      <c r="G2625" s="23" t="s">
        <v>902</v>
      </c>
      <c r="H2625" s="2" t="s">
        <v>822</v>
      </c>
      <c r="J2625" s="31">
        <v>36.331001299999997</v>
      </c>
      <c r="K2625" s="31">
        <v>-1.37026</v>
      </c>
      <c r="L2625" s="31"/>
      <c r="M2625" s="31" t="s">
        <v>854</v>
      </c>
      <c r="N2625" s="6" t="s">
        <v>856</v>
      </c>
    </row>
    <row r="2626" spans="1:14" ht="15" customHeight="1" x14ac:dyDescent="0.2">
      <c r="A2626" s="31">
        <v>0.81354827492656279</v>
      </c>
      <c r="B2626" s="31"/>
      <c r="C2626" s="2" t="s">
        <v>855</v>
      </c>
      <c r="D2626" s="31">
        <f t="shared" si="89"/>
        <v>0.1594554618856063</v>
      </c>
      <c r="F2626" s="2" t="s">
        <v>822</v>
      </c>
      <c r="G2626" s="23" t="s">
        <v>902</v>
      </c>
      <c r="H2626" s="2" t="s">
        <v>822</v>
      </c>
      <c r="J2626" s="31">
        <v>46.082298299999998</v>
      </c>
      <c r="K2626" s="31">
        <v>-34.544101699999999</v>
      </c>
      <c r="L2626" s="31"/>
      <c r="M2626" s="31" t="s">
        <v>854</v>
      </c>
      <c r="N2626" s="6" t="s">
        <v>856</v>
      </c>
    </row>
    <row r="2627" spans="1:14" ht="15" customHeight="1" x14ac:dyDescent="0.2">
      <c r="A2627" s="31">
        <v>0.81350915524362066</v>
      </c>
      <c r="B2627" s="31"/>
      <c r="C2627" s="2" t="s">
        <v>855</v>
      </c>
      <c r="D2627" s="31">
        <f t="shared" si="89"/>
        <v>0.15944779442774965</v>
      </c>
      <c r="F2627" s="2" t="s">
        <v>822</v>
      </c>
      <c r="G2627" s="23" t="s">
        <v>902</v>
      </c>
      <c r="H2627" s="2" t="s">
        <v>822</v>
      </c>
      <c r="J2627" s="31">
        <v>49.900798799999997</v>
      </c>
      <c r="K2627" s="31">
        <v>-6.5337100000000001</v>
      </c>
      <c r="L2627" s="31"/>
      <c r="M2627" s="31" t="s">
        <v>854</v>
      </c>
      <c r="N2627" s="6" t="s">
        <v>856</v>
      </c>
    </row>
    <row r="2628" spans="1:14" ht="15" customHeight="1" x14ac:dyDescent="0.2">
      <c r="A2628" s="31">
        <v>0.81327003860883929</v>
      </c>
      <c r="B2628" s="31"/>
      <c r="C2628" s="2" t="s">
        <v>855</v>
      </c>
      <c r="D2628" s="31">
        <f t="shared" si="89"/>
        <v>0.15940092756733251</v>
      </c>
      <c r="F2628" s="2" t="s">
        <v>822</v>
      </c>
      <c r="G2628" s="23" t="s">
        <v>902</v>
      </c>
      <c r="H2628" s="2" t="s">
        <v>822</v>
      </c>
      <c r="J2628" s="31">
        <v>44.087799099999998</v>
      </c>
      <c r="K2628" s="31">
        <v>-28.671699499999999</v>
      </c>
      <c r="L2628" s="31"/>
      <c r="M2628" s="31" t="s">
        <v>854</v>
      </c>
      <c r="N2628" s="6" t="s">
        <v>856</v>
      </c>
    </row>
    <row r="2629" spans="1:14" ht="15" customHeight="1" x14ac:dyDescent="0.2">
      <c r="A2629" s="31">
        <v>0.81296680515267306</v>
      </c>
      <c r="B2629" s="31"/>
      <c r="C2629" s="2" t="s">
        <v>855</v>
      </c>
      <c r="D2629" s="31">
        <f t="shared" si="89"/>
        <v>0.15934149380992393</v>
      </c>
      <c r="F2629" s="2" t="s">
        <v>822</v>
      </c>
      <c r="G2629" s="23" t="s">
        <v>902</v>
      </c>
      <c r="H2629" s="2" t="s">
        <v>822</v>
      </c>
      <c r="J2629" s="31">
        <v>54.540298499999999</v>
      </c>
      <c r="K2629" s="31">
        <v>8.1784800999999998</v>
      </c>
      <c r="L2629" s="31"/>
      <c r="M2629" s="31" t="s">
        <v>854</v>
      </c>
      <c r="N2629" s="6" t="s">
        <v>856</v>
      </c>
    </row>
    <row r="2630" spans="1:14" ht="15" customHeight="1" x14ac:dyDescent="0.2">
      <c r="A2630" s="31">
        <v>0.81287525660846149</v>
      </c>
      <c r="B2630" s="31"/>
      <c r="C2630" s="2" t="s">
        <v>855</v>
      </c>
      <c r="D2630" s="31">
        <f t="shared" si="89"/>
        <v>0.15932355029525846</v>
      </c>
      <c r="F2630" s="2" t="s">
        <v>822</v>
      </c>
      <c r="G2630" s="23" t="s">
        <v>902</v>
      </c>
      <c r="H2630" s="2" t="s">
        <v>822</v>
      </c>
      <c r="J2630" s="31">
        <v>44.743999500000001</v>
      </c>
      <c r="K2630" s="31">
        <v>-32.540000900000003</v>
      </c>
      <c r="L2630" s="31"/>
      <c r="M2630" s="31" t="s">
        <v>854</v>
      </c>
      <c r="N2630" s="6" t="s">
        <v>856</v>
      </c>
    </row>
    <row r="2631" spans="1:14" ht="15" customHeight="1" x14ac:dyDescent="0.2">
      <c r="A2631" s="31">
        <v>0.81285581503351845</v>
      </c>
      <c r="B2631" s="31"/>
      <c r="C2631" s="2" t="s">
        <v>855</v>
      </c>
      <c r="D2631" s="31">
        <f t="shared" si="89"/>
        <v>0.15931973974656963</v>
      </c>
      <c r="F2631" s="2" t="s">
        <v>822</v>
      </c>
      <c r="G2631" s="23" t="s">
        <v>902</v>
      </c>
      <c r="H2631" s="2" t="s">
        <v>822</v>
      </c>
      <c r="J2631" s="31">
        <v>38.568698900000001</v>
      </c>
      <c r="K2631" s="31">
        <v>-40.8445015</v>
      </c>
      <c r="L2631" s="31"/>
      <c r="M2631" s="31" t="s">
        <v>854</v>
      </c>
      <c r="N2631" s="6" t="s">
        <v>856</v>
      </c>
    </row>
    <row r="2632" spans="1:14" ht="15" customHeight="1" x14ac:dyDescent="0.2">
      <c r="A2632" s="31">
        <v>0.81284723843971707</v>
      </c>
      <c r="B2632" s="31"/>
      <c r="C2632" s="2" t="s">
        <v>855</v>
      </c>
      <c r="D2632" s="31">
        <f t="shared" si="89"/>
        <v>0.15931805873418456</v>
      </c>
      <c r="F2632" s="2" t="s">
        <v>822</v>
      </c>
      <c r="G2632" s="23" t="s">
        <v>902</v>
      </c>
      <c r="H2632" s="2" t="s">
        <v>822</v>
      </c>
      <c r="J2632" s="31">
        <v>26.040000899999999</v>
      </c>
      <c r="K2632" s="31">
        <v>-22.520000499999998</v>
      </c>
      <c r="L2632" s="31"/>
      <c r="M2632" s="31" t="s">
        <v>854</v>
      </c>
      <c r="N2632" s="6" t="s">
        <v>856</v>
      </c>
    </row>
    <row r="2633" spans="1:14" ht="15" customHeight="1" x14ac:dyDescent="0.2">
      <c r="A2633" s="31">
        <v>0.81284070418292631</v>
      </c>
      <c r="B2633" s="31"/>
      <c r="C2633" s="2" t="s">
        <v>855</v>
      </c>
      <c r="D2633" s="31">
        <f t="shared" si="89"/>
        <v>0.15931677801985356</v>
      </c>
      <c r="F2633" s="2" t="s">
        <v>822</v>
      </c>
      <c r="G2633" s="23" t="s">
        <v>902</v>
      </c>
      <c r="H2633" s="2" t="s">
        <v>822</v>
      </c>
      <c r="J2633" s="31">
        <v>37.295799299999999</v>
      </c>
      <c r="K2633" s="31">
        <v>-42.5066986</v>
      </c>
      <c r="L2633" s="31"/>
      <c r="M2633" s="31" t="s">
        <v>854</v>
      </c>
      <c r="N2633" s="6" t="s">
        <v>856</v>
      </c>
    </row>
    <row r="2634" spans="1:14" ht="15" customHeight="1" x14ac:dyDescent="0.2">
      <c r="A2634" s="31">
        <v>0.81277076417525329</v>
      </c>
      <c r="B2634" s="31"/>
      <c r="C2634" s="2" t="s">
        <v>855</v>
      </c>
      <c r="D2634" s="31">
        <f t="shared" si="89"/>
        <v>0.15930306977834965</v>
      </c>
      <c r="F2634" s="2" t="s">
        <v>822</v>
      </c>
      <c r="G2634" s="23" t="s">
        <v>902</v>
      </c>
      <c r="H2634" s="2" t="s">
        <v>822</v>
      </c>
      <c r="J2634" s="31">
        <v>30.7159996</v>
      </c>
      <c r="K2634" s="31">
        <v>-25.860000599999999</v>
      </c>
      <c r="L2634" s="31"/>
      <c r="M2634" s="31" t="s">
        <v>854</v>
      </c>
      <c r="N2634" s="6" t="s">
        <v>856</v>
      </c>
    </row>
    <row r="2635" spans="1:14" ht="15" customHeight="1" x14ac:dyDescent="0.2">
      <c r="A2635" s="31">
        <v>0.81263601687841747</v>
      </c>
      <c r="B2635" s="31"/>
      <c r="C2635" s="2" t="s">
        <v>855</v>
      </c>
      <c r="D2635" s="31">
        <f t="shared" si="89"/>
        <v>0.15927665930816984</v>
      </c>
      <c r="F2635" s="2" t="s">
        <v>822</v>
      </c>
      <c r="G2635" s="23" t="s">
        <v>902</v>
      </c>
      <c r="H2635" s="2" t="s">
        <v>822</v>
      </c>
      <c r="J2635" s="31">
        <v>26.040000899999999</v>
      </c>
      <c r="K2635" s="31">
        <v>-41.223998999999999</v>
      </c>
      <c r="L2635" s="31"/>
      <c r="M2635" s="31" t="s">
        <v>854</v>
      </c>
      <c r="N2635" s="6" t="s">
        <v>856</v>
      </c>
    </row>
    <row r="2636" spans="1:14" ht="15" customHeight="1" x14ac:dyDescent="0.2">
      <c r="A2636" s="31">
        <v>0.81222366381758504</v>
      </c>
      <c r="B2636" s="31"/>
      <c r="C2636" s="2" t="s">
        <v>855</v>
      </c>
      <c r="D2636" s="31">
        <f t="shared" si="89"/>
        <v>0.15919583810824667</v>
      </c>
      <c r="F2636" s="2" t="s">
        <v>822</v>
      </c>
      <c r="G2636" s="23" t="s">
        <v>902</v>
      </c>
      <c r="H2636" s="2" t="s">
        <v>822</v>
      </c>
      <c r="J2636" s="31">
        <v>49.6161995</v>
      </c>
      <c r="K2636" s="31">
        <v>-1.8308001</v>
      </c>
      <c r="L2636" s="31"/>
      <c r="M2636" s="31" t="s">
        <v>854</v>
      </c>
      <c r="N2636" s="6" t="s">
        <v>856</v>
      </c>
    </row>
    <row r="2637" spans="1:14" ht="15" customHeight="1" x14ac:dyDescent="0.2">
      <c r="A2637" s="31">
        <v>0.81221685826997725</v>
      </c>
      <c r="B2637" s="31"/>
      <c r="C2637" s="2" t="s">
        <v>855</v>
      </c>
      <c r="D2637" s="31">
        <f t="shared" si="89"/>
        <v>0.15919450422091555</v>
      </c>
      <c r="F2637" s="2" t="s">
        <v>822</v>
      </c>
      <c r="G2637" s="23" t="s">
        <v>902</v>
      </c>
      <c r="H2637" s="2" t="s">
        <v>822</v>
      </c>
      <c r="J2637" s="31">
        <v>41.430900600000001</v>
      </c>
      <c r="K2637" s="31">
        <v>-35.869998899999999</v>
      </c>
      <c r="L2637" s="31"/>
      <c r="M2637" s="31" t="s">
        <v>854</v>
      </c>
      <c r="N2637" s="6" t="s">
        <v>856</v>
      </c>
    </row>
    <row r="2638" spans="1:14" ht="15" customHeight="1" x14ac:dyDescent="0.2">
      <c r="A2638" s="31">
        <v>0.81213266594206901</v>
      </c>
      <c r="B2638" s="31"/>
      <c r="C2638" s="2" t="s">
        <v>855</v>
      </c>
      <c r="D2638" s="31">
        <f t="shared" si="89"/>
        <v>0.15917800252464553</v>
      </c>
      <c r="F2638" s="2" t="s">
        <v>822</v>
      </c>
      <c r="G2638" s="23" t="s">
        <v>902</v>
      </c>
      <c r="H2638" s="2" t="s">
        <v>822</v>
      </c>
      <c r="J2638" s="31">
        <v>43.132499699999997</v>
      </c>
      <c r="K2638" s="31">
        <v>6.9641500000000001</v>
      </c>
      <c r="L2638" s="31"/>
      <c r="M2638" s="31" t="s">
        <v>854</v>
      </c>
      <c r="N2638" s="6" t="s">
        <v>856</v>
      </c>
    </row>
    <row r="2639" spans="1:14" ht="15" customHeight="1" x14ac:dyDescent="0.2">
      <c r="A2639" s="31">
        <v>0.81205693019246139</v>
      </c>
      <c r="B2639" s="31"/>
      <c r="C2639" s="2" t="s">
        <v>855</v>
      </c>
      <c r="D2639" s="31">
        <f t="shared" si="89"/>
        <v>0.15916315831772243</v>
      </c>
      <c r="F2639" s="2" t="s">
        <v>822</v>
      </c>
      <c r="G2639" s="23" t="s">
        <v>902</v>
      </c>
      <c r="H2639" s="2" t="s">
        <v>822</v>
      </c>
      <c r="J2639" s="31">
        <v>41.403999300000002</v>
      </c>
      <c r="K2639" s="31">
        <v>-34.543998700000003</v>
      </c>
      <c r="L2639" s="31"/>
      <c r="M2639" s="31" t="s">
        <v>854</v>
      </c>
      <c r="N2639" s="6" t="s">
        <v>856</v>
      </c>
    </row>
    <row r="2640" spans="1:14" ht="15" customHeight="1" x14ac:dyDescent="0.2">
      <c r="A2640" s="31">
        <v>0.81178666620859996</v>
      </c>
      <c r="B2640" s="31"/>
      <c r="C2640" s="2" t="s">
        <v>855</v>
      </c>
      <c r="D2640" s="31">
        <f t="shared" si="89"/>
        <v>0.15911018657688561</v>
      </c>
      <c r="F2640" s="2" t="s">
        <v>822</v>
      </c>
      <c r="G2640" s="23" t="s">
        <v>902</v>
      </c>
      <c r="H2640" s="2" t="s">
        <v>822</v>
      </c>
      <c r="J2640" s="31">
        <v>29.3799992</v>
      </c>
      <c r="K2640" s="31">
        <v>-21.184000000000001</v>
      </c>
      <c r="L2640" s="31"/>
      <c r="M2640" s="31" t="s">
        <v>854</v>
      </c>
      <c r="N2640" s="6" t="s">
        <v>856</v>
      </c>
    </row>
    <row r="2641" spans="1:14" ht="15" customHeight="1" x14ac:dyDescent="0.2">
      <c r="A2641" s="31">
        <v>0.81174938232857285</v>
      </c>
      <c r="B2641" s="31"/>
      <c r="C2641" s="2" t="s">
        <v>855</v>
      </c>
      <c r="D2641" s="31">
        <f t="shared" si="89"/>
        <v>0.15910287893640029</v>
      </c>
      <c r="F2641" s="2" t="s">
        <v>822</v>
      </c>
      <c r="G2641" s="23" t="s">
        <v>902</v>
      </c>
      <c r="H2641" s="2" t="s">
        <v>822</v>
      </c>
      <c r="J2641" s="31">
        <v>40.472599000000002</v>
      </c>
      <c r="K2641" s="31">
        <v>-16.637300499999998</v>
      </c>
      <c r="L2641" s="31"/>
      <c r="M2641" s="31" t="s">
        <v>854</v>
      </c>
      <c r="N2641" s="6" t="s">
        <v>856</v>
      </c>
    </row>
    <row r="2642" spans="1:14" ht="15" customHeight="1" x14ac:dyDescent="0.2">
      <c r="A2642" s="31">
        <v>0.81159285313144802</v>
      </c>
      <c r="B2642" s="31"/>
      <c r="C2642" s="2" t="s">
        <v>855</v>
      </c>
      <c r="D2642" s="31">
        <f t="shared" si="89"/>
        <v>0.15907219921376381</v>
      </c>
      <c r="F2642" s="2" t="s">
        <v>822</v>
      </c>
      <c r="G2642" s="23" t="s">
        <v>902</v>
      </c>
      <c r="H2642" s="2" t="s">
        <v>822</v>
      </c>
      <c r="J2642" s="31">
        <v>32.280799899999998</v>
      </c>
      <c r="K2642" s="31">
        <v>28.904199599999998</v>
      </c>
      <c r="L2642" s="31"/>
      <c r="M2642" s="31" t="s">
        <v>854</v>
      </c>
      <c r="N2642" s="6" t="s">
        <v>856</v>
      </c>
    </row>
    <row r="2643" spans="1:14" ht="15" customHeight="1" x14ac:dyDescent="0.2">
      <c r="A2643" s="31">
        <v>0.81127735375230792</v>
      </c>
      <c r="B2643" s="31"/>
      <c r="C2643" s="2" t="s">
        <v>855</v>
      </c>
      <c r="D2643" s="31">
        <f t="shared" si="89"/>
        <v>0.15901036133545235</v>
      </c>
      <c r="F2643" s="2" t="s">
        <v>822</v>
      </c>
      <c r="G2643" s="23" t="s">
        <v>902</v>
      </c>
      <c r="H2643" s="2" t="s">
        <v>822</v>
      </c>
      <c r="J2643" s="31">
        <v>40.0680008</v>
      </c>
      <c r="K2643" s="31">
        <v>-25.1919994</v>
      </c>
      <c r="L2643" s="31"/>
      <c r="M2643" s="31" t="s">
        <v>854</v>
      </c>
      <c r="N2643" s="6" t="s">
        <v>856</v>
      </c>
    </row>
    <row r="2644" spans="1:14" ht="15" customHeight="1" x14ac:dyDescent="0.2">
      <c r="A2644" s="31">
        <v>0.81115657013939535</v>
      </c>
      <c r="B2644" s="31"/>
      <c r="C2644" s="2" t="s">
        <v>855</v>
      </c>
      <c r="D2644" s="31">
        <f t="shared" si="89"/>
        <v>0.1589866877473215</v>
      </c>
      <c r="F2644" s="2" t="s">
        <v>822</v>
      </c>
      <c r="G2644" s="23" t="s">
        <v>902</v>
      </c>
      <c r="H2644" s="2" t="s">
        <v>822</v>
      </c>
      <c r="J2644" s="31">
        <v>35.352100399999998</v>
      </c>
      <c r="K2644" s="31">
        <v>11.4171</v>
      </c>
      <c r="L2644" s="31"/>
      <c r="M2644" s="31" t="s">
        <v>854</v>
      </c>
      <c r="N2644" s="6" t="s">
        <v>856</v>
      </c>
    </row>
    <row r="2645" spans="1:14" ht="15" customHeight="1" x14ac:dyDescent="0.2">
      <c r="A2645" s="31">
        <v>0.81112052799446088</v>
      </c>
      <c r="B2645" s="31"/>
      <c r="C2645" s="2" t="s">
        <v>855</v>
      </c>
      <c r="D2645" s="31">
        <f t="shared" si="89"/>
        <v>0.15897962348691433</v>
      </c>
      <c r="F2645" s="2" t="s">
        <v>822</v>
      </c>
      <c r="G2645" s="23" t="s">
        <v>902</v>
      </c>
      <c r="H2645" s="2" t="s">
        <v>822</v>
      </c>
      <c r="J2645" s="31">
        <v>36.728000600000001</v>
      </c>
      <c r="K2645" s="31">
        <v>-37.215999600000004</v>
      </c>
      <c r="L2645" s="31"/>
      <c r="M2645" s="31" t="s">
        <v>854</v>
      </c>
      <c r="N2645" s="6" t="s">
        <v>856</v>
      </c>
    </row>
    <row r="2646" spans="1:14" ht="15" customHeight="1" x14ac:dyDescent="0.2">
      <c r="A2646" s="31">
        <v>0.81088068687422765</v>
      </c>
      <c r="B2646" s="31"/>
      <c r="C2646" s="2" t="s">
        <v>855</v>
      </c>
      <c r="D2646" s="31">
        <f t="shared" si="89"/>
        <v>0.15893261462734862</v>
      </c>
      <c r="F2646" s="2" t="s">
        <v>822</v>
      </c>
      <c r="G2646" s="23" t="s">
        <v>902</v>
      </c>
      <c r="H2646" s="2" t="s">
        <v>822</v>
      </c>
      <c r="J2646" s="31">
        <v>33.388000499999997</v>
      </c>
      <c r="K2646" s="31">
        <v>-15.8400002</v>
      </c>
      <c r="L2646" s="31"/>
      <c r="M2646" s="31" t="s">
        <v>854</v>
      </c>
      <c r="N2646" s="6" t="s">
        <v>856</v>
      </c>
    </row>
    <row r="2647" spans="1:14" ht="15" customHeight="1" x14ac:dyDescent="0.2">
      <c r="A2647" s="31">
        <v>0.81076420902222424</v>
      </c>
      <c r="B2647" s="31"/>
      <c r="C2647" s="2" t="s">
        <v>855</v>
      </c>
      <c r="D2647" s="31">
        <f t="shared" si="89"/>
        <v>0.15890978496835595</v>
      </c>
      <c r="F2647" s="2" t="s">
        <v>822</v>
      </c>
      <c r="G2647" s="23" t="s">
        <v>902</v>
      </c>
      <c r="H2647" s="2" t="s">
        <v>822</v>
      </c>
      <c r="J2647" s="31">
        <v>54.8296013</v>
      </c>
      <c r="K2647" s="31">
        <v>16.292100900000001</v>
      </c>
      <c r="L2647" s="31"/>
      <c r="M2647" s="31" t="s">
        <v>854</v>
      </c>
      <c r="N2647" s="6" t="s">
        <v>856</v>
      </c>
    </row>
    <row r="2648" spans="1:14" ht="15" customHeight="1" x14ac:dyDescent="0.2">
      <c r="A2648" s="31">
        <v>0.81043873970039271</v>
      </c>
      <c r="B2648" s="31"/>
      <c r="C2648" s="2" t="s">
        <v>855</v>
      </c>
      <c r="D2648" s="31">
        <f t="shared" si="89"/>
        <v>0.15884599298127697</v>
      </c>
      <c r="F2648" s="2" t="s">
        <v>822</v>
      </c>
      <c r="G2648" s="23" t="s">
        <v>902</v>
      </c>
      <c r="H2648" s="2" t="s">
        <v>822</v>
      </c>
      <c r="J2648" s="31">
        <v>40.308700600000002</v>
      </c>
      <c r="K2648" s="31">
        <v>17.345899599999999</v>
      </c>
      <c r="L2648" s="31"/>
      <c r="M2648" s="31" t="s">
        <v>854</v>
      </c>
      <c r="N2648" s="6" t="s">
        <v>856</v>
      </c>
    </row>
    <row r="2649" spans="1:14" ht="15" customHeight="1" x14ac:dyDescent="0.2">
      <c r="A2649" s="31">
        <v>0.81025417486261864</v>
      </c>
      <c r="B2649" s="31"/>
      <c r="C2649" s="2" t="s">
        <v>855</v>
      </c>
      <c r="D2649" s="31">
        <f t="shared" si="89"/>
        <v>0.15880981827307325</v>
      </c>
      <c r="F2649" s="2" t="s">
        <v>822</v>
      </c>
      <c r="G2649" s="23" t="s">
        <v>902</v>
      </c>
      <c r="H2649" s="2" t="s">
        <v>822</v>
      </c>
      <c r="J2649" s="31">
        <v>38.731998400000002</v>
      </c>
      <c r="K2649" s="31">
        <v>6.8720001999999996</v>
      </c>
      <c r="L2649" s="31"/>
      <c r="M2649" s="31" t="s">
        <v>854</v>
      </c>
      <c r="N2649" s="6" t="s">
        <v>856</v>
      </c>
    </row>
    <row r="2650" spans="1:14" ht="15" customHeight="1" x14ac:dyDescent="0.2">
      <c r="A2650" s="31">
        <v>0.81011972368149121</v>
      </c>
      <c r="B2650" s="31"/>
      <c r="C2650" s="2" t="s">
        <v>855</v>
      </c>
      <c r="D2650" s="31">
        <f t="shared" si="89"/>
        <v>0.1587834658415723</v>
      </c>
      <c r="F2650" s="2" t="s">
        <v>822</v>
      </c>
      <c r="G2650" s="23" t="s">
        <v>902</v>
      </c>
      <c r="H2650" s="2" t="s">
        <v>822</v>
      </c>
      <c r="J2650" s="31">
        <v>30.048000300000002</v>
      </c>
      <c r="K2650" s="31">
        <v>-32.540000900000003</v>
      </c>
      <c r="L2650" s="31"/>
      <c r="M2650" s="31" t="s">
        <v>854</v>
      </c>
      <c r="N2650" s="6" t="s">
        <v>856</v>
      </c>
    </row>
    <row r="2651" spans="1:14" ht="15" customHeight="1" x14ac:dyDescent="0.2">
      <c r="A2651" s="31">
        <v>0.81001781403315487</v>
      </c>
      <c r="B2651" s="31"/>
      <c r="C2651" s="2" t="s">
        <v>855</v>
      </c>
      <c r="D2651" s="31">
        <f t="shared" si="89"/>
        <v>0.15876349155049835</v>
      </c>
      <c r="F2651" s="2" t="s">
        <v>822</v>
      </c>
      <c r="G2651" s="23" t="s">
        <v>902</v>
      </c>
      <c r="H2651" s="2" t="s">
        <v>822</v>
      </c>
      <c r="J2651" s="31">
        <v>29.449199700000001</v>
      </c>
      <c r="K2651" s="31">
        <v>48.548000299999998</v>
      </c>
      <c r="L2651" s="31"/>
      <c r="M2651" s="31" t="s">
        <v>854</v>
      </c>
      <c r="N2651" s="6" t="s">
        <v>856</v>
      </c>
    </row>
    <row r="2652" spans="1:14" ht="15" customHeight="1" x14ac:dyDescent="0.2">
      <c r="A2652" s="31">
        <v>0.80973140167842739</v>
      </c>
      <c r="B2652" s="31"/>
      <c r="C2652" s="2" t="s">
        <v>855</v>
      </c>
      <c r="D2652" s="31">
        <f t="shared" ref="D2652:D2683" si="90" xml:space="preserve"> A2652 * 0.196</f>
        <v>0.15870735472897177</v>
      </c>
      <c r="F2652" s="2" t="s">
        <v>822</v>
      </c>
      <c r="G2652" s="23" t="s">
        <v>902</v>
      </c>
      <c r="H2652" s="2" t="s">
        <v>822</v>
      </c>
      <c r="J2652" s="31">
        <v>25.8341007</v>
      </c>
      <c r="K2652" s="31">
        <v>52.943100000000001</v>
      </c>
      <c r="L2652" s="31"/>
      <c r="M2652" s="31" t="s">
        <v>854</v>
      </c>
      <c r="N2652" s="6" t="s">
        <v>856</v>
      </c>
    </row>
    <row r="2653" spans="1:14" ht="15" customHeight="1" x14ac:dyDescent="0.2">
      <c r="A2653" s="31">
        <v>0.80965379018513328</v>
      </c>
      <c r="B2653" s="31"/>
      <c r="C2653" s="2" t="s">
        <v>855</v>
      </c>
      <c r="D2653" s="31">
        <f t="shared" si="90"/>
        <v>0.15869214287628614</v>
      </c>
      <c r="F2653" s="2" t="s">
        <v>822</v>
      </c>
      <c r="G2653" s="23" t="s">
        <v>902</v>
      </c>
      <c r="H2653" s="2" t="s">
        <v>822</v>
      </c>
      <c r="J2653" s="31">
        <v>41.964401199999998</v>
      </c>
      <c r="K2653" s="31">
        <v>15.550399799999999</v>
      </c>
      <c r="L2653" s="31"/>
      <c r="M2653" s="31" t="s">
        <v>854</v>
      </c>
      <c r="N2653" s="6" t="s">
        <v>856</v>
      </c>
    </row>
    <row r="2654" spans="1:14" ht="15" customHeight="1" x14ac:dyDescent="0.2">
      <c r="A2654" s="31">
        <v>0.8094083402672323</v>
      </c>
      <c r="B2654" s="31"/>
      <c r="C2654" s="2" t="s">
        <v>855</v>
      </c>
      <c r="D2654" s="31">
        <f t="shared" si="90"/>
        <v>0.15864403469237753</v>
      </c>
      <c r="F2654" s="2" t="s">
        <v>822</v>
      </c>
      <c r="G2654" s="23" t="s">
        <v>902</v>
      </c>
      <c r="H2654" s="2" t="s">
        <v>822</v>
      </c>
      <c r="J2654" s="31">
        <v>43.779598200000002</v>
      </c>
      <c r="K2654" s="31">
        <v>-10.1919003</v>
      </c>
      <c r="L2654" s="31"/>
      <c r="M2654" s="31" t="s">
        <v>854</v>
      </c>
      <c r="N2654" s="6" t="s">
        <v>856</v>
      </c>
    </row>
    <row r="2655" spans="1:14" ht="15" customHeight="1" x14ac:dyDescent="0.2">
      <c r="A2655" s="31">
        <v>0.80929263687078778</v>
      </c>
      <c r="B2655" s="31"/>
      <c r="C2655" s="2" t="s">
        <v>855</v>
      </c>
      <c r="D2655" s="31">
        <f t="shared" si="90"/>
        <v>0.15862135682667441</v>
      </c>
      <c r="F2655" s="2" t="s">
        <v>822</v>
      </c>
      <c r="G2655" s="23" t="s">
        <v>902</v>
      </c>
      <c r="H2655" s="2" t="s">
        <v>822</v>
      </c>
      <c r="J2655" s="31">
        <v>41.715698199999999</v>
      </c>
      <c r="K2655" s="31">
        <v>-23.5310001</v>
      </c>
      <c r="L2655" s="31"/>
      <c r="M2655" s="31" t="s">
        <v>854</v>
      </c>
      <c r="N2655" s="6" t="s">
        <v>856</v>
      </c>
    </row>
    <row r="2656" spans="1:14" ht="15" customHeight="1" x14ac:dyDescent="0.2">
      <c r="A2656" s="31">
        <v>0.8088211893810392</v>
      </c>
      <c r="B2656" s="31"/>
      <c r="C2656" s="2" t="s">
        <v>855</v>
      </c>
      <c r="D2656" s="31">
        <f t="shared" si="90"/>
        <v>0.1585289531186837</v>
      </c>
      <c r="F2656" s="2" t="s">
        <v>822</v>
      </c>
      <c r="G2656" s="23" t="s">
        <v>902</v>
      </c>
      <c r="H2656" s="2" t="s">
        <v>822</v>
      </c>
      <c r="J2656" s="31">
        <v>26.499599499999999</v>
      </c>
      <c r="K2656" s="31">
        <v>-25.781099300000001</v>
      </c>
      <c r="L2656" s="31"/>
      <c r="M2656" s="31" t="s">
        <v>854</v>
      </c>
      <c r="N2656" s="6" t="s">
        <v>856</v>
      </c>
    </row>
    <row r="2657" spans="1:14" ht="15" customHeight="1" x14ac:dyDescent="0.2">
      <c r="A2657" s="31">
        <v>0.80879139853967996</v>
      </c>
      <c r="B2657" s="31"/>
      <c r="C2657" s="2" t="s">
        <v>855</v>
      </c>
      <c r="D2657" s="31">
        <f t="shared" si="90"/>
        <v>0.15852311411377729</v>
      </c>
      <c r="F2657" s="2" t="s">
        <v>822</v>
      </c>
      <c r="G2657" s="23" t="s">
        <v>902</v>
      </c>
      <c r="H2657" s="2" t="s">
        <v>822</v>
      </c>
      <c r="J2657" s="31">
        <v>39.388099699999998</v>
      </c>
      <c r="K2657" s="31">
        <v>-15.164500200000001</v>
      </c>
      <c r="L2657" s="31"/>
      <c r="M2657" s="31" t="s">
        <v>854</v>
      </c>
      <c r="N2657" s="6" t="s">
        <v>856</v>
      </c>
    </row>
    <row r="2658" spans="1:14" ht="15" customHeight="1" x14ac:dyDescent="0.2">
      <c r="A2658" s="31">
        <v>0.8087175923996387</v>
      </c>
      <c r="B2658" s="31"/>
      <c r="C2658" s="2" t="s">
        <v>855</v>
      </c>
      <c r="D2658" s="31">
        <f t="shared" si="90"/>
        <v>0.15850864811032919</v>
      </c>
      <c r="F2658" s="2" t="s">
        <v>822</v>
      </c>
      <c r="G2658" s="23" t="s">
        <v>902</v>
      </c>
      <c r="H2658" s="2" t="s">
        <v>822</v>
      </c>
      <c r="J2658" s="31">
        <v>41.402900700000004</v>
      </c>
      <c r="K2658" s="31">
        <v>-23.1462994</v>
      </c>
      <c r="L2658" s="31"/>
      <c r="M2658" s="31" t="s">
        <v>854</v>
      </c>
      <c r="N2658" s="6" t="s">
        <v>856</v>
      </c>
    </row>
    <row r="2659" spans="1:14" ht="15" customHeight="1" x14ac:dyDescent="0.2">
      <c r="A2659" s="31">
        <v>0.80855177326639549</v>
      </c>
      <c r="B2659" s="31"/>
      <c r="C2659" s="2" t="s">
        <v>855</v>
      </c>
      <c r="D2659" s="31">
        <f t="shared" si="90"/>
        <v>0.15847614756021353</v>
      </c>
      <c r="F2659" s="2" t="s">
        <v>822</v>
      </c>
      <c r="G2659" s="23" t="s">
        <v>902</v>
      </c>
      <c r="H2659" s="2" t="s">
        <v>822</v>
      </c>
      <c r="J2659" s="31">
        <v>46.748001100000003</v>
      </c>
      <c r="K2659" s="31">
        <v>-21.184000000000001</v>
      </c>
      <c r="L2659" s="31"/>
      <c r="M2659" s="31" t="s">
        <v>854</v>
      </c>
      <c r="N2659" s="6" t="s">
        <v>856</v>
      </c>
    </row>
    <row r="2660" spans="1:14" ht="15" customHeight="1" x14ac:dyDescent="0.2">
      <c r="A2660" s="31">
        <v>0.80850654458445448</v>
      </c>
      <c r="B2660" s="31"/>
      <c r="C2660" s="2" t="s">
        <v>855</v>
      </c>
      <c r="D2660" s="31">
        <f t="shared" si="90"/>
        <v>0.15846728273855309</v>
      </c>
      <c r="F2660" s="2" t="s">
        <v>822</v>
      </c>
      <c r="G2660" s="23" t="s">
        <v>902</v>
      </c>
      <c r="H2660" s="2" t="s">
        <v>822</v>
      </c>
      <c r="J2660" s="31">
        <v>29.343900699999999</v>
      </c>
      <c r="K2660" s="31">
        <v>-28.549600600000002</v>
      </c>
      <c r="L2660" s="31"/>
      <c r="M2660" s="31" t="s">
        <v>854</v>
      </c>
      <c r="N2660" s="6" t="s">
        <v>856</v>
      </c>
    </row>
    <row r="2661" spans="1:14" ht="15" customHeight="1" x14ac:dyDescent="0.2">
      <c r="A2661" s="31">
        <v>0.80842728087264781</v>
      </c>
      <c r="B2661" s="31"/>
      <c r="C2661" s="2" t="s">
        <v>855</v>
      </c>
      <c r="D2661" s="31">
        <f t="shared" si="90"/>
        <v>0.15845174705103898</v>
      </c>
      <c r="F2661" s="2" t="s">
        <v>822</v>
      </c>
      <c r="G2661" s="23" t="s">
        <v>902</v>
      </c>
      <c r="H2661" s="2" t="s">
        <v>822</v>
      </c>
      <c r="J2661" s="31">
        <v>29.4566002</v>
      </c>
      <c r="K2661" s="31">
        <v>-26.6700993</v>
      </c>
      <c r="L2661" s="31"/>
      <c r="M2661" s="31" t="s">
        <v>854</v>
      </c>
      <c r="N2661" s="6" t="s">
        <v>856</v>
      </c>
    </row>
    <row r="2662" spans="1:14" ht="15" customHeight="1" x14ac:dyDescent="0.2">
      <c r="A2662" s="31">
        <v>0.80840601030434434</v>
      </c>
      <c r="B2662" s="31"/>
      <c r="C2662" s="2" t="s">
        <v>855</v>
      </c>
      <c r="D2662" s="31">
        <f t="shared" si="90"/>
        <v>0.15844757801965151</v>
      </c>
      <c r="F2662" s="2" t="s">
        <v>822</v>
      </c>
      <c r="G2662" s="23" t="s">
        <v>902</v>
      </c>
      <c r="H2662" s="2" t="s">
        <v>822</v>
      </c>
      <c r="J2662" s="31">
        <v>33.902000399999999</v>
      </c>
      <c r="K2662" s="31">
        <v>-31.150299100000002</v>
      </c>
      <c r="L2662" s="31"/>
      <c r="M2662" s="31" t="s">
        <v>854</v>
      </c>
      <c r="N2662" s="6" t="s">
        <v>856</v>
      </c>
    </row>
    <row r="2663" spans="1:14" ht="15" customHeight="1" x14ac:dyDescent="0.2">
      <c r="A2663" s="31">
        <v>0.80817925194398832</v>
      </c>
      <c r="B2663" s="31"/>
      <c r="C2663" s="2" t="s">
        <v>855</v>
      </c>
      <c r="D2663" s="31">
        <f t="shared" si="90"/>
        <v>0.15840313338102172</v>
      </c>
      <c r="F2663" s="2" t="s">
        <v>822</v>
      </c>
      <c r="G2663" s="23" t="s">
        <v>902</v>
      </c>
      <c r="H2663" s="2" t="s">
        <v>822</v>
      </c>
      <c r="J2663" s="31">
        <v>55.959598499999998</v>
      </c>
      <c r="K2663" s="31">
        <v>17.356800100000001</v>
      </c>
      <c r="L2663" s="31"/>
      <c r="M2663" s="31" t="s">
        <v>854</v>
      </c>
      <c r="N2663" s="6" t="s">
        <v>856</v>
      </c>
    </row>
    <row r="2664" spans="1:14" ht="15" customHeight="1" x14ac:dyDescent="0.2">
      <c r="A2664" s="31">
        <v>0.80812316451374366</v>
      </c>
      <c r="B2664" s="31"/>
      <c r="C2664" s="2" t="s">
        <v>855</v>
      </c>
      <c r="D2664" s="31">
        <f t="shared" si="90"/>
        <v>0.15839214024469375</v>
      </c>
      <c r="F2664" s="2" t="s">
        <v>822</v>
      </c>
      <c r="G2664" s="23" t="s">
        <v>902</v>
      </c>
      <c r="H2664" s="2" t="s">
        <v>822</v>
      </c>
      <c r="J2664" s="31">
        <v>25.3719997</v>
      </c>
      <c r="K2664" s="31">
        <v>-42.560001399999997</v>
      </c>
      <c r="L2664" s="31"/>
      <c r="M2664" s="31" t="s">
        <v>854</v>
      </c>
      <c r="N2664" s="6" t="s">
        <v>856</v>
      </c>
    </row>
    <row r="2665" spans="1:14" ht="15" customHeight="1" x14ac:dyDescent="0.2">
      <c r="A2665" s="31">
        <v>0.8080388583586422</v>
      </c>
      <c r="B2665" s="31"/>
      <c r="C2665" s="2" t="s">
        <v>855</v>
      </c>
      <c r="D2665" s="31">
        <f t="shared" si="90"/>
        <v>0.15837561623829388</v>
      </c>
      <c r="F2665" s="2" t="s">
        <v>822</v>
      </c>
      <c r="G2665" s="23" t="s">
        <v>902</v>
      </c>
      <c r="H2665" s="2" t="s">
        <v>822</v>
      </c>
      <c r="J2665" s="31">
        <v>34.439201400000002</v>
      </c>
      <c r="K2665" s="31">
        <v>25.8362999</v>
      </c>
      <c r="L2665" s="31"/>
      <c r="M2665" s="31" t="s">
        <v>854</v>
      </c>
      <c r="N2665" s="6" t="s">
        <v>856</v>
      </c>
    </row>
    <row r="2666" spans="1:14" ht="15" customHeight="1" x14ac:dyDescent="0.2">
      <c r="A2666" s="31">
        <v>0.80791650974099716</v>
      </c>
      <c r="B2666" s="31"/>
      <c r="C2666" s="2" t="s">
        <v>855</v>
      </c>
      <c r="D2666" s="31">
        <f t="shared" si="90"/>
        <v>0.15835163590923546</v>
      </c>
      <c r="F2666" s="2" t="s">
        <v>822</v>
      </c>
      <c r="G2666" s="23" t="s">
        <v>902</v>
      </c>
      <c r="H2666" s="2" t="s">
        <v>822</v>
      </c>
      <c r="J2666" s="31">
        <v>28.869199800000001</v>
      </c>
      <c r="K2666" s="31">
        <v>-27.3171997</v>
      </c>
      <c r="L2666" s="31"/>
      <c r="M2666" s="31" t="s">
        <v>854</v>
      </c>
      <c r="N2666" s="6" t="s">
        <v>856</v>
      </c>
    </row>
    <row r="2667" spans="1:14" ht="15" customHeight="1" x14ac:dyDescent="0.2">
      <c r="A2667" s="31">
        <v>0.8078751576862726</v>
      </c>
      <c r="B2667" s="31"/>
      <c r="C2667" s="2" t="s">
        <v>855</v>
      </c>
      <c r="D2667" s="31">
        <f t="shared" si="90"/>
        <v>0.15834353090650943</v>
      </c>
      <c r="F2667" s="2" t="s">
        <v>822</v>
      </c>
      <c r="G2667" s="23" t="s">
        <v>902</v>
      </c>
      <c r="H2667" s="2" t="s">
        <v>822</v>
      </c>
      <c r="J2667" s="31">
        <v>30.7159996</v>
      </c>
      <c r="K2667" s="31">
        <v>-19.1800003</v>
      </c>
      <c r="L2667" s="31"/>
      <c r="M2667" s="31" t="s">
        <v>854</v>
      </c>
      <c r="N2667" s="6" t="s">
        <v>856</v>
      </c>
    </row>
    <row r="2668" spans="1:14" ht="15" customHeight="1" x14ac:dyDescent="0.2">
      <c r="A2668" s="31">
        <v>0.80767245882474381</v>
      </c>
      <c r="B2668" s="31"/>
      <c r="C2668" s="2" t="s">
        <v>855</v>
      </c>
      <c r="D2668" s="31">
        <f t="shared" si="90"/>
        <v>0.1583038019296498</v>
      </c>
      <c r="F2668" s="2" t="s">
        <v>822</v>
      </c>
      <c r="G2668" s="23" t="s">
        <v>902</v>
      </c>
      <c r="H2668" s="2" t="s">
        <v>822</v>
      </c>
      <c r="J2668" s="31">
        <v>41.589401199999998</v>
      </c>
      <c r="K2668" s="31">
        <v>2.6163199000000001</v>
      </c>
      <c r="L2668" s="31"/>
      <c r="M2668" s="31" t="s">
        <v>854</v>
      </c>
      <c r="N2668" s="6" t="s">
        <v>856</v>
      </c>
    </row>
    <row r="2669" spans="1:14" ht="15" customHeight="1" x14ac:dyDescent="0.2">
      <c r="A2669" s="31">
        <v>0.80744502863761181</v>
      </c>
      <c r="B2669" s="31"/>
      <c r="C2669" s="2" t="s">
        <v>855</v>
      </c>
      <c r="D2669" s="31">
        <f t="shared" si="90"/>
        <v>0.15825922561297193</v>
      </c>
      <c r="F2669" s="2" t="s">
        <v>822</v>
      </c>
      <c r="G2669" s="23" t="s">
        <v>902</v>
      </c>
      <c r="H2669" s="2" t="s">
        <v>822</v>
      </c>
      <c r="J2669" s="31">
        <v>44.985599499999999</v>
      </c>
      <c r="K2669" s="31">
        <v>13.1189003</v>
      </c>
      <c r="L2669" s="31"/>
      <c r="M2669" s="31" t="s">
        <v>854</v>
      </c>
      <c r="N2669" s="6" t="s">
        <v>856</v>
      </c>
    </row>
    <row r="2670" spans="1:14" ht="15" customHeight="1" x14ac:dyDescent="0.2">
      <c r="A2670" s="31">
        <v>0.80735002776951437</v>
      </c>
      <c r="B2670" s="31"/>
      <c r="C2670" s="2" t="s">
        <v>855</v>
      </c>
      <c r="D2670" s="31">
        <f t="shared" si="90"/>
        <v>0.15824060544282481</v>
      </c>
      <c r="F2670" s="2" t="s">
        <v>822</v>
      </c>
      <c r="G2670" s="23" t="s">
        <v>902</v>
      </c>
      <c r="H2670" s="2" t="s">
        <v>822</v>
      </c>
      <c r="J2670" s="31">
        <v>53.530300099999998</v>
      </c>
      <c r="K2670" s="31">
        <v>-3.6243401</v>
      </c>
      <c r="L2670" s="31"/>
      <c r="M2670" s="31" t="s">
        <v>854</v>
      </c>
      <c r="N2670" s="6" t="s">
        <v>856</v>
      </c>
    </row>
    <row r="2671" spans="1:14" ht="15" customHeight="1" x14ac:dyDescent="0.2">
      <c r="A2671" s="31">
        <v>0.80720061251052222</v>
      </c>
      <c r="B2671" s="31"/>
      <c r="C2671" s="2" t="s">
        <v>855</v>
      </c>
      <c r="D2671" s="31">
        <f t="shared" si="90"/>
        <v>0.15821132005206237</v>
      </c>
      <c r="F2671" s="2" t="s">
        <v>822</v>
      </c>
      <c r="G2671" s="23" t="s">
        <v>902</v>
      </c>
      <c r="H2671" s="2" t="s">
        <v>822</v>
      </c>
      <c r="J2671" s="31">
        <v>40.736598999999998</v>
      </c>
      <c r="K2671" s="31">
        <v>-24.5240002</v>
      </c>
      <c r="L2671" s="31"/>
      <c r="M2671" s="31" t="s">
        <v>854</v>
      </c>
      <c r="N2671" s="6" t="s">
        <v>856</v>
      </c>
    </row>
    <row r="2672" spans="1:14" ht="15" customHeight="1" x14ac:dyDescent="0.2">
      <c r="A2672" s="31">
        <v>0.80715161884189668</v>
      </c>
      <c r="B2672" s="31"/>
      <c r="C2672" s="2" t="s">
        <v>855</v>
      </c>
      <c r="D2672" s="31">
        <f t="shared" si="90"/>
        <v>0.15820171729301175</v>
      </c>
      <c r="F2672" s="2" t="s">
        <v>822</v>
      </c>
      <c r="G2672" s="23" t="s">
        <v>902</v>
      </c>
      <c r="H2672" s="2" t="s">
        <v>822</v>
      </c>
      <c r="J2672" s="31">
        <v>28.0440006</v>
      </c>
      <c r="K2672" s="31">
        <v>-28.531999599999999</v>
      </c>
      <c r="L2672" s="31"/>
      <c r="M2672" s="31" t="s">
        <v>854</v>
      </c>
      <c r="N2672" s="6" t="s">
        <v>856</v>
      </c>
    </row>
    <row r="2673" spans="1:14" ht="15" customHeight="1" x14ac:dyDescent="0.2">
      <c r="A2673" s="31">
        <v>0.80699791278330846</v>
      </c>
      <c r="B2673" s="31"/>
      <c r="C2673" s="2" t="s">
        <v>855</v>
      </c>
      <c r="D2673" s="31">
        <f t="shared" si="90"/>
        <v>0.15817159090552846</v>
      </c>
      <c r="F2673" s="2" t="s">
        <v>822</v>
      </c>
      <c r="G2673" s="23" t="s">
        <v>902</v>
      </c>
      <c r="H2673" s="2" t="s">
        <v>822</v>
      </c>
      <c r="J2673" s="31">
        <v>55.014800999999999</v>
      </c>
      <c r="K2673" s="31">
        <v>16.893899900000001</v>
      </c>
      <c r="L2673" s="31"/>
      <c r="M2673" s="31" t="s">
        <v>854</v>
      </c>
      <c r="N2673" s="6" t="s">
        <v>856</v>
      </c>
    </row>
    <row r="2674" spans="1:14" ht="15" customHeight="1" x14ac:dyDescent="0.2">
      <c r="A2674" s="31">
        <v>0.80657649993479441</v>
      </c>
      <c r="B2674" s="31"/>
      <c r="C2674" s="2" t="s">
        <v>855</v>
      </c>
      <c r="D2674" s="31">
        <f t="shared" si="90"/>
        <v>0.15808899398721971</v>
      </c>
      <c r="F2674" s="2" t="s">
        <v>822</v>
      </c>
      <c r="G2674" s="23" t="s">
        <v>902</v>
      </c>
      <c r="H2674" s="2" t="s">
        <v>822</v>
      </c>
      <c r="J2674" s="31">
        <v>35.168098399999998</v>
      </c>
      <c r="K2674" s="31">
        <v>-34.730400099999997</v>
      </c>
      <c r="L2674" s="31"/>
      <c r="M2674" s="31" t="s">
        <v>854</v>
      </c>
      <c r="N2674" s="6" t="s">
        <v>856</v>
      </c>
    </row>
    <row r="2675" spans="1:14" ht="15" customHeight="1" x14ac:dyDescent="0.2">
      <c r="A2675" s="31">
        <v>0.80654377527798959</v>
      </c>
      <c r="B2675" s="31"/>
      <c r="C2675" s="2" t="s">
        <v>855</v>
      </c>
      <c r="D2675" s="31">
        <f t="shared" si="90"/>
        <v>0.15808257995448596</v>
      </c>
      <c r="F2675" s="2" t="s">
        <v>822</v>
      </c>
      <c r="G2675" s="23" t="s">
        <v>902</v>
      </c>
      <c r="H2675" s="2" t="s">
        <v>822</v>
      </c>
      <c r="J2675" s="31">
        <v>61.262901300000003</v>
      </c>
      <c r="K2675" s="31">
        <v>21.1058998</v>
      </c>
      <c r="L2675" s="31"/>
      <c r="M2675" s="31" t="s">
        <v>854</v>
      </c>
      <c r="N2675" s="6" t="s">
        <v>856</v>
      </c>
    </row>
    <row r="2676" spans="1:14" ht="15" customHeight="1" x14ac:dyDescent="0.2">
      <c r="A2676" s="31">
        <v>0.80652956449015922</v>
      </c>
      <c r="B2676" s="31"/>
      <c r="C2676" s="2" t="s">
        <v>855</v>
      </c>
      <c r="D2676" s="31">
        <f t="shared" si="90"/>
        <v>0.15807979464007121</v>
      </c>
      <c r="F2676" s="2" t="s">
        <v>822</v>
      </c>
      <c r="G2676" s="23" t="s">
        <v>902</v>
      </c>
      <c r="H2676" s="2" t="s">
        <v>822</v>
      </c>
      <c r="J2676" s="31">
        <v>31.9806995</v>
      </c>
      <c r="K2676" s="31">
        <v>-26.527999900000001</v>
      </c>
      <c r="L2676" s="31"/>
      <c r="M2676" s="31" t="s">
        <v>854</v>
      </c>
      <c r="N2676" s="6" t="s">
        <v>856</v>
      </c>
    </row>
    <row r="2677" spans="1:14" ht="15" customHeight="1" x14ac:dyDescent="0.2">
      <c r="A2677" s="31">
        <v>0.80643493144541745</v>
      </c>
      <c r="B2677" s="31"/>
      <c r="C2677" s="2" t="s">
        <v>855</v>
      </c>
      <c r="D2677" s="31">
        <f t="shared" si="90"/>
        <v>0.15806124656330184</v>
      </c>
      <c r="F2677" s="2" t="s">
        <v>822</v>
      </c>
      <c r="G2677" s="23" t="s">
        <v>902</v>
      </c>
      <c r="H2677" s="2" t="s">
        <v>822</v>
      </c>
      <c r="J2677" s="31">
        <v>42.788898500000002</v>
      </c>
      <c r="K2677" s="31">
        <v>-27.895299900000001</v>
      </c>
      <c r="L2677" s="31"/>
      <c r="M2677" s="31" t="s">
        <v>854</v>
      </c>
      <c r="N2677" s="6" t="s">
        <v>856</v>
      </c>
    </row>
    <row r="2678" spans="1:14" ht="15" customHeight="1" x14ac:dyDescent="0.2">
      <c r="A2678" s="31">
        <v>0.80639747061019429</v>
      </c>
      <c r="B2678" s="31"/>
      <c r="C2678" s="2" t="s">
        <v>855</v>
      </c>
      <c r="D2678" s="31">
        <f t="shared" si="90"/>
        <v>0.15805390423959809</v>
      </c>
      <c r="F2678" s="2" t="s">
        <v>822</v>
      </c>
      <c r="G2678" s="23" t="s">
        <v>902</v>
      </c>
      <c r="H2678" s="2" t="s">
        <v>822</v>
      </c>
      <c r="J2678" s="31">
        <v>30.930999799999999</v>
      </c>
      <c r="K2678" s="31">
        <v>29.039699599999999</v>
      </c>
      <c r="L2678" s="31"/>
      <c r="M2678" s="31" t="s">
        <v>854</v>
      </c>
      <c r="N2678" s="6" t="s">
        <v>856</v>
      </c>
    </row>
    <row r="2679" spans="1:14" ht="15" customHeight="1" x14ac:dyDescent="0.2">
      <c r="A2679" s="31">
        <v>0.80626435419384901</v>
      </c>
      <c r="B2679" s="31"/>
      <c r="C2679" s="2" t="s">
        <v>855</v>
      </c>
      <c r="D2679" s="31">
        <f t="shared" si="90"/>
        <v>0.1580278134219944</v>
      </c>
      <c r="F2679" s="2" t="s">
        <v>822</v>
      </c>
      <c r="G2679" s="23" t="s">
        <v>902</v>
      </c>
      <c r="H2679" s="2" t="s">
        <v>822</v>
      </c>
      <c r="J2679" s="31">
        <v>43.516700700000001</v>
      </c>
      <c r="K2679" s="31">
        <v>13.668600100000001</v>
      </c>
      <c r="L2679" s="31"/>
      <c r="M2679" s="31" t="s">
        <v>854</v>
      </c>
      <c r="N2679" s="6" t="s">
        <v>856</v>
      </c>
    </row>
    <row r="2680" spans="1:14" ht="15" customHeight="1" x14ac:dyDescent="0.2">
      <c r="A2680" s="31">
        <v>0.80625963188117322</v>
      </c>
      <c r="B2680" s="31"/>
      <c r="C2680" s="2" t="s">
        <v>855</v>
      </c>
      <c r="D2680" s="31">
        <f t="shared" si="90"/>
        <v>0.15802688784870997</v>
      </c>
      <c r="F2680" s="2" t="s">
        <v>822</v>
      </c>
      <c r="G2680" s="23" t="s">
        <v>902</v>
      </c>
      <c r="H2680" s="2" t="s">
        <v>822</v>
      </c>
      <c r="J2680" s="31">
        <v>40.766899100000003</v>
      </c>
      <c r="K2680" s="31">
        <v>-37.877998400000003</v>
      </c>
      <c r="L2680" s="31"/>
      <c r="M2680" s="31" t="s">
        <v>854</v>
      </c>
      <c r="N2680" s="6" t="s">
        <v>856</v>
      </c>
    </row>
    <row r="2681" spans="1:14" ht="15" customHeight="1" x14ac:dyDescent="0.2">
      <c r="A2681" s="31">
        <v>0.80613662744078363</v>
      </c>
      <c r="B2681" s="31"/>
      <c r="C2681" s="2" t="s">
        <v>855</v>
      </c>
      <c r="D2681" s="31">
        <f t="shared" si="90"/>
        <v>0.1580027789783936</v>
      </c>
      <c r="F2681" s="2" t="s">
        <v>822</v>
      </c>
      <c r="G2681" s="23" t="s">
        <v>902</v>
      </c>
      <c r="H2681" s="2" t="s">
        <v>822</v>
      </c>
      <c r="J2681" s="31">
        <v>36.732101399999998</v>
      </c>
      <c r="K2681" s="31">
        <v>-31.218399000000002</v>
      </c>
      <c r="L2681" s="31"/>
      <c r="M2681" s="31" t="s">
        <v>854</v>
      </c>
      <c r="N2681" s="6" t="s">
        <v>856</v>
      </c>
    </row>
    <row r="2682" spans="1:14" ht="15" customHeight="1" x14ac:dyDescent="0.2">
      <c r="A2682" s="31">
        <v>0.80599435484806325</v>
      </c>
      <c r="B2682" s="31"/>
      <c r="C2682" s="2" t="s">
        <v>855</v>
      </c>
      <c r="D2682" s="31">
        <f t="shared" si="90"/>
        <v>0.1579748935502204</v>
      </c>
      <c r="F2682" s="2" t="s">
        <v>822</v>
      </c>
      <c r="G2682" s="23" t="s">
        <v>902</v>
      </c>
      <c r="H2682" s="2" t="s">
        <v>822</v>
      </c>
      <c r="J2682" s="31">
        <v>38.336799599999999</v>
      </c>
      <c r="K2682" s="31">
        <v>-24.285200100000001</v>
      </c>
      <c r="L2682" s="31"/>
      <c r="M2682" s="31" t="s">
        <v>854</v>
      </c>
      <c r="N2682" s="6" t="s">
        <v>856</v>
      </c>
    </row>
    <row r="2683" spans="1:14" ht="15" customHeight="1" x14ac:dyDescent="0.2">
      <c r="A2683" s="31">
        <v>0.8059472257702982</v>
      </c>
      <c r="B2683" s="31"/>
      <c r="C2683" s="2" t="s">
        <v>855</v>
      </c>
      <c r="D2683" s="31">
        <f t="shared" si="90"/>
        <v>0.15796565625097844</v>
      </c>
      <c r="F2683" s="2" t="s">
        <v>822</v>
      </c>
      <c r="G2683" s="23" t="s">
        <v>902</v>
      </c>
      <c r="H2683" s="2" t="s">
        <v>822</v>
      </c>
      <c r="J2683" s="31">
        <v>34.055999800000002</v>
      </c>
      <c r="K2683" s="31">
        <v>-34.543998700000003</v>
      </c>
      <c r="L2683" s="31"/>
      <c r="M2683" s="31" t="s">
        <v>854</v>
      </c>
      <c r="N2683" s="6" t="s">
        <v>856</v>
      </c>
    </row>
    <row r="2684" spans="1:14" ht="15" customHeight="1" x14ac:dyDescent="0.2">
      <c r="A2684" s="31">
        <v>0.80592381997458884</v>
      </c>
      <c r="B2684" s="31"/>
      <c r="C2684" s="2" t="s">
        <v>855</v>
      </c>
      <c r="D2684" s="31">
        <f t="shared" ref="D2684:D2715" si="91" xml:space="preserve"> A2684 * 0.196</f>
        <v>0.15796106871501941</v>
      </c>
      <c r="F2684" s="2" t="s">
        <v>822</v>
      </c>
      <c r="G2684" s="23" t="s">
        <v>902</v>
      </c>
      <c r="H2684" s="2" t="s">
        <v>822</v>
      </c>
      <c r="J2684" s="31">
        <v>50.287601500000001</v>
      </c>
      <c r="K2684" s="31">
        <v>-1.8120000000000001</v>
      </c>
      <c r="L2684" s="31"/>
      <c r="M2684" s="31" t="s">
        <v>854</v>
      </c>
      <c r="N2684" s="6" t="s">
        <v>856</v>
      </c>
    </row>
    <row r="2685" spans="1:14" ht="15" customHeight="1" x14ac:dyDescent="0.2">
      <c r="A2685" s="31">
        <v>0.80560298640687755</v>
      </c>
      <c r="B2685" s="31"/>
      <c r="C2685" s="2" t="s">
        <v>855</v>
      </c>
      <c r="D2685" s="31">
        <f t="shared" si="91"/>
        <v>0.15789818533574801</v>
      </c>
      <c r="F2685" s="2" t="s">
        <v>822</v>
      </c>
      <c r="G2685" s="23" t="s">
        <v>902</v>
      </c>
      <c r="H2685" s="2" t="s">
        <v>822</v>
      </c>
      <c r="J2685" s="31">
        <v>31.384000799999999</v>
      </c>
      <c r="K2685" s="31">
        <v>-15.8400002</v>
      </c>
      <c r="L2685" s="31"/>
      <c r="M2685" s="31" t="s">
        <v>854</v>
      </c>
      <c r="N2685" s="6" t="s">
        <v>856</v>
      </c>
    </row>
    <row r="2686" spans="1:14" ht="15" customHeight="1" x14ac:dyDescent="0.2">
      <c r="A2686" s="31">
        <v>0.80531316191355096</v>
      </c>
      <c r="B2686" s="31"/>
      <c r="C2686" s="2" t="s">
        <v>855</v>
      </c>
      <c r="D2686" s="31">
        <f t="shared" si="91"/>
        <v>0.15784137973505599</v>
      </c>
      <c r="F2686" s="2" t="s">
        <v>822</v>
      </c>
      <c r="G2686" s="23" t="s">
        <v>902</v>
      </c>
      <c r="H2686" s="2" t="s">
        <v>822</v>
      </c>
      <c r="J2686" s="31">
        <v>39.764099100000003</v>
      </c>
      <c r="K2686" s="31">
        <v>2.4551799000000001</v>
      </c>
      <c r="L2686" s="31"/>
      <c r="M2686" s="31" t="s">
        <v>854</v>
      </c>
      <c r="N2686" s="6" t="s">
        <v>856</v>
      </c>
    </row>
    <row r="2687" spans="1:14" ht="15" customHeight="1" x14ac:dyDescent="0.2">
      <c r="A2687" s="31">
        <v>0.80528290284927406</v>
      </c>
      <c r="B2687" s="31"/>
      <c r="C2687" s="2" t="s">
        <v>855</v>
      </c>
      <c r="D2687" s="31">
        <f t="shared" si="91"/>
        <v>0.15783544895845772</v>
      </c>
      <c r="F2687" s="2" t="s">
        <v>822</v>
      </c>
      <c r="G2687" s="23" t="s">
        <v>902</v>
      </c>
      <c r="H2687" s="2" t="s">
        <v>822</v>
      </c>
      <c r="J2687" s="31">
        <v>26.7630005</v>
      </c>
      <c r="K2687" s="31">
        <v>-15.2757998</v>
      </c>
      <c r="L2687" s="31"/>
      <c r="M2687" s="31" t="s">
        <v>854</v>
      </c>
      <c r="N2687" s="6" t="s">
        <v>856</v>
      </c>
    </row>
    <row r="2688" spans="1:14" ht="15" customHeight="1" x14ac:dyDescent="0.2">
      <c r="A2688" s="31">
        <v>0.8051890219179737</v>
      </c>
      <c r="B2688" s="31"/>
      <c r="C2688" s="2" t="s">
        <v>855</v>
      </c>
      <c r="D2688" s="31">
        <f t="shared" si="91"/>
        <v>0.15781704829592286</v>
      </c>
      <c r="F2688" s="2" t="s">
        <v>822</v>
      </c>
      <c r="G2688" s="23" t="s">
        <v>902</v>
      </c>
      <c r="H2688" s="2" t="s">
        <v>822</v>
      </c>
      <c r="J2688" s="31">
        <v>34.894699099999997</v>
      </c>
      <c r="K2688" s="31">
        <v>24.6634998</v>
      </c>
      <c r="L2688" s="31"/>
      <c r="M2688" s="31" t="s">
        <v>854</v>
      </c>
      <c r="N2688" s="6" t="s">
        <v>856</v>
      </c>
    </row>
    <row r="2689" spans="1:14" ht="15" customHeight="1" x14ac:dyDescent="0.2">
      <c r="A2689" s="31">
        <v>0.80512501336240094</v>
      </c>
      <c r="B2689" s="31"/>
      <c r="C2689" s="2" t="s">
        <v>855</v>
      </c>
      <c r="D2689" s="31">
        <f t="shared" si="91"/>
        <v>0.15780450261903059</v>
      </c>
      <c r="F2689" s="2" t="s">
        <v>822</v>
      </c>
      <c r="G2689" s="23" t="s">
        <v>902</v>
      </c>
      <c r="H2689" s="2" t="s">
        <v>822</v>
      </c>
      <c r="J2689" s="31">
        <v>26.708000200000001</v>
      </c>
      <c r="K2689" s="31">
        <v>-42.560001399999997</v>
      </c>
      <c r="L2689" s="31"/>
      <c r="M2689" s="31" t="s">
        <v>854</v>
      </c>
      <c r="N2689" s="6" t="s">
        <v>856</v>
      </c>
    </row>
    <row r="2690" spans="1:14" ht="15" customHeight="1" x14ac:dyDescent="0.2">
      <c r="A2690" s="31">
        <v>0.80502948473578084</v>
      </c>
      <c r="B2690" s="31"/>
      <c r="C2690" s="2" t="s">
        <v>855</v>
      </c>
      <c r="D2690" s="31">
        <f t="shared" si="91"/>
        <v>0.15778577900821306</v>
      </c>
      <c r="F2690" s="2" t="s">
        <v>822</v>
      </c>
      <c r="G2690" s="23" t="s">
        <v>902</v>
      </c>
      <c r="H2690" s="2" t="s">
        <v>822</v>
      </c>
      <c r="J2690" s="31">
        <v>42.122398400000002</v>
      </c>
      <c r="K2690" s="31">
        <v>-27.930700300000002</v>
      </c>
      <c r="L2690" s="31"/>
      <c r="M2690" s="31" t="s">
        <v>854</v>
      </c>
      <c r="N2690" s="6" t="s">
        <v>856</v>
      </c>
    </row>
    <row r="2691" spans="1:14" ht="15" customHeight="1" x14ac:dyDescent="0.2">
      <c r="A2691" s="31">
        <v>0.8047852109569934</v>
      </c>
      <c r="B2691" s="31"/>
      <c r="C2691" s="2" t="s">
        <v>855</v>
      </c>
      <c r="D2691" s="31">
        <f t="shared" si="91"/>
        <v>0.15773790134757071</v>
      </c>
      <c r="F2691" s="2" t="s">
        <v>822</v>
      </c>
      <c r="G2691" s="23" t="s">
        <v>902</v>
      </c>
      <c r="H2691" s="2" t="s">
        <v>822</v>
      </c>
      <c r="J2691" s="31">
        <v>42.082099900000003</v>
      </c>
      <c r="K2691" s="31">
        <v>-42.634799999999998</v>
      </c>
      <c r="L2691" s="31"/>
      <c r="M2691" s="31" t="s">
        <v>854</v>
      </c>
      <c r="N2691" s="6" t="s">
        <v>856</v>
      </c>
    </row>
    <row r="2692" spans="1:14" ht="15" customHeight="1" x14ac:dyDescent="0.2">
      <c r="A2692" s="31">
        <v>0.80472989733171463</v>
      </c>
      <c r="B2692" s="31"/>
      <c r="C2692" s="2" t="s">
        <v>855</v>
      </c>
      <c r="D2692" s="31">
        <f t="shared" si="91"/>
        <v>0.15772705987701607</v>
      </c>
      <c r="F2692" s="2" t="s">
        <v>822</v>
      </c>
      <c r="G2692" s="23" t="s">
        <v>902</v>
      </c>
      <c r="H2692" s="2" t="s">
        <v>822</v>
      </c>
      <c r="J2692" s="31">
        <v>51.233898199999999</v>
      </c>
      <c r="K2692" s="31">
        <v>-5.4059400999999996</v>
      </c>
      <c r="L2692" s="31"/>
      <c r="M2692" s="31" t="s">
        <v>854</v>
      </c>
      <c r="N2692" s="6" t="s">
        <v>856</v>
      </c>
    </row>
    <row r="2693" spans="1:14" ht="15" customHeight="1" x14ac:dyDescent="0.2">
      <c r="A2693" s="31">
        <v>0.80472469347337028</v>
      </c>
      <c r="B2693" s="31"/>
      <c r="C2693" s="2" t="s">
        <v>855</v>
      </c>
      <c r="D2693" s="31">
        <f t="shared" si="91"/>
        <v>0.15772603992078058</v>
      </c>
      <c r="F2693" s="2" t="s">
        <v>822</v>
      </c>
      <c r="G2693" s="23" t="s">
        <v>902</v>
      </c>
      <c r="H2693" s="2" t="s">
        <v>822</v>
      </c>
      <c r="J2693" s="31">
        <v>38.089801799999996</v>
      </c>
      <c r="K2693" s="31">
        <v>-18.527599299999999</v>
      </c>
      <c r="L2693" s="31"/>
      <c r="M2693" s="31" t="s">
        <v>854</v>
      </c>
      <c r="N2693" s="6" t="s">
        <v>856</v>
      </c>
    </row>
    <row r="2694" spans="1:14" ht="15" customHeight="1" x14ac:dyDescent="0.2">
      <c r="A2694" s="31">
        <v>0.8042005597100581</v>
      </c>
      <c r="B2694" s="31"/>
      <c r="C2694" s="2" t="s">
        <v>855</v>
      </c>
      <c r="D2694" s="31">
        <f t="shared" si="91"/>
        <v>0.1576233097031714</v>
      </c>
      <c r="F2694" s="2" t="s">
        <v>822</v>
      </c>
      <c r="G2694" s="23" t="s">
        <v>902</v>
      </c>
      <c r="H2694" s="2" t="s">
        <v>822</v>
      </c>
      <c r="J2694" s="31">
        <v>33.134700799999997</v>
      </c>
      <c r="K2694" s="31">
        <v>17.455299400000001</v>
      </c>
      <c r="L2694" s="31"/>
      <c r="M2694" s="31" t="s">
        <v>854</v>
      </c>
      <c r="N2694" s="6" t="s">
        <v>856</v>
      </c>
    </row>
    <row r="2695" spans="1:14" ht="15" customHeight="1" x14ac:dyDescent="0.2">
      <c r="A2695" s="31">
        <v>0.80407719924108079</v>
      </c>
      <c r="B2695" s="31"/>
      <c r="C2695" s="2" t="s">
        <v>855</v>
      </c>
      <c r="D2695" s="31">
        <f t="shared" si="91"/>
        <v>0.15759913105125184</v>
      </c>
      <c r="F2695" s="2" t="s">
        <v>822</v>
      </c>
      <c r="G2695" s="23" t="s">
        <v>902</v>
      </c>
      <c r="H2695" s="2" t="s">
        <v>822</v>
      </c>
      <c r="J2695" s="31">
        <v>42.740001700000001</v>
      </c>
      <c r="K2695" s="31">
        <v>-41.285198200000004</v>
      </c>
      <c r="L2695" s="31"/>
      <c r="M2695" s="31" t="s">
        <v>854</v>
      </c>
      <c r="N2695" s="6" t="s">
        <v>856</v>
      </c>
    </row>
    <row r="2696" spans="1:14" ht="15" customHeight="1" x14ac:dyDescent="0.2">
      <c r="A2696" s="31">
        <v>0.80388021989395753</v>
      </c>
      <c r="B2696" s="31"/>
      <c r="C2696" s="2" t="s">
        <v>855</v>
      </c>
      <c r="D2696" s="31">
        <f t="shared" si="91"/>
        <v>0.15756052309921567</v>
      </c>
      <c r="F2696" s="2" t="s">
        <v>822</v>
      </c>
      <c r="G2696" s="23" t="s">
        <v>902</v>
      </c>
      <c r="H2696" s="2" t="s">
        <v>822</v>
      </c>
      <c r="J2696" s="31">
        <v>35.391998299999997</v>
      </c>
      <c r="K2696" s="31">
        <v>20.899999600000001</v>
      </c>
      <c r="L2696" s="31"/>
      <c r="M2696" s="31" t="s">
        <v>854</v>
      </c>
      <c r="N2696" s="6" t="s">
        <v>856</v>
      </c>
    </row>
    <row r="2697" spans="1:14" ht="15" customHeight="1" x14ac:dyDescent="0.2">
      <c r="A2697" s="31">
        <v>0.80354850336823302</v>
      </c>
      <c r="B2697" s="31"/>
      <c r="C2697" s="2" t="s">
        <v>855</v>
      </c>
      <c r="D2697" s="31">
        <f t="shared" si="91"/>
        <v>0.15749550666017367</v>
      </c>
      <c r="F2697" s="2" t="s">
        <v>822</v>
      </c>
      <c r="G2697" s="23" t="s">
        <v>902</v>
      </c>
      <c r="H2697" s="2" t="s">
        <v>822</v>
      </c>
      <c r="J2697" s="31">
        <v>34.029800399999999</v>
      </c>
      <c r="K2697" s="31">
        <v>10.3352003</v>
      </c>
      <c r="L2697" s="31"/>
      <c r="M2697" s="31" t="s">
        <v>854</v>
      </c>
      <c r="N2697" s="6" t="s">
        <v>856</v>
      </c>
    </row>
    <row r="2698" spans="1:14" ht="15" customHeight="1" x14ac:dyDescent="0.2">
      <c r="A2698" s="31">
        <v>0.8035120466350667</v>
      </c>
      <c r="B2698" s="31"/>
      <c r="C2698" s="2" t="s">
        <v>855</v>
      </c>
      <c r="D2698" s="31">
        <f t="shared" si="91"/>
        <v>0.15748836114047307</v>
      </c>
      <c r="F2698" s="2" t="s">
        <v>822</v>
      </c>
      <c r="G2698" s="23" t="s">
        <v>902</v>
      </c>
      <c r="H2698" s="2" t="s">
        <v>822</v>
      </c>
      <c r="J2698" s="31">
        <v>35.391998299999997</v>
      </c>
      <c r="K2698" s="31">
        <v>-21.851999299999999</v>
      </c>
      <c r="L2698" s="31"/>
      <c r="M2698" s="31" t="s">
        <v>854</v>
      </c>
      <c r="N2698" s="6" t="s">
        <v>856</v>
      </c>
    </row>
    <row r="2699" spans="1:14" ht="15" customHeight="1" x14ac:dyDescent="0.2">
      <c r="A2699" s="31">
        <v>0.80318538893846725</v>
      </c>
      <c r="B2699" s="31"/>
      <c r="C2699" s="2" t="s">
        <v>855</v>
      </c>
      <c r="D2699" s="31">
        <f t="shared" si="91"/>
        <v>0.15742433623193958</v>
      </c>
      <c r="F2699" s="2" t="s">
        <v>822</v>
      </c>
      <c r="G2699" s="23" t="s">
        <v>902</v>
      </c>
      <c r="H2699" s="2" t="s">
        <v>822</v>
      </c>
      <c r="J2699" s="31">
        <v>55.2505989</v>
      </c>
      <c r="K2699" s="31">
        <v>5.3448399999999996</v>
      </c>
      <c r="L2699" s="31"/>
      <c r="M2699" s="31" t="s">
        <v>854</v>
      </c>
      <c r="N2699" s="6" t="s">
        <v>856</v>
      </c>
    </row>
    <row r="2700" spans="1:14" ht="15" customHeight="1" x14ac:dyDescent="0.2">
      <c r="A2700" s="31">
        <v>0.80314160850580563</v>
      </c>
      <c r="B2700" s="31"/>
      <c r="C2700" s="2" t="s">
        <v>855</v>
      </c>
      <c r="D2700" s="31">
        <f t="shared" si="91"/>
        <v>0.15741575526713791</v>
      </c>
      <c r="F2700" s="2" t="s">
        <v>822</v>
      </c>
      <c r="G2700" s="23" t="s">
        <v>902</v>
      </c>
      <c r="H2700" s="2" t="s">
        <v>822</v>
      </c>
      <c r="J2700" s="31">
        <v>34.185501100000003</v>
      </c>
      <c r="K2700" s="31">
        <v>21.2793007</v>
      </c>
      <c r="L2700" s="31"/>
      <c r="M2700" s="31" t="s">
        <v>854</v>
      </c>
      <c r="N2700" s="6" t="s">
        <v>856</v>
      </c>
    </row>
    <row r="2701" spans="1:14" ht="15" customHeight="1" x14ac:dyDescent="0.2">
      <c r="A2701" s="31">
        <v>0.8031396068613752</v>
      </c>
      <c r="B2701" s="31"/>
      <c r="C2701" s="2" t="s">
        <v>855</v>
      </c>
      <c r="D2701" s="31">
        <f t="shared" si="91"/>
        <v>0.15741536294482955</v>
      </c>
      <c r="F2701" s="2" t="s">
        <v>822</v>
      </c>
      <c r="G2701" s="23" t="s">
        <v>902</v>
      </c>
      <c r="H2701" s="2" t="s">
        <v>822</v>
      </c>
      <c r="J2701" s="31">
        <v>28.0440006</v>
      </c>
      <c r="K2701" s="31">
        <v>-35.880001100000001</v>
      </c>
      <c r="L2701" s="31"/>
      <c r="M2701" s="31" t="s">
        <v>854</v>
      </c>
      <c r="N2701" s="6" t="s">
        <v>856</v>
      </c>
    </row>
    <row r="2702" spans="1:14" ht="15" customHeight="1" x14ac:dyDescent="0.2">
      <c r="A2702" s="31">
        <v>0.80277247832817333</v>
      </c>
      <c r="B2702" s="31"/>
      <c r="C2702" s="2" t="s">
        <v>855</v>
      </c>
      <c r="D2702" s="31">
        <f t="shared" si="91"/>
        <v>0.15734340575232197</v>
      </c>
      <c r="F2702" s="2" t="s">
        <v>822</v>
      </c>
      <c r="G2702" s="23" t="s">
        <v>902</v>
      </c>
      <c r="H2702" s="2" t="s">
        <v>822</v>
      </c>
      <c r="J2702" s="31">
        <v>29.3799992</v>
      </c>
      <c r="K2702" s="31">
        <v>-38.551998099999999</v>
      </c>
      <c r="L2702" s="31"/>
      <c r="M2702" s="31" t="s">
        <v>854</v>
      </c>
      <c r="N2702" s="6" t="s">
        <v>856</v>
      </c>
    </row>
    <row r="2703" spans="1:14" ht="15" customHeight="1" x14ac:dyDescent="0.2">
      <c r="A2703" s="31">
        <v>0.80267381103157343</v>
      </c>
      <c r="B2703" s="31"/>
      <c r="C2703" s="2" t="s">
        <v>855</v>
      </c>
      <c r="D2703" s="31">
        <f t="shared" si="91"/>
        <v>0.1573240669621884</v>
      </c>
      <c r="F2703" s="2" t="s">
        <v>822</v>
      </c>
      <c r="G2703" s="23" t="s">
        <v>902</v>
      </c>
      <c r="H2703" s="2" t="s">
        <v>822</v>
      </c>
      <c r="J2703" s="31">
        <v>40.733001700000003</v>
      </c>
      <c r="K2703" s="31">
        <v>-26.498199499999998</v>
      </c>
      <c r="L2703" s="31"/>
      <c r="M2703" s="31" t="s">
        <v>854</v>
      </c>
      <c r="N2703" s="6" t="s">
        <v>856</v>
      </c>
    </row>
    <row r="2704" spans="1:14" ht="15" customHeight="1" x14ac:dyDescent="0.2">
      <c r="A2704" s="31">
        <v>0.80263497581759735</v>
      </c>
      <c r="B2704" s="31"/>
      <c r="C2704" s="2" t="s">
        <v>855</v>
      </c>
      <c r="D2704" s="31">
        <f t="shared" si="91"/>
        <v>0.15731645526024909</v>
      </c>
      <c r="F2704" s="2" t="s">
        <v>822</v>
      </c>
      <c r="G2704" s="23" t="s">
        <v>902</v>
      </c>
      <c r="H2704" s="2" t="s">
        <v>822</v>
      </c>
      <c r="J2704" s="31">
        <v>28.711999899999999</v>
      </c>
      <c r="K2704" s="31">
        <v>-20.516000699999999</v>
      </c>
      <c r="L2704" s="31"/>
      <c r="M2704" s="31" t="s">
        <v>854</v>
      </c>
      <c r="N2704" s="6" t="s">
        <v>856</v>
      </c>
    </row>
    <row r="2705" spans="1:14" ht="15" customHeight="1" x14ac:dyDescent="0.2">
      <c r="A2705" s="31">
        <v>0.80247095443050664</v>
      </c>
      <c r="B2705" s="31"/>
      <c r="C2705" s="2" t="s">
        <v>855</v>
      </c>
      <c r="D2705" s="31">
        <f t="shared" si="91"/>
        <v>0.15728430706837931</v>
      </c>
      <c r="F2705" s="2" t="s">
        <v>822</v>
      </c>
      <c r="G2705" s="23" t="s">
        <v>902</v>
      </c>
      <c r="H2705" s="2" t="s">
        <v>822</v>
      </c>
      <c r="J2705" s="31">
        <v>30.8777008</v>
      </c>
      <c r="K2705" s="31">
        <v>-11.3776999</v>
      </c>
      <c r="L2705" s="31"/>
      <c r="M2705" s="31" t="s">
        <v>854</v>
      </c>
      <c r="N2705" s="6" t="s">
        <v>856</v>
      </c>
    </row>
    <row r="2706" spans="1:14" ht="15" customHeight="1" x14ac:dyDescent="0.2">
      <c r="A2706" s="31">
        <v>0.80240903771508276</v>
      </c>
      <c r="B2706" s="31"/>
      <c r="C2706" s="2" t="s">
        <v>855</v>
      </c>
      <c r="D2706" s="31">
        <f t="shared" si="91"/>
        <v>0.15727217139215624</v>
      </c>
      <c r="F2706" s="2" t="s">
        <v>822</v>
      </c>
      <c r="G2706" s="23" t="s">
        <v>902</v>
      </c>
      <c r="H2706" s="2" t="s">
        <v>822</v>
      </c>
      <c r="J2706" s="31">
        <v>60.564701100000001</v>
      </c>
      <c r="K2706" s="31">
        <v>17.982700300000001</v>
      </c>
      <c r="L2706" s="31"/>
      <c r="M2706" s="31" t="s">
        <v>854</v>
      </c>
      <c r="N2706" s="6" t="s">
        <v>856</v>
      </c>
    </row>
    <row r="2707" spans="1:14" ht="15" customHeight="1" x14ac:dyDescent="0.2">
      <c r="A2707" s="31">
        <v>0.80201832199869894</v>
      </c>
      <c r="B2707" s="31"/>
      <c r="C2707" s="2" t="s">
        <v>855</v>
      </c>
      <c r="D2707" s="31">
        <f t="shared" si="91"/>
        <v>0.157195591111745</v>
      </c>
      <c r="F2707" s="2" t="s">
        <v>822</v>
      </c>
      <c r="G2707" s="23" t="s">
        <v>902</v>
      </c>
      <c r="H2707" s="2" t="s">
        <v>822</v>
      </c>
      <c r="J2707" s="31">
        <v>32.720001199999999</v>
      </c>
      <c r="K2707" s="31">
        <v>-31.204000499999999</v>
      </c>
      <c r="L2707" s="31"/>
      <c r="M2707" s="31" t="s">
        <v>854</v>
      </c>
      <c r="N2707" s="6" t="s">
        <v>856</v>
      </c>
    </row>
    <row r="2708" spans="1:14" ht="15" customHeight="1" x14ac:dyDescent="0.2">
      <c r="A2708" s="31">
        <v>0.8018279873805999</v>
      </c>
      <c r="B2708" s="31"/>
      <c r="C2708" s="2" t="s">
        <v>855</v>
      </c>
      <c r="D2708" s="31">
        <f t="shared" si="91"/>
        <v>0.15715828552659758</v>
      </c>
      <c r="F2708" s="2" t="s">
        <v>822</v>
      </c>
      <c r="G2708" s="23" t="s">
        <v>902</v>
      </c>
      <c r="H2708" s="2" t="s">
        <v>822</v>
      </c>
      <c r="J2708" s="31">
        <v>43.5270996</v>
      </c>
      <c r="K2708" s="31">
        <v>-17.1609993</v>
      </c>
      <c r="L2708" s="31"/>
      <c r="M2708" s="31" t="s">
        <v>854</v>
      </c>
      <c r="N2708" s="6" t="s">
        <v>856</v>
      </c>
    </row>
    <row r="2709" spans="1:14" ht="15" customHeight="1" x14ac:dyDescent="0.2">
      <c r="A2709" s="31">
        <v>0.80079402776878661</v>
      </c>
      <c r="B2709" s="31"/>
      <c r="C2709" s="2" t="s">
        <v>855</v>
      </c>
      <c r="D2709" s="31">
        <f t="shared" si="91"/>
        <v>0.15695562944268218</v>
      </c>
      <c r="F2709" s="2" t="s">
        <v>822</v>
      </c>
      <c r="G2709" s="23" t="s">
        <v>902</v>
      </c>
      <c r="H2709" s="2" t="s">
        <v>822</v>
      </c>
      <c r="J2709" s="31">
        <v>34.055999800000002</v>
      </c>
      <c r="K2709" s="31">
        <v>-15.8400002</v>
      </c>
      <c r="L2709" s="31"/>
      <c r="M2709" s="31" t="s">
        <v>854</v>
      </c>
      <c r="N2709" s="6" t="s">
        <v>856</v>
      </c>
    </row>
    <row r="2710" spans="1:14" ht="15" customHeight="1" x14ac:dyDescent="0.2">
      <c r="A2710" s="31">
        <v>0.79982989281502914</v>
      </c>
      <c r="B2710" s="31"/>
      <c r="C2710" s="2" t="s">
        <v>855</v>
      </c>
      <c r="D2710" s="31">
        <f t="shared" si="91"/>
        <v>0.15676665899174572</v>
      </c>
      <c r="F2710" s="2" t="s">
        <v>822</v>
      </c>
      <c r="G2710" s="23" t="s">
        <v>902</v>
      </c>
      <c r="H2710" s="2" t="s">
        <v>822</v>
      </c>
      <c r="J2710" s="31">
        <v>43.170799299999999</v>
      </c>
      <c r="K2710" s="31">
        <v>-35.927200300000003</v>
      </c>
      <c r="L2710" s="31"/>
      <c r="M2710" s="31" t="s">
        <v>854</v>
      </c>
      <c r="N2710" s="6" t="s">
        <v>856</v>
      </c>
    </row>
    <row r="2711" spans="1:14" ht="15" customHeight="1" x14ac:dyDescent="0.2">
      <c r="A2711" s="31">
        <v>0.79980249270004566</v>
      </c>
      <c r="B2711" s="31"/>
      <c r="C2711" s="2" t="s">
        <v>855</v>
      </c>
      <c r="D2711" s="31">
        <f t="shared" si="91"/>
        <v>0.15676128856920896</v>
      </c>
      <c r="F2711" s="2" t="s">
        <v>822</v>
      </c>
      <c r="G2711" s="23" t="s">
        <v>902</v>
      </c>
      <c r="H2711" s="2" t="s">
        <v>822</v>
      </c>
      <c r="J2711" s="31">
        <v>44.076000200000003</v>
      </c>
      <c r="K2711" s="31">
        <v>-33.208000200000001</v>
      </c>
      <c r="L2711" s="31"/>
      <c r="M2711" s="31" t="s">
        <v>854</v>
      </c>
      <c r="N2711" s="6" t="s">
        <v>856</v>
      </c>
    </row>
    <row r="2712" spans="1:14" ht="15" customHeight="1" x14ac:dyDescent="0.2">
      <c r="A2712" s="31">
        <v>0.79978133776788018</v>
      </c>
      <c r="B2712" s="31"/>
      <c r="C2712" s="2" t="s">
        <v>855</v>
      </c>
      <c r="D2712" s="31">
        <f t="shared" si="91"/>
        <v>0.15675714220250453</v>
      </c>
      <c r="F2712" s="2" t="s">
        <v>822</v>
      </c>
      <c r="G2712" s="23" t="s">
        <v>902</v>
      </c>
      <c r="H2712" s="2" t="s">
        <v>822</v>
      </c>
      <c r="J2712" s="31">
        <v>44.522499099999997</v>
      </c>
      <c r="K2712" s="31">
        <v>13.9076004</v>
      </c>
      <c r="L2712" s="31"/>
      <c r="M2712" s="31" t="s">
        <v>854</v>
      </c>
      <c r="N2712" s="6" t="s">
        <v>856</v>
      </c>
    </row>
    <row r="2713" spans="1:14" ht="15" customHeight="1" x14ac:dyDescent="0.2">
      <c r="A2713" s="31">
        <v>0.79972331506601813</v>
      </c>
      <c r="B2713" s="31"/>
      <c r="C2713" s="2" t="s">
        <v>855</v>
      </c>
      <c r="D2713" s="31">
        <f t="shared" si="91"/>
        <v>0.15674576975293955</v>
      </c>
      <c r="F2713" s="2" t="s">
        <v>822</v>
      </c>
      <c r="G2713" s="23" t="s">
        <v>902</v>
      </c>
      <c r="H2713" s="2" t="s">
        <v>822</v>
      </c>
      <c r="J2713" s="31">
        <v>54.541599300000001</v>
      </c>
      <c r="K2713" s="31">
        <v>7.4718399</v>
      </c>
      <c r="L2713" s="31"/>
      <c r="M2713" s="31" t="s">
        <v>854</v>
      </c>
      <c r="N2713" s="6" t="s">
        <v>856</v>
      </c>
    </row>
    <row r="2714" spans="1:14" ht="15" customHeight="1" x14ac:dyDescent="0.2">
      <c r="A2714" s="31">
        <v>0.79947468619630802</v>
      </c>
      <c r="B2714" s="31"/>
      <c r="C2714" s="2" t="s">
        <v>855</v>
      </c>
      <c r="D2714" s="31">
        <f t="shared" si="91"/>
        <v>0.15669703849447639</v>
      </c>
      <c r="F2714" s="2" t="s">
        <v>822</v>
      </c>
      <c r="G2714" s="23" t="s">
        <v>902</v>
      </c>
      <c r="H2714" s="2" t="s">
        <v>822</v>
      </c>
      <c r="J2714" s="31">
        <v>35.8843994</v>
      </c>
      <c r="K2714" s="31">
        <v>-38.108600600000003</v>
      </c>
      <c r="L2714" s="31"/>
      <c r="M2714" s="31" t="s">
        <v>854</v>
      </c>
      <c r="N2714" s="6" t="s">
        <v>856</v>
      </c>
    </row>
    <row r="2715" spans="1:14" ht="15" customHeight="1" x14ac:dyDescent="0.2">
      <c r="A2715" s="31">
        <v>0.79921473865082637</v>
      </c>
      <c r="B2715" s="31"/>
      <c r="C2715" s="2" t="s">
        <v>855</v>
      </c>
      <c r="D2715" s="31">
        <f t="shared" si="91"/>
        <v>0.15664608877556196</v>
      </c>
      <c r="F2715" s="2" t="s">
        <v>822</v>
      </c>
      <c r="G2715" s="23" t="s">
        <v>902</v>
      </c>
      <c r="H2715" s="2" t="s">
        <v>822</v>
      </c>
      <c r="J2715" s="31">
        <v>42.516700700000001</v>
      </c>
      <c r="K2715" s="31">
        <v>-16.619300800000001</v>
      </c>
      <c r="L2715" s="31"/>
      <c r="M2715" s="31" t="s">
        <v>854</v>
      </c>
      <c r="N2715" s="6" t="s">
        <v>856</v>
      </c>
    </row>
    <row r="2716" spans="1:14" ht="15" customHeight="1" x14ac:dyDescent="0.2">
      <c r="A2716" s="31">
        <v>0.79909375287496587</v>
      </c>
      <c r="B2716" s="31"/>
      <c r="C2716" s="2" t="s">
        <v>855</v>
      </c>
      <c r="D2716" s="31">
        <f t="shared" ref="D2716:D2747" si="92" xml:space="preserve"> A2716 * 0.196</f>
        <v>0.15662237556349332</v>
      </c>
      <c r="F2716" s="2" t="s">
        <v>822</v>
      </c>
      <c r="G2716" s="23" t="s">
        <v>902</v>
      </c>
      <c r="H2716" s="2" t="s">
        <v>822</v>
      </c>
      <c r="J2716" s="31">
        <v>33.388000499999997</v>
      </c>
      <c r="K2716" s="31">
        <v>-19.1800003</v>
      </c>
      <c r="L2716" s="31"/>
      <c r="M2716" s="31" t="s">
        <v>854</v>
      </c>
      <c r="N2716" s="6" t="s">
        <v>856</v>
      </c>
    </row>
    <row r="2717" spans="1:14" ht="15" customHeight="1" x14ac:dyDescent="0.2">
      <c r="A2717" s="31">
        <v>0.7988601327082685</v>
      </c>
      <c r="B2717" s="31"/>
      <c r="C2717" s="2" t="s">
        <v>855</v>
      </c>
      <c r="D2717" s="31">
        <f t="shared" si="92"/>
        <v>0.15657658601082064</v>
      </c>
      <c r="F2717" s="2" t="s">
        <v>822</v>
      </c>
      <c r="G2717" s="23" t="s">
        <v>902</v>
      </c>
      <c r="H2717" s="2" t="s">
        <v>822</v>
      </c>
      <c r="J2717" s="31">
        <v>37.395500200000001</v>
      </c>
      <c r="K2717" s="31">
        <v>-23.187700299999999</v>
      </c>
      <c r="L2717" s="31"/>
      <c r="M2717" s="31" t="s">
        <v>854</v>
      </c>
      <c r="N2717" s="6" t="s">
        <v>856</v>
      </c>
    </row>
    <row r="2718" spans="1:14" ht="15" customHeight="1" x14ac:dyDescent="0.2">
      <c r="A2718" s="31">
        <v>0.79883069863707412</v>
      </c>
      <c r="B2718" s="31"/>
      <c r="C2718" s="2" t="s">
        <v>855</v>
      </c>
      <c r="D2718" s="31">
        <f t="shared" si="92"/>
        <v>0.15657081693286654</v>
      </c>
      <c r="F2718" s="2" t="s">
        <v>822</v>
      </c>
      <c r="G2718" s="23" t="s">
        <v>902</v>
      </c>
      <c r="H2718" s="2" t="s">
        <v>822</v>
      </c>
      <c r="J2718" s="31">
        <v>46.5575981</v>
      </c>
      <c r="K2718" s="31">
        <v>-5.3180699000000002</v>
      </c>
      <c r="L2718" s="31"/>
      <c r="M2718" s="31" t="s">
        <v>854</v>
      </c>
      <c r="N2718" s="6" t="s">
        <v>856</v>
      </c>
    </row>
    <row r="2719" spans="1:14" ht="15" customHeight="1" x14ac:dyDescent="0.2">
      <c r="A2719" s="31">
        <v>0.79868320154775163</v>
      </c>
      <c r="B2719" s="31"/>
      <c r="C2719" s="2" t="s">
        <v>855</v>
      </c>
      <c r="D2719" s="31">
        <f t="shared" si="92"/>
        <v>0.15654190750335933</v>
      </c>
      <c r="F2719" s="2" t="s">
        <v>822</v>
      </c>
      <c r="G2719" s="23" t="s">
        <v>902</v>
      </c>
      <c r="H2719" s="2" t="s">
        <v>822</v>
      </c>
      <c r="J2719" s="31">
        <v>36.750701900000003</v>
      </c>
      <c r="K2719" s="31">
        <v>25.9344006</v>
      </c>
      <c r="L2719" s="31"/>
      <c r="M2719" s="31" t="s">
        <v>854</v>
      </c>
      <c r="N2719" s="6" t="s">
        <v>856</v>
      </c>
    </row>
    <row r="2720" spans="1:14" ht="15" customHeight="1" x14ac:dyDescent="0.2">
      <c r="A2720" s="31">
        <v>0.79865952810846919</v>
      </c>
      <c r="B2720" s="31"/>
      <c r="C2720" s="2" t="s">
        <v>855</v>
      </c>
      <c r="D2720" s="31">
        <f t="shared" si="92"/>
        <v>0.15653726750925998</v>
      </c>
      <c r="F2720" s="2" t="s">
        <v>822</v>
      </c>
      <c r="G2720" s="23" t="s">
        <v>902</v>
      </c>
      <c r="H2720" s="2" t="s">
        <v>822</v>
      </c>
      <c r="J2720" s="31">
        <v>41.801898999999999</v>
      </c>
      <c r="K2720" s="31">
        <v>3.1287099999999999</v>
      </c>
      <c r="L2720" s="31"/>
      <c r="M2720" s="31" t="s">
        <v>854</v>
      </c>
      <c r="N2720" s="6" t="s">
        <v>856</v>
      </c>
    </row>
    <row r="2721" spans="1:14" ht="15" customHeight="1" x14ac:dyDescent="0.2">
      <c r="A2721" s="31">
        <v>0.79865921746496094</v>
      </c>
      <c r="B2721" s="31"/>
      <c r="C2721" s="2" t="s">
        <v>855</v>
      </c>
      <c r="D2721" s="31">
        <f t="shared" si="92"/>
        <v>0.15653720662313234</v>
      </c>
      <c r="F2721" s="2" t="s">
        <v>822</v>
      </c>
      <c r="G2721" s="23" t="s">
        <v>902</v>
      </c>
      <c r="H2721" s="2" t="s">
        <v>822</v>
      </c>
      <c r="J2721" s="31">
        <v>35.838600200000002</v>
      </c>
      <c r="K2721" s="31">
        <v>-15.0607004</v>
      </c>
      <c r="L2721" s="31"/>
      <c r="M2721" s="31" t="s">
        <v>854</v>
      </c>
      <c r="N2721" s="6" t="s">
        <v>856</v>
      </c>
    </row>
    <row r="2722" spans="1:14" ht="15" customHeight="1" x14ac:dyDescent="0.2">
      <c r="A2722" s="31">
        <v>0.79807138809762934</v>
      </c>
      <c r="B2722" s="31"/>
      <c r="C2722" s="2" t="s">
        <v>855</v>
      </c>
      <c r="D2722" s="31">
        <f t="shared" si="92"/>
        <v>0.15642199206713536</v>
      </c>
      <c r="F2722" s="2" t="s">
        <v>822</v>
      </c>
      <c r="G2722" s="23" t="s">
        <v>902</v>
      </c>
      <c r="H2722" s="2" t="s">
        <v>822</v>
      </c>
      <c r="J2722" s="31">
        <v>29.653400399999999</v>
      </c>
      <c r="K2722" s="31">
        <v>-13.4731998</v>
      </c>
      <c r="L2722" s="31"/>
      <c r="M2722" s="31" t="s">
        <v>854</v>
      </c>
      <c r="N2722" s="6" t="s">
        <v>856</v>
      </c>
    </row>
    <row r="2723" spans="1:14" ht="15" customHeight="1" x14ac:dyDescent="0.2">
      <c r="A2723" s="31">
        <v>0.79806833490136952</v>
      </c>
      <c r="B2723" s="31"/>
      <c r="C2723" s="2" t="s">
        <v>855</v>
      </c>
      <c r="D2723" s="31">
        <f t="shared" si="92"/>
        <v>0.15642139364066843</v>
      </c>
      <c r="F2723" s="2" t="s">
        <v>822</v>
      </c>
      <c r="G2723" s="23" t="s">
        <v>902</v>
      </c>
      <c r="H2723" s="2" t="s">
        <v>822</v>
      </c>
      <c r="J2723" s="31">
        <v>36.159500100000002</v>
      </c>
      <c r="K2723" s="31">
        <v>-14.7343998</v>
      </c>
      <c r="L2723" s="31"/>
      <c r="M2723" s="31" t="s">
        <v>854</v>
      </c>
      <c r="N2723" s="6" t="s">
        <v>856</v>
      </c>
    </row>
    <row r="2724" spans="1:14" ht="15" customHeight="1" x14ac:dyDescent="0.2">
      <c r="A2724" s="31">
        <v>0.79804811599785419</v>
      </c>
      <c r="B2724" s="31"/>
      <c r="C2724" s="2" t="s">
        <v>855</v>
      </c>
      <c r="D2724" s="31">
        <f t="shared" si="92"/>
        <v>0.15641743073557943</v>
      </c>
      <c r="F2724" s="2" t="s">
        <v>822</v>
      </c>
      <c r="G2724" s="23" t="s">
        <v>902</v>
      </c>
      <c r="H2724" s="2" t="s">
        <v>822</v>
      </c>
      <c r="J2724" s="31">
        <v>35.395198800000003</v>
      </c>
      <c r="K2724" s="31">
        <v>-36.5447998</v>
      </c>
      <c r="L2724" s="31"/>
      <c r="M2724" s="31" t="s">
        <v>854</v>
      </c>
      <c r="N2724" s="6" t="s">
        <v>856</v>
      </c>
    </row>
    <row r="2725" spans="1:14" ht="15" customHeight="1" x14ac:dyDescent="0.2">
      <c r="A2725" s="31">
        <v>0.797991741102971</v>
      </c>
      <c r="B2725" s="31"/>
      <c r="C2725" s="2" t="s">
        <v>855</v>
      </c>
      <c r="D2725" s="31">
        <f t="shared" si="92"/>
        <v>0.15640638125618231</v>
      </c>
      <c r="F2725" s="2" t="s">
        <v>822</v>
      </c>
      <c r="G2725" s="23" t="s">
        <v>902</v>
      </c>
      <c r="H2725" s="2" t="s">
        <v>822</v>
      </c>
      <c r="J2725" s="31">
        <v>36.449401899999998</v>
      </c>
      <c r="K2725" s="31">
        <v>-14.324999800000001</v>
      </c>
      <c r="L2725" s="31"/>
      <c r="M2725" s="31" t="s">
        <v>854</v>
      </c>
      <c r="N2725" s="6" t="s">
        <v>856</v>
      </c>
    </row>
    <row r="2726" spans="1:14" ht="15" customHeight="1" x14ac:dyDescent="0.2">
      <c r="A2726" s="31">
        <v>0.79795946471280055</v>
      </c>
      <c r="B2726" s="31"/>
      <c r="C2726" s="2" t="s">
        <v>855</v>
      </c>
      <c r="D2726" s="31">
        <f t="shared" si="92"/>
        <v>0.15640005508370891</v>
      </c>
      <c r="F2726" s="2" t="s">
        <v>822</v>
      </c>
      <c r="G2726" s="23" t="s">
        <v>902</v>
      </c>
      <c r="H2726" s="2" t="s">
        <v>822</v>
      </c>
      <c r="J2726" s="31">
        <v>28.0440006</v>
      </c>
      <c r="K2726" s="31">
        <v>-42.560001399999997</v>
      </c>
      <c r="L2726" s="31"/>
      <c r="M2726" s="31" t="s">
        <v>854</v>
      </c>
      <c r="N2726" s="6" t="s">
        <v>856</v>
      </c>
    </row>
    <row r="2727" spans="1:14" ht="15" customHeight="1" x14ac:dyDescent="0.2">
      <c r="A2727" s="31">
        <v>0.79779380729426619</v>
      </c>
      <c r="B2727" s="31"/>
      <c r="C2727" s="2" t="s">
        <v>855</v>
      </c>
      <c r="D2727" s="31">
        <f t="shared" si="92"/>
        <v>0.15636758622967617</v>
      </c>
      <c r="F2727" s="2" t="s">
        <v>822</v>
      </c>
      <c r="G2727" s="23" t="s">
        <v>902</v>
      </c>
      <c r="H2727" s="2" t="s">
        <v>822</v>
      </c>
      <c r="J2727" s="31">
        <v>35.401901199999998</v>
      </c>
      <c r="K2727" s="31">
        <v>-24.5105</v>
      </c>
      <c r="L2727" s="31"/>
      <c r="M2727" s="31" t="s">
        <v>854</v>
      </c>
      <c r="N2727" s="6" t="s">
        <v>856</v>
      </c>
    </row>
    <row r="2728" spans="1:14" ht="15" customHeight="1" x14ac:dyDescent="0.2">
      <c r="A2728" s="31">
        <v>0.79772879642231875</v>
      </c>
      <c r="B2728" s="31"/>
      <c r="C2728" s="2" t="s">
        <v>855</v>
      </c>
      <c r="D2728" s="31">
        <f t="shared" si="92"/>
        <v>0.15635484409877448</v>
      </c>
      <c r="F2728" s="2" t="s">
        <v>822</v>
      </c>
      <c r="G2728" s="23" t="s">
        <v>902</v>
      </c>
      <c r="H2728" s="2" t="s">
        <v>822</v>
      </c>
      <c r="J2728" s="31">
        <v>32.674098999999998</v>
      </c>
      <c r="K2728" s="31">
        <v>-41.630901299999998</v>
      </c>
      <c r="L2728" s="31"/>
      <c r="M2728" s="31" t="s">
        <v>854</v>
      </c>
      <c r="N2728" s="6" t="s">
        <v>856</v>
      </c>
    </row>
    <row r="2729" spans="1:14" ht="15" customHeight="1" x14ac:dyDescent="0.2">
      <c r="A2729" s="31">
        <v>0.79772487821288607</v>
      </c>
      <c r="B2729" s="31"/>
      <c r="C2729" s="2" t="s">
        <v>855</v>
      </c>
      <c r="D2729" s="31">
        <f t="shared" si="92"/>
        <v>0.15635407612972568</v>
      </c>
      <c r="F2729" s="2" t="s">
        <v>822</v>
      </c>
      <c r="G2729" s="23" t="s">
        <v>902</v>
      </c>
      <c r="H2729" s="2" t="s">
        <v>822</v>
      </c>
      <c r="J2729" s="31">
        <v>42.3572998</v>
      </c>
      <c r="K2729" s="31">
        <v>-29.107999800000002</v>
      </c>
      <c r="L2729" s="31"/>
      <c r="M2729" s="31" t="s">
        <v>854</v>
      </c>
      <c r="N2729" s="6" t="s">
        <v>856</v>
      </c>
    </row>
    <row r="2730" spans="1:14" ht="15" customHeight="1" x14ac:dyDescent="0.2">
      <c r="A2730" s="31">
        <v>0.79765386553293316</v>
      </c>
      <c r="B2730" s="31"/>
      <c r="C2730" s="2" t="s">
        <v>855</v>
      </c>
      <c r="D2730" s="31">
        <f t="shared" si="92"/>
        <v>0.15634015764445491</v>
      </c>
      <c r="F2730" s="2" t="s">
        <v>822</v>
      </c>
      <c r="G2730" s="23" t="s">
        <v>902</v>
      </c>
      <c r="H2730" s="2" t="s">
        <v>822</v>
      </c>
      <c r="J2730" s="31">
        <v>41.403999300000002</v>
      </c>
      <c r="K2730" s="31">
        <v>-41.891998299999997</v>
      </c>
      <c r="L2730" s="31"/>
      <c r="M2730" s="31" t="s">
        <v>854</v>
      </c>
      <c r="N2730" s="6" t="s">
        <v>856</v>
      </c>
    </row>
    <row r="2731" spans="1:14" ht="15" customHeight="1" x14ac:dyDescent="0.2">
      <c r="A2731" s="31">
        <v>0.79726373366222081</v>
      </c>
      <c r="B2731" s="31"/>
      <c r="C2731" s="2" t="s">
        <v>855</v>
      </c>
      <c r="D2731" s="31">
        <f t="shared" si="92"/>
        <v>0.15626369179779528</v>
      </c>
      <c r="F2731" s="2" t="s">
        <v>822</v>
      </c>
      <c r="G2731" s="23" t="s">
        <v>902</v>
      </c>
      <c r="H2731" s="2" t="s">
        <v>822</v>
      </c>
      <c r="J2731" s="31">
        <v>36.113498700000001</v>
      </c>
      <c r="K2731" s="31">
        <v>-16.870199199999998</v>
      </c>
      <c r="L2731" s="31"/>
      <c r="M2731" s="31" t="s">
        <v>854</v>
      </c>
      <c r="N2731" s="6" t="s">
        <v>856</v>
      </c>
    </row>
    <row r="2732" spans="1:14" ht="15" customHeight="1" x14ac:dyDescent="0.2">
      <c r="A2732" s="31">
        <v>0.79719107372594733</v>
      </c>
      <c r="B2732" s="31"/>
      <c r="C2732" s="2" t="s">
        <v>855</v>
      </c>
      <c r="D2732" s="31">
        <f t="shared" si="92"/>
        <v>0.15624945045028568</v>
      </c>
      <c r="F2732" s="2" t="s">
        <v>822</v>
      </c>
      <c r="G2732" s="23" t="s">
        <v>902</v>
      </c>
      <c r="H2732" s="2" t="s">
        <v>822</v>
      </c>
      <c r="J2732" s="31">
        <v>37.941600800000003</v>
      </c>
      <c r="K2732" s="31">
        <v>-0.51032999999999995</v>
      </c>
      <c r="L2732" s="31"/>
      <c r="M2732" s="31" t="s">
        <v>854</v>
      </c>
      <c r="N2732" s="6" t="s">
        <v>856</v>
      </c>
    </row>
    <row r="2733" spans="1:14" ht="15" customHeight="1" x14ac:dyDescent="0.2">
      <c r="A2733" s="31">
        <v>0.79710471010104811</v>
      </c>
      <c r="B2733" s="31"/>
      <c r="C2733" s="2" t="s">
        <v>855</v>
      </c>
      <c r="D2733" s="31">
        <f t="shared" si="92"/>
        <v>0.15623252317980543</v>
      </c>
      <c r="F2733" s="2" t="s">
        <v>822</v>
      </c>
      <c r="G2733" s="23" t="s">
        <v>902</v>
      </c>
      <c r="H2733" s="2" t="s">
        <v>822</v>
      </c>
      <c r="J2733" s="31">
        <v>36.060001399999997</v>
      </c>
      <c r="K2733" s="31">
        <v>-9.8280001000000006</v>
      </c>
      <c r="L2733" s="31"/>
      <c r="M2733" s="31" t="s">
        <v>854</v>
      </c>
      <c r="N2733" s="6" t="s">
        <v>856</v>
      </c>
    </row>
    <row r="2734" spans="1:14" ht="15" customHeight="1" x14ac:dyDescent="0.2">
      <c r="A2734" s="31">
        <v>0.79708794899126889</v>
      </c>
      <c r="B2734" s="31"/>
      <c r="C2734" s="2" t="s">
        <v>855</v>
      </c>
      <c r="D2734" s="31">
        <f t="shared" si="92"/>
        <v>0.15622923800228872</v>
      </c>
      <c r="F2734" s="2" t="s">
        <v>822</v>
      </c>
      <c r="G2734" s="23" t="s">
        <v>902</v>
      </c>
      <c r="H2734" s="2" t="s">
        <v>822</v>
      </c>
      <c r="J2734" s="31">
        <v>38.126701400000002</v>
      </c>
      <c r="K2734" s="31">
        <v>-25.778099099999999</v>
      </c>
      <c r="L2734" s="31"/>
      <c r="M2734" s="31" t="s">
        <v>854</v>
      </c>
      <c r="N2734" s="6" t="s">
        <v>856</v>
      </c>
    </row>
    <row r="2735" spans="1:14" ht="15" customHeight="1" x14ac:dyDescent="0.2">
      <c r="A2735" s="31">
        <v>0.79669371494966768</v>
      </c>
      <c r="B2735" s="31"/>
      <c r="C2735" s="2" t="s">
        <v>855</v>
      </c>
      <c r="D2735" s="31">
        <f t="shared" si="92"/>
        <v>0.15615196813013488</v>
      </c>
      <c r="F2735" s="2" t="s">
        <v>822</v>
      </c>
      <c r="G2735" s="23" t="s">
        <v>902</v>
      </c>
      <c r="H2735" s="2" t="s">
        <v>822</v>
      </c>
      <c r="J2735" s="31">
        <v>36.060001399999997</v>
      </c>
      <c r="K2735" s="31">
        <v>-24.5240002</v>
      </c>
      <c r="L2735" s="31"/>
      <c r="M2735" s="31" t="s">
        <v>854</v>
      </c>
      <c r="N2735" s="6" t="s">
        <v>856</v>
      </c>
    </row>
    <row r="2736" spans="1:14" ht="15" customHeight="1" x14ac:dyDescent="0.2">
      <c r="A2736" s="31">
        <v>0.79583104519143144</v>
      </c>
      <c r="B2736" s="31"/>
      <c r="C2736" s="2" t="s">
        <v>855</v>
      </c>
      <c r="D2736" s="31">
        <f t="shared" si="92"/>
        <v>0.15598288485752057</v>
      </c>
      <c r="F2736" s="2" t="s">
        <v>822</v>
      </c>
      <c r="G2736" s="23" t="s">
        <v>902</v>
      </c>
      <c r="H2736" s="2" t="s">
        <v>822</v>
      </c>
      <c r="J2736" s="31">
        <v>42.072200799999997</v>
      </c>
      <c r="K2736" s="31">
        <v>-23.8561993</v>
      </c>
      <c r="L2736" s="31"/>
      <c r="M2736" s="31" t="s">
        <v>854</v>
      </c>
      <c r="N2736" s="6" t="s">
        <v>856</v>
      </c>
    </row>
    <row r="2737" spans="1:14" ht="15" customHeight="1" x14ac:dyDescent="0.2">
      <c r="A2737" s="31">
        <v>0.79576248984475029</v>
      </c>
      <c r="B2737" s="31"/>
      <c r="C2737" s="2" t="s">
        <v>855</v>
      </c>
      <c r="D2737" s="31">
        <f t="shared" si="92"/>
        <v>0.15596944800957105</v>
      </c>
      <c r="F2737" s="2" t="s">
        <v>822</v>
      </c>
      <c r="G2737" s="23" t="s">
        <v>902</v>
      </c>
      <c r="H2737" s="2" t="s">
        <v>822</v>
      </c>
      <c r="J2737" s="31">
        <v>32.8058014</v>
      </c>
      <c r="K2737" s="31">
        <v>-10.025500299999999</v>
      </c>
      <c r="L2737" s="31"/>
      <c r="M2737" s="31" t="s">
        <v>854</v>
      </c>
      <c r="N2737" s="6" t="s">
        <v>856</v>
      </c>
    </row>
    <row r="2738" spans="1:14" ht="15" customHeight="1" x14ac:dyDescent="0.2">
      <c r="A2738" s="31">
        <v>0.79570997660732812</v>
      </c>
      <c r="B2738" s="31"/>
      <c r="C2738" s="2" t="s">
        <v>855</v>
      </c>
      <c r="D2738" s="31">
        <f t="shared" si="92"/>
        <v>0.15595915541503633</v>
      </c>
      <c r="F2738" s="2" t="s">
        <v>822</v>
      </c>
      <c r="G2738" s="23" t="s">
        <v>902</v>
      </c>
      <c r="H2738" s="2" t="s">
        <v>822</v>
      </c>
      <c r="J2738" s="31">
        <v>32.051998099999999</v>
      </c>
      <c r="K2738" s="31">
        <v>-15.8400002</v>
      </c>
      <c r="L2738" s="31"/>
      <c r="M2738" s="31" t="s">
        <v>854</v>
      </c>
      <c r="N2738" s="6" t="s">
        <v>856</v>
      </c>
    </row>
    <row r="2739" spans="1:14" ht="15" customHeight="1" x14ac:dyDescent="0.2">
      <c r="A2739" s="31">
        <v>0.79505489670340923</v>
      </c>
      <c r="B2739" s="31"/>
      <c r="C2739" s="2" t="s">
        <v>855</v>
      </c>
      <c r="D2739" s="31">
        <f t="shared" si="92"/>
        <v>0.1558307597538682</v>
      </c>
      <c r="F2739" s="2" t="s">
        <v>822</v>
      </c>
      <c r="G2739" s="23" t="s">
        <v>902</v>
      </c>
      <c r="H2739" s="2" t="s">
        <v>822</v>
      </c>
      <c r="J2739" s="31">
        <v>30.7159996</v>
      </c>
      <c r="K2739" s="31">
        <v>-33.875999499999999</v>
      </c>
      <c r="L2739" s="31"/>
      <c r="M2739" s="31" t="s">
        <v>854</v>
      </c>
      <c r="N2739" s="6" t="s">
        <v>856</v>
      </c>
    </row>
    <row r="2740" spans="1:14" ht="15" customHeight="1" x14ac:dyDescent="0.2">
      <c r="A2740" s="31">
        <v>0.79488170283963222</v>
      </c>
      <c r="B2740" s="31"/>
      <c r="C2740" s="2" t="s">
        <v>855</v>
      </c>
      <c r="D2740" s="31">
        <f t="shared" si="92"/>
        <v>0.15579681375656793</v>
      </c>
      <c r="F2740" s="2" t="s">
        <v>822</v>
      </c>
      <c r="G2740" s="23" t="s">
        <v>902</v>
      </c>
      <c r="H2740" s="2" t="s">
        <v>822</v>
      </c>
      <c r="J2740" s="31">
        <v>39.400001500000002</v>
      </c>
      <c r="K2740" s="31">
        <v>-40.555999800000002</v>
      </c>
      <c r="L2740" s="31"/>
      <c r="M2740" s="31" t="s">
        <v>854</v>
      </c>
      <c r="N2740" s="6" t="s">
        <v>856</v>
      </c>
    </row>
    <row r="2741" spans="1:14" ht="15" customHeight="1" x14ac:dyDescent="0.2">
      <c r="A2741" s="31">
        <v>0.79482816656172295</v>
      </c>
      <c r="B2741" s="31"/>
      <c r="C2741" s="2" t="s">
        <v>855</v>
      </c>
      <c r="D2741" s="31">
        <f t="shared" si="92"/>
        <v>0.15578632064609771</v>
      </c>
      <c r="F2741" s="2" t="s">
        <v>822</v>
      </c>
      <c r="G2741" s="23" t="s">
        <v>902</v>
      </c>
      <c r="H2741" s="2" t="s">
        <v>822</v>
      </c>
      <c r="J2741" s="31">
        <v>44.729999499999998</v>
      </c>
      <c r="K2741" s="31">
        <v>-13.091199899999999</v>
      </c>
      <c r="L2741" s="31"/>
      <c r="M2741" s="31" t="s">
        <v>854</v>
      </c>
      <c r="N2741" s="6" t="s">
        <v>856</v>
      </c>
    </row>
    <row r="2742" spans="1:14" ht="15" customHeight="1" x14ac:dyDescent="0.2">
      <c r="A2742" s="31">
        <v>0.79481303092093514</v>
      </c>
      <c r="B2742" s="31"/>
      <c r="C2742" s="2" t="s">
        <v>855</v>
      </c>
      <c r="D2742" s="31">
        <f t="shared" si="92"/>
        <v>0.15578335406050328</v>
      </c>
      <c r="F2742" s="2" t="s">
        <v>822</v>
      </c>
      <c r="G2742" s="23" t="s">
        <v>902</v>
      </c>
      <c r="H2742" s="2" t="s">
        <v>822</v>
      </c>
      <c r="J2742" s="31">
        <v>38.703498799999998</v>
      </c>
      <c r="K2742" s="31">
        <v>-17.147300699999999</v>
      </c>
      <c r="L2742" s="31"/>
      <c r="M2742" s="31" t="s">
        <v>854</v>
      </c>
      <c r="N2742" s="6" t="s">
        <v>856</v>
      </c>
    </row>
    <row r="2743" spans="1:14" ht="15" customHeight="1" x14ac:dyDescent="0.2">
      <c r="A2743" s="31">
        <v>0.79466496041433787</v>
      </c>
      <c r="B2743" s="31"/>
      <c r="C2743" s="2" t="s">
        <v>855</v>
      </c>
      <c r="D2743" s="31">
        <f t="shared" si="92"/>
        <v>0.15575433224121024</v>
      </c>
      <c r="F2743" s="2" t="s">
        <v>822</v>
      </c>
      <c r="G2743" s="23" t="s">
        <v>902</v>
      </c>
      <c r="H2743" s="2" t="s">
        <v>822</v>
      </c>
      <c r="J2743" s="31">
        <v>28.0440006</v>
      </c>
      <c r="K2743" s="31">
        <v>-22.520000499999998</v>
      </c>
      <c r="L2743" s="31"/>
      <c r="M2743" s="31" t="s">
        <v>854</v>
      </c>
      <c r="N2743" s="6" t="s">
        <v>856</v>
      </c>
    </row>
    <row r="2744" spans="1:14" ht="15" customHeight="1" x14ac:dyDescent="0.2">
      <c r="A2744" s="31">
        <v>0.79458888444481734</v>
      </c>
      <c r="B2744" s="31"/>
      <c r="C2744" s="2" t="s">
        <v>855</v>
      </c>
      <c r="D2744" s="31">
        <f t="shared" si="92"/>
        <v>0.15573942135118421</v>
      </c>
      <c r="F2744" s="2" t="s">
        <v>822</v>
      </c>
      <c r="G2744" s="23" t="s">
        <v>902</v>
      </c>
      <c r="H2744" s="2" t="s">
        <v>822</v>
      </c>
      <c r="J2744" s="31">
        <v>27.375999499999999</v>
      </c>
      <c r="K2744" s="31">
        <v>-23.856000900000002</v>
      </c>
      <c r="L2744" s="31"/>
      <c r="M2744" s="31" t="s">
        <v>854</v>
      </c>
      <c r="N2744" s="6" t="s">
        <v>856</v>
      </c>
    </row>
    <row r="2745" spans="1:14" ht="15" customHeight="1" x14ac:dyDescent="0.2">
      <c r="A2745" s="31">
        <v>0.79448166817138077</v>
      </c>
      <c r="B2745" s="31"/>
      <c r="C2745" s="2" t="s">
        <v>855</v>
      </c>
      <c r="D2745" s="31">
        <f t="shared" si="92"/>
        <v>0.15571840696159064</v>
      </c>
      <c r="F2745" s="2" t="s">
        <v>822</v>
      </c>
      <c r="G2745" s="23" t="s">
        <v>902</v>
      </c>
      <c r="H2745" s="2" t="s">
        <v>822</v>
      </c>
      <c r="J2745" s="31">
        <v>32.720001199999999</v>
      </c>
      <c r="K2745" s="31">
        <v>-37.215999600000004</v>
      </c>
      <c r="L2745" s="31"/>
      <c r="M2745" s="31" t="s">
        <v>854</v>
      </c>
      <c r="N2745" s="6" t="s">
        <v>856</v>
      </c>
    </row>
    <row r="2746" spans="1:14" ht="15" customHeight="1" x14ac:dyDescent="0.2">
      <c r="A2746" s="31">
        <v>0.79441418374053985</v>
      </c>
      <c r="B2746" s="31"/>
      <c r="C2746" s="2" t="s">
        <v>855</v>
      </c>
      <c r="D2746" s="31">
        <f t="shared" si="92"/>
        <v>0.15570518001314582</v>
      </c>
      <c r="F2746" s="2" t="s">
        <v>822</v>
      </c>
      <c r="G2746" s="23" t="s">
        <v>902</v>
      </c>
      <c r="H2746" s="2" t="s">
        <v>822</v>
      </c>
      <c r="J2746" s="31">
        <v>43.227001199999997</v>
      </c>
      <c r="K2746" s="31">
        <v>-10.330300299999999</v>
      </c>
      <c r="L2746" s="31"/>
      <c r="M2746" s="31" t="s">
        <v>854</v>
      </c>
      <c r="N2746" s="6" t="s">
        <v>856</v>
      </c>
    </row>
    <row r="2747" spans="1:14" ht="15" customHeight="1" x14ac:dyDescent="0.2">
      <c r="A2747" s="31">
        <v>0.79424063597080441</v>
      </c>
      <c r="B2747" s="31"/>
      <c r="C2747" s="2" t="s">
        <v>855</v>
      </c>
      <c r="D2747" s="31">
        <f t="shared" si="92"/>
        <v>0.15567116465027767</v>
      </c>
      <c r="F2747" s="2" t="s">
        <v>822</v>
      </c>
      <c r="G2747" s="23" t="s">
        <v>902</v>
      </c>
      <c r="H2747" s="2" t="s">
        <v>822</v>
      </c>
      <c r="J2747" s="31">
        <v>28.0440006</v>
      </c>
      <c r="K2747" s="31">
        <v>-24.5240002</v>
      </c>
      <c r="L2747" s="31"/>
      <c r="M2747" s="31" t="s">
        <v>854</v>
      </c>
      <c r="N2747" s="6" t="s">
        <v>856</v>
      </c>
    </row>
    <row r="2748" spans="1:14" ht="15" customHeight="1" x14ac:dyDescent="0.2">
      <c r="A2748" s="31">
        <v>0.79420391793232858</v>
      </c>
      <c r="B2748" s="31"/>
      <c r="C2748" s="2" t="s">
        <v>855</v>
      </c>
      <c r="D2748" s="31">
        <f t="shared" ref="D2748:D2759" si="93" xml:space="preserve"> A2748 * 0.196</f>
        <v>0.15566396791473641</v>
      </c>
      <c r="F2748" s="2" t="s">
        <v>822</v>
      </c>
      <c r="G2748" s="23" t="s">
        <v>902</v>
      </c>
      <c r="H2748" s="2" t="s">
        <v>822</v>
      </c>
      <c r="J2748" s="31">
        <v>38.731998400000002</v>
      </c>
      <c r="K2748" s="31">
        <v>-23.856000900000002</v>
      </c>
      <c r="L2748" s="31"/>
      <c r="M2748" s="31" t="s">
        <v>854</v>
      </c>
      <c r="N2748" s="6" t="s">
        <v>856</v>
      </c>
    </row>
    <row r="2749" spans="1:14" ht="15" customHeight="1" x14ac:dyDescent="0.2">
      <c r="A2749" s="31">
        <v>0.79418194937931519</v>
      </c>
      <c r="B2749" s="31"/>
      <c r="C2749" s="2" t="s">
        <v>855</v>
      </c>
      <c r="D2749" s="31">
        <f t="shared" si="93"/>
        <v>0.15565966207834578</v>
      </c>
      <c r="F2749" s="2" t="s">
        <v>822</v>
      </c>
      <c r="G2749" s="23" t="s">
        <v>902</v>
      </c>
      <c r="H2749" s="2" t="s">
        <v>822</v>
      </c>
      <c r="J2749" s="31">
        <v>30.048000300000002</v>
      </c>
      <c r="K2749" s="31">
        <v>-33.208000200000001</v>
      </c>
      <c r="L2749" s="31"/>
      <c r="M2749" s="31" t="s">
        <v>854</v>
      </c>
      <c r="N2749" s="6" t="s">
        <v>856</v>
      </c>
    </row>
    <row r="2750" spans="1:14" ht="15" customHeight="1" x14ac:dyDescent="0.2">
      <c r="A2750" s="31">
        <v>0.79414914597390407</v>
      </c>
      <c r="B2750" s="31"/>
      <c r="C2750" s="2" t="s">
        <v>855</v>
      </c>
      <c r="D2750" s="31">
        <f t="shared" si="93"/>
        <v>0.15565323261088521</v>
      </c>
      <c r="F2750" s="2" t="s">
        <v>822</v>
      </c>
      <c r="G2750" s="23" t="s">
        <v>902</v>
      </c>
      <c r="H2750" s="2" t="s">
        <v>822</v>
      </c>
      <c r="J2750" s="31">
        <v>33.425098400000003</v>
      </c>
      <c r="K2750" s="31">
        <v>-25.1177998</v>
      </c>
      <c r="L2750" s="31"/>
      <c r="M2750" s="31" t="s">
        <v>854</v>
      </c>
      <c r="N2750" s="6" t="s">
        <v>856</v>
      </c>
    </row>
    <row r="2751" spans="1:14" ht="15" customHeight="1" x14ac:dyDescent="0.2">
      <c r="A2751" s="31">
        <v>0.79403212699591297</v>
      </c>
      <c r="B2751" s="31"/>
      <c r="C2751" s="2" t="s">
        <v>855</v>
      </c>
      <c r="D2751" s="31">
        <f t="shared" si="93"/>
        <v>0.15563029689119895</v>
      </c>
      <c r="F2751" s="2" t="s">
        <v>822</v>
      </c>
      <c r="G2751" s="23" t="s">
        <v>902</v>
      </c>
      <c r="H2751" s="2" t="s">
        <v>822</v>
      </c>
      <c r="J2751" s="31">
        <v>47.513401000000002</v>
      </c>
      <c r="K2751" s="31">
        <v>-5.7610001999999998</v>
      </c>
      <c r="L2751" s="31"/>
      <c r="M2751" s="31" t="s">
        <v>854</v>
      </c>
      <c r="N2751" s="6" t="s">
        <v>856</v>
      </c>
    </row>
    <row r="2752" spans="1:14" ht="15" customHeight="1" x14ac:dyDescent="0.2">
      <c r="A2752" s="31">
        <v>0.79401299682100579</v>
      </c>
      <c r="B2752" s="31"/>
      <c r="C2752" s="2" t="s">
        <v>855</v>
      </c>
      <c r="D2752" s="31">
        <f t="shared" si="93"/>
        <v>0.15562654737691714</v>
      </c>
      <c r="F2752" s="2" t="s">
        <v>822</v>
      </c>
      <c r="G2752" s="23" t="s">
        <v>902</v>
      </c>
      <c r="H2752" s="2" t="s">
        <v>822</v>
      </c>
      <c r="J2752" s="31">
        <v>38.763198899999999</v>
      </c>
      <c r="K2752" s="31">
        <v>-11.195099799999999</v>
      </c>
      <c r="L2752" s="31"/>
      <c r="M2752" s="31" t="s">
        <v>854</v>
      </c>
      <c r="N2752" s="6" t="s">
        <v>856</v>
      </c>
    </row>
    <row r="2753" spans="1:14" ht="15" customHeight="1" x14ac:dyDescent="0.2">
      <c r="A2753" s="31">
        <v>0.7937386240270925</v>
      </c>
      <c r="B2753" s="31"/>
      <c r="C2753" s="2" t="s">
        <v>855</v>
      </c>
      <c r="D2753" s="31">
        <f t="shared" si="93"/>
        <v>0.15557277030931013</v>
      </c>
      <c r="F2753" s="2" t="s">
        <v>822</v>
      </c>
      <c r="G2753" s="23" t="s">
        <v>902</v>
      </c>
      <c r="H2753" s="2" t="s">
        <v>822</v>
      </c>
      <c r="J2753" s="31">
        <v>25.3470993</v>
      </c>
      <c r="K2753" s="31">
        <v>-27.845800400000002</v>
      </c>
      <c r="L2753" s="31"/>
      <c r="M2753" s="31" t="s">
        <v>854</v>
      </c>
      <c r="N2753" s="6" t="s">
        <v>856</v>
      </c>
    </row>
    <row r="2754" spans="1:14" ht="15" customHeight="1" x14ac:dyDescent="0.2">
      <c r="A2754" s="31">
        <v>0.79362598160661146</v>
      </c>
      <c r="B2754" s="31"/>
      <c r="C2754" s="2" t="s">
        <v>855</v>
      </c>
      <c r="D2754" s="31">
        <f t="shared" si="93"/>
        <v>0.15555069239489586</v>
      </c>
      <c r="F2754" s="2" t="s">
        <v>822</v>
      </c>
      <c r="G2754" s="23" t="s">
        <v>902</v>
      </c>
      <c r="H2754" s="2" t="s">
        <v>822</v>
      </c>
      <c r="J2754" s="31">
        <v>36.75</v>
      </c>
      <c r="K2754" s="31">
        <v>-35.889099100000003</v>
      </c>
      <c r="L2754" s="31"/>
      <c r="M2754" s="31" t="s">
        <v>854</v>
      </c>
      <c r="N2754" s="6" t="s">
        <v>856</v>
      </c>
    </row>
    <row r="2755" spans="1:14" ht="15" customHeight="1" x14ac:dyDescent="0.2">
      <c r="A2755" s="31">
        <v>0.79352055704667002</v>
      </c>
      <c r="B2755" s="31"/>
      <c r="C2755" s="2" t="s">
        <v>855</v>
      </c>
      <c r="D2755" s="31">
        <f t="shared" si="93"/>
        <v>0.15553002918114733</v>
      </c>
      <c r="F2755" s="2" t="s">
        <v>822</v>
      </c>
      <c r="G2755" s="23" t="s">
        <v>902</v>
      </c>
      <c r="H2755" s="2" t="s">
        <v>822</v>
      </c>
      <c r="J2755" s="31">
        <v>44.2317009</v>
      </c>
      <c r="K2755" s="31">
        <v>-14.0915003</v>
      </c>
      <c r="L2755" s="31"/>
      <c r="M2755" s="31" t="s">
        <v>854</v>
      </c>
      <c r="N2755" s="6" t="s">
        <v>856</v>
      </c>
    </row>
    <row r="2756" spans="1:14" ht="15" customHeight="1" x14ac:dyDescent="0.2">
      <c r="A2756" s="31">
        <v>0.79321077640922855</v>
      </c>
      <c r="B2756" s="31"/>
      <c r="C2756" s="2" t="s">
        <v>855</v>
      </c>
      <c r="D2756" s="31">
        <f t="shared" si="93"/>
        <v>0.1554693121762088</v>
      </c>
      <c r="F2756" s="2" t="s">
        <v>822</v>
      </c>
      <c r="G2756" s="23" t="s">
        <v>902</v>
      </c>
      <c r="H2756" s="2" t="s">
        <v>822</v>
      </c>
      <c r="J2756" s="31">
        <v>31.384000799999999</v>
      </c>
      <c r="K2756" s="31">
        <v>-21.851999299999999</v>
      </c>
      <c r="L2756" s="31"/>
      <c r="M2756" s="31" t="s">
        <v>854</v>
      </c>
      <c r="N2756" s="6" t="s">
        <v>856</v>
      </c>
    </row>
    <row r="2757" spans="1:14" ht="15" customHeight="1" x14ac:dyDescent="0.2">
      <c r="A2757" s="31">
        <v>0.79319818916392837</v>
      </c>
      <c r="B2757" s="31"/>
      <c r="C2757" s="2" t="s">
        <v>855</v>
      </c>
      <c r="D2757" s="31">
        <f t="shared" si="93"/>
        <v>0.15546684507612996</v>
      </c>
      <c r="F2757" s="2" t="s">
        <v>822</v>
      </c>
      <c r="G2757" s="23" t="s">
        <v>902</v>
      </c>
      <c r="H2757" s="2" t="s">
        <v>822</v>
      </c>
      <c r="J2757" s="31">
        <v>43.775699600000003</v>
      </c>
      <c r="K2757" s="31">
        <v>-38.483501400000002</v>
      </c>
      <c r="L2757" s="31"/>
      <c r="M2757" s="31" t="s">
        <v>854</v>
      </c>
      <c r="N2757" s="6" t="s">
        <v>856</v>
      </c>
    </row>
    <row r="2758" spans="1:14" ht="15" customHeight="1" x14ac:dyDescent="0.2">
      <c r="A2758" s="31">
        <v>0.79318902088348098</v>
      </c>
      <c r="B2758" s="31"/>
      <c r="C2758" s="2" t="s">
        <v>855</v>
      </c>
      <c r="D2758" s="31">
        <f t="shared" si="93"/>
        <v>0.15546504809316228</v>
      </c>
      <c r="F2758" s="2" t="s">
        <v>822</v>
      </c>
      <c r="G2758" s="23" t="s">
        <v>902</v>
      </c>
      <c r="H2758" s="2" t="s">
        <v>822</v>
      </c>
      <c r="J2758" s="31">
        <v>41.551898999999999</v>
      </c>
      <c r="K2758" s="31">
        <v>-21.188699700000001</v>
      </c>
      <c r="L2758" s="31"/>
      <c r="M2758" s="31" t="s">
        <v>854</v>
      </c>
      <c r="N2758" s="6" t="s">
        <v>856</v>
      </c>
    </row>
    <row r="2759" spans="1:14" ht="15" customHeight="1" x14ac:dyDescent="0.2">
      <c r="A2759" s="31">
        <v>0.79308797124721064</v>
      </c>
      <c r="B2759" s="31"/>
      <c r="C2759" s="2" t="s">
        <v>855</v>
      </c>
      <c r="D2759" s="31">
        <f t="shared" si="93"/>
        <v>0.15544524236445328</v>
      </c>
      <c r="F2759" s="2" t="s">
        <v>822</v>
      </c>
      <c r="G2759" s="23" t="s">
        <v>902</v>
      </c>
      <c r="H2759" s="2" t="s">
        <v>822</v>
      </c>
      <c r="J2759" s="31">
        <v>37.2826004</v>
      </c>
      <c r="K2759" s="31">
        <v>15.230199799999999</v>
      </c>
      <c r="L2759" s="31"/>
      <c r="M2759" s="31" t="s">
        <v>854</v>
      </c>
      <c r="N2759" s="6" t="s">
        <v>856</v>
      </c>
    </row>
    <row r="2760" spans="1:14" ht="15" customHeight="1" x14ac:dyDescent="0.2">
      <c r="A2760" s="22">
        <v>0.15538417324653964</v>
      </c>
      <c r="B2760" s="22"/>
      <c r="C2760" s="2" t="s">
        <v>891</v>
      </c>
      <c r="D2760" s="2">
        <f>A2760</f>
        <v>0.15538417324653964</v>
      </c>
      <c r="F2760" s="2">
        <v>2023</v>
      </c>
      <c r="G2760" s="23" t="s">
        <v>902</v>
      </c>
      <c r="H2760" s="2" t="s">
        <v>771</v>
      </c>
      <c r="I2760" s="23" t="s">
        <v>189</v>
      </c>
      <c r="J2760" s="23">
        <v>58077388</v>
      </c>
      <c r="K2760" s="23">
        <v>11813537</v>
      </c>
      <c r="L2760" s="23" t="s">
        <v>819</v>
      </c>
      <c r="M2760" s="2" t="s">
        <v>825</v>
      </c>
      <c r="N2760" s="6" t="s">
        <v>828</v>
      </c>
    </row>
    <row r="2761" spans="1:14" ht="15" customHeight="1" x14ac:dyDescent="0.2">
      <c r="A2761" s="31">
        <v>0.79216711874311363</v>
      </c>
      <c r="B2761" s="31"/>
      <c r="C2761" s="2" t="s">
        <v>855</v>
      </c>
      <c r="D2761" s="31">
        <f t="shared" ref="D2761:D2792" si="94" xml:space="preserve"> A2761 * 0.196</f>
        <v>0.15526475527365027</v>
      </c>
      <c r="F2761" s="2" t="s">
        <v>822</v>
      </c>
      <c r="G2761" s="23" t="s">
        <v>902</v>
      </c>
      <c r="H2761" s="2" t="s">
        <v>822</v>
      </c>
      <c r="J2761" s="31">
        <v>46.953899399999997</v>
      </c>
      <c r="K2761" s="31">
        <v>-13.191000000000001</v>
      </c>
      <c r="L2761" s="31"/>
      <c r="M2761" s="31" t="s">
        <v>854</v>
      </c>
      <c r="N2761" s="6" t="s">
        <v>856</v>
      </c>
    </row>
    <row r="2762" spans="1:14" ht="15" customHeight="1" x14ac:dyDescent="0.2">
      <c r="A2762" s="31">
        <v>0.79195387908170067</v>
      </c>
      <c r="B2762" s="31"/>
      <c r="C2762" s="2" t="s">
        <v>855</v>
      </c>
      <c r="D2762" s="31">
        <f t="shared" si="94"/>
        <v>0.15522296030001334</v>
      </c>
      <c r="F2762" s="2" t="s">
        <v>822</v>
      </c>
      <c r="G2762" s="23" t="s">
        <v>902</v>
      </c>
      <c r="H2762" s="2" t="s">
        <v>822</v>
      </c>
      <c r="J2762" s="31">
        <v>25.3719997</v>
      </c>
      <c r="K2762" s="31">
        <v>-30.5359993</v>
      </c>
      <c r="L2762" s="31"/>
      <c r="M2762" s="31" t="s">
        <v>854</v>
      </c>
      <c r="N2762" s="6" t="s">
        <v>856</v>
      </c>
    </row>
    <row r="2763" spans="1:14" ht="15" customHeight="1" x14ac:dyDescent="0.2">
      <c r="A2763" s="31">
        <v>0.79191412790852012</v>
      </c>
      <c r="B2763" s="31"/>
      <c r="C2763" s="2" t="s">
        <v>855</v>
      </c>
      <c r="D2763" s="31">
        <f t="shared" si="94"/>
        <v>0.15521516907006994</v>
      </c>
      <c r="F2763" s="2" t="s">
        <v>822</v>
      </c>
      <c r="G2763" s="23" t="s">
        <v>902</v>
      </c>
      <c r="H2763" s="2" t="s">
        <v>822</v>
      </c>
      <c r="J2763" s="31">
        <v>26.708000200000001</v>
      </c>
      <c r="K2763" s="31">
        <v>-21.184000000000001</v>
      </c>
      <c r="L2763" s="31"/>
      <c r="M2763" s="31" t="s">
        <v>854</v>
      </c>
      <c r="N2763" s="6" t="s">
        <v>856</v>
      </c>
    </row>
    <row r="2764" spans="1:14" ht="15" customHeight="1" x14ac:dyDescent="0.2">
      <c r="A2764" s="31">
        <v>0.79186385531349468</v>
      </c>
      <c r="B2764" s="31"/>
      <c r="C2764" s="2" t="s">
        <v>855</v>
      </c>
      <c r="D2764" s="31">
        <f t="shared" si="94"/>
        <v>0.15520531564144496</v>
      </c>
      <c r="F2764" s="2" t="s">
        <v>822</v>
      </c>
      <c r="G2764" s="23" t="s">
        <v>902</v>
      </c>
      <c r="H2764" s="2" t="s">
        <v>822</v>
      </c>
      <c r="J2764" s="31">
        <v>41.403999300000002</v>
      </c>
      <c r="K2764" s="31">
        <v>-38.551998099999999</v>
      </c>
      <c r="L2764" s="31"/>
      <c r="M2764" s="31" t="s">
        <v>854</v>
      </c>
      <c r="N2764" s="6" t="s">
        <v>856</v>
      </c>
    </row>
    <row r="2765" spans="1:14" ht="15" customHeight="1" x14ac:dyDescent="0.2">
      <c r="A2765" s="31">
        <v>0.79182247442562947</v>
      </c>
      <c r="B2765" s="31"/>
      <c r="C2765" s="2" t="s">
        <v>855</v>
      </c>
      <c r="D2765" s="31">
        <f t="shared" si="94"/>
        <v>0.15519720498742337</v>
      </c>
      <c r="F2765" s="2" t="s">
        <v>822</v>
      </c>
      <c r="G2765" s="23" t="s">
        <v>902</v>
      </c>
      <c r="H2765" s="2" t="s">
        <v>822</v>
      </c>
      <c r="J2765" s="31">
        <v>26.708000200000001</v>
      </c>
      <c r="K2765" s="31">
        <v>-33.875999499999999</v>
      </c>
      <c r="L2765" s="31"/>
      <c r="M2765" s="31" t="s">
        <v>854</v>
      </c>
      <c r="N2765" s="6" t="s">
        <v>856</v>
      </c>
    </row>
    <row r="2766" spans="1:14" ht="15" customHeight="1" x14ac:dyDescent="0.2">
      <c r="A2766" s="31">
        <v>0.79180939919781812</v>
      </c>
      <c r="B2766" s="31"/>
      <c r="C2766" s="2" t="s">
        <v>855</v>
      </c>
      <c r="D2766" s="31">
        <f t="shared" si="94"/>
        <v>0.15519464224277235</v>
      </c>
      <c r="F2766" s="2" t="s">
        <v>822</v>
      </c>
      <c r="G2766" s="23" t="s">
        <v>902</v>
      </c>
      <c r="H2766" s="2" t="s">
        <v>822</v>
      </c>
      <c r="J2766" s="31">
        <v>26.0408993</v>
      </c>
      <c r="K2766" s="31">
        <v>-31.871200600000002</v>
      </c>
      <c r="L2766" s="31"/>
      <c r="M2766" s="31" t="s">
        <v>854</v>
      </c>
      <c r="N2766" s="6" t="s">
        <v>856</v>
      </c>
    </row>
    <row r="2767" spans="1:14" ht="15" customHeight="1" x14ac:dyDescent="0.2">
      <c r="A2767" s="31">
        <v>0.79177316818045029</v>
      </c>
      <c r="B2767" s="31"/>
      <c r="C2767" s="2" t="s">
        <v>855</v>
      </c>
      <c r="D2767" s="31">
        <f t="shared" si="94"/>
        <v>0.15518754096336826</v>
      </c>
      <c r="F2767" s="2" t="s">
        <v>822</v>
      </c>
      <c r="G2767" s="23" t="s">
        <v>902</v>
      </c>
      <c r="H2767" s="2" t="s">
        <v>822</v>
      </c>
      <c r="J2767" s="31">
        <v>36.0381012</v>
      </c>
      <c r="K2767" s="31">
        <v>-11.8483</v>
      </c>
      <c r="L2767" s="31"/>
      <c r="M2767" s="31" t="s">
        <v>854</v>
      </c>
      <c r="N2767" s="6" t="s">
        <v>856</v>
      </c>
    </row>
    <row r="2768" spans="1:14" ht="15" customHeight="1" x14ac:dyDescent="0.2">
      <c r="A2768" s="31">
        <v>0.79161642397254239</v>
      </c>
      <c r="B2768" s="31"/>
      <c r="C2768" s="2" t="s">
        <v>855</v>
      </c>
      <c r="D2768" s="31">
        <f t="shared" si="94"/>
        <v>0.15515681909861831</v>
      </c>
      <c r="F2768" s="2" t="s">
        <v>822</v>
      </c>
      <c r="G2768" s="23" t="s">
        <v>902</v>
      </c>
      <c r="H2768" s="2" t="s">
        <v>822</v>
      </c>
      <c r="J2768" s="31">
        <v>44.730400099999997</v>
      </c>
      <c r="K2768" s="31">
        <v>-9.8350801000000008</v>
      </c>
      <c r="L2768" s="31"/>
      <c r="M2768" s="31" t="s">
        <v>854</v>
      </c>
      <c r="N2768" s="6" t="s">
        <v>856</v>
      </c>
    </row>
    <row r="2769" spans="1:14" ht="15" customHeight="1" x14ac:dyDescent="0.2">
      <c r="A2769" s="31">
        <v>0.79148408534202086</v>
      </c>
      <c r="B2769" s="31"/>
      <c r="C2769" s="2" t="s">
        <v>855</v>
      </c>
      <c r="D2769" s="31">
        <f t="shared" si="94"/>
        <v>0.1551308807270361</v>
      </c>
      <c r="F2769" s="2" t="s">
        <v>822</v>
      </c>
      <c r="G2769" s="23" t="s">
        <v>902</v>
      </c>
      <c r="H2769" s="2" t="s">
        <v>822</v>
      </c>
      <c r="J2769" s="31">
        <v>26.0492992</v>
      </c>
      <c r="K2769" s="31">
        <v>-25.844800899999999</v>
      </c>
      <c r="L2769" s="31"/>
      <c r="M2769" s="31" t="s">
        <v>854</v>
      </c>
      <c r="N2769" s="6" t="s">
        <v>856</v>
      </c>
    </row>
    <row r="2770" spans="1:14" ht="15" customHeight="1" x14ac:dyDescent="0.2">
      <c r="A2770" s="31">
        <v>0.79129575510471428</v>
      </c>
      <c r="B2770" s="31"/>
      <c r="C2770" s="2" t="s">
        <v>855</v>
      </c>
      <c r="D2770" s="31">
        <f t="shared" si="94"/>
        <v>0.155093968000524</v>
      </c>
      <c r="F2770" s="2" t="s">
        <v>822</v>
      </c>
      <c r="G2770" s="23" t="s">
        <v>902</v>
      </c>
      <c r="H2770" s="2" t="s">
        <v>822</v>
      </c>
      <c r="J2770" s="31">
        <v>50.902000399999999</v>
      </c>
      <c r="K2770" s="31">
        <v>-4.5992097999999997</v>
      </c>
      <c r="L2770" s="31"/>
      <c r="M2770" s="31" t="s">
        <v>854</v>
      </c>
      <c r="N2770" s="6" t="s">
        <v>856</v>
      </c>
    </row>
    <row r="2771" spans="1:14" ht="15" customHeight="1" x14ac:dyDescent="0.2">
      <c r="A2771" s="31">
        <v>0.79112748592989157</v>
      </c>
      <c r="B2771" s="31"/>
      <c r="C2771" s="2" t="s">
        <v>855</v>
      </c>
      <c r="D2771" s="31">
        <f t="shared" si="94"/>
        <v>0.15506098724225875</v>
      </c>
      <c r="F2771" s="2" t="s">
        <v>822</v>
      </c>
      <c r="G2771" s="23" t="s">
        <v>902</v>
      </c>
      <c r="H2771" s="2" t="s">
        <v>822</v>
      </c>
      <c r="J2771" s="31">
        <v>42.081199599999998</v>
      </c>
      <c r="K2771" s="31">
        <v>4.9730100999999998</v>
      </c>
      <c r="L2771" s="31"/>
      <c r="M2771" s="31" t="s">
        <v>854</v>
      </c>
      <c r="N2771" s="6" t="s">
        <v>856</v>
      </c>
    </row>
    <row r="2772" spans="1:14" ht="15" customHeight="1" x14ac:dyDescent="0.2">
      <c r="A2772" s="31">
        <v>0.79107270786742201</v>
      </c>
      <c r="B2772" s="31"/>
      <c r="C2772" s="2" t="s">
        <v>855</v>
      </c>
      <c r="D2772" s="31">
        <f t="shared" si="94"/>
        <v>0.15505025074201473</v>
      </c>
      <c r="F2772" s="2" t="s">
        <v>822</v>
      </c>
      <c r="G2772" s="23" t="s">
        <v>902</v>
      </c>
      <c r="H2772" s="2" t="s">
        <v>822</v>
      </c>
      <c r="J2772" s="31">
        <v>32.682899499999998</v>
      </c>
      <c r="K2772" s="31">
        <v>-25.266199100000001</v>
      </c>
      <c r="L2772" s="31"/>
      <c r="M2772" s="31" t="s">
        <v>854</v>
      </c>
      <c r="N2772" s="6" t="s">
        <v>856</v>
      </c>
    </row>
    <row r="2773" spans="1:14" ht="15" customHeight="1" x14ac:dyDescent="0.2">
      <c r="A2773" s="31">
        <v>0.79107035637161516</v>
      </c>
      <c r="B2773" s="31"/>
      <c r="C2773" s="2" t="s">
        <v>855</v>
      </c>
      <c r="D2773" s="31">
        <f t="shared" si="94"/>
        <v>0.15504978984883658</v>
      </c>
      <c r="F2773" s="2" t="s">
        <v>822</v>
      </c>
      <c r="G2773" s="23" t="s">
        <v>902</v>
      </c>
      <c r="H2773" s="2" t="s">
        <v>822</v>
      </c>
      <c r="J2773" s="31">
        <v>30.340099299999999</v>
      </c>
      <c r="K2773" s="31">
        <v>19.3218994</v>
      </c>
      <c r="L2773" s="31"/>
      <c r="M2773" s="31" t="s">
        <v>854</v>
      </c>
      <c r="N2773" s="6" t="s">
        <v>856</v>
      </c>
    </row>
    <row r="2774" spans="1:14" ht="15" customHeight="1" x14ac:dyDescent="0.2">
      <c r="A2774" s="31">
        <v>0.79103520323584842</v>
      </c>
      <c r="B2774" s="31"/>
      <c r="C2774" s="2" t="s">
        <v>855</v>
      </c>
      <c r="D2774" s="31">
        <f t="shared" si="94"/>
        <v>0.15504289983422628</v>
      </c>
      <c r="F2774" s="2" t="s">
        <v>822</v>
      </c>
      <c r="G2774" s="23" t="s">
        <v>902</v>
      </c>
      <c r="H2774" s="2" t="s">
        <v>822</v>
      </c>
      <c r="J2774" s="31">
        <v>28.343200700000001</v>
      </c>
      <c r="K2774" s="31">
        <v>-17.580099100000002</v>
      </c>
      <c r="L2774" s="31"/>
      <c r="M2774" s="31" t="s">
        <v>854</v>
      </c>
      <c r="N2774" s="6" t="s">
        <v>856</v>
      </c>
    </row>
    <row r="2775" spans="1:14" ht="15" customHeight="1" x14ac:dyDescent="0.2">
      <c r="A2775" s="31">
        <v>0.79080863446870076</v>
      </c>
      <c r="B2775" s="31"/>
      <c r="C2775" s="2" t="s">
        <v>855</v>
      </c>
      <c r="D2775" s="31">
        <f t="shared" si="94"/>
        <v>0.15499849235586535</v>
      </c>
      <c r="F2775" s="2" t="s">
        <v>822</v>
      </c>
      <c r="G2775" s="23" t="s">
        <v>902</v>
      </c>
      <c r="H2775" s="2" t="s">
        <v>822</v>
      </c>
      <c r="J2775" s="31">
        <v>25.097299599999999</v>
      </c>
      <c r="K2775" s="31">
        <v>-28.995799999999999</v>
      </c>
      <c r="L2775" s="31"/>
      <c r="M2775" s="31" t="s">
        <v>854</v>
      </c>
      <c r="N2775" s="6" t="s">
        <v>856</v>
      </c>
    </row>
    <row r="2776" spans="1:14" ht="15" customHeight="1" x14ac:dyDescent="0.2">
      <c r="A2776" s="31">
        <v>0.79079526123892885</v>
      </c>
      <c r="B2776" s="31"/>
      <c r="C2776" s="2" t="s">
        <v>855</v>
      </c>
      <c r="D2776" s="31">
        <f t="shared" si="94"/>
        <v>0.15499587120283007</v>
      </c>
      <c r="F2776" s="2" t="s">
        <v>822</v>
      </c>
      <c r="G2776" s="23" t="s">
        <v>902</v>
      </c>
      <c r="H2776" s="2" t="s">
        <v>822</v>
      </c>
      <c r="J2776" s="31">
        <v>37.012901300000003</v>
      </c>
      <c r="K2776" s="31">
        <v>-10.9343004</v>
      </c>
      <c r="L2776" s="31"/>
      <c r="M2776" s="31" t="s">
        <v>854</v>
      </c>
      <c r="N2776" s="6" t="s">
        <v>856</v>
      </c>
    </row>
    <row r="2777" spans="1:14" ht="15" customHeight="1" x14ac:dyDescent="0.2">
      <c r="A2777" s="31">
        <v>0.79079510634747474</v>
      </c>
      <c r="B2777" s="31"/>
      <c r="C2777" s="2" t="s">
        <v>855</v>
      </c>
      <c r="D2777" s="31">
        <f t="shared" si="94"/>
        <v>0.15499584084410506</v>
      </c>
      <c r="F2777" s="2" t="s">
        <v>822</v>
      </c>
      <c r="G2777" s="23" t="s">
        <v>902</v>
      </c>
      <c r="H2777" s="2" t="s">
        <v>822</v>
      </c>
      <c r="J2777" s="31">
        <v>54.654499100000002</v>
      </c>
      <c r="K2777" s="31">
        <v>-3.8141699</v>
      </c>
      <c r="L2777" s="31"/>
      <c r="M2777" s="31" t="s">
        <v>854</v>
      </c>
      <c r="N2777" s="6" t="s">
        <v>856</v>
      </c>
    </row>
    <row r="2778" spans="1:14" ht="15" customHeight="1" x14ac:dyDescent="0.2">
      <c r="A2778" s="31">
        <v>0.79078228039682663</v>
      </c>
      <c r="B2778" s="31"/>
      <c r="C2778" s="2" t="s">
        <v>855</v>
      </c>
      <c r="D2778" s="31">
        <f t="shared" si="94"/>
        <v>0.15499332695777804</v>
      </c>
      <c r="F2778" s="2" t="s">
        <v>822</v>
      </c>
      <c r="G2778" s="23" t="s">
        <v>902</v>
      </c>
      <c r="H2778" s="2" t="s">
        <v>822</v>
      </c>
      <c r="J2778" s="31">
        <v>33.718299899999998</v>
      </c>
      <c r="K2778" s="31">
        <v>-20.452800799999999</v>
      </c>
      <c r="L2778" s="31"/>
      <c r="M2778" s="31" t="s">
        <v>854</v>
      </c>
      <c r="N2778" s="6" t="s">
        <v>856</v>
      </c>
    </row>
    <row r="2779" spans="1:14" ht="15" customHeight="1" x14ac:dyDescent="0.2">
      <c r="A2779" s="31">
        <v>0.79065132701501106</v>
      </c>
      <c r="B2779" s="31"/>
      <c r="C2779" s="2" t="s">
        <v>855</v>
      </c>
      <c r="D2779" s="31">
        <f t="shared" si="94"/>
        <v>0.15496766009494217</v>
      </c>
      <c r="F2779" s="2" t="s">
        <v>822</v>
      </c>
      <c r="G2779" s="23" t="s">
        <v>902</v>
      </c>
      <c r="H2779" s="2" t="s">
        <v>822</v>
      </c>
      <c r="J2779" s="31">
        <v>41.206798599999999</v>
      </c>
      <c r="K2779" s="31">
        <v>16.866899499999999</v>
      </c>
      <c r="L2779" s="31"/>
      <c r="M2779" s="31" t="s">
        <v>854</v>
      </c>
      <c r="N2779" s="6" t="s">
        <v>856</v>
      </c>
    </row>
    <row r="2780" spans="1:14" ht="15" customHeight="1" x14ac:dyDescent="0.2">
      <c r="A2780" s="31">
        <v>0.79057731959126587</v>
      </c>
      <c r="B2780" s="31"/>
      <c r="C2780" s="2" t="s">
        <v>855</v>
      </c>
      <c r="D2780" s="31">
        <f t="shared" si="94"/>
        <v>0.15495315463988812</v>
      </c>
      <c r="F2780" s="2" t="s">
        <v>822</v>
      </c>
      <c r="G2780" s="23" t="s">
        <v>902</v>
      </c>
      <c r="H2780" s="2" t="s">
        <v>822</v>
      </c>
      <c r="J2780" s="31">
        <v>35.619300799999998</v>
      </c>
      <c r="K2780" s="31">
        <v>-35.245998399999998</v>
      </c>
      <c r="L2780" s="31"/>
      <c r="M2780" s="31" t="s">
        <v>854</v>
      </c>
      <c r="N2780" s="6" t="s">
        <v>856</v>
      </c>
    </row>
    <row r="2781" spans="1:14" ht="15" customHeight="1" x14ac:dyDescent="0.2">
      <c r="A2781" s="31">
        <v>0.79047041992342948</v>
      </c>
      <c r="B2781" s="31"/>
      <c r="C2781" s="2" t="s">
        <v>855</v>
      </c>
      <c r="D2781" s="31">
        <f t="shared" si="94"/>
        <v>0.15493220230499219</v>
      </c>
      <c r="F2781" s="2" t="s">
        <v>822</v>
      </c>
      <c r="G2781" s="23" t="s">
        <v>902</v>
      </c>
      <c r="H2781" s="2" t="s">
        <v>822</v>
      </c>
      <c r="J2781" s="31">
        <v>43.291198700000002</v>
      </c>
      <c r="K2781" s="31">
        <v>13.938799899999999</v>
      </c>
      <c r="L2781" s="31"/>
      <c r="M2781" s="31" t="s">
        <v>854</v>
      </c>
      <c r="N2781" s="6" t="s">
        <v>856</v>
      </c>
    </row>
    <row r="2782" spans="1:14" ht="15" customHeight="1" x14ac:dyDescent="0.2">
      <c r="A2782" s="31">
        <v>0.79043917345867953</v>
      </c>
      <c r="B2782" s="31"/>
      <c r="C2782" s="2" t="s">
        <v>855</v>
      </c>
      <c r="D2782" s="31">
        <f t="shared" si="94"/>
        <v>0.1549260779979012</v>
      </c>
      <c r="F2782" s="2" t="s">
        <v>822</v>
      </c>
      <c r="G2782" s="23" t="s">
        <v>902</v>
      </c>
      <c r="H2782" s="2" t="s">
        <v>822</v>
      </c>
      <c r="J2782" s="31">
        <v>40.736598999999998</v>
      </c>
      <c r="K2782" s="31">
        <v>-36.548000299999998</v>
      </c>
      <c r="L2782" s="31"/>
      <c r="M2782" s="31" t="s">
        <v>854</v>
      </c>
      <c r="N2782" s="6" t="s">
        <v>856</v>
      </c>
    </row>
    <row r="2783" spans="1:14" ht="15" customHeight="1" x14ac:dyDescent="0.2">
      <c r="A2783" s="31">
        <v>0.7904178756698107</v>
      </c>
      <c r="B2783" s="31"/>
      <c r="C2783" s="2" t="s">
        <v>855</v>
      </c>
      <c r="D2783" s="31">
        <f t="shared" si="94"/>
        <v>0.15492190363128291</v>
      </c>
      <c r="F2783" s="2" t="s">
        <v>822</v>
      </c>
      <c r="G2783" s="23" t="s">
        <v>902</v>
      </c>
      <c r="H2783" s="2" t="s">
        <v>822</v>
      </c>
      <c r="J2783" s="31">
        <v>30.048000300000002</v>
      </c>
      <c r="K2783" s="31">
        <v>-22.520000499999998</v>
      </c>
      <c r="L2783" s="31"/>
      <c r="M2783" s="31" t="s">
        <v>854</v>
      </c>
      <c r="N2783" s="6" t="s">
        <v>856</v>
      </c>
    </row>
    <row r="2784" spans="1:14" ht="15" customHeight="1" x14ac:dyDescent="0.2">
      <c r="A2784" s="31">
        <v>0.79032075949996228</v>
      </c>
      <c r="B2784" s="31"/>
      <c r="C2784" s="2" t="s">
        <v>855</v>
      </c>
      <c r="D2784" s="31">
        <f t="shared" si="94"/>
        <v>0.15490286886199262</v>
      </c>
      <c r="F2784" s="2" t="s">
        <v>822</v>
      </c>
      <c r="G2784" s="23" t="s">
        <v>902</v>
      </c>
      <c r="H2784" s="2" t="s">
        <v>822</v>
      </c>
      <c r="J2784" s="31">
        <v>31.594999300000001</v>
      </c>
      <c r="K2784" s="31">
        <v>27.565999999999999</v>
      </c>
      <c r="L2784" s="31"/>
      <c r="M2784" s="31" t="s">
        <v>854</v>
      </c>
      <c r="N2784" s="6" t="s">
        <v>856</v>
      </c>
    </row>
    <row r="2785" spans="1:14" ht="15" customHeight="1" x14ac:dyDescent="0.2">
      <c r="A2785" s="31">
        <v>0.79029330617380633</v>
      </c>
      <c r="B2785" s="31"/>
      <c r="C2785" s="2" t="s">
        <v>855</v>
      </c>
      <c r="D2785" s="31">
        <f t="shared" si="94"/>
        <v>0.15489748801006606</v>
      </c>
      <c r="F2785" s="2" t="s">
        <v>822</v>
      </c>
      <c r="G2785" s="23" t="s">
        <v>902</v>
      </c>
      <c r="H2785" s="2" t="s">
        <v>822</v>
      </c>
      <c r="J2785" s="31">
        <v>42.348098800000002</v>
      </c>
      <c r="K2785" s="31">
        <v>-32.733501400000002</v>
      </c>
      <c r="L2785" s="31"/>
      <c r="M2785" s="31" t="s">
        <v>854</v>
      </c>
      <c r="N2785" s="6" t="s">
        <v>856</v>
      </c>
    </row>
    <row r="2786" spans="1:14" ht="15" customHeight="1" x14ac:dyDescent="0.2">
      <c r="A2786" s="31">
        <v>0.79027940940057295</v>
      </c>
      <c r="B2786" s="31"/>
      <c r="C2786" s="2" t="s">
        <v>855</v>
      </c>
      <c r="D2786" s="31">
        <f t="shared" si="94"/>
        <v>0.15489476424251231</v>
      </c>
      <c r="F2786" s="2" t="s">
        <v>822</v>
      </c>
      <c r="G2786" s="23" t="s">
        <v>902</v>
      </c>
      <c r="H2786" s="2" t="s">
        <v>822</v>
      </c>
      <c r="J2786" s="31">
        <v>44.695800800000001</v>
      </c>
      <c r="K2786" s="31">
        <v>-3.2089701000000002</v>
      </c>
      <c r="L2786" s="31"/>
      <c r="M2786" s="31" t="s">
        <v>854</v>
      </c>
      <c r="N2786" s="6" t="s">
        <v>856</v>
      </c>
    </row>
    <row r="2787" spans="1:14" ht="15" customHeight="1" x14ac:dyDescent="0.2">
      <c r="A2787" s="31">
        <v>0.78889727549724364</v>
      </c>
      <c r="B2787" s="31"/>
      <c r="C2787" s="2" t="s">
        <v>855</v>
      </c>
      <c r="D2787" s="31">
        <f t="shared" si="94"/>
        <v>0.15462386599745975</v>
      </c>
      <c r="F2787" s="2" t="s">
        <v>822</v>
      </c>
      <c r="G2787" s="23" t="s">
        <v>902</v>
      </c>
      <c r="H2787" s="2" t="s">
        <v>822</v>
      </c>
      <c r="J2787" s="31">
        <v>34.723998999999999</v>
      </c>
      <c r="K2787" s="31">
        <v>-28.531999599999999</v>
      </c>
      <c r="L2787" s="31"/>
      <c r="M2787" s="31" t="s">
        <v>854</v>
      </c>
      <c r="N2787" s="6" t="s">
        <v>856</v>
      </c>
    </row>
    <row r="2788" spans="1:14" ht="15" customHeight="1" x14ac:dyDescent="0.2">
      <c r="A2788" s="31">
        <v>0.78886535386815315</v>
      </c>
      <c r="B2788" s="31"/>
      <c r="C2788" s="2" t="s">
        <v>855</v>
      </c>
      <c r="D2788" s="31">
        <f t="shared" si="94"/>
        <v>0.15461760935815802</v>
      </c>
      <c r="F2788" s="2" t="s">
        <v>822</v>
      </c>
      <c r="G2788" s="23" t="s">
        <v>902</v>
      </c>
      <c r="H2788" s="2" t="s">
        <v>822</v>
      </c>
      <c r="J2788" s="31">
        <v>26.708000200000001</v>
      </c>
      <c r="K2788" s="31">
        <v>-28.531999599999999</v>
      </c>
      <c r="L2788" s="31"/>
      <c r="M2788" s="31" t="s">
        <v>854</v>
      </c>
      <c r="N2788" s="6" t="s">
        <v>856</v>
      </c>
    </row>
    <row r="2789" spans="1:14" ht="15" customHeight="1" x14ac:dyDescent="0.2">
      <c r="A2789" s="31">
        <v>0.78880670048408685</v>
      </c>
      <c r="B2789" s="31"/>
      <c r="C2789" s="2" t="s">
        <v>855</v>
      </c>
      <c r="D2789" s="31">
        <f t="shared" si="94"/>
        <v>0.15460611329488103</v>
      </c>
      <c r="F2789" s="2" t="s">
        <v>822</v>
      </c>
      <c r="G2789" s="23" t="s">
        <v>902</v>
      </c>
      <c r="H2789" s="2" t="s">
        <v>822</v>
      </c>
      <c r="J2789" s="31">
        <v>40.072898899999998</v>
      </c>
      <c r="K2789" s="31">
        <v>-36.543701200000001</v>
      </c>
      <c r="L2789" s="31"/>
      <c r="M2789" s="31" t="s">
        <v>854</v>
      </c>
      <c r="N2789" s="6" t="s">
        <v>856</v>
      </c>
    </row>
    <row r="2790" spans="1:14" ht="15" customHeight="1" x14ac:dyDescent="0.2">
      <c r="A2790" s="31">
        <v>0.78854693536496223</v>
      </c>
      <c r="B2790" s="31"/>
      <c r="C2790" s="2" t="s">
        <v>855</v>
      </c>
      <c r="D2790" s="31">
        <f t="shared" si="94"/>
        <v>0.15455519933153261</v>
      </c>
      <c r="F2790" s="2" t="s">
        <v>822</v>
      </c>
      <c r="G2790" s="23" t="s">
        <v>902</v>
      </c>
      <c r="H2790" s="2" t="s">
        <v>822</v>
      </c>
      <c r="J2790" s="31">
        <v>36.728000600000001</v>
      </c>
      <c r="K2790" s="31">
        <v>-39.220001199999999</v>
      </c>
      <c r="L2790" s="31"/>
      <c r="M2790" s="31" t="s">
        <v>854</v>
      </c>
      <c r="N2790" s="6" t="s">
        <v>856</v>
      </c>
    </row>
    <row r="2791" spans="1:14" ht="15" customHeight="1" x14ac:dyDescent="0.2">
      <c r="A2791" s="31">
        <v>0.7884981190826067</v>
      </c>
      <c r="B2791" s="31"/>
      <c r="C2791" s="2" t="s">
        <v>855</v>
      </c>
      <c r="D2791" s="31">
        <f t="shared" si="94"/>
        <v>0.15454563134019092</v>
      </c>
      <c r="F2791" s="2" t="s">
        <v>822</v>
      </c>
      <c r="G2791" s="23" t="s">
        <v>902</v>
      </c>
      <c r="H2791" s="2" t="s">
        <v>822</v>
      </c>
      <c r="J2791" s="31">
        <v>37.402000399999999</v>
      </c>
      <c r="K2791" s="31">
        <v>-11.169300099999999</v>
      </c>
      <c r="L2791" s="31"/>
      <c r="M2791" s="31" t="s">
        <v>854</v>
      </c>
      <c r="N2791" s="6" t="s">
        <v>856</v>
      </c>
    </row>
    <row r="2792" spans="1:14" ht="15" customHeight="1" x14ac:dyDescent="0.2">
      <c r="A2792" s="31">
        <v>0.78838480474004502</v>
      </c>
      <c r="B2792" s="31"/>
      <c r="C2792" s="2" t="s">
        <v>855</v>
      </c>
      <c r="D2792" s="31">
        <f t="shared" si="94"/>
        <v>0.15452342172904884</v>
      </c>
      <c r="F2792" s="2" t="s">
        <v>822</v>
      </c>
      <c r="G2792" s="23" t="s">
        <v>902</v>
      </c>
      <c r="H2792" s="2" t="s">
        <v>822</v>
      </c>
      <c r="J2792" s="31">
        <v>34.067699400000002</v>
      </c>
      <c r="K2792" s="31">
        <v>-29.789100600000001</v>
      </c>
      <c r="L2792" s="31"/>
      <c r="M2792" s="31" t="s">
        <v>854</v>
      </c>
      <c r="N2792" s="6" t="s">
        <v>856</v>
      </c>
    </row>
    <row r="2793" spans="1:14" ht="15" customHeight="1" x14ac:dyDescent="0.2">
      <c r="A2793" s="31">
        <v>0.78827480504729708</v>
      </c>
      <c r="B2793" s="31"/>
      <c r="C2793" s="2" t="s">
        <v>855</v>
      </c>
      <c r="D2793" s="31">
        <f t="shared" ref="D2793:D2809" si="95" xml:space="preserve"> A2793 * 0.196</f>
        <v>0.15450186178927022</v>
      </c>
      <c r="F2793" s="2" t="s">
        <v>822</v>
      </c>
      <c r="G2793" s="23" t="s">
        <v>902</v>
      </c>
      <c r="H2793" s="2" t="s">
        <v>822</v>
      </c>
      <c r="J2793" s="31">
        <v>34.852298699999999</v>
      </c>
      <c r="K2793" s="31">
        <v>-32.5802002</v>
      </c>
      <c r="L2793" s="31"/>
      <c r="M2793" s="31" t="s">
        <v>854</v>
      </c>
      <c r="N2793" s="6" t="s">
        <v>856</v>
      </c>
    </row>
    <row r="2794" spans="1:14" ht="15" customHeight="1" x14ac:dyDescent="0.2">
      <c r="A2794" s="31">
        <v>0.78789725521746501</v>
      </c>
      <c r="B2794" s="31"/>
      <c r="C2794" s="2" t="s">
        <v>855</v>
      </c>
      <c r="D2794" s="31">
        <f t="shared" si="95"/>
        <v>0.15442786202262315</v>
      </c>
      <c r="F2794" s="2" t="s">
        <v>822</v>
      </c>
      <c r="G2794" s="23" t="s">
        <v>902</v>
      </c>
      <c r="H2794" s="2" t="s">
        <v>822</v>
      </c>
      <c r="J2794" s="31">
        <v>35.4292984</v>
      </c>
      <c r="K2794" s="31">
        <v>16.970199600000001</v>
      </c>
      <c r="L2794" s="31"/>
      <c r="M2794" s="31" t="s">
        <v>854</v>
      </c>
      <c r="N2794" s="6" t="s">
        <v>856</v>
      </c>
    </row>
    <row r="2795" spans="1:14" ht="15" customHeight="1" x14ac:dyDescent="0.2">
      <c r="A2795" s="31">
        <v>0.78781500303371188</v>
      </c>
      <c r="B2795" s="31"/>
      <c r="C2795" s="2" t="s">
        <v>855</v>
      </c>
      <c r="D2795" s="31">
        <f t="shared" si="95"/>
        <v>0.15441174059460752</v>
      </c>
      <c r="F2795" s="2" t="s">
        <v>822</v>
      </c>
      <c r="G2795" s="23" t="s">
        <v>902</v>
      </c>
      <c r="H2795" s="2" t="s">
        <v>822</v>
      </c>
      <c r="J2795" s="31">
        <v>61.778301200000001</v>
      </c>
      <c r="K2795" s="31">
        <v>20.112699500000002</v>
      </c>
      <c r="L2795" s="31"/>
      <c r="M2795" s="31" t="s">
        <v>854</v>
      </c>
      <c r="N2795" s="6" t="s">
        <v>856</v>
      </c>
    </row>
    <row r="2796" spans="1:14" ht="15" customHeight="1" x14ac:dyDescent="0.2">
      <c r="A2796" s="31">
        <v>0.78775309675538596</v>
      </c>
      <c r="B2796" s="31"/>
      <c r="C2796" s="2" t="s">
        <v>855</v>
      </c>
      <c r="D2796" s="31">
        <f t="shared" si="95"/>
        <v>0.15439960696405566</v>
      </c>
      <c r="F2796" s="2" t="s">
        <v>822</v>
      </c>
      <c r="G2796" s="23" t="s">
        <v>902</v>
      </c>
      <c r="H2796" s="2" t="s">
        <v>822</v>
      </c>
      <c r="J2796" s="31">
        <v>45.375701900000003</v>
      </c>
      <c r="K2796" s="31">
        <v>-9.7899799000000005</v>
      </c>
      <c r="L2796" s="31"/>
      <c r="M2796" s="31" t="s">
        <v>854</v>
      </c>
      <c r="N2796" s="6" t="s">
        <v>856</v>
      </c>
    </row>
    <row r="2797" spans="1:14" ht="15" customHeight="1" x14ac:dyDescent="0.2">
      <c r="A2797" s="31">
        <v>0.78760476325554352</v>
      </c>
      <c r="B2797" s="31"/>
      <c r="C2797" s="2" t="s">
        <v>855</v>
      </c>
      <c r="D2797" s="31">
        <f t="shared" si="95"/>
        <v>0.15437053359808653</v>
      </c>
      <c r="F2797" s="2" t="s">
        <v>822</v>
      </c>
      <c r="G2797" s="23" t="s">
        <v>902</v>
      </c>
      <c r="H2797" s="2" t="s">
        <v>822</v>
      </c>
      <c r="J2797" s="31">
        <v>37.3959999</v>
      </c>
      <c r="K2797" s="31">
        <v>2.1960001</v>
      </c>
      <c r="L2797" s="31"/>
      <c r="M2797" s="31" t="s">
        <v>854</v>
      </c>
      <c r="N2797" s="6" t="s">
        <v>856</v>
      </c>
    </row>
    <row r="2798" spans="1:14" ht="15" customHeight="1" x14ac:dyDescent="0.2">
      <c r="A2798" s="31">
        <v>0.78728396136173873</v>
      </c>
      <c r="B2798" s="31"/>
      <c r="C2798" s="2" t="s">
        <v>855</v>
      </c>
      <c r="D2798" s="31">
        <f t="shared" si="95"/>
        <v>0.15430765642690081</v>
      </c>
      <c r="F2798" s="2" t="s">
        <v>822</v>
      </c>
      <c r="G2798" s="23" t="s">
        <v>902</v>
      </c>
      <c r="H2798" s="2" t="s">
        <v>822</v>
      </c>
      <c r="J2798" s="31">
        <v>55.073398599999997</v>
      </c>
      <c r="K2798" s="31">
        <v>-7.1298598999999996</v>
      </c>
      <c r="L2798" s="31"/>
      <c r="M2798" s="31" t="s">
        <v>854</v>
      </c>
      <c r="N2798" s="6" t="s">
        <v>856</v>
      </c>
    </row>
    <row r="2799" spans="1:14" ht="15" customHeight="1" x14ac:dyDescent="0.2">
      <c r="A2799" s="31">
        <v>0.78696762781540586</v>
      </c>
      <c r="B2799" s="31"/>
      <c r="C2799" s="2" t="s">
        <v>855</v>
      </c>
      <c r="D2799" s="31">
        <f t="shared" si="95"/>
        <v>0.15424565505181956</v>
      </c>
      <c r="F2799" s="2" t="s">
        <v>822</v>
      </c>
      <c r="G2799" s="23" t="s">
        <v>902</v>
      </c>
      <c r="H2799" s="2" t="s">
        <v>822</v>
      </c>
      <c r="J2799" s="31">
        <v>38.063999199999998</v>
      </c>
      <c r="K2799" s="31">
        <v>-11.8319998</v>
      </c>
      <c r="L2799" s="31"/>
      <c r="M2799" s="31" t="s">
        <v>854</v>
      </c>
      <c r="N2799" s="6" t="s">
        <v>856</v>
      </c>
    </row>
    <row r="2800" spans="1:14" ht="15" customHeight="1" x14ac:dyDescent="0.2">
      <c r="A2800" s="31">
        <v>0.78682441595309327</v>
      </c>
      <c r="B2800" s="31"/>
      <c r="C2800" s="2" t="s">
        <v>855</v>
      </c>
      <c r="D2800" s="31">
        <f t="shared" si="95"/>
        <v>0.15421758552680628</v>
      </c>
      <c r="F2800" s="2" t="s">
        <v>822</v>
      </c>
      <c r="G2800" s="23" t="s">
        <v>902</v>
      </c>
      <c r="H2800" s="2" t="s">
        <v>822</v>
      </c>
      <c r="J2800" s="31">
        <v>33.388000499999997</v>
      </c>
      <c r="K2800" s="31">
        <v>-21.184000000000001</v>
      </c>
      <c r="L2800" s="31"/>
      <c r="M2800" s="31" t="s">
        <v>854</v>
      </c>
      <c r="N2800" s="6" t="s">
        <v>856</v>
      </c>
    </row>
    <row r="2801" spans="1:14" ht="15" customHeight="1" x14ac:dyDescent="0.2">
      <c r="A2801" s="31">
        <v>0.78633238334945721</v>
      </c>
      <c r="B2801" s="31"/>
      <c r="C2801" s="2" t="s">
        <v>855</v>
      </c>
      <c r="D2801" s="31">
        <f t="shared" si="95"/>
        <v>0.15412114713649361</v>
      </c>
      <c r="F2801" s="2" t="s">
        <v>822</v>
      </c>
      <c r="G2801" s="23" t="s">
        <v>902</v>
      </c>
      <c r="H2801" s="2" t="s">
        <v>822</v>
      </c>
      <c r="J2801" s="31">
        <v>45.822799699999997</v>
      </c>
      <c r="K2801" s="31">
        <v>-7.0127300999999997</v>
      </c>
      <c r="L2801" s="31"/>
      <c r="M2801" s="31" t="s">
        <v>854</v>
      </c>
      <c r="N2801" s="6" t="s">
        <v>856</v>
      </c>
    </row>
    <row r="2802" spans="1:14" ht="15" customHeight="1" x14ac:dyDescent="0.2">
      <c r="A2802" s="31">
        <v>0.78610376381437441</v>
      </c>
      <c r="B2802" s="31"/>
      <c r="C2802" s="2" t="s">
        <v>855</v>
      </c>
      <c r="D2802" s="31">
        <f t="shared" si="95"/>
        <v>0.15407633770761739</v>
      </c>
      <c r="F2802" s="2" t="s">
        <v>822</v>
      </c>
      <c r="G2802" s="23" t="s">
        <v>902</v>
      </c>
      <c r="H2802" s="2" t="s">
        <v>822</v>
      </c>
      <c r="J2802" s="31">
        <v>46.751399999999997</v>
      </c>
      <c r="K2802" s="31">
        <v>-14.507100100000001</v>
      </c>
      <c r="L2802" s="31"/>
      <c r="M2802" s="31" t="s">
        <v>854</v>
      </c>
      <c r="N2802" s="6" t="s">
        <v>856</v>
      </c>
    </row>
    <row r="2803" spans="1:14" ht="15" customHeight="1" x14ac:dyDescent="0.2">
      <c r="A2803" s="31">
        <v>0.78605201343916331</v>
      </c>
      <c r="B2803" s="31"/>
      <c r="C2803" s="2" t="s">
        <v>855</v>
      </c>
      <c r="D2803" s="31">
        <f t="shared" si="95"/>
        <v>0.154066194634076</v>
      </c>
      <c r="F2803" s="2" t="s">
        <v>822</v>
      </c>
      <c r="G2803" s="23" t="s">
        <v>902</v>
      </c>
      <c r="H2803" s="2" t="s">
        <v>822</v>
      </c>
      <c r="J2803" s="31">
        <v>44.428501099999998</v>
      </c>
      <c r="K2803" s="31">
        <v>-24.5625</v>
      </c>
      <c r="L2803" s="31"/>
      <c r="M2803" s="31" t="s">
        <v>854</v>
      </c>
      <c r="N2803" s="6" t="s">
        <v>856</v>
      </c>
    </row>
    <row r="2804" spans="1:14" ht="15" customHeight="1" x14ac:dyDescent="0.2">
      <c r="A2804" s="31">
        <v>0.78590635969487344</v>
      </c>
      <c r="B2804" s="31"/>
      <c r="C2804" s="2" t="s">
        <v>855</v>
      </c>
      <c r="D2804" s="31">
        <f t="shared" si="95"/>
        <v>0.15403764650019519</v>
      </c>
      <c r="F2804" s="2" t="s">
        <v>822</v>
      </c>
      <c r="G2804" s="23" t="s">
        <v>902</v>
      </c>
      <c r="H2804" s="2" t="s">
        <v>822</v>
      </c>
      <c r="J2804" s="31">
        <v>28.0440006</v>
      </c>
      <c r="K2804" s="31">
        <v>-37.883998900000002</v>
      </c>
      <c r="L2804" s="31"/>
      <c r="M2804" s="31" t="s">
        <v>854</v>
      </c>
      <c r="N2804" s="6" t="s">
        <v>856</v>
      </c>
    </row>
    <row r="2805" spans="1:14" ht="15" customHeight="1" x14ac:dyDescent="0.2">
      <c r="A2805" s="31">
        <v>0.78583591547862486</v>
      </c>
      <c r="B2805" s="31"/>
      <c r="C2805" s="2" t="s">
        <v>855</v>
      </c>
      <c r="D2805" s="31">
        <f t="shared" si="95"/>
        <v>0.15402383943381048</v>
      </c>
      <c r="F2805" s="2" t="s">
        <v>822</v>
      </c>
      <c r="G2805" s="23" t="s">
        <v>902</v>
      </c>
      <c r="H2805" s="2" t="s">
        <v>822</v>
      </c>
      <c r="J2805" s="31">
        <v>31.8586998</v>
      </c>
      <c r="K2805" s="31">
        <v>-42.679401400000003</v>
      </c>
      <c r="L2805" s="31"/>
      <c r="M2805" s="31" t="s">
        <v>854</v>
      </c>
      <c r="N2805" s="6" t="s">
        <v>856</v>
      </c>
    </row>
    <row r="2806" spans="1:14" ht="15" customHeight="1" x14ac:dyDescent="0.2">
      <c r="A2806" s="31">
        <v>0.78554929347104119</v>
      </c>
      <c r="B2806" s="31"/>
      <c r="C2806" s="2" t="s">
        <v>855</v>
      </c>
      <c r="D2806" s="31">
        <f t="shared" si="95"/>
        <v>0.15396766152032407</v>
      </c>
      <c r="F2806" s="2" t="s">
        <v>822</v>
      </c>
      <c r="G2806" s="23" t="s">
        <v>902</v>
      </c>
      <c r="H2806" s="2" t="s">
        <v>822</v>
      </c>
      <c r="J2806" s="31">
        <v>39.400001500000002</v>
      </c>
      <c r="K2806" s="31">
        <v>-26.103200900000001</v>
      </c>
      <c r="L2806" s="31"/>
      <c r="M2806" s="31" t="s">
        <v>854</v>
      </c>
      <c r="N2806" s="6" t="s">
        <v>856</v>
      </c>
    </row>
    <row r="2807" spans="1:14" ht="15" customHeight="1" x14ac:dyDescent="0.2">
      <c r="A2807" s="31">
        <v>0.78533430562926576</v>
      </c>
      <c r="B2807" s="31"/>
      <c r="C2807" s="2" t="s">
        <v>855</v>
      </c>
      <c r="D2807" s="31">
        <f t="shared" si="95"/>
        <v>0.15392552390333611</v>
      </c>
      <c r="F2807" s="2" t="s">
        <v>822</v>
      </c>
      <c r="G2807" s="23" t="s">
        <v>902</v>
      </c>
      <c r="H2807" s="2" t="s">
        <v>822</v>
      </c>
      <c r="J2807" s="31">
        <v>28.315099700000001</v>
      </c>
      <c r="K2807" s="31">
        <v>-15.5093002</v>
      </c>
      <c r="L2807" s="31"/>
      <c r="M2807" s="31" t="s">
        <v>854</v>
      </c>
      <c r="N2807" s="6" t="s">
        <v>856</v>
      </c>
    </row>
    <row r="2808" spans="1:14" ht="15" customHeight="1" x14ac:dyDescent="0.2">
      <c r="A2808" s="31">
        <v>0.78497768863932216</v>
      </c>
      <c r="B2808" s="31"/>
      <c r="C2808" s="2" t="s">
        <v>855</v>
      </c>
      <c r="D2808" s="31">
        <f t="shared" si="95"/>
        <v>0.15385562697330715</v>
      </c>
      <c r="F2808" s="2" t="s">
        <v>822</v>
      </c>
      <c r="G2808" s="23" t="s">
        <v>902</v>
      </c>
      <c r="H2808" s="2" t="s">
        <v>822</v>
      </c>
      <c r="J2808" s="31">
        <v>36.060001399999997</v>
      </c>
      <c r="K2808" s="31">
        <v>-13.1680002</v>
      </c>
      <c r="L2808" s="31"/>
      <c r="M2808" s="31" t="s">
        <v>854</v>
      </c>
      <c r="N2808" s="6" t="s">
        <v>856</v>
      </c>
    </row>
    <row r="2809" spans="1:14" ht="15" customHeight="1" x14ac:dyDescent="0.2">
      <c r="A2809" s="31">
        <v>0.78492328618442819</v>
      </c>
      <c r="B2809" s="31"/>
      <c r="C2809" s="2" t="s">
        <v>855</v>
      </c>
      <c r="D2809" s="31">
        <f t="shared" si="95"/>
        <v>0.15384496409214793</v>
      </c>
      <c r="F2809" s="2" t="s">
        <v>822</v>
      </c>
      <c r="G2809" s="23" t="s">
        <v>902</v>
      </c>
      <c r="H2809" s="2" t="s">
        <v>822</v>
      </c>
      <c r="J2809" s="31">
        <v>45.331501000000003</v>
      </c>
      <c r="K2809" s="31">
        <v>-7.7937398</v>
      </c>
      <c r="L2809" s="31"/>
      <c r="M2809" s="31" t="s">
        <v>854</v>
      </c>
      <c r="N2809" s="6" t="s">
        <v>856</v>
      </c>
    </row>
    <row r="2810" spans="1:14" ht="15" customHeight="1" x14ac:dyDescent="0.2">
      <c r="A2810" s="31">
        <v>2.8203925996848997E-4</v>
      </c>
      <c r="B2810" s="31"/>
      <c r="C2810" s="2" t="s">
        <v>892</v>
      </c>
      <c r="D2810" s="2">
        <f>A2810 * 545.45</f>
        <v>0.15383831434981288</v>
      </c>
      <c r="F2810" s="2">
        <v>2020</v>
      </c>
      <c r="G2810" s="38" t="s">
        <v>901</v>
      </c>
      <c r="H2810" s="2" t="s">
        <v>764</v>
      </c>
      <c r="I2810" s="31" t="s">
        <v>260</v>
      </c>
      <c r="J2810" s="31">
        <v>54.372</v>
      </c>
      <c r="K2810" s="31">
        <v>13.241300000000001</v>
      </c>
      <c r="L2810" s="2" t="s">
        <v>28</v>
      </c>
      <c r="M2810" s="2" t="s">
        <v>824</v>
      </c>
      <c r="N2810" s="17" t="s">
        <v>906</v>
      </c>
    </row>
    <row r="2811" spans="1:14" ht="15" customHeight="1" x14ac:dyDescent="0.2">
      <c r="A2811" s="31">
        <v>0.78473144825827779</v>
      </c>
      <c r="B2811" s="31"/>
      <c r="C2811" s="2" t="s">
        <v>855</v>
      </c>
      <c r="D2811" s="31">
        <f t="shared" ref="D2811:D2842" si="96" xml:space="preserve"> A2811 * 0.196</f>
        <v>0.15380736385862245</v>
      </c>
      <c r="F2811" s="2" t="s">
        <v>822</v>
      </c>
      <c r="G2811" s="23" t="s">
        <v>902</v>
      </c>
      <c r="H2811" s="2" t="s">
        <v>822</v>
      </c>
      <c r="J2811" s="31">
        <v>41.886901899999998</v>
      </c>
      <c r="K2811" s="31">
        <v>16.2978001</v>
      </c>
      <c r="L2811" s="31"/>
      <c r="M2811" s="31" t="s">
        <v>854</v>
      </c>
      <c r="N2811" s="6" t="s">
        <v>856</v>
      </c>
    </row>
    <row r="2812" spans="1:14" ht="15" customHeight="1" x14ac:dyDescent="0.2">
      <c r="A2812" s="31">
        <v>0.78425405072633725</v>
      </c>
      <c r="B2812" s="31"/>
      <c r="C2812" s="2" t="s">
        <v>855</v>
      </c>
      <c r="D2812" s="31">
        <f t="shared" si="96"/>
        <v>0.15371379394236212</v>
      </c>
      <c r="F2812" s="2" t="s">
        <v>822</v>
      </c>
      <c r="G2812" s="23" t="s">
        <v>902</v>
      </c>
      <c r="H2812" s="2" t="s">
        <v>822</v>
      </c>
      <c r="J2812" s="31">
        <v>32.025001500000002</v>
      </c>
      <c r="K2812" s="31">
        <v>-35.057899499999998</v>
      </c>
      <c r="L2812" s="31"/>
      <c r="M2812" s="31" t="s">
        <v>854</v>
      </c>
      <c r="N2812" s="6" t="s">
        <v>856</v>
      </c>
    </row>
    <row r="2813" spans="1:14" ht="15" customHeight="1" x14ac:dyDescent="0.2">
      <c r="A2813" s="31">
        <v>0.78407188916878978</v>
      </c>
      <c r="B2813" s="31"/>
      <c r="C2813" s="2" t="s">
        <v>855</v>
      </c>
      <c r="D2813" s="31">
        <f t="shared" si="96"/>
        <v>0.15367809027708279</v>
      </c>
      <c r="F2813" s="2" t="s">
        <v>822</v>
      </c>
      <c r="G2813" s="23" t="s">
        <v>902</v>
      </c>
      <c r="H2813" s="2" t="s">
        <v>822</v>
      </c>
      <c r="J2813" s="31">
        <v>46.195900000000002</v>
      </c>
      <c r="K2813" s="31">
        <v>-9.7440300000000004</v>
      </c>
      <c r="L2813" s="31"/>
      <c r="M2813" s="31" t="s">
        <v>854</v>
      </c>
      <c r="N2813" s="6" t="s">
        <v>856</v>
      </c>
    </row>
    <row r="2814" spans="1:14" ht="15" customHeight="1" x14ac:dyDescent="0.2">
      <c r="A2814" s="31">
        <v>0.78377098848523363</v>
      </c>
      <c r="B2814" s="31"/>
      <c r="C2814" s="2" t="s">
        <v>855</v>
      </c>
      <c r="D2814" s="31">
        <f t="shared" si="96"/>
        <v>0.1536191137431058</v>
      </c>
      <c r="F2814" s="2" t="s">
        <v>822</v>
      </c>
      <c r="G2814" s="23" t="s">
        <v>902</v>
      </c>
      <c r="H2814" s="2" t="s">
        <v>822</v>
      </c>
      <c r="J2814" s="31">
        <v>46.080001799999998</v>
      </c>
      <c r="K2814" s="31">
        <v>-35.880001100000001</v>
      </c>
      <c r="L2814" s="31"/>
      <c r="M2814" s="31" t="s">
        <v>854</v>
      </c>
      <c r="N2814" s="6" t="s">
        <v>856</v>
      </c>
    </row>
    <row r="2815" spans="1:14" ht="15" customHeight="1" x14ac:dyDescent="0.2">
      <c r="A2815" s="31">
        <v>0.78365378417520126</v>
      </c>
      <c r="B2815" s="31"/>
      <c r="C2815" s="2" t="s">
        <v>855</v>
      </c>
      <c r="D2815" s="31">
        <f t="shared" si="96"/>
        <v>0.15359614169833946</v>
      </c>
      <c r="F2815" s="2" t="s">
        <v>822</v>
      </c>
      <c r="G2815" s="23" t="s">
        <v>902</v>
      </c>
      <c r="H2815" s="2" t="s">
        <v>822</v>
      </c>
      <c r="J2815" s="31">
        <v>34.037101700000001</v>
      </c>
      <c r="K2815" s="31">
        <v>25.594400400000001</v>
      </c>
      <c r="L2815" s="31"/>
      <c r="M2815" s="31" t="s">
        <v>854</v>
      </c>
      <c r="N2815" s="6" t="s">
        <v>856</v>
      </c>
    </row>
    <row r="2816" spans="1:14" ht="15" customHeight="1" x14ac:dyDescent="0.2">
      <c r="A2816" s="31">
        <v>0.78333841395382697</v>
      </c>
      <c r="B2816" s="31"/>
      <c r="C2816" s="2" t="s">
        <v>855</v>
      </c>
      <c r="D2816" s="31">
        <f t="shared" si="96"/>
        <v>0.1535343291349501</v>
      </c>
      <c r="F2816" s="2" t="s">
        <v>822</v>
      </c>
      <c r="G2816" s="23" t="s">
        <v>902</v>
      </c>
      <c r="H2816" s="2" t="s">
        <v>822</v>
      </c>
      <c r="J2816" s="31">
        <v>56.963199600000003</v>
      </c>
      <c r="K2816" s="31">
        <v>8.9901505000000004</v>
      </c>
      <c r="L2816" s="31"/>
      <c r="M2816" s="31" t="s">
        <v>854</v>
      </c>
      <c r="N2816" s="6" t="s">
        <v>856</v>
      </c>
    </row>
    <row r="2817" spans="1:14" ht="15" customHeight="1" x14ac:dyDescent="0.2">
      <c r="A2817" s="31">
        <v>0.78328434206960373</v>
      </c>
      <c r="B2817" s="31"/>
      <c r="C2817" s="2" t="s">
        <v>855</v>
      </c>
      <c r="D2817" s="31">
        <f t="shared" si="96"/>
        <v>0.15352373104564235</v>
      </c>
      <c r="F2817" s="2" t="s">
        <v>822</v>
      </c>
      <c r="G2817" s="23" t="s">
        <v>902</v>
      </c>
      <c r="H2817" s="2" t="s">
        <v>822</v>
      </c>
      <c r="J2817" s="31">
        <v>30.048000300000002</v>
      </c>
      <c r="K2817" s="31">
        <v>-15.171999899999999</v>
      </c>
      <c r="L2817" s="31"/>
      <c r="M2817" s="31" t="s">
        <v>854</v>
      </c>
      <c r="N2817" s="6" t="s">
        <v>856</v>
      </c>
    </row>
    <row r="2818" spans="1:14" ht="15" customHeight="1" x14ac:dyDescent="0.2">
      <c r="A2818" s="31">
        <v>0.78303691681058796</v>
      </c>
      <c r="B2818" s="31"/>
      <c r="C2818" s="2" t="s">
        <v>855</v>
      </c>
      <c r="D2818" s="31">
        <f t="shared" si="96"/>
        <v>0.15347523569487526</v>
      </c>
      <c r="F2818" s="2" t="s">
        <v>822</v>
      </c>
      <c r="G2818" s="23" t="s">
        <v>902</v>
      </c>
      <c r="H2818" s="2" t="s">
        <v>822</v>
      </c>
      <c r="J2818" s="31">
        <v>38.286701200000003</v>
      </c>
      <c r="K2818" s="31">
        <v>-15.2833004</v>
      </c>
      <c r="L2818" s="31"/>
      <c r="M2818" s="31" t="s">
        <v>854</v>
      </c>
      <c r="N2818" s="6" t="s">
        <v>856</v>
      </c>
    </row>
    <row r="2819" spans="1:14" ht="15" customHeight="1" x14ac:dyDescent="0.2">
      <c r="A2819" s="31">
        <v>0.78303482464345131</v>
      </c>
      <c r="B2819" s="31"/>
      <c r="C2819" s="2" t="s">
        <v>855</v>
      </c>
      <c r="D2819" s="31">
        <f t="shared" si="96"/>
        <v>0.15347482563011647</v>
      </c>
      <c r="F2819" s="2" t="s">
        <v>822</v>
      </c>
      <c r="G2819" s="23" t="s">
        <v>902</v>
      </c>
      <c r="H2819" s="2" t="s">
        <v>822</v>
      </c>
      <c r="J2819" s="31">
        <v>59.835899400000002</v>
      </c>
      <c r="K2819" s="31">
        <v>23.115200000000002</v>
      </c>
      <c r="L2819" s="31"/>
      <c r="M2819" s="31" t="s">
        <v>854</v>
      </c>
      <c r="N2819" s="6" t="s">
        <v>856</v>
      </c>
    </row>
    <row r="2820" spans="1:14" ht="15" customHeight="1" x14ac:dyDescent="0.2">
      <c r="A2820" s="31">
        <v>0.78281563521456499</v>
      </c>
      <c r="B2820" s="31"/>
      <c r="C2820" s="2" t="s">
        <v>855</v>
      </c>
      <c r="D2820" s="31">
        <f t="shared" si="96"/>
        <v>0.15343186450205473</v>
      </c>
      <c r="F2820" s="2" t="s">
        <v>822</v>
      </c>
      <c r="G2820" s="23" t="s">
        <v>902</v>
      </c>
      <c r="H2820" s="2" t="s">
        <v>822</v>
      </c>
      <c r="J2820" s="31">
        <v>44.743999500000001</v>
      </c>
      <c r="K2820" s="31">
        <v>-35.880001100000001</v>
      </c>
      <c r="L2820" s="31"/>
      <c r="M2820" s="31" t="s">
        <v>854</v>
      </c>
      <c r="N2820" s="6" t="s">
        <v>856</v>
      </c>
    </row>
    <row r="2821" spans="1:14" ht="15" customHeight="1" x14ac:dyDescent="0.2">
      <c r="A2821" s="31">
        <v>0.78274021224795642</v>
      </c>
      <c r="B2821" s="31"/>
      <c r="C2821" s="2" t="s">
        <v>855</v>
      </c>
      <c r="D2821" s="31">
        <f t="shared" si="96"/>
        <v>0.15341708160059947</v>
      </c>
      <c r="F2821" s="2" t="s">
        <v>822</v>
      </c>
      <c r="G2821" s="23" t="s">
        <v>902</v>
      </c>
      <c r="H2821" s="2" t="s">
        <v>822</v>
      </c>
      <c r="J2821" s="31">
        <v>27.375999499999999</v>
      </c>
      <c r="K2821" s="31">
        <v>-28.198</v>
      </c>
      <c r="L2821" s="31"/>
      <c r="M2821" s="31" t="s">
        <v>854</v>
      </c>
      <c r="N2821" s="6" t="s">
        <v>856</v>
      </c>
    </row>
    <row r="2822" spans="1:14" ht="15" customHeight="1" x14ac:dyDescent="0.2">
      <c r="A2822" s="31">
        <v>0.78239360302959915</v>
      </c>
      <c r="B2822" s="31"/>
      <c r="C2822" s="2" t="s">
        <v>855</v>
      </c>
      <c r="D2822" s="31">
        <f t="shared" si="96"/>
        <v>0.15334914619380144</v>
      </c>
      <c r="F2822" s="2" t="s">
        <v>822</v>
      </c>
      <c r="G2822" s="23" t="s">
        <v>902</v>
      </c>
      <c r="H2822" s="2" t="s">
        <v>822</v>
      </c>
      <c r="J2822" s="31">
        <v>36.825698899999999</v>
      </c>
      <c r="K2822" s="31">
        <v>-19.238500599999998</v>
      </c>
      <c r="L2822" s="31"/>
      <c r="M2822" s="31" t="s">
        <v>854</v>
      </c>
      <c r="N2822" s="6" t="s">
        <v>856</v>
      </c>
    </row>
    <row r="2823" spans="1:14" ht="15" customHeight="1" x14ac:dyDescent="0.2">
      <c r="A2823" s="31">
        <v>0.78229058867943813</v>
      </c>
      <c r="B2823" s="31"/>
      <c r="C2823" s="2" t="s">
        <v>855</v>
      </c>
      <c r="D2823" s="31">
        <f t="shared" si="96"/>
        <v>0.15332895538116989</v>
      </c>
      <c r="F2823" s="2" t="s">
        <v>822</v>
      </c>
      <c r="G2823" s="23" t="s">
        <v>902</v>
      </c>
      <c r="H2823" s="2" t="s">
        <v>822</v>
      </c>
      <c r="J2823" s="31">
        <v>26.708000200000001</v>
      </c>
      <c r="K2823" s="31">
        <v>-35.212001800000003</v>
      </c>
      <c r="L2823" s="31"/>
      <c r="M2823" s="31" t="s">
        <v>854</v>
      </c>
      <c r="N2823" s="6" t="s">
        <v>856</v>
      </c>
    </row>
    <row r="2824" spans="1:14" ht="15" customHeight="1" x14ac:dyDescent="0.2">
      <c r="A2824" s="31">
        <v>0.782289536000501</v>
      </c>
      <c r="B2824" s="31"/>
      <c r="C2824" s="2" t="s">
        <v>855</v>
      </c>
      <c r="D2824" s="31">
        <f t="shared" si="96"/>
        <v>0.1533287490560982</v>
      </c>
      <c r="F2824" s="2" t="s">
        <v>822</v>
      </c>
      <c r="G2824" s="23" t="s">
        <v>902</v>
      </c>
      <c r="H2824" s="2" t="s">
        <v>822</v>
      </c>
      <c r="J2824" s="31">
        <v>41.024101299999998</v>
      </c>
      <c r="K2824" s="31">
        <v>-42.874698600000002</v>
      </c>
      <c r="L2824" s="31"/>
      <c r="M2824" s="31" t="s">
        <v>854</v>
      </c>
      <c r="N2824" s="6" t="s">
        <v>856</v>
      </c>
    </row>
    <row r="2825" spans="1:14" ht="15" customHeight="1" x14ac:dyDescent="0.2">
      <c r="A2825" s="31">
        <v>0.78225805060034026</v>
      </c>
      <c r="B2825" s="31"/>
      <c r="C2825" s="2" t="s">
        <v>855</v>
      </c>
      <c r="D2825" s="31">
        <f t="shared" si="96"/>
        <v>0.15332257791766671</v>
      </c>
      <c r="F2825" s="2" t="s">
        <v>822</v>
      </c>
      <c r="G2825" s="23" t="s">
        <v>902</v>
      </c>
      <c r="H2825" s="2" t="s">
        <v>822</v>
      </c>
      <c r="J2825" s="31">
        <v>40.805400800000001</v>
      </c>
      <c r="K2825" s="31">
        <v>17.608999300000001</v>
      </c>
      <c r="L2825" s="31"/>
      <c r="M2825" s="31" t="s">
        <v>854</v>
      </c>
      <c r="N2825" s="6" t="s">
        <v>856</v>
      </c>
    </row>
    <row r="2826" spans="1:14" ht="15" customHeight="1" x14ac:dyDescent="0.2">
      <c r="A2826" s="31">
        <v>0.78182970301440191</v>
      </c>
      <c r="B2826" s="31"/>
      <c r="C2826" s="2" t="s">
        <v>855</v>
      </c>
      <c r="D2826" s="31">
        <f t="shared" si="96"/>
        <v>0.15323862179082279</v>
      </c>
      <c r="F2826" s="2" t="s">
        <v>822</v>
      </c>
      <c r="G2826" s="23" t="s">
        <v>902</v>
      </c>
      <c r="H2826" s="2" t="s">
        <v>822</v>
      </c>
      <c r="J2826" s="31">
        <v>28.7245998</v>
      </c>
      <c r="K2826" s="31">
        <v>49.138801600000001</v>
      </c>
      <c r="L2826" s="31"/>
      <c r="M2826" s="31" t="s">
        <v>854</v>
      </c>
      <c r="N2826" s="6" t="s">
        <v>856</v>
      </c>
    </row>
    <row r="2827" spans="1:14" ht="15" customHeight="1" x14ac:dyDescent="0.2">
      <c r="A2827" s="31">
        <v>0.78150255276471869</v>
      </c>
      <c r="B2827" s="31"/>
      <c r="C2827" s="2" t="s">
        <v>855</v>
      </c>
      <c r="D2827" s="31">
        <f t="shared" si="96"/>
        <v>0.15317450034188487</v>
      </c>
      <c r="F2827" s="2" t="s">
        <v>822</v>
      </c>
      <c r="G2827" s="23" t="s">
        <v>902</v>
      </c>
      <c r="H2827" s="2" t="s">
        <v>822</v>
      </c>
      <c r="J2827" s="31">
        <v>35.355201700000002</v>
      </c>
      <c r="K2827" s="31">
        <v>-20.5898991</v>
      </c>
      <c r="L2827" s="31"/>
      <c r="M2827" s="31" t="s">
        <v>854</v>
      </c>
      <c r="N2827" s="6" t="s">
        <v>856</v>
      </c>
    </row>
    <row r="2828" spans="1:14" ht="15" customHeight="1" x14ac:dyDescent="0.2">
      <c r="A2828" s="31">
        <v>0.78142465475695089</v>
      </c>
      <c r="B2828" s="31"/>
      <c r="C2828" s="2" t="s">
        <v>855</v>
      </c>
      <c r="D2828" s="31">
        <f t="shared" si="96"/>
        <v>0.15315923233236237</v>
      </c>
      <c r="F2828" s="2" t="s">
        <v>822</v>
      </c>
      <c r="G2828" s="23" t="s">
        <v>902</v>
      </c>
      <c r="H2828" s="2" t="s">
        <v>822</v>
      </c>
      <c r="J2828" s="31">
        <v>37.463199600000003</v>
      </c>
      <c r="K2828" s="31">
        <v>-15.874199900000001</v>
      </c>
      <c r="L2828" s="31"/>
      <c r="M2828" s="31" t="s">
        <v>854</v>
      </c>
      <c r="N2828" s="6" t="s">
        <v>856</v>
      </c>
    </row>
    <row r="2829" spans="1:14" ht="15" customHeight="1" x14ac:dyDescent="0.2">
      <c r="A2829" s="31">
        <v>0.78134741314553902</v>
      </c>
      <c r="B2829" s="31"/>
      <c r="C2829" s="2" t="s">
        <v>855</v>
      </c>
      <c r="D2829" s="31">
        <f t="shared" si="96"/>
        <v>0.15314409297652565</v>
      </c>
      <c r="F2829" s="2" t="s">
        <v>822</v>
      </c>
      <c r="G2829" s="23" t="s">
        <v>902</v>
      </c>
      <c r="H2829" s="2" t="s">
        <v>822</v>
      </c>
      <c r="J2829" s="31">
        <v>40.0680008</v>
      </c>
      <c r="K2829" s="31">
        <v>-15.509200099999999</v>
      </c>
      <c r="L2829" s="31"/>
      <c r="M2829" s="31" t="s">
        <v>854</v>
      </c>
      <c r="N2829" s="6" t="s">
        <v>856</v>
      </c>
    </row>
    <row r="2830" spans="1:14" ht="15" customHeight="1" x14ac:dyDescent="0.2">
      <c r="A2830" s="31">
        <v>0.78112622761480544</v>
      </c>
      <c r="B2830" s="31"/>
      <c r="C2830" s="2" t="s">
        <v>855</v>
      </c>
      <c r="D2830" s="31">
        <f t="shared" si="96"/>
        <v>0.15310074061250187</v>
      </c>
      <c r="F2830" s="2" t="s">
        <v>822</v>
      </c>
      <c r="G2830" s="23" t="s">
        <v>902</v>
      </c>
      <c r="H2830" s="2" t="s">
        <v>822</v>
      </c>
      <c r="J2830" s="31">
        <v>40.736000099999998</v>
      </c>
      <c r="K2830" s="31">
        <v>-10.2122002</v>
      </c>
      <c r="L2830" s="31"/>
      <c r="M2830" s="31" t="s">
        <v>854</v>
      </c>
      <c r="N2830" s="6" t="s">
        <v>856</v>
      </c>
    </row>
    <row r="2831" spans="1:14" ht="15" customHeight="1" x14ac:dyDescent="0.2">
      <c r="A2831" s="31">
        <v>0.78104319151108925</v>
      </c>
      <c r="B2831" s="31"/>
      <c r="C2831" s="2" t="s">
        <v>855</v>
      </c>
      <c r="D2831" s="31">
        <f t="shared" si="96"/>
        <v>0.1530844655361735</v>
      </c>
      <c r="F2831" s="2" t="s">
        <v>822</v>
      </c>
      <c r="G2831" s="23" t="s">
        <v>902</v>
      </c>
      <c r="H2831" s="2" t="s">
        <v>822</v>
      </c>
      <c r="J2831" s="31">
        <v>36.002800000000001</v>
      </c>
      <c r="K2831" s="31">
        <v>-41.540599800000003</v>
      </c>
      <c r="L2831" s="31"/>
      <c r="M2831" s="31" t="s">
        <v>854</v>
      </c>
      <c r="N2831" s="6" t="s">
        <v>856</v>
      </c>
    </row>
    <row r="2832" spans="1:14" ht="15" customHeight="1" x14ac:dyDescent="0.2">
      <c r="A2832" s="31">
        <v>0.78102939602075527</v>
      </c>
      <c r="B2832" s="31"/>
      <c r="C2832" s="2" t="s">
        <v>855</v>
      </c>
      <c r="D2832" s="31">
        <f t="shared" si="96"/>
        <v>0.15308176162006804</v>
      </c>
      <c r="F2832" s="2" t="s">
        <v>822</v>
      </c>
      <c r="G2832" s="23" t="s">
        <v>902</v>
      </c>
      <c r="H2832" s="2" t="s">
        <v>822</v>
      </c>
      <c r="J2832" s="31">
        <v>41.845901499999997</v>
      </c>
      <c r="K2832" s="31">
        <v>-12.492400200000001</v>
      </c>
      <c r="L2832" s="31"/>
      <c r="M2832" s="31" t="s">
        <v>854</v>
      </c>
      <c r="N2832" s="6" t="s">
        <v>856</v>
      </c>
    </row>
    <row r="2833" spans="1:14" ht="15" customHeight="1" x14ac:dyDescent="0.2">
      <c r="A2833" s="31">
        <v>0.78094155361920659</v>
      </c>
      <c r="B2833" s="31"/>
      <c r="C2833" s="2" t="s">
        <v>855</v>
      </c>
      <c r="D2833" s="31">
        <f t="shared" si="96"/>
        <v>0.15306454450936449</v>
      </c>
      <c r="F2833" s="2" t="s">
        <v>822</v>
      </c>
      <c r="G2833" s="23" t="s">
        <v>902</v>
      </c>
      <c r="H2833" s="2" t="s">
        <v>822</v>
      </c>
      <c r="J2833" s="31">
        <v>50.555099499999997</v>
      </c>
      <c r="K2833" s="31">
        <v>-3.1177999999999999</v>
      </c>
      <c r="L2833" s="31"/>
      <c r="M2833" s="31" t="s">
        <v>854</v>
      </c>
      <c r="N2833" s="6" t="s">
        <v>856</v>
      </c>
    </row>
    <row r="2834" spans="1:14" ht="15" customHeight="1" x14ac:dyDescent="0.2">
      <c r="A2834" s="31">
        <v>0.78093555953913563</v>
      </c>
      <c r="B2834" s="31"/>
      <c r="C2834" s="2" t="s">
        <v>855</v>
      </c>
      <c r="D2834" s="31">
        <f t="shared" si="96"/>
        <v>0.1530633696696706</v>
      </c>
      <c r="F2834" s="2" t="s">
        <v>822</v>
      </c>
      <c r="G2834" s="23" t="s">
        <v>902</v>
      </c>
      <c r="H2834" s="2" t="s">
        <v>822</v>
      </c>
      <c r="J2834" s="31">
        <v>43.109100300000001</v>
      </c>
      <c r="K2834" s="31">
        <v>-35.394500700000002</v>
      </c>
      <c r="L2834" s="31"/>
      <c r="M2834" s="31" t="s">
        <v>854</v>
      </c>
      <c r="N2834" s="6" t="s">
        <v>856</v>
      </c>
    </row>
    <row r="2835" spans="1:14" ht="15" customHeight="1" x14ac:dyDescent="0.2">
      <c r="A2835" s="31">
        <v>0.78089251285399452</v>
      </c>
      <c r="B2835" s="31"/>
      <c r="C2835" s="2" t="s">
        <v>855</v>
      </c>
      <c r="D2835" s="31">
        <f t="shared" si="96"/>
        <v>0.15305493251938293</v>
      </c>
      <c r="F2835" s="2" t="s">
        <v>822</v>
      </c>
      <c r="G2835" s="23" t="s">
        <v>902</v>
      </c>
      <c r="H2835" s="2" t="s">
        <v>822</v>
      </c>
      <c r="J2835" s="31">
        <v>30.048000300000002</v>
      </c>
      <c r="K2835" s="31">
        <v>-31.8719997</v>
      </c>
      <c r="L2835" s="31"/>
      <c r="M2835" s="31" t="s">
        <v>854</v>
      </c>
      <c r="N2835" s="6" t="s">
        <v>856</v>
      </c>
    </row>
    <row r="2836" spans="1:14" ht="15" customHeight="1" x14ac:dyDescent="0.2">
      <c r="A2836" s="31">
        <v>0.7808572625544612</v>
      </c>
      <c r="B2836" s="31"/>
      <c r="C2836" s="2" t="s">
        <v>855</v>
      </c>
      <c r="D2836" s="31">
        <f t="shared" si="96"/>
        <v>0.15304802346067439</v>
      </c>
      <c r="F2836" s="2" t="s">
        <v>822</v>
      </c>
      <c r="G2836" s="23" t="s">
        <v>902</v>
      </c>
      <c r="H2836" s="2" t="s">
        <v>822</v>
      </c>
      <c r="J2836" s="31">
        <v>35.788501699999998</v>
      </c>
      <c r="K2836" s="31">
        <v>-18.511999100000001</v>
      </c>
      <c r="L2836" s="31"/>
      <c r="M2836" s="31" t="s">
        <v>854</v>
      </c>
      <c r="N2836" s="6" t="s">
        <v>856</v>
      </c>
    </row>
    <row r="2837" spans="1:14" ht="15" customHeight="1" x14ac:dyDescent="0.2">
      <c r="A2837" s="31">
        <v>0.78071854085328496</v>
      </c>
      <c r="B2837" s="31"/>
      <c r="C2837" s="2" t="s">
        <v>855</v>
      </c>
      <c r="D2837" s="31">
        <f t="shared" si="96"/>
        <v>0.15302083400724387</v>
      </c>
      <c r="F2837" s="2" t="s">
        <v>822</v>
      </c>
      <c r="G2837" s="23" t="s">
        <v>902</v>
      </c>
      <c r="H2837" s="2" t="s">
        <v>822</v>
      </c>
      <c r="J2837" s="31">
        <v>38.391201000000002</v>
      </c>
      <c r="K2837" s="31">
        <v>-39.598701499999997</v>
      </c>
      <c r="L2837" s="31"/>
      <c r="M2837" s="31" t="s">
        <v>854</v>
      </c>
      <c r="N2837" s="6" t="s">
        <v>856</v>
      </c>
    </row>
    <row r="2838" spans="1:14" ht="15" customHeight="1" x14ac:dyDescent="0.2">
      <c r="A2838" s="31">
        <v>0.78067533163484248</v>
      </c>
      <c r="B2838" s="31"/>
      <c r="C2838" s="2" t="s">
        <v>855</v>
      </c>
      <c r="D2838" s="31">
        <f t="shared" si="96"/>
        <v>0.15301236500042914</v>
      </c>
      <c r="F2838" s="2" t="s">
        <v>822</v>
      </c>
      <c r="G2838" s="23" t="s">
        <v>902</v>
      </c>
      <c r="H2838" s="2" t="s">
        <v>822</v>
      </c>
      <c r="J2838" s="31">
        <v>32.9679985</v>
      </c>
      <c r="K2838" s="31">
        <v>29.426200900000001</v>
      </c>
      <c r="L2838" s="31"/>
      <c r="M2838" s="31" t="s">
        <v>854</v>
      </c>
      <c r="N2838" s="6" t="s">
        <v>856</v>
      </c>
    </row>
    <row r="2839" spans="1:14" ht="15" customHeight="1" x14ac:dyDescent="0.2">
      <c r="A2839" s="31">
        <v>0.78056044852372175</v>
      </c>
      <c r="B2839" s="31"/>
      <c r="C2839" s="2" t="s">
        <v>855</v>
      </c>
      <c r="D2839" s="31">
        <f t="shared" si="96"/>
        <v>0.15298984791064946</v>
      </c>
      <c r="F2839" s="2" t="s">
        <v>822</v>
      </c>
      <c r="G2839" s="23" t="s">
        <v>902</v>
      </c>
      <c r="H2839" s="2" t="s">
        <v>822</v>
      </c>
      <c r="J2839" s="31">
        <v>42.732799499999999</v>
      </c>
      <c r="K2839" s="31">
        <v>-21.190099700000001</v>
      </c>
      <c r="L2839" s="31"/>
      <c r="M2839" s="31" t="s">
        <v>854</v>
      </c>
      <c r="N2839" s="6" t="s">
        <v>856</v>
      </c>
    </row>
    <row r="2840" spans="1:14" ht="15" customHeight="1" x14ac:dyDescent="0.2">
      <c r="A2840" s="31">
        <v>0.7803908921470295</v>
      </c>
      <c r="B2840" s="31"/>
      <c r="C2840" s="2" t="s">
        <v>855</v>
      </c>
      <c r="D2840" s="31">
        <f t="shared" si="96"/>
        <v>0.1529566148608178</v>
      </c>
      <c r="F2840" s="2" t="s">
        <v>822</v>
      </c>
      <c r="G2840" s="23" t="s">
        <v>902</v>
      </c>
      <c r="H2840" s="2" t="s">
        <v>822</v>
      </c>
      <c r="J2840" s="31">
        <v>38.436599700000002</v>
      </c>
      <c r="K2840" s="31">
        <v>-39.594001800000001</v>
      </c>
      <c r="L2840" s="31"/>
      <c r="M2840" s="31" t="s">
        <v>854</v>
      </c>
      <c r="N2840" s="6" t="s">
        <v>856</v>
      </c>
    </row>
    <row r="2841" spans="1:14" ht="15" customHeight="1" x14ac:dyDescent="0.2">
      <c r="A2841" s="31">
        <v>0.78020634718994464</v>
      </c>
      <c r="B2841" s="31"/>
      <c r="C2841" s="2" t="s">
        <v>855</v>
      </c>
      <c r="D2841" s="31">
        <f t="shared" si="96"/>
        <v>0.15292044404922917</v>
      </c>
      <c r="F2841" s="2" t="s">
        <v>822</v>
      </c>
      <c r="G2841" s="23" t="s">
        <v>902</v>
      </c>
      <c r="H2841" s="2" t="s">
        <v>822</v>
      </c>
      <c r="J2841" s="31">
        <v>44.584899900000003</v>
      </c>
      <c r="K2841" s="31">
        <v>-36.6786995</v>
      </c>
      <c r="L2841" s="31"/>
      <c r="M2841" s="31" t="s">
        <v>854</v>
      </c>
      <c r="N2841" s="6" t="s">
        <v>856</v>
      </c>
    </row>
    <row r="2842" spans="1:14" ht="15" customHeight="1" x14ac:dyDescent="0.2">
      <c r="A2842" s="31">
        <v>0.78019346942283907</v>
      </c>
      <c r="B2842" s="31"/>
      <c r="C2842" s="2" t="s">
        <v>855</v>
      </c>
      <c r="D2842" s="31">
        <f t="shared" si="96"/>
        <v>0.15291792000687646</v>
      </c>
      <c r="F2842" s="2" t="s">
        <v>822</v>
      </c>
      <c r="G2842" s="23" t="s">
        <v>902</v>
      </c>
      <c r="H2842" s="2" t="s">
        <v>822</v>
      </c>
      <c r="J2842" s="31">
        <v>31.2593994</v>
      </c>
      <c r="K2842" s="31">
        <v>28.453699100000001</v>
      </c>
      <c r="L2842" s="31"/>
      <c r="M2842" s="31" t="s">
        <v>854</v>
      </c>
      <c r="N2842" s="6" t="s">
        <v>856</v>
      </c>
    </row>
    <row r="2843" spans="1:14" ht="15" customHeight="1" x14ac:dyDescent="0.2">
      <c r="A2843" s="31">
        <v>0.78012675357671435</v>
      </c>
      <c r="B2843" s="31"/>
      <c r="C2843" s="2" t="s">
        <v>855</v>
      </c>
      <c r="D2843" s="31">
        <f t="shared" ref="D2843:D2874" si="97" xml:space="preserve"> A2843 * 0.196</f>
        <v>0.15290484370103602</v>
      </c>
      <c r="F2843" s="2" t="s">
        <v>822</v>
      </c>
      <c r="G2843" s="23" t="s">
        <v>902</v>
      </c>
      <c r="H2843" s="2" t="s">
        <v>822</v>
      </c>
      <c r="J2843" s="31">
        <v>26.040000899999999</v>
      </c>
      <c r="K2843" s="31">
        <v>-36.548000299999998</v>
      </c>
      <c r="L2843" s="31"/>
      <c r="M2843" s="31" t="s">
        <v>854</v>
      </c>
      <c r="N2843" s="6" t="s">
        <v>856</v>
      </c>
    </row>
    <row r="2844" spans="1:14" ht="15" customHeight="1" x14ac:dyDescent="0.2">
      <c r="A2844" s="31">
        <v>0.77991169687656192</v>
      </c>
      <c r="B2844" s="31"/>
      <c r="C2844" s="2" t="s">
        <v>855</v>
      </c>
      <c r="D2844" s="31">
        <f t="shared" si="97"/>
        <v>0.15286269258780613</v>
      </c>
      <c r="F2844" s="2" t="s">
        <v>822</v>
      </c>
      <c r="G2844" s="23" t="s">
        <v>902</v>
      </c>
      <c r="H2844" s="2" t="s">
        <v>822</v>
      </c>
      <c r="J2844" s="31">
        <v>46.068298300000002</v>
      </c>
      <c r="K2844" s="31">
        <v>-10.921799699999999</v>
      </c>
      <c r="L2844" s="31"/>
      <c r="M2844" s="31" t="s">
        <v>854</v>
      </c>
      <c r="N2844" s="6" t="s">
        <v>856</v>
      </c>
    </row>
    <row r="2845" spans="1:14" ht="15" customHeight="1" x14ac:dyDescent="0.2">
      <c r="A2845" s="31">
        <v>0.77990002631025379</v>
      </c>
      <c r="B2845" s="31"/>
      <c r="C2845" s="2" t="s">
        <v>855</v>
      </c>
      <c r="D2845" s="31">
        <f t="shared" si="97"/>
        <v>0.15286040515680974</v>
      </c>
      <c r="F2845" s="2" t="s">
        <v>822</v>
      </c>
      <c r="G2845" s="23" t="s">
        <v>902</v>
      </c>
      <c r="H2845" s="2" t="s">
        <v>822</v>
      </c>
      <c r="J2845" s="31">
        <v>45.231601699999999</v>
      </c>
      <c r="K2845" s="31">
        <v>-34.977600099999997</v>
      </c>
      <c r="L2845" s="31"/>
      <c r="M2845" s="31" t="s">
        <v>854</v>
      </c>
      <c r="N2845" s="6" t="s">
        <v>856</v>
      </c>
    </row>
    <row r="2846" spans="1:14" ht="15" customHeight="1" x14ac:dyDescent="0.2">
      <c r="A2846" s="31">
        <v>0.77982705346480385</v>
      </c>
      <c r="B2846" s="31"/>
      <c r="C2846" s="2" t="s">
        <v>855</v>
      </c>
      <c r="D2846" s="31">
        <f t="shared" si="97"/>
        <v>0.15284610247910155</v>
      </c>
      <c r="F2846" s="2" t="s">
        <v>822</v>
      </c>
      <c r="G2846" s="23" t="s">
        <v>902</v>
      </c>
      <c r="H2846" s="2" t="s">
        <v>822</v>
      </c>
      <c r="J2846" s="31">
        <v>36.666999799999999</v>
      </c>
      <c r="K2846" s="31">
        <v>-42.0503006</v>
      </c>
      <c r="L2846" s="31"/>
      <c r="M2846" s="31" t="s">
        <v>854</v>
      </c>
      <c r="N2846" s="6" t="s">
        <v>856</v>
      </c>
    </row>
    <row r="2847" spans="1:14" ht="15" customHeight="1" x14ac:dyDescent="0.2">
      <c r="A2847" s="31">
        <v>0.77967320371607518</v>
      </c>
      <c r="B2847" s="31"/>
      <c r="C2847" s="2" t="s">
        <v>855</v>
      </c>
      <c r="D2847" s="31">
        <f t="shared" si="97"/>
        <v>0.15281594792835074</v>
      </c>
      <c r="F2847" s="2" t="s">
        <v>822</v>
      </c>
      <c r="G2847" s="23" t="s">
        <v>902</v>
      </c>
      <c r="H2847" s="2" t="s">
        <v>822</v>
      </c>
      <c r="J2847" s="31">
        <v>42.318698900000001</v>
      </c>
      <c r="K2847" s="31">
        <v>-31.502000800000001</v>
      </c>
      <c r="L2847" s="31"/>
      <c r="M2847" s="31" t="s">
        <v>854</v>
      </c>
      <c r="N2847" s="6" t="s">
        <v>856</v>
      </c>
    </row>
    <row r="2848" spans="1:14" ht="15" customHeight="1" x14ac:dyDescent="0.2">
      <c r="A2848" s="31">
        <v>0.77967068079374224</v>
      </c>
      <c r="B2848" s="31"/>
      <c r="C2848" s="2" t="s">
        <v>855</v>
      </c>
      <c r="D2848" s="31">
        <f t="shared" si="97"/>
        <v>0.15281545343557348</v>
      </c>
      <c r="F2848" s="2" t="s">
        <v>822</v>
      </c>
      <c r="G2848" s="23" t="s">
        <v>902</v>
      </c>
      <c r="H2848" s="2" t="s">
        <v>822</v>
      </c>
      <c r="J2848" s="31">
        <v>39.281398799999998</v>
      </c>
      <c r="K2848" s="31">
        <v>17.156099300000001</v>
      </c>
      <c r="L2848" s="31"/>
      <c r="M2848" s="31" t="s">
        <v>854</v>
      </c>
      <c r="N2848" s="6" t="s">
        <v>856</v>
      </c>
    </row>
    <row r="2849" spans="1:14" ht="15" customHeight="1" x14ac:dyDescent="0.2">
      <c r="A2849" s="31">
        <v>0.77944696864896357</v>
      </c>
      <c r="B2849" s="31"/>
      <c r="C2849" s="2" t="s">
        <v>855</v>
      </c>
      <c r="D2849" s="31">
        <f t="shared" si="97"/>
        <v>0.15277160585519686</v>
      </c>
      <c r="F2849" s="2" t="s">
        <v>822</v>
      </c>
      <c r="G2849" s="23" t="s">
        <v>902</v>
      </c>
      <c r="H2849" s="2" t="s">
        <v>822</v>
      </c>
      <c r="J2849" s="31">
        <v>33.082199099999997</v>
      </c>
      <c r="K2849" s="31">
        <v>-34.306198100000003</v>
      </c>
      <c r="L2849" s="31"/>
      <c r="M2849" s="31" t="s">
        <v>854</v>
      </c>
      <c r="N2849" s="6" t="s">
        <v>856</v>
      </c>
    </row>
    <row r="2850" spans="1:14" ht="15" customHeight="1" x14ac:dyDescent="0.2">
      <c r="A2850" s="31">
        <v>0.77942902111160772</v>
      </c>
      <c r="B2850" s="31"/>
      <c r="C2850" s="2" t="s">
        <v>855</v>
      </c>
      <c r="D2850" s="31">
        <f t="shared" si="97"/>
        <v>0.15276808813787512</v>
      </c>
      <c r="F2850" s="2" t="s">
        <v>822</v>
      </c>
      <c r="G2850" s="23" t="s">
        <v>902</v>
      </c>
      <c r="H2850" s="2" t="s">
        <v>822</v>
      </c>
      <c r="J2850" s="31">
        <v>39.322399099999998</v>
      </c>
      <c r="K2850" s="31">
        <v>2.8618701</v>
      </c>
      <c r="L2850" s="31"/>
      <c r="M2850" s="31" t="s">
        <v>854</v>
      </c>
      <c r="N2850" s="6" t="s">
        <v>856</v>
      </c>
    </row>
    <row r="2851" spans="1:14" ht="15" customHeight="1" x14ac:dyDescent="0.2">
      <c r="A2851" s="31">
        <v>0.77936366143662961</v>
      </c>
      <c r="B2851" s="31"/>
      <c r="C2851" s="2" t="s">
        <v>855</v>
      </c>
      <c r="D2851" s="31">
        <f t="shared" si="97"/>
        <v>0.1527552776415794</v>
      </c>
      <c r="F2851" s="2" t="s">
        <v>822</v>
      </c>
      <c r="G2851" s="23" t="s">
        <v>902</v>
      </c>
      <c r="H2851" s="2" t="s">
        <v>822</v>
      </c>
      <c r="J2851" s="31">
        <v>52.255600000000001</v>
      </c>
      <c r="K2851" s="31">
        <v>-4.9864001</v>
      </c>
      <c r="L2851" s="31"/>
      <c r="M2851" s="31" t="s">
        <v>854</v>
      </c>
      <c r="N2851" s="6" t="s">
        <v>856</v>
      </c>
    </row>
    <row r="2852" spans="1:14" ht="15" customHeight="1" x14ac:dyDescent="0.2">
      <c r="A2852" s="31">
        <v>0.77912478137776586</v>
      </c>
      <c r="B2852" s="31"/>
      <c r="C2852" s="2" t="s">
        <v>855</v>
      </c>
      <c r="D2852" s="31">
        <f t="shared" si="97"/>
        <v>0.15270845715004211</v>
      </c>
      <c r="F2852" s="2" t="s">
        <v>822</v>
      </c>
      <c r="G2852" s="23" t="s">
        <v>902</v>
      </c>
      <c r="H2852" s="2" t="s">
        <v>822</v>
      </c>
      <c r="J2852" s="31">
        <v>34.0536995</v>
      </c>
      <c r="K2852" s="31">
        <v>-37.896701800000002</v>
      </c>
      <c r="L2852" s="31"/>
      <c r="M2852" s="31" t="s">
        <v>854</v>
      </c>
      <c r="N2852" s="6" t="s">
        <v>856</v>
      </c>
    </row>
    <row r="2853" spans="1:14" ht="15" customHeight="1" x14ac:dyDescent="0.2">
      <c r="A2853" s="31">
        <v>0.7788392389029305</v>
      </c>
      <c r="B2853" s="31"/>
      <c r="C2853" s="2" t="s">
        <v>855</v>
      </c>
      <c r="D2853" s="31">
        <f t="shared" si="97"/>
        <v>0.1526524908249744</v>
      </c>
      <c r="F2853" s="2" t="s">
        <v>822</v>
      </c>
      <c r="G2853" s="23" t="s">
        <v>902</v>
      </c>
      <c r="H2853" s="2" t="s">
        <v>822</v>
      </c>
      <c r="J2853" s="31">
        <v>37.565101599999998</v>
      </c>
      <c r="K2853" s="31">
        <v>20.8125</v>
      </c>
      <c r="L2853" s="31"/>
      <c r="M2853" s="31" t="s">
        <v>854</v>
      </c>
      <c r="N2853" s="6" t="s">
        <v>856</v>
      </c>
    </row>
    <row r="2854" spans="1:14" ht="15" customHeight="1" x14ac:dyDescent="0.2">
      <c r="A2854" s="31">
        <v>0.77879509769028865</v>
      </c>
      <c r="B2854" s="31"/>
      <c r="C2854" s="2" t="s">
        <v>855</v>
      </c>
      <c r="D2854" s="31">
        <f t="shared" si="97"/>
        <v>0.15264383914729659</v>
      </c>
      <c r="F2854" s="2" t="s">
        <v>822</v>
      </c>
      <c r="G2854" s="23" t="s">
        <v>902</v>
      </c>
      <c r="H2854" s="2" t="s">
        <v>822</v>
      </c>
      <c r="J2854" s="31">
        <v>38.063999199999998</v>
      </c>
      <c r="K2854" s="31">
        <v>6.2039999999999997</v>
      </c>
      <c r="L2854" s="31"/>
      <c r="M2854" s="31" t="s">
        <v>854</v>
      </c>
      <c r="N2854" s="6" t="s">
        <v>856</v>
      </c>
    </row>
    <row r="2855" spans="1:14" ht="15" customHeight="1" x14ac:dyDescent="0.2">
      <c r="A2855" s="31">
        <v>0.77862445928207236</v>
      </c>
      <c r="B2855" s="31"/>
      <c r="C2855" s="2" t="s">
        <v>855</v>
      </c>
      <c r="D2855" s="31">
        <f t="shared" si="97"/>
        <v>0.15261039401928619</v>
      </c>
      <c r="F2855" s="2" t="s">
        <v>822</v>
      </c>
      <c r="G2855" s="23" t="s">
        <v>902</v>
      </c>
      <c r="H2855" s="2" t="s">
        <v>822</v>
      </c>
      <c r="J2855" s="31">
        <v>43.330100999999999</v>
      </c>
      <c r="K2855" s="31">
        <v>-28.676200900000001</v>
      </c>
      <c r="L2855" s="31"/>
      <c r="M2855" s="31" t="s">
        <v>854</v>
      </c>
      <c r="N2855" s="6" t="s">
        <v>856</v>
      </c>
    </row>
    <row r="2856" spans="1:14" ht="15" customHeight="1" x14ac:dyDescent="0.2">
      <c r="A2856" s="31">
        <v>0.77833485668281244</v>
      </c>
      <c r="B2856" s="31"/>
      <c r="C2856" s="2" t="s">
        <v>855</v>
      </c>
      <c r="D2856" s="31">
        <f t="shared" si="97"/>
        <v>0.15255363190983123</v>
      </c>
      <c r="F2856" s="2" t="s">
        <v>822</v>
      </c>
      <c r="G2856" s="23" t="s">
        <v>902</v>
      </c>
      <c r="H2856" s="2" t="s">
        <v>822</v>
      </c>
      <c r="J2856" s="31">
        <v>32.745700800000002</v>
      </c>
      <c r="K2856" s="31">
        <v>-17.0725002</v>
      </c>
      <c r="L2856" s="31"/>
      <c r="M2856" s="31" t="s">
        <v>854</v>
      </c>
      <c r="N2856" s="6" t="s">
        <v>856</v>
      </c>
    </row>
    <row r="2857" spans="1:14" ht="15" customHeight="1" x14ac:dyDescent="0.2">
      <c r="A2857" s="31">
        <v>0.77804409792520968</v>
      </c>
      <c r="B2857" s="31"/>
      <c r="C2857" s="2" t="s">
        <v>855</v>
      </c>
      <c r="D2857" s="31">
        <f t="shared" si="97"/>
        <v>0.15249664319334111</v>
      </c>
      <c r="F2857" s="2" t="s">
        <v>822</v>
      </c>
      <c r="G2857" s="23" t="s">
        <v>902</v>
      </c>
      <c r="H2857" s="2" t="s">
        <v>822</v>
      </c>
      <c r="J2857" s="31">
        <v>30.522600199999999</v>
      </c>
      <c r="K2857" s="31">
        <v>-42.538299600000002</v>
      </c>
      <c r="L2857" s="31"/>
      <c r="M2857" s="31" t="s">
        <v>854</v>
      </c>
      <c r="N2857" s="6" t="s">
        <v>856</v>
      </c>
    </row>
    <row r="2858" spans="1:14" ht="15" customHeight="1" x14ac:dyDescent="0.2">
      <c r="A2858" s="31">
        <v>0.77799910319515464</v>
      </c>
      <c r="B2858" s="31"/>
      <c r="C2858" s="2" t="s">
        <v>855</v>
      </c>
      <c r="D2858" s="31">
        <f t="shared" si="97"/>
        <v>0.15248782422625032</v>
      </c>
      <c r="F2858" s="2" t="s">
        <v>822</v>
      </c>
      <c r="G2858" s="23" t="s">
        <v>902</v>
      </c>
      <c r="H2858" s="2" t="s">
        <v>822</v>
      </c>
      <c r="J2858" s="31">
        <v>41.098598500000001</v>
      </c>
      <c r="K2858" s="31">
        <v>8.6915598000000003</v>
      </c>
      <c r="L2858" s="31"/>
      <c r="M2858" s="31" t="s">
        <v>854</v>
      </c>
      <c r="N2858" s="6" t="s">
        <v>856</v>
      </c>
    </row>
    <row r="2859" spans="1:14" ht="15" customHeight="1" x14ac:dyDescent="0.2">
      <c r="A2859" s="31">
        <v>0.77776475115087584</v>
      </c>
      <c r="B2859" s="31"/>
      <c r="C2859" s="2" t="s">
        <v>855</v>
      </c>
      <c r="D2859" s="31">
        <f t="shared" si="97"/>
        <v>0.15244189122557167</v>
      </c>
      <c r="F2859" s="2" t="s">
        <v>822</v>
      </c>
      <c r="G2859" s="23" t="s">
        <v>902</v>
      </c>
      <c r="H2859" s="2" t="s">
        <v>822</v>
      </c>
      <c r="J2859" s="31">
        <v>32.948600800000001</v>
      </c>
      <c r="K2859" s="31">
        <v>-23.8985004</v>
      </c>
      <c r="L2859" s="31"/>
      <c r="M2859" s="31" t="s">
        <v>854</v>
      </c>
      <c r="N2859" s="6" t="s">
        <v>856</v>
      </c>
    </row>
    <row r="2860" spans="1:14" ht="15" customHeight="1" x14ac:dyDescent="0.2">
      <c r="A2860" s="31">
        <v>0.77768655538603348</v>
      </c>
      <c r="B2860" s="31"/>
      <c r="C2860" s="2" t="s">
        <v>855</v>
      </c>
      <c r="D2860" s="31">
        <f t="shared" si="97"/>
        <v>0.15242656485566256</v>
      </c>
      <c r="F2860" s="2" t="s">
        <v>822</v>
      </c>
      <c r="G2860" s="23" t="s">
        <v>902</v>
      </c>
      <c r="H2860" s="2" t="s">
        <v>822</v>
      </c>
      <c r="J2860" s="31">
        <v>27.4195995</v>
      </c>
      <c r="K2860" s="31">
        <v>-25.166099500000001</v>
      </c>
      <c r="L2860" s="31"/>
      <c r="M2860" s="31" t="s">
        <v>854</v>
      </c>
      <c r="N2860" s="6" t="s">
        <v>856</v>
      </c>
    </row>
    <row r="2861" spans="1:14" ht="15" customHeight="1" x14ac:dyDescent="0.2">
      <c r="A2861" s="31">
        <v>0.77687047345071258</v>
      </c>
      <c r="B2861" s="31"/>
      <c r="C2861" s="2" t="s">
        <v>855</v>
      </c>
      <c r="D2861" s="31">
        <f t="shared" si="97"/>
        <v>0.15226661279633968</v>
      </c>
      <c r="F2861" s="2" t="s">
        <v>822</v>
      </c>
      <c r="G2861" s="23" t="s">
        <v>902</v>
      </c>
      <c r="H2861" s="2" t="s">
        <v>822</v>
      </c>
      <c r="J2861" s="31">
        <v>42.358100899999997</v>
      </c>
      <c r="K2861" s="31">
        <v>5.6810597999999999</v>
      </c>
      <c r="L2861" s="31"/>
      <c r="M2861" s="31" t="s">
        <v>854</v>
      </c>
      <c r="N2861" s="6" t="s">
        <v>856</v>
      </c>
    </row>
    <row r="2862" spans="1:14" ht="15" customHeight="1" x14ac:dyDescent="0.2">
      <c r="A2862" s="31">
        <v>0.77671211348057712</v>
      </c>
      <c r="B2862" s="31"/>
      <c r="C2862" s="2" t="s">
        <v>855</v>
      </c>
      <c r="D2862" s="31">
        <f t="shared" si="97"/>
        <v>0.15223557424219311</v>
      </c>
      <c r="F2862" s="2" t="s">
        <v>822</v>
      </c>
      <c r="G2862" s="23" t="s">
        <v>902</v>
      </c>
      <c r="H2862" s="2" t="s">
        <v>822</v>
      </c>
      <c r="J2862" s="31">
        <v>34.365898100000003</v>
      </c>
      <c r="K2862" s="31">
        <v>11.9223003</v>
      </c>
      <c r="L2862" s="31"/>
      <c r="M2862" s="31" t="s">
        <v>854</v>
      </c>
      <c r="N2862" s="6" t="s">
        <v>856</v>
      </c>
    </row>
    <row r="2863" spans="1:14" ht="15" customHeight="1" x14ac:dyDescent="0.2">
      <c r="A2863" s="31">
        <v>0.77658406516944223</v>
      </c>
      <c r="B2863" s="31"/>
      <c r="C2863" s="2" t="s">
        <v>855</v>
      </c>
      <c r="D2863" s="31">
        <f t="shared" si="97"/>
        <v>0.15221047677321067</v>
      </c>
      <c r="F2863" s="2" t="s">
        <v>822</v>
      </c>
      <c r="G2863" s="23" t="s">
        <v>902</v>
      </c>
      <c r="H2863" s="2" t="s">
        <v>822</v>
      </c>
      <c r="J2863" s="31">
        <v>35.391998299999997</v>
      </c>
      <c r="K2863" s="31">
        <v>22.236000099999998</v>
      </c>
      <c r="L2863" s="31"/>
      <c r="M2863" s="31" t="s">
        <v>854</v>
      </c>
      <c r="N2863" s="6" t="s">
        <v>856</v>
      </c>
    </row>
    <row r="2864" spans="1:14" ht="15" customHeight="1" x14ac:dyDescent="0.2">
      <c r="A2864" s="31">
        <v>0.7763640174642652</v>
      </c>
      <c r="B2864" s="31"/>
      <c r="C2864" s="2" t="s">
        <v>855</v>
      </c>
      <c r="D2864" s="31">
        <f t="shared" si="97"/>
        <v>0.15216734742299598</v>
      </c>
      <c r="F2864" s="2" t="s">
        <v>822</v>
      </c>
      <c r="G2864" s="23" t="s">
        <v>902</v>
      </c>
      <c r="H2864" s="2" t="s">
        <v>822</v>
      </c>
      <c r="J2864" s="31">
        <v>32.916099500000001</v>
      </c>
      <c r="K2864" s="31">
        <v>13.603400199999999</v>
      </c>
      <c r="L2864" s="31"/>
      <c r="M2864" s="31" t="s">
        <v>854</v>
      </c>
      <c r="N2864" s="6" t="s">
        <v>856</v>
      </c>
    </row>
    <row r="2865" spans="1:14" ht="15" customHeight="1" x14ac:dyDescent="0.2">
      <c r="A2865" s="31">
        <v>0.77636395288186044</v>
      </c>
      <c r="B2865" s="31"/>
      <c r="C2865" s="2" t="s">
        <v>855</v>
      </c>
      <c r="D2865" s="31">
        <f t="shared" si="97"/>
        <v>0.15216733476484465</v>
      </c>
      <c r="F2865" s="2" t="s">
        <v>822</v>
      </c>
      <c r="G2865" s="23" t="s">
        <v>902</v>
      </c>
      <c r="H2865" s="2" t="s">
        <v>822</v>
      </c>
      <c r="J2865" s="31">
        <v>25.263700499999999</v>
      </c>
      <c r="K2865" s="31">
        <v>60.686000800000002</v>
      </c>
      <c r="L2865" s="31"/>
      <c r="M2865" s="31" t="s">
        <v>854</v>
      </c>
      <c r="N2865" s="6" t="s">
        <v>856</v>
      </c>
    </row>
    <row r="2866" spans="1:14" ht="15" customHeight="1" x14ac:dyDescent="0.2">
      <c r="A2866" s="31">
        <v>0.77618016137067203</v>
      </c>
      <c r="B2866" s="31"/>
      <c r="C2866" s="2" t="s">
        <v>855</v>
      </c>
      <c r="D2866" s="31">
        <f t="shared" si="97"/>
        <v>0.15213131162865173</v>
      </c>
      <c r="F2866" s="2" t="s">
        <v>822</v>
      </c>
      <c r="G2866" s="23" t="s">
        <v>902</v>
      </c>
      <c r="H2866" s="2" t="s">
        <v>822</v>
      </c>
      <c r="J2866" s="31">
        <v>29.3799992</v>
      </c>
      <c r="K2866" s="31">
        <v>-35.212001800000003</v>
      </c>
      <c r="L2866" s="31"/>
      <c r="M2866" s="31" t="s">
        <v>854</v>
      </c>
      <c r="N2866" s="6" t="s">
        <v>856</v>
      </c>
    </row>
    <row r="2867" spans="1:14" ht="15" customHeight="1" x14ac:dyDescent="0.2">
      <c r="A2867" s="31">
        <v>0.77612196473864092</v>
      </c>
      <c r="B2867" s="31"/>
      <c r="C2867" s="2" t="s">
        <v>855</v>
      </c>
      <c r="D2867" s="31">
        <f t="shared" si="97"/>
        <v>0.15211990508877363</v>
      </c>
      <c r="F2867" s="2" t="s">
        <v>822</v>
      </c>
      <c r="G2867" s="23" t="s">
        <v>902</v>
      </c>
      <c r="H2867" s="2" t="s">
        <v>822</v>
      </c>
      <c r="J2867" s="31">
        <v>26.708000200000001</v>
      </c>
      <c r="K2867" s="31">
        <v>-37.883998900000002</v>
      </c>
      <c r="L2867" s="31"/>
      <c r="M2867" s="31" t="s">
        <v>854</v>
      </c>
      <c r="N2867" s="6" t="s">
        <v>856</v>
      </c>
    </row>
    <row r="2868" spans="1:14" ht="15" customHeight="1" x14ac:dyDescent="0.2">
      <c r="A2868" s="31">
        <v>0.77601632857604708</v>
      </c>
      <c r="B2868" s="31"/>
      <c r="C2868" s="2" t="s">
        <v>855</v>
      </c>
      <c r="D2868" s="31">
        <f t="shared" si="97"/>
        <v>0.15209920040090524</v>
      </c>
      <c r="F2868" s="2" t="s">
        <v>822</v>
      </c>
      <c r="G2868" s="23" t="s">
        <v>902</v>
      </c>
      <c r="H2868" s="2" t="s">
        <v>822</v>
      </c>
      <c r="J2868" s="31">
        <v>56.492198899999998</v>
      </c>
      <c r="K2868" s="31">
        <v>19.2682991</v>
      </c>
      <c r="L2868" s="31"/>
      <c r="M2868" s="31" t="s">
        <v>854</v>
      </c>
      <c r="N2868" s="6" t="s">
        <v>856</v>
      </c>
    </row>
    <row r="2869" spans="1:14" ht="15" customHeight="1" x14ac:dyDescent="0.2">
      <c r="A2869" s="31">
        <v>0.77576124346197273</v>
      </c>
      <c r="B2869" s="31"/>
      <c r="C2869" s="2" t="s">
        <v>855</v>
      </c>
      <c r="D2869" s="31">
        <f t="shared" si="97"/>
        <v>0.15204920371854666</v>
      </c>
      <c r="F2869" s="2" t="s">
        <v>822</v>
      </c>
      <c r="G2869" s="23" t="s">
        <v>902</v>
      </c>
      <c r="H2869" s="2" t="s">
        <v>822</v>
      </c>
      <c r="J2869" s="31">
        <v>47.416000400000001</v>
      </c>
      <c r="K2869" s="31">
        <v>-22.520000499999998</v>
      </c>
      <c r="L2869" s="31"/>
      <c r="M2869" s="31" t="s">
        <v>854</v>
      </c>
      <c r="N2869" s="6" t="s">
        <v>856</v>
      </c>
    </row>
    <row r="2870" spans="1:14" ht="15" customHeight="1" x14ac:dyDescent="0.2">
      <c r="A2870" s="31">
        <v>0.77566581190734407</v>
      </c>
      <c r="B2870" s="31"/>
      <c r="C2870" s="2" t="s">
        <v>855</v>
      </c>
      <c r="D2870" s="31">
        <f t="shared" si="97"/>
        <v>0.15203049913383945</v>
      </c>
      <c r="F2870" s="2" t="s">
        <v>822</v>
      </c>
      <c r="G2870" s="23" t="s">
        <v>902</v>
      </c>
      <c r="H2870" s="2" t="s">
        <v>822</v>
      </c>
      <c r="J2870" s="31">
        <v>45.189800300000002</v>
      </c>
      <c r="K2870" s="31">
        <v>-19.815099700000001</v>
      </c>
      <c r="L2870" s="31"/>
      <c r="M2870" s="31" t="s">
        <v>854</v>
      </c>
      <c r="N2870" s="6" t="s">
        <v>856</v>
      </c>
    </row>
    <row r="2871" spans="1:14" ht="15" customHeight="1" x14ac:dyDescent="0.2">
      <c r="A2871" s="31">
        <v>0.77542732546337201</v>
      </c>
      <c r="B2871" s="31"/>
      <c r="C2871" s="2" t="s">
        <v>855</v>
      </c>
      <c r="D2871" s="31">
        <f t="shared" si="97"/>
        <v>0.15198375579082091</v>
      </c>
      <c r="F2871" s="2" t="s">
        <v>822</v>
      </c>
      <c r="G2871" s="23" t="s">
        <v>902</v>
      </c>
      <c r="H2871" s="2" t="s">
        <v>822</v>
      </c>
      <c r="J2871" s="31">
        <v>37.359100300000001</v>
      </c>
      <c r="K2871" s="31">
        <v>-20.567300800000002</v>
      </c>
      <c r="L2871" s="31"/>
      <c r="M2871" s="31" t="s">
        <v>854</v>
      </c>
      <c r="N2871" s="6" t="s">
        <v>856</v>
      </c>
    </row>
    <row r="2872" spans="1:14" ht="15" customHeight="1" x14ac:dyDescent="0.2">
      <c r="A2872" s="31">
        <v>0.77530583690679999</v>
      </c>
      <c r="B2872" s="31"/>
      <c r="C2872" s="2" t="s">
        <v>855</v>
      </c>
      <c r="D2872" s="31">
        <f t="shared" si="97"/>
        <v>0.15195994403373281</v>
      </c>
      <c r="F2872" s="2" t="s">
        <v>822</v>
      </c>
      <c r="G2872" s="23" t="s">
        <v>902</v>
      </c>
      <c r="H2872" s="2" t="s">
        <v>822</v>
      </c>
      <c r="J2872" s="31">
        <v>33.708400699999999</v>
      </c>
      <c r="K2872" s="31">
        <v>10.6640997</v>
      </c>
      <c r="L2872" s="31"/>
      <c r="M2872" s="31" t="s">
        <v>854</v>
      </c>
      <c r="N2872" s="6" t="s">
        <v>856</v>
      </c>
    </row>
    <row r="2873" spans="1:14" ht="15" customHeight="1" x14ac:dyDescent="0.2">
      <c r="A2873" s="31">
        <v>0.77513305882258521</v>
      </c>
      <c r="B2873" s="31"/>
      <c r="C2873" s="2" t="s">
        <v>855</v>
      </c>
      <c r="D2873" s="31">
        <f t="shared" si="97"/>
        <v>0.15192607952922671</v>
      </c>
      <c r="F2873" s="2" t="s">
        <v>822</v>
      </c>
      <c r="G2873" s="23" t="s">
        <v>902</v>
      </c>
      <c r="H2873" s="2" t="s">
        <v>822</v>
      </c>
      <c r="J2873" s="31">
        <v>31.384000799999999</v>
      </c>
      <c r="K2873" s="31">
        <v>-25.860000599999999</v>
      </c>
      <c r="L2873" s="31"/>
      <c r="M2873" s="31" t="s">
        <v>854</v>
      </c>
      <c r="N2873" s="6" t="s">
        <v>856</v>
      </c>
    </row>
    <row r="2874" spans="1:14" ht="15" customHeight="1" x14ac:dyDescent="0.2">
      <c r="A2874" s="31">
        <v>0.77508065333522103</v>
      </c>
      <c r="B2874" s="31"/>
      <c r="C2874" s="2" t="s">
        <v>855</v>
      </c>
      <c r="D2874" s="31">
        <f t="shared" si="97"/>
        <v>0.15191580805370333</v>
      </c>
      <c r="F2874" s="2" t="s">
        <v>822</v>
      </c>
      <c r="G2874" s="23" t="s">
        <v>902</v>
      </c>
      <c r="H2874" s="2" t="s">
        <v>822</v>
      </c>
      <c r="J2874" s="31">
        <v>43.725799600000002</v>
      </c>
      <c r="K2874" s="31">
        <v>-10.639599799999999</v>
      </c>
      <c r="L2874" s="31"/>
      <c r="M2874" s="31" t="s">
        <v>854</v>
      </c>
      <c r="N2874" s="6" t="s">
        <v>856</v>
      </c>
    </row>
    <row r="2875" spans="1:14" ht="15" customHeight="1" x14ac:dyDescent="0.2">
      <c r="A2875" s="31">
        <v>0.77505985629769059</v>
      </c>
      <c r="B2875" s="31"/>
      <c r="C2875" s="2" t="s">
        <v>855</v>
      </c>
      <c r="D2875" s="31">
        <f t="shared" ref="D2875:D2906" si="98" xml:space="preserve"> A2875 * 0.196</f>
        <v>0.15191173183434736</v>
      </c>
      <c r="F2875" s="2" t="s">
        <v>822</v>
      </c>
      <c r="G2875" s="23" t="s">
        <v>902</v>
      </c>
      <c r="H2875" s="2" t="s">
        <v>822</v>
      </c>
      <c r="J2875" s="31">
        <v>44.045200299999998</v>
      </c>
      <c r="K2875" s="31">
        <v>-37.258998900000002</v>
      </c>
      <c r="L2875" s="31"/>
      <c r="M2875" s="31" t="s">
        <v>854</v>
      </c>
      <c r="N2875" s="6" t="s">
        <v>856</v>
      </c>
    </row>
    <row r="2876" spans="1:14" ht="15" customHeight="1" x14ac:dyDescent="0.2">
      <c r="A2876" s="31">
        <v>0.77502251726820703</v>
      </c>
      <c r="B2876" s="31"/>
      <c r="C2876" s="2" t="s">
        <v>855</v>
      </c>
      <c r="D2876" s="31">
        <f t="shared" si="98"/>
        <v>0.15190441338456859</v>
      </c>
      <c r="F2876" s="2" t="s">
        <v>822</v>
      </c>
      <c r="G2876" s="23" t="s">
        <v>902</v>
      </c>
      <c r="H2876" s="2" t="s">
        <v>822</v>
      </c>
      <c r="J2876" s="31">
        <v>38.390300799999999</v>
      </c>
      <c r="K2876" s="31">
        <v>-10.8497</v>
      </c>
      <c r="L2876" s="31"/>
      <c r="M2876" s="31" t="s">
        <v>854</v>
      </c>
      <c r="N2876" s="6" t="s">
        <v>856</v>
      </c>
    </row>
    <row r="2877" spans="1:14" ht="15" customHeight="1" x14ac:dyDescent="0.2">
      <c r="A2877" s="31">
        <v>0.77481116891120805</v>
      </c>
      <c r="B2877" s="31"/>
      <c r="C2877" s="2" t="s">
        <v>855</v>
      </c>
      <c r="D2877" s="31">
        <f t="shared" si="98"/>
        <v>0.15186298910659679</v>
      </c>
      <c r="F2877" s="2" t="s">
        <v>822</v>
      </c>
      <c r="G2877" s="23" t="s">
        <v>902</v>
      </c>
      <c r="H2877" s="2" t="s">
        <v>822</v>
      </c>
      <c r="J2877" s="31">
        <v>44.076000200000003</v>
      </c>
      <c r="K2877" s="31">
        <v>-35.880001100000001</v>
      </c>
      <c r="L2877" s="31"/>
      <c r="M2877" s="31" t="s">
        <v>854</v>
      </c>
      <c r="N2877" s="6" t="s">
        <v>856</v>
      </c>
    </row>
    <row r="2878" spans="1:14" ht="15" customHeight="1" x14ac:dyDescent="0.2">
      <c r="A2878" s="31">
        <v>0.77473990332817833</v>
      </c>
      <c r="B2878" s="31"/>
      <c r="C2878" s="2" t="s">
        <v>855</v>
      </c>
      <c r="D2878" s="31">
        <f t="shared" si="98"/>
        <v>0.15184902105232295</v>
      </c>
      <c r="F2878" s="2" t="s">
        <v>822</v>
      </c>
      <c r="G2878" s="23" t="s">
        <v>902</v>
      </c>
      <c r="H2878" s="2" t="s">
        <v>822</v>
      </c>
      <c r="J2878" s="31">
        <v>40.078300499999997</v>
      </c>
      <c r="K2878" s="31">
        <v>12.216199899999999</v>
      </c>
      <c r="L2878" s="31"/>
      <c r="M2878" s="31" t="s">
        <v>854</v>
      </c>
      <c r="N2878" s="6" t="s">
        <v>856</v>
      </c>
    </row>
    <row r="2879" spans="1:14" ht="15" customHeight="1" x14ac:dyDescent="0.2">
      <c r="A2879" s="31">
        <v>0.77454245926222054</v>
      </c>
      <c r="B2879" s="31"/>
      <c r="C2879" s="2" t="s">
        <v>855</v>
      </c>
      <c r="D2879" s="31">
        <f t="shared" si="98"/>
        <v>0.15181032201539524</v>
      </c>
      <c r="F2879" s="2" t="s">
        <v>822</v>
      </c>
      <c r="G2879" s="23" t="s">
        <v>902</v>
      </c>
      <c r="H2879" s="2" t="s">
        <v>822</v>
      </c>
      <c r="J2879" s="31">
        <v>57.4054985</v>
      </c>
      <c r="K2879" s="31">
        <v>20.4430008</v>
      </c>
      <c r="L2879" s="31"/>
      <c r="M2879" s="31" t="s">
        <v>854</v>
      </c>
      <c r="N2879" s="6" t="s">
        <v>856</v>
      </c>
    </row>
    <row r="2880" spans="1:14" ht="15" customHeight="1" x14ac:dyDescent="0.2">
      <c r="A2880" s="31">
        <v>0.77447333791065365</v>
      </c>
      <c r="B2880" s="31"/>
      <c r="C2880" s="2" t="s">
        <v>855</v>
      </c>
      <c r="D2880" s="31">
        <f t="shared" si="98"/>
        <v>0.15179677423048812</v>
      </c>
      <c r="F2880" s="2" t="s">
        <v>822</v>
      </c>
      <c r="G2880" s="23" t="s">
        <v>902</v>
      </c>
      <c r="H2880" s="2" t="s">
        <v>822</v>
      </c>
      <c r="J2880" s="31">
        <v>31.103799800000001</v>
      </c>
      <c r="K2880" s="31">
        <v>-40.450199099999999</v>
      </c>
      <c r="L2880" s="31"/>
      <c r="M2880" s="31" t="s">
        <v>854</v>
      </c>
      <c r="N2880" s="6" t="s">
        <v>856</v>
      </c>
    </row>
    <row r="2881" spans="1:14" ht="15" customHeight="1" x14ac:dyDescent="0.2">
      <c r="A2881" s="31">
        <v>0.77434388020018441</v>
      </c>
      <c r="B2881" s="31"/>
      <c r="C2881" s="2" t="s">
        <v>855</v>
      </c>
      <c r="D2881" s="31">
        <f t="shared" si="98"/>
        <v>0.15177140051923615</v>
      </c>
      <c r="F2881" s="2" t="s">
        <v>822</v>
      </c>
      <c r="G2881" s="23" t="s">
        <v>902</v>
      </c>
      <c r="H2881" s="2" t="s">
        <v>822</v>
      </c>
      <c r="J2881" s="31">
        <v>38.731998400000002</v>
      </c>
      <c r="K2881" s="31">
        <v>-22.520000499999998</v>
      </c>
      <c r="L2881" s="31"/>
      <c r="M2881" s="31" t="s">
        <v>854</v>
      </c>
      <c r="N2881" s="6" t="s">
        <v>856</v>
      </c>
    </row>
    <row r="2882" spans="1:14" ht="15" customHeight="1" x14ac:dyDescent="0.2">
      <c r="A2882" s="31">
        <v>0.77418791473467219</v>
      </c>
      <c r="B2882" s="31"/>
      <c r="C2882" s="2" t="s">
        <v>855</v>
      </c>
      <c r="D2882" s="31">
        <f t="shared" si="98"/>
        <v>0.15174083128799576</v>
      </c>
      <c r="F2882" s="2" t="s">
        <v>822</v>
      </c>
      <c r="G2882" s="23" t="s">
        <v>902</v>
      </c>
      <c r="H2882" s="2" t="s">
        <v>822</v>
      </c>
      <c r="J2882" s="31">
        <v>44.651798200000002</v>
      </c>
      <c r="K2882" s="31">
        <v>-18.707500499999998</v>
      </c>
      <c r="L2882" s="31"/>
      <c r="M2882" s="31" t="s">
        <v>854</v>
      </c>
      <c r="N2882" s="6" t="s">
        <v>856</v>
      </c>
    </row>
    <row r="2883" spans="1:14" ht="15" customHeight="1" x14ac:dyDescent="0.2">
      <c r="A2883" s="31">
        <v>0.77381555322677231</v>
      </c>
      <c r="B2883" s="31"/>
      <c r="C2883" s="2" t="s">
        <v>855</v>
      </c>
      <c r="D2883" s="31">
        <f t="shared" si="98"/>
        <v>0.15166784843244738</v>
      </c>
      <c r="F2883" s="2" t="s">
        <v>822</v>
      </c>
      <c r="G2883" s="23" t="s">
        <v>902</v>
      </c>
      <c r="H2883" s="2" t="s">
        <v>822</v>
      </c>
      <c r="J2883" s="31">
        <v>38.937999699999999</v>
      </c>
      <c r="K2883" s="31">
        <v>16.171300899999999</v>
      </c>
      <c r="L2883" s="31"/>
      <c r="M2883" s="31" t="s">
        <v>854</v>
      </c>
      <c r="N2883" s="6" t="s">
        <v>856</v>
      </c>
    </row>
    <row r="2884" spans="1:14" ht="15" customHeight="1" x14ac:dyDescent="0.2">
      <c r="A2884" s="31">
        <v>0.77373954952108037</v>
      </c>
      <c r="B2884" s="31"/>
      <c r="C2884" s="2" t="s">
        <v>855</v>
      </c>
      <c r="D2884" s="31">
        <f t="shared" si="98"/>
        <v>0.15165295170613177</v>
      </c>
      <c r="F2884" s="2" t="s">
        <v>822</v>
      </c>
      <c r="G2884" s="23" t="s">
        <v>902</v>
      </c>
      <c r="H2884" s="2" t="s">
        <v>822</v>
      </c>
      <c r="J2884" s="31">
        <v>36.060001399999997</v>
      </c>
      <c r="K2884" s="31">
        <v>-36.548000299999998</v>
      </c>
      <c r="L2884" s="31"/>
      <c r="M2884" s="31" t="s">
        <v>854</v>
      </c>
      <c r="N2884" s="6" t="s">
        <v>856</v>
      </c>
    </row>
    <row r="2885" spans="1:14" ht="15" customHeight="1" x14ac:dyDescent="0.2">
      <c r="A2885" s="31">
        <v>0.77364689214075333</v>
      </c>
      <c r="B2885" s="31"/>
      <c r="C2885" s="2" t="s">
        <v>855</v>
      </c>
      <c r="D2885" s="31">
        <f t="shared" si="98"/>
        <v>0.15163479085958767</v>
      </c>
      <c r="F2885" s="2" t="s">
        <v>822</v>
      </c>
      <c r="G2885" s="23" t="s">
        <v>902</v>
      </c>
      <c r="H2885" s="2" t="s">
        <v>822</v>
      </c>
      <c r="J2885" s="31">
        <v>44.095001199999999</v>
      </c>
      <c r="K2885" s="31">
        <v>-23.1952</v>
      </c>
      <c r="L2885" s="31"/>
      <c r="M2885" s="31" t="s">
        <v>854</v>
      </c>
      <c r="N2885" s="6" t="s">
        <v>856</v>
      </c>
    </row>
    <row r="2886" spans="1:14" ht="15" customHeight="1" x14ac:dyDescent="0.2">
      <c r="A2886" s="31">
        <v>0.77359471661301082</v>
      </c>
      <c r="B2886" s="31"/>
      <c r="C2886" s="2" t="s">
        <v>855</v>
      </c>
      <c r="D2886" s="31">
        <f t="shared" si="98"/>
        <v>0.15162456445615013</v>
      </c>
      <c r="F2886" s="2" t="s">
        <v>822</v>
      </c>
      <c r="G2886" s="23" t="s">
        <v>902</v>
      </c>
      <c r="H2886" s="2" t="s">
        <v>822</v>
      </c>
      <c r="J2886" s="31">
        <v>28.002599700000001</v>
      </c>
      <c r="K2886" s="31">
        <v>-15.1227999</v>
      </c>
      <c r="L2886" s="31"/>
      <c r="M2886" s="31" t="s">
        <v>854</v>
      </c>
      <c r="N2886" s="6" t="s">
        <v>856</v>
      </c>
    </row>
    <row r="2887" spans="1:14" ht="15" customHeight="1" x14ac:dyDescent="0.2">
      <c r="A2887" s="31">
        <v>0.77334636140716251</v>
      </c>
      <c r="B2887" s="31"/>
      <c r="C2887" s="2" t="s">
        <v>855</v>
      </c>
      <c r="D2887" s="31">
        <f t="shared" si="98"/>
        <v>0.15157588683580386</v>
      </c>
      <c r="F2887" s="2" t="s">
        <v>822</v>
      </c>
      <c r="G2887" s="23" t="s">
        <v>902</v>
      </c>
      <c r="H2887" s="2" t="s">
        <v>822</v>
      </c>
      <c r="J2887" s="31">
        <v>36.740398399999997</v>
      </c>
      <c r="K2887" s="31">
        <v>19.574499100000001</v>
      </c>
      <c r="L2887" s="31"/>
      <c r="M2887" s="31" t="s">
        <v>854</v>
      </c>
      <c r="N2887" s="6" t="s">
        <v>856</v>
      </c>
    </row>
    <row r="2888" spans="1:14" ht="15" customHeight="1" x14ac:dyDescent="0.2">
      <c r="A2888" s="31">
        <v>0.77318861558979279</v>
      </c>
      <c r="B2888" s="31"/>
      <c r="C2888" s="2" t="s">
        <v>855</v>
      </c>
      <c r="D2888" s="31">
        <f t="shared" si="98"/>
        <v>0.15154496865559938</v>
      </c>
      <c r="F2888" s="2" t="s">
        <v>822</v>
      </c>
      <c r="G2888" s="23" t="s">
        <v>902</v>
      </c>
      <c r="H2888" s="2" t="s">
        <v>822</v>
      </c>
      <c r="J2888" s="31">
        <v>41.824600199999999</v>
      </c>
      <c r="K2888" s="31">
        <v>-8.9371594999999999</v>
      </c>
      <c r="L2888" s="31"/>
      <c r="M2888" s="31" t="s">
        <v>854</v>
      </c>
      <c r="N2888" s="6" t="s">
        <v>856</v>
      </c>
    </row>
    <row r="2889" spans="1:14" ht="15" customHeight="1" x14ac:dyDescent="0.2">
      <c r="A2889" s="31">
        <v>0.77297354939876717</v>
      </c>
      <c r="B2889" s="31"/>
      <c r="C2889" s="2" t="s">
        <v>855</v>
      </c>
      <c r="D2889" s="31">
        <f t="shared" si="98"/>
        <v>0.15150281568215837</v>
      </c>
      <c r="F2889" s="2" t="s">
        <v>822</v>
      </c>
      <c r="G2889" s="23" t="s">
        <v>902</v>
      </c>
      <c r="H2889" s="2" t="s">
        <v>822</v>
      </c>
      <c r="J2889" s="31">
        <v>38.984600100000002</v>
      </c>
      <c r="K2889" s="31">
        <v>-25.769199400000002</v>
      </c>
      <c r="L2889" s="31"/>
      <c r="M2889" s="31" t="s">
        <v>854</v>
      </c>
      <c r="N2889" s="6" t="s">
        <v>856</v>
      </c>
    </row>
    <row r="2890" spans="1:14" ht="15" customHeight="1" x14ac:dyDescent="0.2">
      <c r="A2890" s="31">
        <v>0.77292494365667497</v>
      </c>
      <c r="B2890" s="31"/>
      <c r="C2890" s="2" t="s">
        <v>855</v>
      </c>
      <c r="D2890" s="31">
        <f t="shared" si="98"/>
        <v>0.1514932889567083</v>
      </c>
      <c r="F2890" s="2" t="s">
        <v>822</v>
      </c>
      <c r="G2890" s="23" t="s">
        <v>902</v>
      </c>
      <c r="H2890" s="2" t="s">
        <v>822</v>
      </c>
      <c r="J2890" s="31">
        <v>38.364799499999997</v>
      </c>
      <c r="K2890" s="31">
        <v>-16.735500300000002</v>
      </c>
      <c r="L2890" s="31"/>
      <c r="M2890" s="31" t="s">
        <v>854</v>
      </c>
      <c r="N2890" s="6" t="s">
        <v>856</v>
      </c>
    </row>
    <row r="2891" spans="1:14" ht="15" customHeight="1" x14ac:dyDescent="0.2">
      <c r="A2891" s="31">
        <v>0.77290733636252784</v>
      </c>
      <c r="B2891" s="31"/>
      <c r="C2891" s="2" t="s">
        <v>855</v>
      </c>
      <c r="D2891" s="31">
        <f t="shared" si="98"/>
        <v>0.15148983792705548</v>
      </c>
      <c r="F2891" s="2" t="s">
        <v>822</v>
      </c>
      <c r="G2891" s="23" t="s">
        <v>902</v>
      </c>
      <c r="H2891" s="2" t="s">
        <v>822</v>
      </c>
      <c r="J2891" s="31">
        <v>33.388000499999997</v>
      </c>
      <c r="K2891" s="31">
        <v>28.247999199999999</v>
      </c>
      <c r="L2891" s="31"/>
      <c r="M2891" s="31" t="s">
        <v>854</v>
      </c>
      <c r="N2891" s="6" t="s">
        <v>856</v>
      </c>
    </row>
    <row r="2892" spans="1:14" ht="15" customHeight="1" x14ac:dyDescent="0.2">
      <c r="A2892" s="31">
        <v>0.77282516325774442</v>
      </c>
      <c r="B2892" s="31"/>
      <c r="C2892" s="2" t="s">
        <v>855</v>
      </c>
      <c r="D2892" s="31">
        <f t="shared" si="98"/>
        <v>0.15147373199851791</v>
      </c>
      <c r="F2892" s="2" t="s">
        <v>822</v>
      </c>
      <c r="G2892" s="23" t="s">
        <v>902</v>
      </c>
      <c r="H2892" s="2" t="s">
        <v>822</v>
      </c>
      <c r="J2892" s="31">
        <v>52.049999200000002</v>
      </c>
      <c r="K2892" s="31">
        <v>-19.3836002</v>
      </c>
      <c r="L2892" s="31"/>
      <c r="M2892" s="31" t="s">
        <v>854</v>
      </c>
      <c r="N2892" s="6" t="s">
        <v>856</v>
      </c>
    </row>
    <row r="2893" spans="1:14" ht="15" customHeight="1" x14ac:dyDescent="0.2">
      <c r="A2893" s="31">
        <v>0.77270672946740737</v>
      </c>
      <c r="B2893" s="31"/>
      <c r="C2893" s="2" t="s">
        <v>855</v>
      </c>
      <c r="D2893" s="31">
        <f t="shared" si="98"/>
        <v>0.15145051897561185</v>
      </c>
      <c r="F2893" s="2" t="s">
        <v>822</v>
      </c>
      <c r="G2893" s="23" t="s">
        <v>902</v>
      </c>
      <c r="H2893" s="2" t="s">
        <v>822</v>
      </c>
      <c r="J2893" s="31">
        <v>28.0440006</v>
      </c>
      <c r="K2893" s="31">
        <v>-32.540000900000003</v>
      </c>
      <c r="L2893" s="31"/>
      <c r="M2893" s="31" t="s">
        <v>854</v>
      </c>
      <c r="N2893" s="6" t="s">
        <v>856</v>
      </c>
    </row>
    <row r="2894" spans="1:14" ht="15" customHeight="1" x14ac:dyDescent="0.2">
      <c r="A2894" s="31">
        <v>0.772573922514325</v>
      </c>
      <c r="B2894" s="31"/>
      <c r="C2894" s="2" t="s">
        <v>855</v>
      </c>
      <c r="D2894" s="31">
        <f t="shared" si="98"/>
        <v>0.15142448881280771</v>
      </c>
      <c r="F2894" s="2" t="s">
        <v>822</v>
      </c>
      <c r="G2894" s="23" t="s">
        <v>902</v>
      </c>
      <c r="H2894" s="2" t="s">
        <v>822</v>
      </c>
      <c r="J2894" s="31">
        <v>39.400001500000002</v>
      </c>
      <c r="K2894" s="31">
        <v>5.5359997999999999</v>
      </c>
      <c r="L2894" s="31"/>
      <c r="M2894" s="31" t="s">
        <v>854</v>
      </c>
      <c r="N2894" s="6" t="s">
        <v>856</v>
      </c>
    </row>
    <row r="2895" spans="1:14" ht="15" customHeight="1" x14ac:dyDescent="0.2">
      <c r="A2895" s="31">
        <v>0.77250805437860359</v>
      </c>
      <c r="B2895" s="31"/>
      <c r="C2895" s="2" t="s">
        <v>855</v>
      </c>
      <c r="D2895" s="31">
        <f t="shared" si="98"/>
        <v>0.15141157865820631</v>
      </c>
      <c r="F2895" s="2" t="s">
        <v>822</v>
      </c>
      <c r="G2895" s="23" t="s">
        <v>902</v>
      </c>
      <c r="H2895" s="2" t="s">
        <v>822</v>
      </c>
      <c r="J2895" s="31">
        <v>38.063999199999998</v>
      </c>
      <c r="K2895" s="31">
        <v>-13.1680002</v>
      </c>
      <c r="L2895" s="31"/>
      <c r="M2895" s="31" t="s">
        <v>854</v>
      </c>
      <c r="N2895" s="6" t="s">
        <v>856</v>
      </c>
    </row>
    <row r="2896" spans="1:14" ht="15" customHeight="1" x14ac:dyDescent="0.2">
      <c r="A2896" s="31">
        <v>0.77248948858375432</v>
      </c>
      <c r="B2896" s="31"/>
      <c r="C2896" s="2" t="s">
        <v>855</v>
      </c>
      <c r="D2896" s="31">
        <f t="shared" si="98"/>
        <v>0.15140793976241584</v>
      </c>
      <c r="F2896" s="2" t="s">
        <v>822</v>
      </c>
      <c r="G2896" s="23" t="s">
        <v>902</v>
      </c>
      <c r="H2896" s="2" t="s">
        <v>822</v>
      </c>
      <c r="J2896" s="31">
        <v>32.971099899999999</v>
      </c>
      <c r="K2896" s="31">
        <v>22.722499800000001</v>
      </c>
      <c r="L2896" s="31"/>
      <c r="M2896" s="31" t="s">
        <v>854</v>
      </c>
      <c r="N2896" s="6" t="s">
        <v>856</v>
      </c>
    </row>
    <row r="2897" spans="1:14" ht="15" customHeight="1" x14ac:dyDescent="0.2">
      <c r="A2897" s="31">
        <v>0.77229573061670254</v>
      </c>
      <c r="B2897" s="31"/>
      <c r="C2897" s="2" t="s">
        <v>855</v>
      </c>
      <c r="D2897" s="31">
        <f t="shared" si="98"/>
        <v>0.1513699632008737</v>
      </c>
      <c r="F2897" s="2" t="s">
        <v>822</v>
      </c>
      <c r="G2897" s="23" t="s">
        <v>902</v>
      </c>
      <c r="H2897" s="2" t="s">
        <v>822</v>
      </c>
      <c r="J2897" s="31">
        <v>35.418899500000002</v>
      </c>
      <c r="K2897" s="31">
        <v>28.3934994</v>
      </c>
      <c r="L2897" s="31"/>
      <c r="M2897" s="31" t="s">
        <v>854</v>
      </c>
      <c r="N2897" s="6" t="s">
        <v>856</v>
      </c>
    </row>
    <row r="2898" spans="1:14" ht="15" customHeight="1" x14ac:dyDescent="0.2">
      <c r="A2898" s="31">
        <v>0.7720173193170744</v>
      </c>
      <c r="B2898" s="31"/>
      <c r="C2898" s="2" t="s">
        <v>855</v>
      </c>
      <c r="D2898" s="31">
        <f t="shared" si="98"/>
        <v>0.1513153945861466</v>
      </c>
      <c r="F2898" s="2" t="s">
        <v>822</v>
      </c>
      <c r="G2898" s="23" t="s">
        <v>902</v>
      </c>
      <c r="H2898" s="2" t="s">
        <v>822</v>
      </c>
      <c r="J2898" s="31">
        <v>35.916301699999998</v>
      </c>
      <c r="K2898" s="31">
        <v>-29.156200399999999</v>
      </c>
      <c r="L2898" s="31"/>
      <c r="M2898" s="31" t="s">
        <v>854</v>
      </c>
      <c r="N2898" s="6" t="s">
        <v>856</v>
      </c>
    </row>
    <row r="2899" spans="1:14" ht="15" customHeight="1" x14ac:dyDescent="0.2">
      <c r="A2899" s="31">
        <v>0.7719036189020686</v>
      </c>
      <c r="B2899" s="31"/>
      <c r="C2899" s="2" t="s">
        <v>855</v>
      </c>
      <c r="D2899" s="31">
        <f t="shared" si="98"/>
        <v>0.15129310930480544</v>
      </c>
      <c r="F2899" s="2" t="s">
        <v>822</v>
      </c>
      <c r="G2899" s="23" t="s">
        <v>902</v>
      </c>
      <c r="H2899" s="2" t="s">
        <v>822</v>
      </c>
      <c r="J2899" s="31">
        <v>30.048000300000002</v>
      </c>
      <c r="K2899" s="31">
        <v>-25.1919994</v>
      </c>
      <c r="L2899" s="31"/>
      <c r="M2899" s="31" t="s">
        <v>854</v>
      </c>
      <c r="N2899" s="6" t="s">
        <v>856</v>
      </c>
    </row>
    <row r="2900" spans="1:14" ht="15" customHeight="1" x14ac:dyDescent="0.2">
      <c r="A2900" s="31">
        <v>0.77182352759237383</v>
      </c>
      <c r="B2900" s="31"/>
      <c r="C2900" s="2" t="s">
        <v>855</v>
      </c>
      <c r="D2900" s="31">
        <f t="shared" si="98"/>
        <v>0.15127741140810527</v>
      </c>
      <c r="F2900" s="2" t="s">
        <v>822</v>
      </c>
      <c r="G2900" s="23" t="s">
        <v>902</v>
      </c>
      <c r="H2900" s="2" t="s">
        <v>822</v>
      </c>
      <c r="J2900" s="31">
        <v>34.705398600000002</v>
      </c>
      <c r="K2900" s="31">
        <v>-11.8367004</v>
      </c>
      <c r="L2900" s="31"/>
      <c r="M2900" s="31" t="s">
        <v>854</v>
      </c>
      <c r="N2900" s="6" t="s">
        <v>856</v>
      </c>
    </row>
    <row r="2901" spans="1:14" ht="15" customHeight="1" x14ac:dyDescent="0.2">
      <c r="A2901" s="31">
        <v>0.7718013224859489</v>
      </c>
      <c r="B2901" s="31"/>
      <c r="C2901" s="2" t="s">
        <v>855</v>
      </c>
      <c r="D2901" s="31">
        <f t="shared" si="98"/>
        <v>0.15127305920724599</v>
      </c>
      <c r="F2901" s="2" t="s">
        <v>822</v>
      </c>
      <c r="G2901" s="23" t="s">
        <v>902</v>
      </c>
      <c r="H2901" s="2" t="s">
        <v>822</v>
      </c>
      <c r="J2901" s="31">
        <v>31.384000799999999</v>
      </c>
      <c r="K2901" s="31">
        <v>-13.1680002</v>
      </c>
      <c r="L2901" s="31"/>
      <c r="M2901" s="31" t="s">
        <v>854</v>
      </c>
      <c r="N2901" s="6" t="s">
        <v>856</v>
      </c>
    </row>
    <row r="2902" spans="1:14" ht="15" customHeight="1" x14ac:dyDescent="0.2">
      <c r="A2902" s="31">
        <v>0.77152924133619982</v>
      </c>
      <c r="B2902" s="31"/>
      <c r="C2902" s="2" t="s">
        <v>855</v>
      </c>
      <c r="D2902" s="31">
        <f t="shared" si="98"/>
        <v>0.15121973130189517</v>
      </c>
      <c r="F2902" s="2" t="s">
        <v>822</v>
      </c>
      <c r="G2902" s="23" t="s">
        <v>902</v>
      </c>
      <c r="H2902" s="2" t="s">
        <v>822</v>
      </c>
      <c r="J2902" s="31">
        <v>58.420700099999998</v>
      </c>
      <c r="K2902" s="31">
        <v>21.6720009</v>
      </c>
      <c r="L2902" s="31"/>
      <c r="M2902" s="31" t="s">
        <v>854</v>
      </c>
      <c r="N2902" s="6" t="s">
        <v>856</v>
      </c>
    </row>
    <row r="2903" spans="1:14" ht="15" customHeight="1" x14ac:dyDescent="0.2">
      <c r="A2903" s="31">
        <v>0.77140403263080848</v>
      </c>
      <c r="B2903" s="31"/>
      <c r="C2903" s="2" t="s">
        <v>855</v>
      </c>
      <c r="D2903" s="31">
        <f t="shared" si="98"/>
        <v>0.15119519039563847</v>
      </c>
      <c r="F2903" s="2" t="s">
        <v>822</v>
      </c>
      <c r="G2903" s="23" t="s">
        <v>902</v>
      </c>
      <c r="H2903" s="2" t="s">
        <v>822</v>
      </c>
      <c r="J2903" s="31">
        <v>41.512100199999999</v>
      </c>
      <c r="K2903" s="31">
        <v>-28.3705006</v>
      </c>
      <c r="L2903" s="31"/>
      <c r="M2903" s="31" t="s">
        <v>854</v>
      </c>
      <c r="N2903" s="6" t="s">
        <v>856</v>
      </c>
    </row>
    <row r="2904" spans="1:14" ht="15" customHeight="1" x14ac:dyDescent="0.2">
      <c r="A2904" s="31">
        <v>0.77122963107116971</v>
      </c>
      <c r="B2904" s="31"/>
      <c r="C2904" s="2" t="s">
        <v>855</v>
      </c>
      <c r="D2904" s="31">
        <f t="shared" si="98"/>
        <v>0.15116100768994928</v>
      </c>
      <c r="F2904" s="2" t="s">
        <v>822</v>
      </c>
      <c r="G2904" s="23" t="s">
        <v>902</v>
      </c>
      <c r="H2904" s="2" t="s">
        <v>822</v>
      </c>
      <c r="J2904" s="31">
        <v>31.384000799999999</v>
      </c>
      <c r="K2904" s="31">
        <v>-31.8719997</v>
      </c>
      <c r="L2904" s="31"/>
      <c r="M2904" s="31" t="s">
        <v>854</v>
      </c>
      <c r="N2904" s="6" t="s">
        <v>856</v>
      </c>
    </row>
    <row r="2905" spans="1:14" ht="15" customHeight="1" x14ac:dyDescent="0.2">
      <c r="A2905" s="31">
        <v>0.77101970859244628</v>
      </c>
      <c r="B2905" s="31"/>
      <c r="C2905" s="2" t="s">
        <v>855</v>
      </c>
      <c r="D2905" s="31">
        <f t="shared" si="98"/>
        <v>0.15111986288411947</v>
      </c>
      <c r="F2905" s="2" t="s">
        <v>822</v>
      </c>
      <c r="G2905" s="23" t="s">
        <v>902</v>
      </c>
      <c r="H2905" s="2" t="s">
        <v>822</v>
      </c>
      <c r="J2905" s="31">
        <v>46.583999599999999</v>
      </c>
      <c r="K2905" s="31">
        <v>-12.5257998</v>
      </c>
      <c r="L2905" s="31"/>
      <c r="M2905" s="31" t="s">
        <v>854</v>
      </c>
      <c r="N2905" s="6" t="s">
        <v>856</v>
      </c>
    </row>
    <row r="2906" spans="1:14" ht="15" customHeight="1" x14ac:dyDescent="0.2">
      <c r="A2906" s="31">
        <v>0.77065942825753975</v>
      </c>
      <c r="B2906" s="31"/>
      <c r="C2906" s="2" t="s">
        <v>855</v>
      </c>
      <c r="D2906" s="31">
        <f t="shared" si="98"/>
        <v>0.15104924793847779</v>
      </c>
      <c r="F2906" s="2" t="s">
        <v>822</v>
      </c>
      <c r="G2906" s="23" t="s">
        <v>902</v>
      </c>
      <c r="H2906" s="2" t="s">
        <v>822</v>
      </c>
      <c r="J2906" s="31">
        <v>35.211101499999998</v>
      </c>
      <c r="K2906" s="31">
        <v>-2.7866900000000001</v>
      </c>
      <c r="L2906" s="31"/>
      <c r="M2906" s="31" t="s">
        <v>854</v>
      </c>
      <c r="N2906" s="6" t="s">
        <v>856</v>
      </c>
    </row>
    <row r="2907" spans="1:14" ht="15" customHeight="1" x14ac:dyDescent="0.2">
      <c r="A2907" s="31">
        <v>0.77058248099358306</v>
      </c>
      <c r="B2907" s="31"/>
      <c r="C2907" s="2" t="s">
        <v>855</v>
      </c>
      <c r="D2907" s="31">
        <f t="shared" ref="D2907:D2912" si="99" xml:space="preserve"> A2907 * 0.196</f>
        <v>0.15103416627474228</v>
      </c>
      <c r="F2907" s="2" t="s">
        <v>822</v>
      </c>
      <c r="G2907" s="23" t="s">
        <v>902</v>
      </c>
      <c r="H2907" s="2" t="s">
        <v>822</v>
      </c>
      <c r="J2907" s="31">
        <v>46.408599899999999</v>
      </c>
      <c r="K2907" s="31">
        <v>-5.6241598000000002</v>
      </c>
      <c r="L2907" s="31"/>
      <c r="M2907" s="31" t="s">
        <v>854</v>
      </c>
      <c r="N2907" s="6" t="s">
        <v>856</v>
      </c>
    </row>
    <row r="2908" spans="1:14" ht="15" customHeight="1" x14ac:dyDescent="0.2">
      <c r="A2908" s="31">
        <v>0.7704148961046714</v>
      </c>
      <c r="B2908" s="31"/>
      <c r="C2908" s="2" t="s">
        <v>855</v>
      </c>
      <c r="D2908" s="31">
        <f t="shared" si="99"/>
        <v>0.15100131963651561</v>
      </c>
      <c r="F2908" s="2" t="s">
        <v>822</v>
      </c>
      <c r="G2908" s="23" t="s">
        <v>902</v>
      </c>
      <c r="H2908" s="2" t="s">
        <v>822</v>
      </c>
      <c r="J2908" s="31">
        <v>47.416000400000001</v>
      </c>
      <c r="K2908" s="31">
        <v>-19.847999600000001</v>
      </c>
      <c r="L2908" s="31"/>
      <c r="M2908" s="31" t="s">
        <v>854</v>
      </c>
      <c r="N2908" s="6" t="s">
        <v>856</v>
      </c>
    </row>
    <row r="2909" spans="1:14" ht="15" customHeight="1" x14ac:dyDescent="0.2">
      <c r="A2909" s="31">
        <v>0.77005567932815056</v>
      </c>
      <c r="B2909" s="31"/>
      <c r="C2909" s="2" t="s">
        <v>855</v>
      </c>
      <c r="D2909" s="31">
        <f t="shared" si="99"/>
        <v>0.15093091314831752</v>
      </c>
      <c r="F2909" s="2" t="s">
        <v>822</v>
      </c>
      <c r="G2909" s="23" t="s">
        <v>902</v>
      </c>
      <c r="H2909" s="2" t="s">
        <v>822</v>
      </c>
      <c r="J2909" s="31">
        <v>39.852500900000003</v>
      </c>
      <c r="K2909" s="31">
        <v>-16.8882999</v>
      </c>
      <c r="L2909" s="31"/>
      <c r="M2909" s="31" t="s">
        <v>854</v>
      </c>
      <c r="N2909" s="6" t="s">
        <v>856</v>
      </c>
    </row>
    <row r="2910" spans="1:14" ht="15" customHeight="1" x14ac:dyDescent="0.2">
      <c r="A2910" s="31">
        <v>0.77004159349347534</v>
      </c>
      <c r="B2910" s="31"/>
      <c r="C2910" s="2" t="s">
        <v>855</v>
      </c>
      <c r="D2910" s="31">
        <f t="shared" si="99"/>
        <v>0.15092815232472118</v>
      </c>
      <c r="F2910" s="2" t="s">
        <v>822</v>
      </c>
      <c r="G2910" s="23" t="s">
        <v>902</v>
      </c>
      <c r="H2910" s="2" t="s">
        <v>822</v>
      </c>
      <c r="J2910" s="31">
        <v>35.645801499999997</v>
      </c>
      <c r="K2910" s="31">
        <v>16.2936993</v>
      </c>
      <c r="L2910" s="31"/>
      <c r="M2910" s="31" t="s">
        <v>854</v>
      </c>
      <c r="N2910" s="6" t="s">
        <v>856</v>
      </c>
    </row>
    <row r="2911" spans="1:14" ht="15" customHeight="1" x14ac:dyDescent="0.2">
      <c r="A2911" s="31">
        <v>0.7699841309216322</v>
      </c>
      <c r="B2911" s="31"/>
      <c r="C2911" s="2" t="s">
        <v>855</v>
      </c>
      <c r="D2911" s="31">
        <f t="shared" si="99"/>
        <v>0.15091688966063993</v>
      </c>
      <c r="F2911" s="2" t="s">
        <v>822</v>
      </c>
      <c r="G2911" s="23" t="s">
        <v>902</v>
      </c>
      <c r="H2911" s="2" t="s">
        <v>822</v>
      </c>
      <c r="J2911" s="31">
        <v>38.984600100000002</v>
      </c>
      <c r="K2911" s="31">
        <v>-19.1800003</v>
      </c>
      <c r="L2911" s="31"/>
      <c r="M2911" s="31" t="s">
        <v>854</v>
      </c>
      <c r="N2911" s="6" t="s">
        <v>856</v>
      </c>
    </row>
    <row r="2912" spans="1:14" ht="15" customHeight="1" x14ac:dyDescent="0.2">
      <c r="A2912" s="31">
        <v>0.76974928396136311</v>
      </c>
      <c r="B2912" s="31"/>
      <c r="C2912" s="2" t="s">
        <v>855</v>
      </c>
      <c r="D2912" s="31">
        <f t="shared" si="99"/>
        <v>0.15087085965642719</v>
      </c>
      <c r="F2912" s="2" t="s">
        <v>822</v>
      </c>
      <c r="G2912" s="23" t="s">
        <v>902</v>
      </c>
      <c r="H2912" s="2" t="s">
        <v>822</v>
      </c>
      <c r="J2912" s="31">
        <v>26.708000200000001</v>
      </c>
      <c r="K2912" s="31">
        <v>-23.856000900000002</v>
      </c>
      <c r="L2912" s="31"/>
      <c r="M2912" s="31" t="s">
        <v>854</v>
      </c>
      <c r="N2912" s="6" t="s">
        <v>856</v>
      </c>
    </row>
    <row r="2913" spans="1:14" ht="15" customHeight="1" x14ac:dyDescent="0.2">
      <c r="A2913" s="22">
        <v>0.15083935379881067</v>
      </c>
      <c r="B2913" s="22"/>
      <c r="C2913" s="2" t="s">
        <v>891</v>
      </c>
      <c r="D2913" s="2">
        <f>A2913</f>
        <v>0.15083935379881067</v>
      </c>
      <c r="F2913" s="2">
        <v>2023</v>
      </c>
      <c r="G2913" s="23" t="s">
        <v>902</v>
      </c>
      <c r="H2913" s="2" t="s">
        <v>771</v>
      </c>
      <c r="I2913" s="23" t="s">
        <v>189</v>
      </c>
      <c r="J2913" s="23">
        <v>58077389</v>
      </c>
      <c r="K2913" s="23">
        <v>11813530</v>
      </c>
      <c r="L2913" s="23" t="s">
        <v>819</v>
      </c>
      <c r="M2913" s="2" t="s">
        <v>825</v>
      </c>
      <c r="N2913" s="6" t="s">
        <v>828</v>
      </c>
    </row>
    <row r="2914" spans="1:14" ht="15" customHeight="1" x14ac:dyDescent="0.2">
      <c r="A2914" s="31">
        <v>0.76945045426942338</v>
      </c>
      <c r="B2914" s="31"/>
      <c r="C2914" s="2" t="s">
        <v>855</v>
      </c>
      <c r="D2914" s="31">
        <f t="shared" ref="D2914:D2977" si="100" xml:space="preserve"> A2914 * 0.196</f>
        <v>0.15081228903680699</v>
      </c>
      <c r="F2914" s="2" t="s">
        <v>822</v>
      </c>
      <c r="G2914" s="23" t="s">
        <v>902</v>
      </c>
      <c r="H2914" s="2" t="s">
        <v>822</v>
      </c>
      <c r="J2914" s="31">
        <v>28.711999899999999</v>
      </c>
      <c r="K2914" s="31">
        <v>-33.208000200000001</v>
      </c>
      <c r="L2914" s="31"/>
      <c r="M2914" s="31" t="s">
        <v>854</v>
      </c>
      <c r="N2914" s="6" t="s">
        <v>856</v>
      </c>
    </row>
    <row r="2915" spans="1:14" ht="15" customHeight="1" x14ac:dyDescent="0.2">
      <c r="A2915" s="31">
        <v>0.76940096692437188</v>
      </c>
      <c r="B2915" s="31"/>
      <c r="C2915" s="2" t="s">
        <v>855</v>
      </c>
      <c r="D2915" s="31">
        <f t="shared" si="100"/>
        <v>0.1508025895171769</v>
      </c>
      <c r="F2915" s="2" t="s">
        <v>822</v>
      </c>
      <c r="G2915" s="23" t="s">
        <v>902</v>
      </c>
      <c r="H2915" s="2" t="s">
        <v>822</v>
      </c>
      <c r="J2915" s="31">
        <v>37.197799699999997</v>
      </c>
      <c r="K2915" s="31">
        <v>-27.035800900000002</v>
      </c>
      <c r="L2915" s="31"/>
      <c r="M2915" s="31" t="s">
        <v>854</v>
      </c>
      <c r="N2915" s="6" t="s">
        <v>856</v>
      </c>
    </row>
    <row r="2916" spans="1:14" ht="15" customHeight="1" x14ac:dyDescent="0.2">
      <c r="A2916" s="31">
        <v>0.76932851853212381</v>
      </c>
      <c r="B2916" s="31"/>
      <c r="C2916" s="2" t="s">
        <v>855</v>
      </c>
      <c r="D2916" s="31">
        <f t="shared" si="100"/>
        <v>0.15078838963229627</v>
      </c>
      <c r="F2916" s="2" t="s">
        <v>822</v>
      </c>
      <c r="G2916" s="23" t="s">
        <v>902</v>
      </c>
      <c r="H2916" s="2" t="s">
        <v>822</v>
      </c>
      <c r="J2916" s="31">
        <v>52.141498599999998</v>
      </c>
      <c r="K2916" s="31">
        <v>-6.6842598999999998</v>
      </c>
      <c r="L2916" s="31"/>
      <c r="M2916" s="31" t="s">
        <v>854</v>
      </c>
      <c r="N2916" s="6" t="s">
        <v>856</v>
      </c>
    </row>
    <row r="2917" spans="1:14" ht="15" customHeight="1" x14ac:dyDescent="0.2">
      <c r="A2917" s="31">
        <v>0.7692565276858957</v>
      </c>
      <c r="B2917" s="31"/>
      <c r="C2917" s="2" t="s">
        <v>855</v>
      </c>
      <c r="D2917" s="31">
        <f t="shared" si="100"/>
        <v>0.15077427942643556</v>
      </c>
      <c r="F2917" s="2" t="s">
        <v>822</v>
      </c>
      <c r="G2917" s="23" t="s">
        <v>902</v>
      </c>
      <c r="H2917" s="2" t="s">
        <v>822</v>
      </c>
      <c r="J2917" s="31">
        <v>41.445598599999997</v>
      </c>
      <c r="K2917" s="31">
        <v>-17.8439999</v>
      </c>
      <c r="L2917" s="31"/>
      <c r="M2917" s="31" t="s">
        <v>854</v>
      </c>
      <c r="N2917" s="6" t="s">
        <v>856</v>
      </c>
    </row>
    <row r="2918" spans="1:14" ht="15" customHeight="1" x14ac:dyDescent="0.2">
      <c r="A2918" s="31">
        <v>0.76896664518940128</v>
      </c>
      <c r="B2918" s="31"/>
      <c r="C2918" s="2" t="s">
        <v>855</v>
      </c>
      <c r="D2918" s="31">
        <f t="shared" si="100"/>
        <v>0.15071746245712267</v>
      </c>
      <c r="F2918" s="2" t="s">
        <v>822</v>
      </c>
      <c r="G2918" s="23" t="s">
        <v>902</v>
      </c>
      <c r="H2918" s="2" t="s">
        <v>822</v>
      </c>
      <c r="J2918" s="31">
        <v>26.040000899999999</v>
      </c>
      <c r="K2918" s="31">
        <v>-35.880001100000001</v>
      </c>
      <c r="L2918" s="31"/>
      <c r="M2918" s="31" t="s">
        <v>854</v>
      </c>
      <c r="N2918" s="6" t="s">
        <v>856</v>
      </c>
    </row>
    <row r="2919" spans="1:14" ht="15" customHeight="1" x14ac:dyDescent="0.2">
      <c r="A2919" s="31">
        <v>0.76895566891405198</v>
      </c>
      <c r="B2919" s="31"/>
      <c r="C2919" s="2" t="s">
        <v>855</v>
      </c>
      <c r="D2919" s="31">
        <f t="shared" si="100"/>
        <v>0.15071531110715419</v>
      </c>
      <c r="F2919" s="2" t="s">
        <v>822</v>
      </c>
      <c r="G2919" s="23" t="s">
        <v>902</v>
      </c>
      <c r="H2919" s="2" t="s">
        <v>822</v>
      </c>
      <c r="J2919" s="31">
        <v>37.3959999</v>
      </c>
      <c r="K2919" s="31">
        <v>-22.520000499999998</v>
      </c>
      <c r="L2919" s="31"/>
      <c r="M2919" s="31" t="s">
        <v>854</v>
      </c>
      <c r="N2919" s="6" t="s">
        <v>856</v>
      </c>
    </row>
    <row r="2920" spans="1:14" ht="15" customHeight="1" x14ac:dyDescent="0.2">
      <c r="A2920" s="31">
        <v>0.76894919697913722</v>
      </c>
      <c r="B2920" s="31"/>
      <c r="C2920" s="2" t="s">
        <v>855</v>
      </c>
      <c r="D2920" s="31">
        <f t="shared" si="100"/>
        <v>0.15071404260791091</v>
      </c>
      <c r="F2920" s="2" t="s">
        <v>822</v>
      </c>
      <c r="G2920" s="23" t="s">
        <v>902</v>
      </c>
      <c r="H2920" s="2" t="s">
        <v>822</v>
      </c>
      <c r="J2920" s="31">
        <v>40.786800399999997</v>
      </c>
      <c r="K2920" s="31">
        <v>-33.304500599999997</v>
      </c>
      <c r="L2920" s="31"/>
      <c r="M2920" s="31" t="s">
        <v>854</v>
      </c>
      <c r="N2920" s="6" t="s">
        <v>856</v>
      </c>
    </row>
    <row r="2921" spans="1:14" ht="15" customHeight="1" x14ac:dyDescent="0.2">
      <c r="A2921" s="31">
        <v>0.76892406272184843</v>
      </c>
      <c r="B2921" s="31"/>
      <c r="C2921" s="2" t="s">
        <v>855</v>
      </c>
      <c r="D2921" s="31">
        <f t="shared" si="100"/>
        <v>0.1507091162934823</v>
      </c>
      <c r="F2921" s="2" t="s">
        <v>822</v>
      </c>
      <c r="G2921" s="23" t="s">
        <v>902</v>
      </c>
      <c r="H2921" s="2" t="s">
        <v>822</v>
      </c>
      <c r="J2921" s="31">
        <v>32.720001199999999</v>
      </c>
      <c r="K2921" s="31">
        <v>-12.5</v>
      </c>
      <c r="L2921" s="31"/>
      <c r="M2921" s="31" t="s">
        <v>854</v>
      </c>
      <c r="N2921" s="6" t="s">
        <v>856</v>
      </c>
    </row>
    <row r="2922" spans="1:14" ht="15" customHeight="1" x14ac:dyDescent="0.2">
      <c r="A2922" s="31">
        <v>0.76877047946389432</v>
      </c>
      <c r="B2922" s="31"/>
      <c r="C2922" s="2" t="s">
        <v>855</v>
      </c>
      <c r="D2922" s="31">
        <f t="shared" si="100"/>
        <v>0.15067901397492328</v>
      </c>
      <c r="F2922" s="2" t="s">
        <v>822</v>
      </c>
      <c r="G2922" s="23" t="s">
        <v>902</v>
      </c>
      <c r="H2922" s="2" t="s">
        <v>822</v>
      </c>
      <c r="J2922" s="31">
        <v>37.926399199999999</v>
      </c>
      <c r="K2922" s="31">
        <v>26.1774998</v>
      </c>
      <c r="L2922" s="31"/>
      <c r="M2922" s="31" t="s">
        <v>854</v>
      </c>
      <c r="N2922" s="6" t="s">
        <v>856</v>
      </c>
    </row>
    <row r="2923" spans="1:14" ht="15" customHeight="1" x14ac:dyDescent="0.2">
      <c r="A2923" s="31">
        <v>0.76841788821189916</v>
      </c>
      <c r="B2923" s="31"/>
      <c r="C2923" s="2" t="s">
        <v>855</v>
      </c>
      <c r="D2923" s="31">
        <f t="shared" si="100"/>
        <v>0.15060990608953223</v>
      </c>
      <c r="F2923" s="2" t="s">
        <v>822</v>
      </c>
      <c r="G2923" s="23" t="s">
        <v>902</v>
      </c>
      <c r="H2923" s="2" t="s">
        <v>822</v>
      </c>
      <c r="J2923" s="31">
        <v>33.382701900000001</v>
      </c>
      <c r="K2923" s="31">
        <v>20.396799099999999</v>
      </c>
      <c r="L2923" s="31"/>
      <c r="M2923" s="31" t="s">
        <v>854</v>
      </c>
      <c r="N2923" s="6" t="s">
        <v>856</v>
      </c>
    </row>
    <row r="2924" spans="1:14" ht="15" customHeight="1" x14ac:dyDescent="0.2">
      <c r="A2924" s="31">
        <v>0.76835789824177425</v>
      </c>
      <c r="B2924" s="31"/>
      <c r="C2924" s="2" t="s">
        <v>855</v>
      </c>
      <c r="D2924" s="31">
        <f t="shared" si="100"/>
        <v>0.15059814805538776</v>
      </c>
      <c r="F2924" s="2" t="s">
        <v>822</v>
      </c>
      <c r="G2924" s="23" t="s">
        <v>902</v>
      </c>
      <c r="H2924" s="2" t="s">
        <v>822</v>
      </c>
      <c r="J2924" s="31">
        <v>36.097198499999998</v>
      </c>
      <c r="K2924" s="31">
        <v>-37.836498300000002</v>
      </c>
      <c r="L2924" s="31"/>
      <c r="M2924" s="31" t="s">
        <v>854</v>
      </c>
      <c r="N2924" s="6" t="s">
        <v>856</v>
      </c>
    </row>
    <row r="2925" spans="1:14" ht="15" customHeight="1" x14ac:dyDescent="0.2">
      <c r="A2925" s="31">
        <v>0.76825681442516114</v>
      </c>
      <c r="B2925" s="31"/>
      <c r="C2925" s="2" t="s">
        <v>855</v>
      </c>
      <c r="D2925" s="31">
        <f t="shared" si="100"/>
        <v>0.15057833562733158</v>
      </c>
      <c r="F2925" s="2" t="s">
        <v>822</v>
      </c>
      <c r="G2925" s="23" t="s">
        <v>902</v>
      </c>
      <c r="H2925" s="2" t="s">
        <v>822</v>
      </c>
      <c r="J2925" s="31">
        <v>41.097801199999999</v>
      </c>
      <c r="K2925" s="31">
        <v>-13.982399900000001</v>
      </c>
      <c r="L2925" s="31"/>
      <c r="M2925" s="31" t="s">
        <v>854</v>
      </c>
      <c r="N2925" s="6" t="s">
        <v>856</v>
      </c>
    </row>
    <row r="2926" spans="1:14" ht="15" customHeight="1" x14ac:dyDescent="0.2">
      <c r="A2926" s="31">
        <v>0.76802700744090591</v>
      </c>
      <c r="B2926" s="31"/>
      <c r="C2926" s="2" t="s">
        <v>855</v>
      </c>
      <c r="D2926" s="31">
        <f t="shared" si="100"/>
        <v>0.15053329345841757</v>
      </c>
      <c r="F2926" s="2" t="s">
        <v>822</v>
      </c>
      <c r="G2926" s="23" t="s">
        <v>902</v>
      </c>
      <c r="H2926" s="2" t="s">
        <v>822</v>
      </c>
      <c r="J2926" s="31">
        <v>33.6991005</v>
      </c>
      <c r="K2926" s="31">
        <v>-24.569900499999999</v>
      </c>
      <c r="L2926" s="31"/>
      <c r="M2926" s="31" t="s">
        <v>854</v>
      </c>
      <c r="N2926" s="6" t="s">
        <v>856</v>
      </c>
    </row>
    <row r="2927" spans="1:14" ht="15" customHeight="1" x14ac:dyDescent="0.2">
      <c r="A2927" s="31">
        <v>0.76790491011461082</v>
      </c>
      <c r="B2927" s="31"/>
      <c r="C2927" s="2" t="s">
        <v>855</v>
      </c>
      <c r="D2927" s="31">
        <f t="shared" si="100"/>
        <v>0.15050936238246373</v>
      </c>
      <c r="F2927" s="2" t="s">
        <v>822</v>
      </c>
      <c r="G2927" s="23" t="s">
        <v>902</v>
      </c>
      <c r="H2927" s="2" t="s">
        <v>822</v>
      </c>
      <c r="J2927" s="31">
        <v>34.765300799999999</v>
      </c>
      <c r="K2927" s="31">
        <v>-17.215900399999999</v>
      </c>
      <c r="L2927" s="31"/>
      <c r="M2927" s="31" t="s">
        <v>854</v>
      </c>
      <c r="N2927" s="6" t="s">
        <v>856</v>
      </c>
    </row>
    <row r="2928" spans="1:14" ht="15" customHeight="1" x14ac:dyDescent="0.2">
      <c r="A2928" s="31">
        <v>0.76773915499441181</v>
      </c>
      <c r="B2928" s="31"/>
      <c r="C2928" s="2" t="s">
        <v>855</v>
      </c>
      <c r="D2928" s="31">
        <f t="shared" si="100"/>
        <v>0.15047687437890472</v>
      </c>
      <c r="F2928" s="2" t="s">
        <v>822</v>
      </c>
      <c r="G2928" s="23" t="s">
        <v>902</v>
      </c>
      <c r="H2928" s="2" t="s">
        <v>822</v>
      </c>
      <c r="J2928" s="31">
        <v>36.442798600000003</v>
      </c>
      <c r="K2928" s="31">
        <v>-21.922199200000001</v>
      </c>
      <c r="L2928" s="31"/>
      <c r="M2928" s="31" t="s">
        <v>854</v>
      </c>
      <c r="N2928" s="6" t="s">
        <v>856</v>
      </c>
    </row>
    <row r="2929" spans="1:14" ht="15" customHeight="1" x14ac:dyDescent="0.2">
      <c r="A2929" s="31">
        <v>0.76772268219545059</v>
      </c>
      <c r="B2929" s="31"/>
      <c r="C2929" s="2" t="s">
        <v>855</v>
      </c>
      <c r="D2929" s="31">
        <f t="shared" si="100"/>
        <v>0.15047364571030833</v>
      </c>
      <c r="F2929" s="2" t="s">
        <v>822</v>
      </c>
      <c r="G2929" s="23" t="s">
        <v>902</v>
      </c>
      <c r="H2929" s="2" t="s">
        <v>822</v>
      </c>
      <c r="J2929" s="31">
        <v>41.667701700000002</v>
      </c>
      <c r="K2929" s="31">
        <v>-20.797700899999999</v>
      </c>
      <c r="L2929" s="31"/>
      <c r="M2929" s="31" t="s">
        <v>854</v>
      </c>
      <c r="N2929" s="6" t="s">
        <v>856</v>
      </c>
    </row>
    <row r="2930" spans="1:14" ht="15" customHeight="1" x14ac:dyDescent="0.2">
      <c r="A2930" s="31">
        <v>0.76760088491395273</v>
      </c>
      <c r="B2930" s="31"/>
      <c r="C2930" s="2" t="s">
        <v>855</v>
      </c>
      <c r="D2930" s="31">
        <f t="shared" si="100"/>
        <v>0.15044977344313473</v>
      </c>
      <c r="F2930" s="2" t="s">
        <v>822</v>
      </c>
      <c r="G2930" s="23" t="s">
        <v>902</v>
      </c>
      <c r="H2930" s="2" t="s">
        <v>822</v>
      </c>
      <c r="J2930" s="31">
        <v>35.355598399999998</v>
      </c>
      <c r="K2930" s="31">
        <v>22.853200900000001</v>
      </c>
      <c r="L2930" s="31"/>
      <c r="M2930" s="31" t="s">
        <v>854</v>
      </c>
      <c r="N2930" s="6" t="s">
        <v>856</v>
      </c>
    </row>
    <row r="2931" spans="1:14" ht="15" customHeight="1" x14ac:dyDescent="0.2">
      <c r="A2931" s="31">
        <v>0.76740539620562531</v>
      </c>
      <c r="B2931" s="31"/>
      <c r="C2931" s="2" t="s">
        <v>855</v>
      </c>
      <c r="D2931" s="31">
        <f t="shared" si="100"/>
        <v>0.15041145765630257</v>
      </c>
      <c r="F2931" s="2" t="s">
        <v>822</v>
      </c>
      <c r="G2931" s="23" t="s">
        <v>902</v>
      </c>
      <c r="H2931" s="2" t="s">
        <v>822</v>
      </c>
      <c r="J2931" s="31">
        <v>34.055999800000002</v>
      </c>
      <c r="K2931" s="31">
        <v>-10.829999900000001</v>
      </c>
      <c r="L2931" s="31"/>
      <c r="M2931" s="31" t="s">
        <v>854</v>
      </c>
      <c r="N2931" s="6" t="s">
        <v>856</v>
      </c>
    </row>
    <row r="2932" spans="1:14" ht="15" customHeight="1" x14ac:dyDescent="0.2">
      <c r="A2932" s="31">
        <v>0.76728243368171034</v>
      </c>
      <c r="B2932" s="31"/>
      <c r="C2932" s="2" t="s">
        <v>855</v>
      </c>
      <c r="D2932" s="31">
        <f t="shared" si="100"/>
        <v>0.15038735700161524</v>
      </c>
      <c r="F2932" s="2" t="s">
        <v>822</v>
      </c>
      <c r="G2932" s="23" t="s">
        <v>902</v>
      </c>
      <c r="H2932" s="2" t="s">
        <v>822</v>
      </c>
      <c r="J2932" s="31">
        <v>54.207298299999998</v>
      </c>
      <c r="K2932" s="31">
        <v>1.2798001000000001</v>
      </c>
      <c r="L2932" s="31"/>
      <c r="M2932" s="31" t="s">
        <v>854</v>
      </c>
      <c r="N2932" s="6" t="s">
        <v>856</v>
      </c>
    </row>
    <row r="2933" spans="1:14" ht="15" customHeight="1" x14ac:dyDescent="0.2">
      <c r="A2933" s="31">
        <v>0.76715651259350448</v>
      </c>
      <c r="B2933" s="31"/>
      <c r="C2933" s="2" t="s">
        <v>855</v>
      </c>
      <c r="D2933" s="31">
        <f t="shared" si="100"/>
        <v>0.15036267646832688</v>
      </c>
      <c r="F2933" s="2" t="s">
        <v>822</v>
      </c>
      <c r="G2933" s="23" t="s">
        <v>902</v>
      </c>
      <c r="H2933" s="2" t="s">
        <v>822</v>
      </c>
      <c r="J2933" s="31">
        <v>27.375999499999999</v>
      </c>
      <c r="K2933" s="31">
        <v>-37.215999600000004</v>
      </c>
      <c r="L2933" s="31"/>
      <c r="M2933" s="31" t="s">
        <v>854</v>
      </c>
      <c r="N2933" s="6" t="s">
        <v>856</v>
      </c>
    </row>
    <row r="2934" spans="1:14" ht="15" customHeight="1" x14ac:dyDescent="0.2">
      <c r="A2934" s="31">
        <v>0.76711111298707968</v>
      </c>
      <c r="B2934" s="31"/>
      <c r="C2934" s="2" t="s">
        <v>855</v>
      </c>
      <c r="D2934" s="31">
        <f t="shared" si="100"/>
        <v>0.15035377814546763</v>
      </c>
      <c r="F2934" s="2" t="s">
        <v>822</v>
      </c>
      <c r="G2934" s="23" t="s">
        <v>902</v>
      </c>
      <c r="H2934" s="2" t="s">
        <v>822</v>
      </c>
      <c r="J2934" s="31">
        <v>42.146999399999999</v>
      </c>
      <c r="K2934" s="31">
        <v>14.8562002</v>
      </c>
      <c r="L2934" s="31"/>
      <c r="M2934" s="31" t="s">
        <v>854</v>
      </c>
      <c r="N2934" s="6" t="s">
        <v>856</v>
      </c>
    </row>
    <row r="2935" spans="1:14" ht="15" customHeight="1" x14ac:dyDescent="0.2">
      <c r="A2935" s="31">
        <v>0.7669376008777844</v>
      </c>
      <c r="B2935" s="31"/>
      <c r="C2935" s="2" t="s">
        <v>855</v>
      </c>
      <c r="D2935" s="31">
        <f t="shared" si="100"/>
        <v>0.15031976977204575</v>
      </c>
      <c r="F2935" s="2" t="s">
        <v>822</v>
      </c>
      <c r="G2935" s="23" t="s">
        <v>902</v>
      </c>
      <c r="H2935" s="2" t="s">
        <v>822</v>
      </c>
      <c r="J2935" s="31">
        <v>32.4485016</v>
      </c>
      <c r="K2935" s="31">
        <v>-26.527999900000001</v>
      </c>
      <c r="L2935" s="31"/>
      <c r="M2935" s="31" t="s">
        <v>854</v>
      </c>
      <c r="N2935" s="6" t="s">
        <v>856</v>
      </c>
    </row>
    <row r="2936" spans="1:14" ht="15" customHeight="1" x14ac:dyDescent="0.2">
      <c r="A2936" s="31">
        <v>0.76689195392010268</v>
      </c>
      <c r="B2936" s="31"/>
      <c r="C2936" s="2" t="s">
        <v>855</v>
      </c>
      <c r="D2936" s="31">
        <f t="shared" si="100"/>
        <v>0.15031082296834014</v>
      </c>
      <c r="F2936" s="2" t="s">
        <v>822</v>
      </c>
      <c r="G2936" s="23" t="s">
        <v>902</v>
      </c>
      <c r="H2936" s="2" t="s">
        <v>822</v>
      </c>
      <c r="J2936" s="31">
        <v>34.637100199999999</v>
      </c>
      <c r="K2936" s="31">
        <v>19.524799300000002</v>
      </c>
      <c r="L2936" s="31"/>
      <c r="M2936" s="31" t="s">
        <v>854</v>
      </c>
      <c r="N2936" s="6" t="s">
        <v>856</v>
      </c>
    </row>
    <row r="2937" spans="1:14" ht="15" customHeight="1" x14ac:dyDescent="0.2">
      <c r="A2937" s="31">
        <v>0.76675222733440107</v>
      </c>
      <c r="B2937" s="31"/>
      <c r="C2937" s="2" t="s">
        <v>855</v>
      </c>
      <c r="D2937" s="31">
        <f t="shared" si="100"/>
        <v>0.15028343655754262</v>
      </c>
      <c r="F2937" s="2" t="s">
        <v>822</v>
      </c>
      <c r="G2937" s="23" t="s">
        <v>902</v>
      </c>
      <c r="H2937" s="2" t="s">
        <v>822</v>
      </c>
      <c r="J2937" s="31">
        <v>44.076000200000003</v>
      </c>
      <c r="K2937" s="31">
        <v>-15.171999899999999</v>
      </c>
      <c r="L2937" s="31"/>
      <c r="M2937" s="31" t="s">
        <v>854</v>
      </c>
      <c r="N2937" s="6" t="s">
        <v>856</v>
      </c>
    </row>
    <row r="2938" spans="1:14" ht="15" customHeight="1" x14ac:dyDescent="0.2">
      <c r="A2938" s="31">
        <v>0.766677111270469</v>
      </c>
      <c r="B2938" s="31"/>
      <c r="C2938" s="2" t="s">
        <v>855</v>
      </c>
      <c r="D2938" s="31">
        <f t="shared" si="100"/>
        <v>0.15026871380901194</v>
      </c>
      <c r="F2938" s="2" t="s">
        <v>822</v>
      </c>
      <c r="G2938" s="23" t="s">
        <v>902</v>
      </c>
      <c r="H2938" s="2" t="s">
        <v>822</v>
      </c>
      <c r="J2938" s="31">
        <v>32.636398300000003</v>
      </c>
      <c r="K2938" s="31">
        <v>-40.875999499999999</v>
      </c>
      <c r="L2938" s="31"/>
      <c r="M2938" s="31" t="s">
        <v>854</v>
      </c>
      <c r="N2938" s="6" t="s">
        <v>856</v>
      </c>
    </row>
    <row r="2939" spans="1:14" ht="15" customHeight="1" x14ac:dyDescent="0.2">
      <c r="A2939" s="31">
        <v>0.76661509065947209</v>
      </c>
      <c r="B2939" s="31"/>
      <c r="C2939" s="2" t="s">
        <v>855</v>
      </c>
      <c r="D2939" s="31">
        <f t="shared" si="100"/>
        <v>0.15025655776925653</v>
      </c>
      <c r="F2939" s="2" t="s">
        <v>822</v>
      </c>
      <c r="G2939" s="23" t="s">
        <v>902</v>
      </c>
      <c r="H2939" s="2" t="s">
        <v>822</v>
      </c>
      <c r="J2939" s="31">
        <v>37.245899199999997</v>
      </c>
      <c r="K2939" s="31">
        <v>2.8626699000000002</v>
      </c>
      <c r="L2939" s="31"/>
      <c r="M2939" s="31" t="s">
        <v>854</v>
      </c>
      <c r="N2939" s="6" t="s">
        <v>856</v>
      </c>
    </row>
    <row r="2940" spans="1:14" ht="15" customHeight="1" x14ac:dyDescent="0.2">
      <c r="A2940" s="31">
        <v>0.7665681256030823</v>
      </c>
      <c r="B2940" s="31"/>
      <c r="C2940" s="2" t="s">
        <v>855</v>
      </c>
      <c r="D2940" s="31">
        <f t="shared" si="100"/>
        <v>0.15024735261820413</v>
      </c>
      <c r="F2940" s="2" t="s">
        <v>822</v>
      </c>
      <c r="G2940" s="23" t="s">
        <v>902</v>
      </c>
      <c r="H2940" s="2" t="s">
        <v>822</v>
      </c>
      <c r="J2940" s="31">
        <v>37.0912018</v>
      </c>
      <c r="K2940" s="31">
        <v>-10.895500200000001</v>
      </c>
      <c r="L2940" s="31"/>
      <c r="M2940" s="31" t="s">
        <v>854</v>
      </c>
      <c r="N2940" s="6" t="s">
        <v>856</v>
      </c>
    </row>
    <row r="2941" spans="1:14" ht="15" customHeight="1" x14ac:dyDescent="0.2">
      <c r="A2941" s="31">
        <v>0.76649826969572377</v>
      </c>
      <c r="B2941" s="31"/>
      <c r="C2941" s="2" t="s">
        <v>855</v>
      </c>
      <c r="D2941" s="31">
        <f t="shared" si="100"/>
        <v>0.15023366086036186</v>
      </c>
      <c r="F2941" s="2" t="s">
        <v>822</v>
      </c>
      <c r="G2941" s="23" t="s">
        <v>902</v>
      </c>
      <c r="H2941" s="2" t="s">
        <v>822</v>
      </c>
      <c r="J2941" s="31">
        <v>52.167800900000003</v>
      </c>
      <c r="K2941" s="31">
        <v>-9.2961702000000006</v>
      </c>
      <c r="L2941" s="31"/>
      <c r="M2941" s="31" t="s">
        <v>854</v>
      </c>
      <c r="N2941" s="6" t="s">
        <v>856</v>
      </c>
    </row>
    <row r="2942" spans="1:14" ht="15" customHeight="1" x14ac:dyDescent="0.2">
      <c r="A2942" s="31">
        <v>0.76644650489811972</v>
      </c>
      <c r="B2942" s="31"/>
      <c r="C2942" s="2" t="s">
        <v>855</v>
      </c>
      <c r="D2942" s="31">
        <f t="shared" si="100"/>
        <v>0.15022351496003147</v>
      </c>
      <c r="F2942" s="2" t="s">
        <v>822</v>
      </c>
      <c r="G2942" s="23" t="s">
        <v>902</v>
      </c>
      <c r="H2942" s="2" t="s">
        <v>822</v>
      </c>
      <c r="J2942" s="31">
        <v>39.814998600000003</v>
      </c>
      <c r="K2942" s="31">
        <v>9.7528296000000001</v>
      </c>
      <c r="L2942" s="31"/>
      <c r="M2942" s="31" t="s">
        <v>854</v>
      </c>
      <c r="N2942" s="6" t="s">
        <v>856</v>
      </c>
    </row>
    <row r="2943" spans="1:14" ht="15" customHeight="1" x14ac:dyDescent="0.2">
      <c r="A2943" s="31">
        <v>0.7664346620988125</v>
      </c>
      <c r="B2943" s="31"/>
      <c r="C2943" s="2" t="s">
        <v>855</v>
      </c>
      <c r="D2943" s="31">
        <f t="shared" si="100"/>
        <v>0.15022119377136725</v>
      </c>
      <c r="F2943" s="2" t="s">
        <v>822</v>
      </c>
      <c r="G2943" s="23" t="s">
        <v>902</v>
      </c>
      <c r="H2943" s="2" t="s">
        <v>822</v>
      </c>
      <c r="J2943" s="31">
        <v>58.0209999</v>
      </c>
      <c r="K2943" s="31">
        <v>8.8696202999999993</v>
      </c>
      <c r="L2943" s="31"/>
      <c r="M2943" s="31" t="s">
        <v>854</v>
      </c>
      <c r="N2943" s="6" t="s">
        <v>856</v>
      </c>
    </row>
    <row r="2944" spans="1:14" ht="15" customHeight="1" x14ac:dyDescent="0.2">
      <c r="A2944" s="31">
        <v>0.76601088631429393</v>
      </c>
      <c r="B2944" s="31"/>
      <c r="C2944" s="2" t="s">
        <v>855</v>
      </c>
      <c r="D2944" s="31">
        <f t="shared" si="100"/>
        <v>0.15013813371760162</v>
      </c>
      <c r="F2944" s="2" t="s">
        <v>822</v>
      </c>
      <c r="G2944" s="23" t="s">
        <v>902</v>
      </c>
      <c r="H2944" s="2" t="s">
        <v>822</v>
      </c>
      <c r="J2944" s="31">
        <v>45.509899099999998</v>
      </c>
      <c r="K2944" s="31">
        <v>-34.427398699999998</v>
      </c>
      <c r="L2944" s="31"/>
      <c r="M2944" s="31" t="s">
        <v>854</v>
      </c>
      <c r="N2944" s="6" t="s">
        <v>856</v>
      </c>
    </row>
    <row r="2945" spans="1:14" ht="15" customHeight="1" x14ac:dyDescent="0.2">
      <c r="A2945" s="31">
        <v>0.76593643422396285</v>
      </c>
      <c r="B2945" s="31"/>
      <c r="C2945" s="2" t="s">
        <v>855</v>
      </c>
      <c r="D2945" s="31">
        <f t="shared" si="100"/>
        <v>0.15012354110789672</v>
      </c>
      <c r="F2945" s="2" t="s">
        <v>822</v>
      </c>
      <c r="G2945" s="23" t="s">
        <v>902</v>
      </c>
      <c r="H2945" s="2" t="s">
        <v>822</v>
      </c>
      <c r="J2945" s="31">
        <v>63.054698899999998</v>
      </c>
      <c r="K2945" s="31">
        <v>18.937700299999999</v>
      </c>
      <c r="L2945" s="31"/>
      <c r="M2945" s="31" t="s">
        <v>854</v>
      </c>
      <c r="N2945" s="6" t="s">
        <v>856</v>
      </c>
    </row>
    <row r="2946" spans="1:14" ht="15" customHeight="1" x14ac:dyDescent="0.2">
      <c r="A2946" s="31">
        <v>0.76573563645801235</v>
      </c>
      <c r="B2946" s="31"/>
      <c r="C2946" s="2" t="s">
        <v>855</v>
      </c>
      <c r="D2946" s="31">
        <f t="shared" si="100"/>
        <v>0.15008418474577043</v>
      </c>
      <c r="F2946" s="2" t="s">
        <v>822</v>
      </c>
      <c r="G2946" s="23" t="s">
        <v>902</v>
      </c>
      <c r="H2946" s="2" t="s">
        <v>822</v>
      </c>
      <c r="J2946" s="31">
        <v>52.706798599999999</v>
      </c>
      <c r="K2946" s="31">
        <v>-9.8153199999999998</v>
      </c>
      <c r="L2946" s="31"/>
      <c r="M2946" s="31" t="s">
        <v>854</v>
      </c>
      <c r="N2946" s="6" t="s">
        <v>856</v>
      </c>
    </row>
    <row r="2947" spans="1:14" ht="15" customHeight="1" x14ac:dyDescent="0.2">
      <c r="A2947" s="31">
        <v>0.76558977686016416</v>
      </c>
      <c r="B2947" s="31"/>
      <c r="C2947" s="2" t="s">
        <v>855</v>
      </c>
      <c r="D2947" s="31">
        <f t="shared" si="100"/>
        <v>0.15005559626459219</v>
      </c>
      <c r="F2947" s="2" t="s">
        <v>822</v>
      </c>
      <c r="G2947" s="23" t="s">
        <v>902</v>
      </c>
      <c r="H2947" s="2" t="s">
        <v>822</v>
      </c>
      <c r="J2947" s="31">
        <v>27.375999499999999</v>
      </c>
      <c r="K2947" s="31">
        <v>-29.200000800000002</v>
      </c>
      <c r="L2947" s="31"/>
      <c r="M2947" s="31" t="s">
        <v>854</v>
      </c>
      <c r="N2947" s="6" t="s">
        <v>856</v>
      </c>
    </row>
    <row r="2948" spans="1:14" ht="15" customHeight="1" x14ac:dyDescent="0.2">
      <c r="A2948" s="31">
        <v>0.76552687922827489</v>
      </c>
      <c r="B2948" s="31"/>
      <c r="C2948" s="2" t="s">
        <v>855</v>
      </c>
      <c r="D2948" s="31">
        <f t="shared" si="100"/>
        <v>0.15004326832874187</v>
      </c>
      <c r="F2948" s="2" t="s">
        <v>822</v>
      </c>
      <c r="G2948" s="23" t="s">
        <v>902</v>
      </c>
      <c r="H2948" s="2" t="s">
        <v>822</v>
      </c>
      <c r="J2948" s="31">
        <v>41.403999300000002</v>
      </c>
      <c r="K2948" s="31">
        <v>-39.220001199999999</v>
      </c>
      <c r="L2948" s="31"/>
      <c r="M2948" s="31" t="s">
        <v>854</v>
      </c>
      <c r="N2948" s="6" t="s">
        <v>856</v>
      </c>
    </row>
    <row r="2949" spans="1:14" ht="15" customHeight="1" x14ac:dyDescent="0.2">
      <c r="A2949" s="31">
        <v>0.76545828905799307</v>
      </c>
      <c r="B2949" s="31"/>
      <c r="C2949" s="2" t="s">
        <v>855</v>
      </c>
      <c r="D2949" s="31">
        <f t="shared" si="100"/>
        <v>0.15002982465536666</v>
      </c>
      <c r="F2949" s="2" t="s">
        <v>822</v>
      </c>
      <c r="G2949" s="23" t="s">
        <v>902</v>
      </c>
      <c r="H2949" s="2" t="s">
        <v>822</v>
      </c>
      <c r="J2949" s="31">
        <v>31.636400200000001</v>
      </c>
      <c r="K2949" s="31">
        <v>26.2115002</v>
      </c>
      <c r="L2949" s="31"/>
      <c r="M2949" s="31" t="s">
        <v>854</v>
      </c>
      <c r="N2949" s="6" t="s">
        <v>856</v>
      </c>
    </row>
    <row r="2950" spans="1:14" ht="15" customHeight="1" x14ac:dyDescent="0.2">
      <c r="A2950" s="31">
        <v>0.76522626747630418</v>
      </c>
      <c r="B2950" s="31"/>
      <c r="C2950" s="2" t="s">
        <v>855</v>
      </c>
      <c r="D2950" s="31">
        <f t="shared" si="100"/>
        <v>0.14998434842535563</v>
      </c>
      <c r="F2950" s="2" t="s">
        <v>822</v>
      </c>
      <c r="G2950" s="23" t="s">
        <v>902</v>
      </c>
      <c r="H2950" s="2" t="s">
        <v>822</v>
      </c>
      <c r="J2950" s="31">
        <v>41.379100800000003</v>
      </c>
      <c r="K2950" s="31">
        <v>-31.9339008</v>
      </c>
      <c r="L2950" s="31"/>
      <c r="M2950" s="31" t="s">
        <v>854</v>
      </c>
      <c r="N2950" s="6" t="s">
        <v>856</v>
      </c>
    </row>
    <row r="2951" spans="1:14" ht="15" customHeight="1" x14ac:dyDescent="0.2">
      <c r="A2951" s="31">
        <v>0.76444839198172976</v>
      </c>
      <c r="B2951" s="31"/>
      <c r="C2951" s="2" t="s">
        <v>855</v>
      </c>
      <c r="D2951" s="31">
        <f t="shared" si="100"/>
        <v>0.14983188482841903</v>
      </c>
      <c r="F2951" s="2" t="s">
        <v>822</v>
      </c>
      <c r="G2951" s="23" t="s">
        <v>902</v>
      </c>
      <c r="H2951" s="2" t="s">
        <v>822</v>
      </c>
      <c r="J2951" s="31">
        <v>41.811599700000002</v>
      </c>
      <c r="K2951" s="31">
        <v>-41.2975998</v>
      </c>
      <c r="L2951" s="31"/>
      <c r="M2951" s="31" t="s">
        <v>854</v>
      </c>
      <c r="N2951" s="6" t="s">
        <v>856</v>
      </c>
    </row>
    <row r="2952" spans="1:14" ht="15" customHeight="1" x14ac:dyDescent="0.2">
      <c r="A2952" s="31">
        <v>0.76429055815836822</v>
      </c>
      <c r="B2952" s="31"/>
      <c r="C2952" s="2" t="s">
        <v>855</v>
      </c>
      <c r="D2952" s="31">
        <f t="shared" si="100"/>
        <v>0.14980094939904018</v>
      </c>
      <c r="F2952" s="2" t="s">
        <v>822</v>
      </c>
      <c r="G2952" s="23" t="s">
        <v>902</v>
      </c>
      <c r="H2952" s="2" t="s">
        <v>822</v>
      </c>
      <c r="J2952" s="31">
        <v>38.731998400000002</v>
      </c>
      <c r="K2952" s="31">
        <v>-23.187999699999999</v>
      </c>
      <c r="L2952" s="31"/>
      <c r="M2952" s="31" t="s">
        <v>854</v>
      </c>
      <c r="N2952" s="6" t="s">
        <v>856</v>
      </c>
    </row>
    <row r="2953" spans="1:14" ht="15" customHeight="1" x14ac:dyDescent="0.2">
      <c r="A2953" s="31">
        <v>0.76424540183386458</v>
      </c>
      <c r="B2953" s="31"/>
      <c r="C2953" s="2" t="s">
        <v>855</v>
      </c>
      <c r="D2953" s="31">
        <f t="shared" si="100"/>
        <v>0.14979209875943747</v>
      </c>
      <c r="F2953" s="2" t="s">
        <v>822</v>
      </c>
      <c r="G2953" s="23" t="s">
        <v>902</v>
      </c>
      <c r="H2953" s="2" t="s">
        <v>822</v>
      </c>
      <c r="J2953" s="31">
        <v>54.223201799999998</v>
      </c>
      <c r="K2953" s="31">
        <v>-9.8980903999999992</v>
      </c>
      <c r="L2953" s="31"/>
      <c r="M2953" s="31" t="s">
        <v>854</v>
      </c>
      <c r="N2953" s="6" t="s">
        <v>856</v>
      </c>
    </row>
    <row r="2954" spans="1:14" ht="15" customHeight="1" x14ac:dyDescent="0.2">
      <c r="A2954" s="31">
        <v>0.76410079183774027</v>
      </c>
      <c r="B2954" s="31"/>
      <c r="C2954" s="2" t="s">
        <v>855</v>
      </c>
      <c r="D2954" s="31">
        <f t="shared" si="100"/>
        <v>0.14976375520019711</v>
      </c>
      <c r="F2954" s="2" t="s">
        <v>822</v>
      </c>
      <c r="G2954" s="23" t="s">
        <v>902</v>
      </c>
      <c r="H2954" s="2" t="s">
        <v>822</v>
      </c>
      <c r="J2954" s="31">
        <v>43.364398999999999</v>
      </c>
      <c r="K2954" s="31">
        <v>-13.8617001</v>
      </c>
      <c r="L2954" s="31"/>
      <c r="M2954" s="31" t="s">
        <v>854</v>
      </c>
      <c r="N2954" s="6" t="s">
        <v>856</v>
      </c>
    </row>
    <row r="2955" spans="1:14" ht="15" customHeight="1" x14ac:dyDescent="0.2">
      <c r="A2955" s="31">
        <v>0.76387858983237655</v>
      </c>
      <c r="B2955" s="31"/>
      <c r="C2955" s="2" t="s">
        <v>855</v>
      </c>
      <c r="D2955" s="31">
        <f t="shared" si="100"/>
        <v>0.1497202036071458</v>
      </c>
      <c r="F2955" s="2" t="s">
        <v>822</v>
      </c>
      <c r="G2955" s="23" t="s">
        <v>902</v>
      </c>
      <c r="H2955" s="2" t="s">
        <v>822</v>
      </c>
      <c r="J2955" s="31">
        <v>26.708000200000001</v>
      </c>
      <c r="K2955" s="31">
        <v>-34.543998700000003</v>
      </c>
      <c r="L2955" s="31"/>
      <c r="M2955" s="31" t="s">
        <v>854</v>
      </c>
      <c r="N2955" s="6" t="s">
        <v>856</v>
      </c>
    </row>
    <row r="2956" spans="1:14" ht="15" customHeight="1" x14ac:dyDescent="0.2">
      <c r="A2956" s="31">
        <v>0.76381170344417015</v>
      </c>
      <c r="B2956" s="31"/>
      <c r="C2956" s="2" t="s">
        <v>855</v>
      </c>
      <c r="D2956" s="31">
        <f t="shared" si="100"/>
        <v>0.14970709387505735</v>
      </c>
      <c r="F2956" s="2" t="s">
        <v>822</v>
      </c>
      <c r="G2956" s="23" t="s">
        <v>902</v>
      </c>
      <c r="H2956" s="2" t="s">
        <v>822</v>
      </c>
      <c r="J2956" s="31">
        <v>36.965099299999999</v>
      </c>
      <c r="K2956" s="31">
        <v>6.9408002</v>
      </c>
      <c r="L2956" s="31"/>
      <c r="M2956" s="31" t="s">
        <v>854</v>
      </c>
      <c r="N2956" s="6" t="s">
        <v>856</v>
      </c>
    </row>
    <row r="2957" spans="1:14" ht="15" customHeight="1" x14ac:dyDescent="0.2">
      <c r="A2957" s="31">
        <v>0.76321226885619853</v>
      </c>
      <c r="B2957" s="31"/>
      <c r="C2957" s="2" t="s">
        <v>855</v>
      </c>
      <c r="D2957" s="31">
        <f t="shared" si="100"/>
        <v>0.14958960469581492</v>
      </c>
      <c r="F2957" s="2" t="s">
        <v>822</v>
      </c>
      <c r="G2957" s="23" t="s">
        <v>902</v>
      </c>
      <c r="H2957" s="2" t="s">
        <v>822</v>
      </c>
      <c r="J2957" s="31">
        <v>25.3719997</v>
      </c>
      <c r="K2957" s="31">
        <v>-39.220001199999999</v>
      </c>
      <c r="L2957" s="31"/>
      <c r="M2957" s="31" t="s">
        <v>854</v>
      </c>
      <c r="N2957" s="6" t="s">
        <v>856</v>
      </c>
    </row>
    <row r="2958" spans="1:14" ht="15" customHeight="1" x14ac:dyDescent="0.2">
      <c r="A2958" s="31">
        <v>0.76316975859457625</v>
      </c>
      <c r="B2958" s="31"/>
      <c r="C2958" s="2" t="s">
        <v>855</v>
      </c>
      <c r="D2958" s="31">
        <f t="shared" si="100"/>
        <v>0.14958127268453694</v>
      </c>
      <c r="F2958" s="2" t="s">
        <v>822</v>
      </c>
      <c r="G2958" s="23" t="s">
        <v>902</v>
      </c>
      <c r="H2958" s="2" t="s">
        <v>822</v>
      </c>
      <c r="J2958" s="31">
        <v>37.2621994</v>
      </c>
      <c r="K2958" s="31">
        <v>23.042699800000001</v>
      </c>
      <c r="L2958" s="31"/>
      <c r="M2958" s="31" t="s">
        <v>854</v>
      </c>
      <c r="N2958" s="6" t="s">
        <v>856</v>
      </c>
    </row>
    <row r="2959" spans="1:14" ht="15" customHeight="1" x14ac:dyDescent="0.2">
      <c r="A2959" s="31">
        <v>0.76308825324442386</v>
      </c>
      <c r="B2959" s="31"/>
      <c r="C2959" s="2" t="s">
        <v>855</v>
      </c>
      <c r="D2959" s="31">
        <f t="shared" si="100"/>
        <v>0.14956529763590709</v>
      </c>
      <c r="F2959" s="2" t="s">
        <v>822</v>
      </c>
      <c r="G2959" s="23" t="s">
        <v>902</v>
      </c>
      <c r="H2959" s="2" t="s">
        <v>822</v>
      </c>
      <c r="J2959" s="31">
        <v>35.697601300000002</v>
      </c>
      <c r="K2959" s="31">
        <v>19.244100599999999</v>
      </c>
      <c r="L2959" s="31"/>
      <c r="M2959" s="31" t="s">
        <v>854</v>
      </c>
      <c r="N2959" s="6" t="s">
        <v>856</v>
      </c>
    </row>
    <row r="2960" spans="1:14" ht="15" customHeight="1" x14ac:dyDescent="0.2">
      <c r="A2960" s="31">
        <v>0.76305080408364301</v>
      </c>
      <c r="B2960" s="31"/>
      <c r="C2960" s="2" t="s">
        <v>855</v>
      </c>
      <c r="D2960" s="31">
        <f t="shared" si="100"/>
        <v>0.14955795760039403</v>
      </c>
      <c r="F2960" s="2" t="s">
        <v>822</v>
      </c>
      <c r="G2960" s="23" t="s">
        <v>902</v>
      </c>
      <c r="H2960" s="2" t="s">
        <v>822</v>
      </c>
      <c r="J2960" s="31">
        <v>37.125198400000002</v>
      </c>
      <c r="K2960" s="31">
        <v>26.845899599999999</v>
      </c>
      <c r="L2960" s="31"/>
      <c r="M2960" s="31" t="s">
        <v>854</v>
      </c>
      <c r="N2960" s="6" t="s">
        <v>856</v>
      </c>
    </row>
    <row r="2961" spans="1:14" ht="15" customHeight="1" x14ac:dyDescent="0.2">
      <c r="A2961" s="31">
        <v>0.7630501896411982</v>
      </c>
      <c r="B2961" s="31"/>
      <c r="C2961" s="2" t="s">
        <v>855</v>
      </c>
      <c r="D2961" s="31">
        <f t="shared" si="100"/>
        <v>0.14955783716967486</v>
      </c>
      <c r="F2961" s="2" t="s">
        <v>822</v>
      </c>
      <c r="G2961" s="23" t="s">
        <v>902</v>
      </c>
      <c r="H2961" s="2" t="s">
        <v>822</v>
      </c>
      <c r="J2961" s="31">
        <v>41.779598200000002</v>
      </c>
      <c r="K2961" s="31">
        <v>9.4145898999999993</v>
      </c>
      <c r="L2961" s="31"/>
      <c r="M2961" s="31" t="s">
        <v>854</v>
      </c>
      <c r="N2961" s="6" t="s">
        <v>856</v>
      </c>
    </row>
    <row r="2962" spans="1:14" ht="15" customHeight="1" x14ac:dyDescent="0.2">
      <c r="A2962" s="31">
        <v>0.76301392649261601</v>
      </c>
      <c r="B2962" s="31"/>
      <c r="C2962" s="2" t="s">
        <v>855</v>
      </c>
      <c r="D2962" s="31">
        <f t="shared" si="100"/>
        <v>0.14955072959255275</v>
      </c>
      <c r="F2962" s="2" t="s">
        <v>822</v>
      </c>
      <c r="G2962" s="23" t="s">
        <v>902</v>
      </c>
      <c r="H2962" s="2" t="s">
        <v>822</v>
      </c>
      <c r="J2962" s="31">
        <v>46.368198399999997</v>
      </c>
      <c r="K2962" s="31">
        <v>-10.433299999999999</v>
      </c>
      <c r="L2962" s="31"/>
      <c r="M2962" s="31" t="s">
        <v>854</v>
      </c>
      <c r="N2962" s="6" t="s">
        <v>856</v>
      </c>
    </row>
    <row r="2963" spans="1:14" ht="15" customHeight="1" x14ac:dyDescent="0.2">
      <c r="A2963" s="31">
        <v>0.76269590657697195</v>
      </c>
      <c r="B2963" s="31"/>
      <c r="C2963" s="2" t="s">
        <v>855</v>
      </c>
      <c r="D2963" s="31">
        <f t="shared" si="100"/>
        <v>0.14948839768908651</v>
      </c>
      <c r="F2963" s="2" t="s">
        <v>822</v>
      </c>
      <c r="G2963" s="23" t="s">
        <v>902</v>
      </c>
      <c r="H2963" s="2" t="s">
        <v>822</v>
      </c>
      <c r="J2963" s="31">
        <v>33.086200699999999</v>
      </c>
      <c r="K2963" s="31">
        <v>30.245399500000001</v>
      </c>
      <c r="L2963" s="31"/>
      <c r="M2963" s="31" t="s">
        <v>854</v>
      </c>
      <c r="N2963" s="6" t="s">
        <v>856</v>
      </c>
    </row>
    <row r="2964" spans="1:14" ht="15" customHeight="1" x14ac:dyDescent="0.2">
      <c r="A2964" s="31">
        <v>0.76221925231580467</v>
      </c>
      <c r="B2964" s="31"/>
      <c r="C2964" s="2" t="s">
        <v>855</v>
      </c>
      <c r="D2964" s="31">
        <f t="shared" si="100"/>
        <v>0.14939497345389771</v>
      </c>
      <c r="F2964" s="2" t="s">
        <v>822</v>
      </c>
      <c r="G2964" s="23" t="s">
        <v>902</v>
      </c>
      <c r="H2964" s="2" t="s">
        <v>822</v>
      </c>
      <c r="J2964" s="31">
        <v>30.048000300000002</v>
      </c>
      <c r="K2964" s="31">
        <v>-37.215999600000004</v>
      </c>
      <c r="L2964" s="31"/>
      <c r="M2964" s="31" t="s">
        <v>854</v>
      </c>
      <c r="N2964" s="6" t="s">
        <v>856</v>
      </c>
    </row>
    <row r="2965" spans="1:14" ht="15" customHeight="1" x14ac:dyDescent="0.2">
      <c r="A2965" s="31">
        <v>0.76197005505294757</v>
      </c>
      <c r="B2965" s="31"/>
      <c r="C2965" s="2" t="s">
        <v>855</v>
      </c>
      <c r="D2965" s="31">
        <f t="shared" si="100"/>
        <v>0.14934613079037773</v>
      </c>
      <c r="F2965" s="2" t="s">
        <v>822</v>
      </c>
      <c r="G2965" s="23" t="s">
        <v>902</v>
      </c>
      <c r="H2965" s="2" t="s">
        <v>822</v>
      </c>
      <c r="J2965" s="31">
        <v>32.720001199999999</v>
      </c>
      <c r="K2965" s="31">
        <v>28.247999199999999</v>
      </c>
      <c r="L2965" s="31"/>
      <c r="M2965" s="31" t="s">
        <v>854</v>
      </c>
      <c r="N2965" s="6" t="s">
        <v>856</v>
      </c>
    </row>
    <row r="2966" spans="1:14" ht="15" customHeight="1" x14ac:dyDescent="0.2">
      <c r="A2966" s="31">
        <v>0.76152693693074058</v>
      </c>
      <c r="B2966" s="31"/>
      <c r="C2966" s="2" t="s">
        <v>855</v>
      </c>
      <c r="D2966" s="31">
        <f t="shared" si="100"/>
        <v>0.14925927963842517</v>
      </c>
      <c r="F2966" s="2" t="s">
        <v>822</v>
      </c>
      <c r="G2966" s="23" t="s">
        <v>902</v>
      </c>
      <c r="H2966" s="2" t="s">
        <v>822</v>
      </c>
      <c r="J2966" s="31">
        <v>39.400001500000002</v>
      </c>
      <c r="K2966" s="31">
        <v>6.2039999999999997</v>
      </c>
      <c r="L2966" s="31"/>
      <c r="M2966" s="31" t="s">
        <v>854</v>
      </c>
      <c r="N2966" s="6" t="s">
        <v>856</v>
      </c>
    </row>
    <row r="2967" spans="1:14" ht="15" customHeight="1" x14ac:dyDescent="0.2">
      <c r="A2967" s="31">
        <v>0.76152010727799191</v>
      </c>
      <c r="B2967" s="31"/>
      <c r="C2967" s="2" t="s">
        <v>855</v>
      </c>
      <c r="D2967" s="31">
        <f t="shared" si="100"/>
        <v>0.14925794102648643</v>
      </c>
      <c r="F2967" s="2" t="s">
        <v>822</v>
      </c>
      <c r="G2967" s="23" t="s">
        <v>902</v>
      </c>
      <c r="H2967" s="2" t="s">
        <v>822</v>
      </c>
      <c r="J2967" s="31">
        <v>54.479599</v>
      </c>
      <c r="K2967" s="31">
        <v>12.379099800000001</v>
      </c>
      <c r="L2967" s="31"/>
      <c r="M2967" s="31" t="s">
        <v>854</v>
      </c>
      <c r="N2967" s="6" t="s">
        <v>856</v>
      </c>
    </row>
    <row r="2968" spans="1:14" ht="15" customHeight="1" x14ac:dyDescent="0.2">
      <c r="A2968" s="31">
        <v>0.76148999295199871</v>
      </c>
      <c r="B2968" s="31"/>
      <c r="C2968" s="2" t="s">
        <v>855</v>
      </c>
      <c r="D2968" s="31">
        <f t="shared" si="100"/>
        <v>0.14925203861859176</v>
      </c>
      <c r="F2968" s="2" t="s">
        <v>822</v>
      </c>
      <c r="G2968" s="23" t="s">
        <v>902</v>
      </c>
      <c r="H2968" s="2" t="s">
        <v>822</v>
      </c>
      <c r="J2968" s="31">
        <v>34.983299299999999</v>
      </c>
      <c r="K2968" s="31">
        <v>12.607700299999999</v>
      </c>
      <c r="L2968" s="31"/>
      <c r="M2968" s="31" t="s">
        <v>854</v>
      </c>
      <c r="N2968" s="6" t="s">
        <v>856</v>
      </c>
    </row>
    <row r="2969" spans="1:14" ht="15" customHeight="1" x14ac:dyDescent="0.2">
      <c r="A2969" s="31">
        <v>0.7613314799792017</v>
      </c>
      <c r="B2969" s="31"/>
      <c r="C2969" s="2" t="s">
        <v>855</v>
      </c>
      <c r="D2969" s="31">
        <f t="shared" si="100"/>
        <v>0.14922097007592353</v>
      </c>
      <c r="F2969" s="2" t="s">
        <v>822</v>
      </c>
      <c r="G2969" s="23" t="s">
        <v>902</v>
      </c>
      <c r="H2969" s="2" t="s">
        <v>822</v>
      </c>
      <c r="J2969" s="31">
        <v>26.9726009</v>
      </c>
      <c r="K2969" s="31">
        <v>-16.218200700000001</v>
      </c>
      <c r="L2969" s="31"/>
      <c r="M2969" s="31" t="s">
        <v>854</v>
      </c>
      <c r="N2969" s="6" t="s">
        <v>856</v>
      </c>
    </row>
    <row r="2970" spans="1:14" ht="15" customHeight="1" x14ac:dyDescent="0.2">
      <c r="A2970" s="31">
        <v>0.76123929045235661</v>
      </c>
      <c r="B2970" s="31"/>
      <c r="C2970" s="2" t="s">
        <v>855</v>
      </c>
      <c r="D2970" s="31">
        <f t="shared" si="100"/>
        <v>0.1492029009286619</v>
      </c>
      <c r="F2970" s="2" t="s">
        <v>822</v>
      </c>
      <c r="G2970" s="23" t="s">
        <v>902</v>
      </c>
      <c r="H2970" s="2" t="s">
        <v>822</v>
      </c>
      <c r="J2970" s="31">
        <v>40.672100100000002</v>
      </c>
      <c r="K2970" s="31">
        <v>11.0781002</v>
      </c>
      <c r="L2970" s="31"/>
      <c r="M2970" s="31" t="s">
        <v>854</v>
      </c>
      <c r="N2970" s="6" t="s">
        <v>856</v>
      </c>
    </row>
    <row r="2971" spans="1:14" ht="15" customHeight="1" x14ac:dyDescent="0.2">
      <c r="A2971" s="31">
        <v>0.7610984353982877</v>
      </c>
      <c r="B2971" s="31"/>
      <c r="C2971" s="2" t="s">
        <v>855</v>
      </c>
      <c r="D2971" s="31">
        <f t="shared" si="100"/>
        <v>0.1491752933380644</v>
      </c>
      <c r="F2971" s="2" t="s">
        <v>822</v>
      </c>
      <c r="G2971" s="23" t="s">
        <v>902</v>
      </c>
      <c r="H2971" s="2" t="s">
        <v>822</v>
      </c>
      <c r="J2971" s="31">
        <v>34.055999800000002</v>
      </c>
      <c r="K2971" s="31">
        <v>-22.520000499999998</v>
      </c>
      <c r="L2971" s="31"/>
      <c r="M2971" s="31" t="s">
        <v>854</v>
      </c>
      <c r="N2971" s="6" t="s">
        <v>856</v>
      </c>
    </row>
    <row r="2972" spans="1:14" ht="15" customHeight="1" x14ac:dyDescent="0.2">
      <c r="A2972" s="31">
        <v>0.76103734139549473</v>
      </c>
      <c r="B2972" s="31"/>
      <c r="C2972" s="2" t="s">
        <v>855</v>
      </c>
      <c r="D2972" s="31">
        <f t="shared" si="100"/>
        <v>0.14916331891351697</v>
      </c>
      <c r="F2972" s="2" t="s">
        <v>822</v>
      </c>
      <c r="G2972" s="23" t="s">
        <v>902</v>
      </c>
      <c r="H2972" s="2" t="s">
        <v>822</v>
      </c>
      <c r="J2972" s="31">
        <v>42.857700299999998</v>
      </c>
      <c r="K2972" s="31">
        <v>-20.021099100000001</v>
      </c>
      <c r="L2972" s="31"/>
      <c r="M2972" s="31" t="s">
        <v>854</v>
      </c>
      <c r="N2972" s="6" t="s">
        <v>856</v>
      </c>
    </row>
    <row r="2973" spans="1:14" ht="15" customHeight="1" x14ac:dyDescent="0.2">
      <c r="A2973" s="31">
        <v>0.76080961875016406</v>
      </c>
      <c r="B2973" s="31"/>
      <c r="C2973" s="2" t="s">
        <v>855</v>
      </c>
      <c r="D2973" s="31">
        <f t="shared" si="100"/>
        <v>0.14911868527503216</v>
      </c>
      <c r="F2973" s="2" t="s">
        <v>822</v>
      </c>
      <c r="G2973" s="23" t="s">
        <v>902</v>
      </c>
      <c r="H2973" s="2" t="s">
        <v>822</v>
      </c>
      <c r="J2973" s="31">
        <v>36.450901000000002</v>
      </c>
      <c r="K2973" s="31">
        <v>-23.578899400000001</v>
      </c>
      <c r="L2973" s="31"/>
      <c r="M2973" s="31" t="s">
        <v>854</v>
      </c>
      <c r="N2973" s="6" t="s">
        <v>856</v>
      </c>
    </row>
    <row r="2974" spans="1:14" ht="15" customHeight="1" x14ac:dyDescent="0.2">
      <c r="A2974" s="31">
        <v>0.76072330028734836</v>
      </c>
      <c r="B2974" s="31"/>
      <c r="C2974" s="2" t="s">
        <v>855</v>
      </c>
      <c r="D2974" s="31">
        <f t="shared" si="100"/>
        <v>0.14910176685632029</v>
      </c>
      <c r="F2974" s="2" t="s">
        <v>822</v>
      </c>
      <c r="G2974" s="23" t="s">
        <v>902</v>
      </c>
      <c r="H2974" s="2" t="s">
        <v>822</v>
      </c>
      <c r="J2974" s="31">
        <v>56.722000100000002</v>
      </c>
      <c r="K2974" s="31">
        <v>10.408800100000001</v>
      </c>
      <c r="L2974" s="31"/>
      <c r="M2974" s="31" t="s">
        <v>854</v>
      </c>
      <c r="N2974" s="6" t="s">
        <v>856</v>
      </c>
    </row>
    <row r="2975" spans="1:14" ht="15" customHeight="1" x14ac:dyDescent="0.2">
      <c r="A2975" s="31">
        <v>0.76028398332923175</v>
      </c>
      <c r="B2975" s="31"/>
      <c r="C2975" s="2" t="s">
        <v>855</v>
      </c>
      <c r="D2975" s="31">
        <f t="shared" si="100"/>
        <v>0.14901566073252942</v>
      </c>
      <c r="F2975" s="2" t="s">
        <v>822</v>
      </c>
      <c r="G2975" s="23" t="s">
        <v>902</v>
      </c>
      <c r="H2975" s="2" t="s">
        <v>822</v>
      </c>
      <c r="J2975" s="31">
        <v>30.035800900000002</v>
      </c>
      <c r="K2975" s="31">
        <v>-42.571098300000003</v>
      </c>
      <c r="L2975" s="31"/>
      <c r="M2975" s="31" t="s">
        <v>854</v>
      </c>
      <c r="N2975" s="6" t="s">
        <v>856</v>
      </c>
    </row>
    <row r="2976" spans="1:14" ht="15" customHeight="1" x14ac:dyDescent="0.2">
      <c r="A2976" s="31">
        <v>0.76023802840380739</v>
      </c>
      <c r="B2976" s="31"/>
      <c r="C2976" s="2" t="s">
        <v>855</v>
      </c>
      <c r="D2976" s="31">
        <f t="shared" si="100"/>
        <v>0.14900665356714626</v>
      </c>
      <c r="F2976" s="2" t="s">
        <v>822</v>
      </c>
      <c r="G2976" s="23" t="s">
        <v>902</v>
      </c>
      <c r="H2976" s="2" t="s">
        <v>822</v>
      </c>
      <c r="J2976" s="31">
        <v>56.927200300000003</v>
      </c>
      <c r="K2976" s="31">
        <v>21.2437</v>
      </c>
      <c r="L2976" s="31"/>
      <c r="M2976" s="31" t="s">
        <v>854</v>
      </c>
      <c r="N2976" s="6" t="s">
        <v>856</v>
      </c>
    </row>
    <row r="2977" spans="1:14" ht="15" customHeight="1" x14ac:dyDescent="0.2">
      <c r="A2977" s="31">
        <v>0.76001728868360674</v>
      </c>
      <c r="B2977" s="31"/>
      <c r="C2977" s="2" t="s">
        <v>855</v>
      </c>
      <c r="D2977" s="31">
        <f t="shared" si="100"/>
        <v>0.14896338858198693</v>
      </c>
      <c r="F2977" s="2" t="s">
        <v>822</v>
      </c>
      <c r="G2977" s="23" t="s">
        <v>902</v>
      </c>
      <c r="H2977" s="2" t="s">
        <v>822</v>
      </c>
      <c r="J2977" s="31">
        <v>33.4281006</v>
      </c>
      <c r="K2977" s="31">
        <v>11.3529997</v>
      </c>
      <c r="L2977" s="31"/>
      <c r="M2977" s="31" t="s">
        <v>854</v>
      </c>
      <c r="N2977" s="6" t="s">
        <v>856</v>
      </c>
    </row>
    <row r="2978" spans="1:14" ht="15" customHeight="1" x14ac:dyDescent="0.2">
      <c r="A2978" s="31">
        <v>0.76000528125872746</v>
      </c>
      <c r="B2978" s="31"/>
      <c r="C2978" s="2" t="s">
        <v>855</v>
      </c>
      <c r="D2978" s="31">
        <f t="shared" ref="D2978:D3041" si="101" xml:space="preserve"> A2978 * 0.196</f>
        <v>0.14896103512671058</v>
      </c>
      <c r="F2978" s="2" t="s">
        <v>822</v>
      </c>
      <c r="G2978" s="23" t="s">
        <v>902</v>
      </c>
      <c r="H2978" s="2" t="s">
        <v>822</v>
      </c>
      <c r="J2978" s="31">
        <v>44.526199300000002</v>
      </c>
      <c r="K2978" s="31">
        <v>-41.996799500000002</v>
      </c>
      <c r="L2978" s="31"/>
      <c r="M2978" s="31" t="s">
        <v>854</v>
      </c>
      <c r="N2978" s="6" t="s">
        <v>856</v>
      </c>
    </row>
    <row r="2979" spans="1:14" ht="15" customHeight="1" x14ac:dyDescent="0.2">
      <c r="A2979" s="31">
        <v>0.75990783501466808</v>
      </c>
      <c r="B2979" s="31"/>
      <c r="C2979" s="2" t="s">
        <v>855</v>
      </c>
      <c r="D2979" s="31">
        <f t="shared" si="101"/>
        <v>0.14894193566287495</v>
      </c>
      <c r="F2979" s="2" t="s">
        <v>822</v>
      </c>
      <c r="G2979" s="23" t="s">
        <v>902</v>
      </c>
      <c r="H2979" s="2" t="s">
        <v>822</v>
      </c>
      <c r="J2979" s="31">
        <v>34.839199100000002</v>
      </c>
      <c r="K2979" s="31">
        <v>27.993499799999999</v>
      </c>
      <c r="L2979" s="31"/>
      <c r="M2979" s="31" t="s">
        <v>854</v>
      </c>
      <c r="N2979" s="6" t="s">
        <v>856</v>
      </c>
    </row>
    <row r="2980" spans="1:14" ht="15" customHeight="1" x14ac:dyDescent="0.2">
      <c r="A2980" s="31">
        <v>0.75952785861450078</v>
      </c>
      <c r="B2980" s="31"/>
      <c r="C2980" s="2" t="s">
        <v>855</v>
      </c>
      <c r="D2980" s="31">
        <f t="shared" si="101"/>
        <v>0.14886746028844217</v>
      </c>
      <c r="F2980" s="2" t="s">
        <v>822</v>
      </c>
      <c r="G2980" s="23" t="s">
        <v>902</v>
      </c>
      <c r="H2980" s="2" t="s">
        <v>822</v>
      </c>
      <c r="J2980" s="31">
        <v>41.394298599999999</v>
      </c>
      <c r="K2980" s="31">
        <v>-20.518400199999999</v>
      </c>
      <c r="L2980" s="31"/>
      <c r="M2980" s="31" t="s">
        <v>854</v>
      </c>
      <c r="N2980" s="6" t="s">
        <v>856</v>
      </c>
    </row>
    <row r="2981" spans="1:14" ht="15" customHeight="1" x14ac:dyDescent="0.2">
      <c r="A2981" s="31">
        <v>0.7595270924174502</v>
      </c>
      <c r="B2981" s="31"/>
      <c r="C2981" s="2" t="s">
        <v>855</v>
      </c>
      <c r="D2981" s="31">
        <f t="shared" si="101"/>
        <v>0.14886731011382023</v>
      </c>
      <c r="F2981" s="2" t="s">
        <v>822</v>
      </c>
      <c r="G2981" s="23" t="s">
        <v>902</v>
      </c>
      <c r="H2981" s="2" t="s">
        <v>822</v>
      </c>
      <c r="J2981" s="31">
        <v>43.648498500000002</v>
      </c>
      <c r="K2981" s="31">
        <v>-37.166999799999999</v>
      </c>
      <c r="L2981" s="31"/>
      <c r="M2981" s="31" t="s">
        <v>854</v>
      </c>
      <c r="N2981" s="6" t="s">
        <v>856</v>
      </c>
    </row>
    <row r="2982" spans="1:14" ht="15" customHeight="1" x14ac:dyDescent="0.2">
      <c r="A2982" s="31">
        <v>0.75941692849772913</v>
      </c>
      <c r="B2982" s="31"/>
      <c r="C2982" s="2" t="s">
        <v>855</v>
      </c>
      <c r="D2982" s="31">
        <f t="shared" si="101"/>
        <v>0.1488457179855549</v>
      </c>
      <c r="F2982" s="2" t="s">
        <v>822</v>
      </c>
      <c r="G2982" s="23" t="s">
        <v>902</v>
      </c>
      <c r="H2982" s="2" t="s">
        <v>822</v>
      </c>
      <c r="J2982" s="31">
        <v>34.055999800000002</v>
      </c>
      <c r="K2982" s="31">
        <v>-29.200000800000002</v>
      </c>
      <c r="L2982" s="31"/>
      <c r="M2982" s="31" t="s">
        <v>854</v>
      </c>
      <c r="N2982" s="6" t="s">
        <v>856</v>
      </c>
    </row>
    <row r="2983" spans="1:14" ht="15" customHeight="1" x14ac:dyDescent="0.2">
      <c r="A2983" s="31">
        <v>0.7591567183586212</v>
      </c>
      <c r="B2983" s="31"/>
      <c r="C2983" s="2" t="s">
        <v>855</v>
      </c>
      <c r="D2983" s="31">
        <f t="shared" si="101"/>
        <v>0.14879471679828976</v>
      </c>
      <c r="F2983" s="2" t="s">
        <v>822</v>
      </c>
      <c r="G2983" s="23" t="s">
        <v>902</v>
      </c>
      <c r="H2983" s="2" t="s">
        <v>822</v>
      </c>
      <c r="J2983" s="31">
        <v>39.282901799999998</v>
      </c>
      <c r="K2983" s="31">
        <v>-27.960300400000001</v>
      </c>
      <c r="L2983" s="31"/>
      <c r="M2983" s="31" t="s">
        <v>854</v>
      </c>
      <c r="N2983" s="6" t="s">
        <v>856</v>
      </c>
    </row>
    <row r="2984" spans="1:14" ht="15" customHeight="1" x14ac:dyDescent="0.2">
      <c r="A2984" s="31">
        <v>0.75907138829160437</v>
      </c>
      <c r="B2984" s="31"/>
      <c r="C2984" s="2" t="s">
        <v>855</v>
      </c>
      <c r="D2984" s="31">
        <f t="shared" si="101"/>
        <v>0.14877799210515447</v>
      </c>
      <c r="F2984" s="2" t="s">
        <v>822</v>
      </c>
      <c r="G2984" s="23" t="s">
        <v>902</v>
      </c>
      <c r="H2984" s="2" t="s">
        <v>822</v>
      </c>
      <c r="J2984" s="31">
        <v>43.610298200000003</v>
      </c>
      <c r="K2984" s="31">
        <v>-11.659099599999999</v>
      </c>
      <c r="L2984" s="31"/>
      <c r="M2984" s="31" t="s">
        <v>854</v>
      </c>
      <c r="N2984" s="6" t="s">
        <v>856</v>
      </c>
    </row>
    <row r="2985" spans="1:14" ht="15" customHeight="1" x14ac:dyDescent="0.2">
      <c r="A2985" s="31">
        <v>0.75900301733119968</v>
      </c>
      <c r="B2985" s="31"/>
      <c r="C2985" s="2" t="s">
        <v>855</v>
      </c>
      <c r="D2985" s="31">
        <f t="shared" si="101"/>
        <v>0.14876459139691514</v>
      </c>
      <c r="F2985" s="2" t="s">
        <v>822</v>
      </c>
      <c r="G2985" s="23" t="s">
        <v>902</v>
      </c>
      <c r="H2985" s="2" t="s">
        <v>822</v>
      </c>
      <c r="J2985" s="31">
        <v>37.3191986</v>
      </c>
      <c r="K2985" s="31">
        <v>-1.60588</v>
      </c>
      <c r="L2985" s="31"/>
      <c r="M2985" s="31" t="s">
        <v>854</v>
      </c>
      <c r="N2985" s="6" t="s">
        <v>856</v>
      </c>
    </row>
    <row r="2986" spans="1:14" ht="15" customHeight="1" x14ac:dyDescent="0.2">
      <c r="A2986" s="31">
        <v>0.75894860460575753</v>
      </c>
      <c r="B2986" s="31"/>
      <c r="C2986" s="2" t="s">
        <v>855</v>
      </c>
      <c r="D2986" s="31">
        <f t="shared" si="101"/>
        <v>0.14875392650272848</v>
      </c>
      <c r="F2986" s="2" t="s">
        <v>822</v>
      </c>
      <c r="G2986" s="23" t="s">
        <v>902</v>
      </c>
      <c r="H2986" s="2" t="s">
        <v>822</v>
      </c>
      <c r="J2986" s="31">
        <v>55.562599200000001</v>
      </c>
      <c r="K2986" s="31">
        <v>-5.8551202</v>
      </c>
      <c r="L2986" s="31"/>
      <c r="M2986" s="31" t="s">
        <v>854</v>
      </c>
      <c r="N2986" s="6" t="s">
        <v>856</v>
      </c>
    </row>
    <row r="2987" spans="1:14" ht="15" customHeight="1" x14ac:dyDescent="0.2">
      <c r="A2987" s="31">
        <v>0.75884785013995582</v>
      </c>
      <c r="B2987" s="31"/>
      <c r="C2987" s="2" t="s">
        <v>855</v>
      </c>
      <c r="D2987" s="31">
        <f t="shared" si="101"/>
        <v>0.14873417862743135</v>
      </c>
      <c r="F2987" s="2" t="s">
        <v>822</v>
      </c>
      <c r="G2987" s="23" t="s">
        <v>902</v>
      </c>
      <c r="H2987" s="2" t="s">
        <v>822</v>
      </c>
      <c r="J2987" s="31">
        <v>31.8957005</v>
      </c>
      <c r="K2987" s="31">
        <v>26.097400700000001</v>
      </c>
      <c r="L2987" s="31"/>
      <c r="M2987" s="31" t="s">
        <v>854</v>
      </c>
      <c r="N2987" s="6" t="s">
        <v>856</v>
      </c>
    </row>
    <row r="2988" spans="1:14" ht="15" customHeight="1" x14ac:dyDescent="0.2">
      <c r="A2988" s="31">
        <v>0.75872743990129865</v>
      </c>
      <c r="B2988" s="31"/>
      <c r="C2988" s="2" t="s">
        <v>855</v>
      </c>
      <c r="D2988" s="31">
        <f t="shared" si="101"/>
        <v>0.14871057822065453</v>
      </c>
      <c r="F2988" s="2" t="s">
        <v>822</v>
      </c>
      <c r="G2988" s="23" t="s">
        <v>902</v>
      </c>
      <c r="H2988" s="2" t="s">
        <v>822</v>
      </c>
      <c r="J2988" s="31">
        <v>45.3506012</v>
      </c>
      <c r="K2988" s="31">
        <v>13.3880997</v>
      </c>
      <c r="L2988" s="31"/>
      <c r="M2988" s="31" t="s">
        <v>854</v>
      </c>
      <c r="N2988" s="6" t="s">
        <v>856</v>
      </c>
    </row>
    <row r="2989" spans="1:14" ht="15" customHeight="1" x14ac:dyDescent="0.2">
      <c r="A2989" s="31">
        <v>0.75868247312194015</v>
      </c>
      <c r="B2989" s="31"/>
      <c r="C2989" s="2" t="s">
        <v>855</v>
      </c>
      <c r="D2989" s="31">
        <f t="shared" si="101"/>
        <v>0.14870176473190028</v>
      </c>
      <c r="F2989" s="2" t="s">
        <v>822</v>
      </c>
      <c r="G2989" s="23" t="s">
        <v>902</v>
      </c>
      <c r="H2989" s="2" t="s">
        <v>822</v>
      </c>
      <c r="J2989" s="31">
        <v>50.536899599999998</v>
      </c>
      <c r="K2989" s="31">
        <v>-2.5026700000000002</v>
      </c>
      <c r="L2989" s="31"/>
      <c r="M2989" s="31" t="s">
        <v>854</v>
      </c>
      <c r="N2989" s="6" t="s">
        <v>856</v>
      </c>
    </row>
    <row r="2990" spans="1:14" ht="15" customHeight="1" x14ac:dyDescent="0.2">
      <c r="A2990" s="31">
        <v>0.75836415629907072</v>
      </c>
      <c r="B2990" s="31"/>
      <c r="C2990" s="2" t="s">
        <v>855</v>
      </c>
      <c r="D2990" s="31">
        <f t="shared" si="101"/>
        <v>0.14863937463461788</v>
      </c>
      <c r="F2990" s="2" t="s">
        <v>822</v>
      </c>
      <c r="G2990" s="23" t="s">
        <v>902</v>
      </c>
      <c r="H2990" s="2" t="s">
        <v>822</v>
      </c>
      <c r="J2990" s="31">
        <v>25.349700899999998</v>
      </c>
      <c r="K2990" s="31">
        <v>-34.022201500000001</v>
      </c>
      <c r="L2990" s="31"/>
      <c r="M2990" s="31" t="s">
        <v>854</v>
      </c>
      <c r="N2990" s="6" t="s">
        <v>856</v>
      </c>
    </row>
    <row r="2991" spans="1:14" ht="15" customHeight="1" x14ac:dyDescent="0.2">
      <c r="A2991" s="31">
        <v>0.75835566549510391</v>
      </c>
      <c r="B2991" s="31"/>
      <c r="C2991" s="2" t="s">
        <v>855</v>
      </c>
      <c r="D2991" s="31">
        <f t="shared" si="101"/>
        <v>0.14863771043704038</v>
      </c>
      <c r="F2991" s="2" t="s">
        <v>822</v>
      </c>
      <c r="G2991" s="23" t="s">
        <v>902</v>
      </c>
      <c r="H2991" s="2" t="s">
        <v>822</v>
      </c>
      <c r="J2991" s="31">
        <v>34.0215988</v>
      </c>
      <c r="K2991" s="31">
        <v>-23.3614006</v>
      </c>
      <c r="L2991" s="31"/>
      <c r="M2991" s="31" t="s">
        <v>854</v>
      </c>
      <c r="N2991" s="6" t="s">
        <v>856</v>
      </c>
    </row>
    <row r="2992" spans="1:14" ht="15" customHeight="1" x14ac:dyDescent="0.2">
      <c r="A2992" s="31">
        <v>0.75827469755904586</v>
      </c>
      <c r="B2992" s="31"/>
      <c r="C2992" s="2" t="s">
        <v>855</v>
      </c>
      <c r="D2992" s="31">
        <f t="shared" si="101"/>
        <v>0.148621840721573</v>
      </c>
      <c r="F2992" s="2" t="s">
        <v>822</v>
      </c>
      <c r="G2992" s="23" t="s">
        <v>902</v>
      </c>
      <c r="H2992" s="2" t="s">
        <v>822</v>
      </c>
      <c r="J2992" s="31">
        <v>50.609798400000003</v>
      </c>
      <c r="K2992" s="31">
        <v>-1.1298600000000001</v>
      </c>
      <c r="L2992" s="31"/>
      <c r="M2992" s="31" t="s">
        <v>854</v>
      </c>
      <c r="N2992" s="6" t="s">
        <v>856</v>
      </c>
    </row>
    <row r="2993" spans="1:14" ht="15" customHeight="1" x14ac:dyDescent="0.2">
      <c r="A2993" s="31">
        <v>0.75800756816983295</v>
      </c>
      <c r="B2993" s="31"/>
      <c r="C2993" s="2" t="s">
        <v>855</v>
      </c>
      <c r="D2993" s="31">
        <f t="shared" si="101"/>
        <v>0.14856948336128725</v>
      </c>
      <c r="F2993" s="2" t="s">
        <v>822</v>
      </c>
      <c r="G2993" s="23" t="s">
        <v>902</v>
      </c>
      <c r="H2993" s="2" t="s">
        <v>822</v>
      </c>
      <c r="J2993" s="31">
        <v>49.230201700000002</v>
      </c>
      <c r="K2993" s="31">
        <v>-2.64377</v>
      </c>
      <c r="L2993" s="31"/>
      <c r="M2993" s="31" t="s">
        <v>854</v>
      </c>
      <c r="N2993" s="6" t="s">
        <v>856</v>
      </c>
    </row>
    <row r="2994" spans="1:14" ht="15" customHeight="1" x14ac:dyDescent="0.2">
      <c r="A2994" s="31">
        <v>0.75800013565661506</v>
      </c>
      <c r="B2994" s="31"/>
      <c r="C2994" s="2" t="s">
        <v>855</v>
      </c>
      <c r="D2994" s="31">
        <f t="shared" si="101"/>
        <v>0.14856802658869656</v>
      </c>
      <c r="F2994" s="2" t="s">
        <v>822</v>
      </c>
      <c r="G2994" s="23" t="s">
        <v>902</v>
      </c>
      <c r="H2994" s="2" t="s">
        <v>822</v>
      </c>
      <c r="J2994" s="31">
        <v>48.083999599999999</v>
      </c>
      <c r="K2994" s="31">
        <v>-21.851999299999999</v>
      </c>
      <c r="L2994" s="31"/>
      <c r="M2994" s="31" t="s">
        <v>854</v>
      </c>
      <c r="N2994" s="6" t="s">
        <v>856</v>
      </c>
    </row>
    <row r="2995" spans="1:14" ht="15" customHeight="1" x14ac:dyDescent="0.2">
      <c r="A2995" s="31">
        <v>0.75754463835987362</v>
      </c>
      <c r="B2995" s="31"/>
      <c r="C2995" s="2" t="s">
        <v>855</v>
      </c>
      <c r="D2995" s="31">
        <f t="shared" si="101"/>
        <v>0.14847874911853523</v>
      </c>
      <c r="F2995" s="2" t="s">
        <v>822</v>
      </c>
      <c r="G2995" s="23" t="s">
        <v>902</v>
      </c>
      <c r="H2995" s="2" t="s">
        <v>822</v>
      </c>
      <c r="J2995" s="31">
        <v>31.4557991</v>
      </c>
      <c r="K2995" s="31">
        <v>27.241800300000001</v>
      </c>
      <c r="L2995" s="31"/>
      <c r="M2995" s="31" t="s">
        <v>854</v>
      </c>
      <c r="N2995" s="6" t="s">
        <v>856</v>
      </c>
    </row>
    <row r="2996" spans="1:14" ht="15" customHeight="1" x14ac:dyDescent="0.2">
      <c r="A2996" s="31">
        <v>0.75749617901506339</v>
      </c>
      <c r="B2996" s="31"/>
      <c r="C2996" s="2" t="s">
        <v>855</v>
      </c>
      <c r="D2996" s="31">
        <f t="shared" si="101"/>
        <v>0.14846925108695244</v>
      </c>
      <c r="F2996" s="2" t="s">
        <v>822</v>
      </c>
      <c r="G2996" s="23" t="s">
        <v>902</v>
      </c>
      <c r="H2996" s="2" t="s">
        <v>822</v>
      </c>
      <c r="J2996" s="31">
        <v>32.831298799999999</v>
      </c>
      <c r="K2996" s="31">
        <v>-24.969299299999999</v>
      </c>
      <c r="L2996" s="31"/>
      <c r="M2996" s="31" t="s">
        <v>854</v>
      </c>
      <c r="N2996" s="6" t="s">
        <v>856</v>
      </c>
    </row>
    <row r="2997" spans="1:14" ht="15" customHeight="1" x14ac:dyDescent="0.2">
      <c r="A2997" s="31">
        <v>0.75727680455264146</v>
      </c>
      <c r="B2997" s="31"/>
      <c r="C2997" s="2" t="s">
        <v>855</v>
      </c>
      <c r="D2997" s="31">
        <f t="shared" si="101"/>
        <v>0.14842625369231774</v>
      </c>
      <c r="F2997" s="2" t="s">
        <v>822</v>
      </c>
      <c r="G2997" s="23" t="s">
        <v>902</v>
      </c>
      <c r="H2997" s="2" t="s">
        <v>822</v>
      </c>
      <c r="J2997" s="31">
        <v>37.140998799999998</v>
      </c>
      <c r="K2997" s="31">
        <v>-0.99588500000000002</v>
      </c>
      <c r="L2997" s="31"/>
      <c r="M2997" s="31" t="s">
        <v>854</v>
      </c>
      <c r="N2997" s="6" t="s">
        <v>856</v>
      </c>
    </row>
    <row r="2998" spans="1:14" ht="15" customHeight="1" x14ac:dyDescent="0.2">
      <c r="A2998" s="31">
        <v>0.75726522335605606</v>
      </c>
      <c r="B2998" s="31"/>
      <c r="C2998" s="2" t="s">
        <v>855</v>
      </c>
      <c r="D2998" s="31">
        <f t="shared" si="101"/>
        <v>0.14842398377778698</v>
      </c>
      <c r="F2998" s="2" t="s">
        <v>822</v>
      </c>
      <c r="G2998" s="23" t="s">
        <v>902</v>
      </c>
      <c r="H2998" s="2" t="s">
        <v>822</v>
      </c>
      <c r="J2998" s="31">
        <v>47.416000400000001</v>
      </c>
      <c r="K2998" s="31">
        <v>-13.1680002</v>
      </c>
      <c r="L2998" s="31"/>
      <c r="M2998" s="31" t="s">
        <v>854</v>
      </c>
      <c r="N2998" s="6" t="s">
        <v>856</v>
      </c>
    </row>
    <row r="2999" spans="1:14" ht="15" customHeight="1" x14ac:dyDescent="0.2">
      <c r="A2999" s="31">
        <v>0.75720316796542275</v>
      </c>
      <c r="B2999" s="31"/>
      <c r="C2999" s="2" t="s">
        <v>855</v>
      </c>
      <c r="D2999" s="31">
        <f t="shared" si="101"/>
        <v>0.14841182092122288</v>
      </c>
      <c r="F2999" s="2" t="s">
        <v>822</v>
      </c>
      <c r="G2999" s="23" t="s">
        <v>902</v>
      </c>
      <c r="H2999" s="2" t="s">
        <v>822</v>
      </c>
      <c r="J2999" s="31">
        <v>29.3799992</v>
      </c>
      <c r="K2999" s="31">
        <v>-18.511999100000001</v>
      </c>
      <c r="L2999" s="31"/>
      <c r="M2999" s="31" t="s">
        <v>854</v>
      </c>
      <c r="N2999" s="6" t="s">
        <v>856</v>
      </c>
    </row>
    <row r="3000" spans="1:14" ht="15" customHeight="1" x14ac:dyDescent="0.2">
      <c r="A3000" s="31">
        <v>0.75714618166048264</v>
      </c>
      <c r="B3000" s="31"/>
      <c r="C3000" s="2" t="s">
        <v>855</v>
      </c>
      <c r="D3000" s="31">
        <f t="shared" si="101"/>
        <v>0.1484006516054546</v>
      </c>
      <c r="F3000" s="2" t="s">
        <v>822</v>
      </c>
      <c r="G3000" s="23" t="s">
        <v>902</v>
      </c>
      <c r="H3000" s="2" t="s">
        <v>822</v>
      </c>
      <c r="J3000" s="31">
        <v>45.411998699999998</v>
      </c>
      <c r="K3000" s="31">
        <v>-39.888000499999997</v>
      </c>
      <c r="L3000" s="31"/>
      <c r="M3000" s="31" t="s">
        <v>854</v>
      </c>
      <c r="N3000" s="6" t="s">
        <v>856</v>
      </c>
    </row>
    <row r="3001" spans="1:14" ht="15" customHeight="1" x14ac:dyDescent="0.2">
      <c r="A3001" s="31">
        <v>0.75682647528331803</v>
      </c>
      <c r="B3001" s="31"/>
      <c r="C3001" s="2" t="s">
        <v>855</v>
      </c>
      <c r="D3001" s="31">
        <f t="shared" si="101"/>
        <v>0.14833798915553034</v>
      </c>
      <c r="F3001" s="2" t="s">
        <v>822</v>
      </c>
      <c r="G3001" s="23" t="s">
        <v>902</v>
      </c>
      <c r="H3001" s="2" t="s">
        <v>822</v>
      </c>
      <c r="J3001" s="31">
        <v>57.018798799999999</v>
      </c>
      <c r="K3001" s="31">
        <v>21.235799799999999</v>
      </c>
      <c r="L3001" s="31"/>
      <c r="M3001" s="31" t="s">
        <v>854</v>
      </c>
      <c r="N3001" s="6" t="s">
        <v>856</v>
      </c>
    </row>
    <row r="3002" spans="1:14" ht="15" customHeight="1" x14ac:dyDescent="0.2">
      <c r="A3002" s="31">
        <v>0.75680079631129094</v>
      </c>
      <c r="B3002" s="31"/>
      <c r="C3002" s="2" t="s">
        <v>855</v>
      </c>
      <c r="D3002" s="31">
        <f t="shared" si="101"/>
        <v>0.14833295607701302</v>
      </c>
      <c r="F3002" s="2" t="s">
        <v>822</v>
      </c>
      <c r="G3002" s="23" t="s">
        <v>902</v>
      </c>
      <c r="H3002" s="2" t="s">
        <v>822</v>
      </c>
      <c r="J3002" s="31">
        <v>39.400001500000002</v>
      </c>
      <c r="K3002" s="31">
        <v>-14.5039997</v>
      </c>
      <c r="L3002" s="31"/>
      <c r="M3002" s="31" t="s">
        <v>854</v>
      </c>
      <c r="N3002" s="6" t="s">
        <v>856</v>
      </c>
    </row>
    <row r="3003" spans="1:14" ht="15" customHeight="1" x14ac:dyDescent="0.2">
      <c r="A3003" s="31">
        <v>0.75669477442429767</v>
      </c>
      <c r="B3003" s="31"/>
      <c r="C3003" s="2" t="s">
        <v>855</v>
      </c>
      <c r="D3003" s="31">
        <f t="shared" si="101"/>
        <v>0.14831217578716235</v>
      </c>
      <c r="F3003" s="2" t="s">
        <v>822</v>
      </c>
      <c r="G3003" s="23" t="s">
        <v>902</v>
      </c>
      <c r="H3003" s="2" t="s">
        <v>822</v>
      </c>
      <c r="J3003" s="31">
        <v>32.051998099999999</v>
      </c>
      <c r="K3003" s="31">
        <v>-37.215999600000004</v>
      </c>
      <c r="L3003" s="31"/>
      <c r="M3003" s="31" t="s">
        <v>854</v>
      </c>
      <c r="N3003" s="6" t="s">
        <v>856</v>
      </c>
    </row>
    <row r="3004" spans="1:14" ht="15" customHeight="1" x14ac:dyDescent="0.2">
      <c r="A3004" s="31">
        <v>0.75666783004824512</v>
      </c>
      <c r="B3004" s="31"/>
      <c r="C3004" s="2" t="s">
        <v>855</v>
      </c>
      <c r="D3004" s="31">
        <f t="shared" si="101"/>
        <v>0.14830689468945604</v>
      </c>
      <c r="F3004" s="2" t="s">
        <v>822</v>
      </c>
      <c r="G3004" s="23" t="s">
        <v>902</v>
      </c>
      <c r="H3004" s="2" t="s">
        <v>822</v>
      </c>
      <c r="J3004" s="31">
        <v>36.278301200000001</v>
      </c>
      <c r="K3004" s="31">
        <v>-3.8873300999999998</v>
      </c>
      <c r="L3004" s="31"/>
      <c r="M3004" s="31" t="s">
        <v>854</v>
      </c>
      <c r="N3004" s="6" t="s">
        <v>856</v>
      </c>
    </row>
    <row r="3005" spans="1:14" ht="15" customHeight="1" x14ac:dyDescent="0.2">
      <c r="A3005" s="31">
        <v>0.75665273111643172</v>
      </c>
      <c r="B3005" s="31"/>
      <c r="C3005" s="2" t="s">
        <v>855</v>
      </c>
      <c r="D3005" s="31">
        <f t="shared" si="101"/>
        <v>0.14830393529882063</v>
      </c>
      <c r="F3005" s="2" t="s">
        <v>822</v>
      </c>
      <c r="G3005" s="23" t="s">
        <v>902</v>
      </c>
      <c r="H3005" s="2" t="s">
        <v>822</v>
      </c>
      <c r="J3005" s="31">
        <v>39.400001500000002</v>
      </c>
      <c r="K3005" s="31">
        <v>-19.1800003</v>
      </c>
      <c r="L3005" s="31"/>
      <c r="M3005" s="31" t="s">
        <v>854</v>
      </c>
      <c r="N3005" s="6" t="s">
        <v>856</v>
      </c>
    </row>
    <row r="3006" spans="1:14" ht="15" customHeight="1" x14ac:dyDescent="0.2">
      <c r="A3006" s="31">
        <v>0.75663983469193319</v>
      </c>
      <c r="B3006" s="31"/>
      <c r="C3006" s="2" t="s">
        <v>855</v>
      </c>
      <c r="D3006" s="31">
        <f t="shared" si="101"/>
        <v>0.14830140759961891</v>
      </c>
      <c r="F3006" s="2" t="s">
        <v>822</v>
      </c>
      <c r="G3006" s="23" t="s">
        <v>902</v>
      </c>
      <c r="H3006" s="2" t="s">
        <v>822</v>
      </c>
      <c r="J3006" s="31">
        <v>40.117698699999998</v>
      </c>
      <c r="K3006" s="31">
        <v>24.309600799999998</v>
      </c>
      <c r="L3006" s="31"/>
      <c r="M3006" s="31" t="s">
        <v>854</v>
      </c>
      <c r="N3006" s="6" t="s">
        <v>856</v>
      </c>
    </row>
    <row r="3007" spans="1:14" ht="15" customHeight="1" x14ac:dyDescent="0.2">
      <c r="A3007" s="31">
        <v>0.75662918570638005</v>
      </c>
      <c r="B3007" s="31"/>
      <c r="C3007" s="2" t="s">
        <v>855</v>
      </c>
      <c r="D3007" s="31">
        <f t="shared" si="101"/>
        <v>0.14829932039845051</v>
      </c>
      <c r="F3007" s="2" t="s">
        <v>822</v>
      </c>
      <c r="G3007" s="23" t="s">
        <v>902</v>
      </c>
      <c r="H3007" s="2" t="s">
        <v>822</v>
      </c>
      <c r="J3007" s="31">
        <v>28.832000699999998</v>
      </c>
      <c r="K3007" s="31">
        <v>-14.563699700000001</v>
      </c>
      <c r="L3007" s="31"/>
      <c r="M3007" s="31" t="s">
        <v>854</v>
      </c>
      <c r="N3007" s="6" t="s">
        <v>856</v>
      </c>
    </row>
    <row r="3008" spans="1:14" ht="15" customHeight="1" x14ac:dyDescent="0.2">
      <c r="A3008" s="31">
        <v>0.75662738613000557</v>
      </c>
      <c r="B3008" s="31"/>
      <c r="C3008" s="2" t="s">
        <v>855</v>
      </c>
      <c r="D3008" s="31">
        <f t="shared" si="101"/>
        <v>0.1482989676814811</v>
      </c>
      <c r="F3008" s="2" t="s">
        <v>822</v>
      </c>
      <c r="G3008" s="23" t="s">
        <v>902</v>
      </c>
      <c r="H3008" s="2" t="s">
        <v>822</v>
      </c>
      <c r="J3008" s="31">
        <v>44.743999500000001</v>
      </c>
      <c r="K3008" s="31">
        <v>-33.875900299999998</v>
      </c>
      <c r="L3008" s="31"/>
      <c r="M3008" s="31" t="s">
        <v>854</v>
      </c>
      <c r="N3008" s="6" t="s">
        <v>856</v>
      </c>
    </row>
    <row r="3009" spans="1:14" ht="15" customHeight="1" x14ac:dyDescent="0.2">
      <c r="A3009" s="31">
        <v>0.75644909422113327</v>
      </c>
      <c r="B3009" s="31"/>
      <c r="C3009" s="2" t="s">
        <v>855</v>
      </c>
      <c r="D3009" s="31">
        <f t="shared" si="101"/>
        <v>0.14826402246734213</v>
      </c>
      <c r="F3009" s="2" t="s">
        <v>822</v>
      </c>
      <c r="G3009" s="23" t="s">
        <v>902</v>
      </c>
      <c r="H3009" s="2" t="s">
        <v>822</v>
      </c>
      <c r="J3009" s="31">
        <v>34.073799100000002</v>
      </c>
      <c r="K3009" s="31">
        <v>-28.547199200000001</v>
      </c>
      <c r="L3009" s="31"/>
      <c r="M3009" s="31" t="s">
        <v>854</v>
      </c>
      <c r="N3009" s="6" t="s">
        <v>856</v>
      </c>
    </row>
    <row r="3010" spans="1:14" ht="15" customHeight="1" x14ac:dyDescent="0.2">
      <c r="A3010" s="31">
        <v>0.75640981151287856</v>
      </c>
      <c r="B3010" s="31"/>
      <c r="C3010" s="2" t="s">
        <v>855</v>
      </c>
      <c r="D3010" s="31">
        <f t="shared" si="101"/>
        <v>0.1482563230565242</v>
      </c>
      <c r="F3010" s="2" t="s">
        <v>822</v>
      </c>
      <c r="G3010" s="23" t="s">
        <v>902</v>
      </c>
      <c r="H3010" s="2" t="s">
        <v>822</v>
      </c>
      <c r="J3010" s="31">
        <v>36.885398899999998</v>
      </c>
      <c r="K3010" s="31">
        <v>10.3949003</v>
      </c>
      <c r="L3010" s="31"/>
      <c r="M3010" s="31" t="s">
        <v>854</v>
      </c>
      <c r="N3010" s="6" t="s">
        <v>856</v>
      </c>
    </row>
    <row r="3011" spans="1:14" ht="15" customHeight="1" x14ac:dyDescent="0.2">
      <c r="A3011" s="31">
        <v>0.75623300429158524</v>
      </c>
      <c r="B3011" s="31"/>
      <c r="C3011" s="2" t="s">
        <v>855</v>
      </c>
      <c r="D3011" s="31">
        <f t="shared" si="101"/>
        <v>0.14822166884115071</v>
      </c>
      <c r="F3011" s="2" t="s">
        <v>822</v>
      </c>
      <c r="G3011" s="23" t="s">
        <v>902</v>
      </c>
      <c r="H3011" s="2" t="s">
        <v>822</v>
      </c>
      <c r="J3011" s="31">
        <v>38.063999199999998</v>
      </c>
      <c r="K3011" s="31">
        <v>-36.548000299999998</v>
      </c>
      <c r="L3011" s="31"/>
      <c r="M3011" s="31" t="s">
        <v>854</v>
      </c>
      <c r="N3011" s="6" t="s">
        <v>856</v>
      </c>
    </row>
    <row r="3012" spans="1:14" ht="15" customHeight="1" x14ac:dyDescent="0.2">
      <c r="A3012" s="31">
        <v>0.75608276234427452</v>
      </c>
      <c r="B3012" s="31"/>
      <c r="C3012" s="2" t="s">
        <v>855</v>
      </c>
      <c r="D3012" s="31">
        <f t="shared" si="101"/>
        <v>0.1481922214194778</v>
      </c>
      <c r="F3012" s="2" t="s">
        <v>822</v>
      </c>
      <c r="G3012" s="23" t="s">
        <v>902</v>
      </c>
      <c r="H3012" s="2" t="s">
        <v>822</v>
      </c>
      <c r="J3012" s="31">
        <v>37.040000900000003</v>
      </c>
      <c r="K3012" s="31">
        <v>-31.5249004</v>
      </c>
      <c r="L3012" s="31"/>
      <c r="M3012" s="31" t="s">
        <v>854</v>
      </c>
      <c r="N3012" s="6" t="s">
        <v>856</v>
      </c>
    </row>
    <row r="3013" spans="1:14" ht="15" customHeight="1" x14ac:dyDescent="0.2">
      <c r="A3013" s="31">
        <v>0.75591702837171226</v>
      </c>
      <c r="B3013" s="31"/>
      <c r="C3013" s="2" t="s">
        <v>855</v>
      </c>
      <c r="D3013" s="31">
        <f t="shared" si="101"/>
        <v>0.1481597375608556</v>
      </c>
      <c r="F3013" s="2" t="s">
        <v>822</v>
      </c>
      <c r="G3013" s="23" t="s">
        <v>902</v>
      </c>
      <c r="H3013" s="2" t="s">
        <v>822</v>
      </c>
      <c r="J3013" s="31">
        <v>33.4347992</v>
      </c>
      <c r="K3013" s="31">
        <v>11.663399699999999</v>
      </c>
      <c r="L3013" s="31"/>
      <c r="M3013" s="31" t="s">
        <v>854</v>
      </c>
      <c r="N3013" s="6" t="s">
        <v>856</v>
      </c>
    </row>
    <row r="3014" spans="1:14" ht="15" customHeight="1" x14ac:dyDescent="0.2">
      <c r="A3014" s="31">
        <v>0.75587137513129887</v>
      </c>
      <c r="B3014" s="31"/>
      <c r="C3014" s="2" t="s">
        <v>855</v>
      </c>
      <c r="D3014" s="31">
        <f t="shared" si="101"/>
        <v>0.14815078952573457</v>
      </c>
      <c r="F3014" s="2" t="s">
        <v>822</v>
      </c>
      <c r="G3014" s="23" t="s">
        <v>902</v>
      </c>
      <c r="H3014" s="2" t="s">
        <v>822</v>
      </c>
      <c r="J3014" s="31">
        <v>38.687301599999998</v>
      </c>
      <c r="K3014" s="31">
        <v>-38.154098500000003</v>
      </c>
      <c r="L3014" s="31"/>
      <c r="M3014" s="31" t="s">
        <v>854</v>
      </c>
      <c r="N3014" s="6" t="s">
        <v>856</v>
      </c>
    </row>
    <row r="3015" spans="1:14" ht="15" customHeight="1" x14ac:dyDescent="0.2">
      <c r="A3015" s="31">
        <v>0.7556982608292393</v>
      </c>
      <c r="B3015" s="31"/>
      <c r="C3015" s="2" t="s">
        <v>855</v>
      </c>
      <c r="D3015" s="31">
        <f t="shared" si="101"/>
        <v>0.14811685912253092</v>
      </c>
      <c r="F3015" s="2" t="s">
        <v>822</v>
      </c>
      <c r="G3015" s="23" t="s">
        <v>902</v>
      </c>
      <c r="H3015" s="2" t="s">
        <v>822</v>
      </c>
      <c r="J3015" s="31">
        <v>34.055999800000002</v>
      </c>
      <c r="K3015" s="31">
        <v>-17.176000599999998</v>
      </c>
      <c r="L3015" s="31"/>
      <c r="M3015" s="31" t="s">
        <v>854</v>
      </c>
      <c r="N3015" s="6" t="s">
        <v>856</v>
      </c>
    </row>
    <row r="3016" spans="1:14" ht="15" customHeight="1" x14ac:dyDescent="0.2">
      <c r="A3016" s="31">
        <v>0.75566681132425639</v>
      </c>
      <c r="B3016" s="31"/>
      <c r="C3016" s="2" t="s">
        <v>855</v>
      </c>
      <c r="D3016" s="31">
        <f t="shared" si="101"/>
        <v>0.14811069501955426</v>
      </c>
      <c r="F3016" s="2" t="s">
        <v>822</v>
      </c>
      <c r="G3016" s="23" t="s">
        <v>902</v>
      </c>
      <c r="H3016" s="2" t="s">
        <v>822</v>
      </c>
      <c r="J3016" s="31">
        <v>37.321700999999997</v>
      </c>
      <c r="K3016" s="31">
        <v>15.1733999</v>
      </c>
      <c r="L3016" s="31"/>
      <c r="M3016" s="31" t="s">
        <v>854</v>
      </c>
      <c r="N3016" s="6" t="s">
        <v>856</v>
      </c>
    </row>
    <row r="3017" spans="1:14" ht="15" customHeight="1" x14ac:dyDescent="0.2">
      <c r="A3017" s="31">
        <v>0.75562235879003314</v>
      </c>
      <c r="B3017" s="31"/>
      <c r="C3017" s="2" t="s">
        <v>855</v>
      </c>
      <c r="D3017" s="31">
        <f t="shared" si="101"/>
        <v>0.14810198232284649</v>
      </c>
      <c r="F3017" s="2" t="s">
        <v>822</v>
      </c>
      <c r="G3017" s="23" t="s">
        <v>902</v>
      </c>
      <c r="H3017" s="2" t="s">
        <v>822</v>
      </c>
      <c r="J3017" s="31">
        <v>26.1595993</v>
      </c>
      <c r="K3017" s="31">
        <v>-16.468299900000002</v>
      </c>
      <c r="L3017" s="31"/>
      <c r="M3017" s="31" t="s">
        <v>854</v>
      </c>
      <c r="N3017" s="6" t="s">
        <v>856</v>
      </c>
    </row>
    <row r="3018" spans="1:14" ht="15" customHeight="1" x14ac:dyDescent="0.2">
      <c r="A3018" s="31">
        <v>0.75543002297470196</v>
      </c>
      <c r="B3018" s="31"/>
      <c r="C3018" s="2" t="s">
        <v>855</v>
      </c>
      <c r="D3018" s="31">
        <f t="shared" si="101"/>
        <v>0.1480642845030416</v>
      </c>
      <c r="F3018" s="2" t="s">
        <v>822</v>
      </c>
      <c r="G3018" s="23" t="s">
        <v>902</v>
      </c>
      <c r="H3018" s="2" t="s">
        <v>822</v>
      </c>
      <c r="J3018" s="31">
        <v>38.220199600000001</v>
      </c>
      <c r="K3018" s="31">
        <v>16.2975998</v>
      </c>
      <c r="L3018" s="31"/>
      <c r="M3018" s="31" t="s">
        <v>854</v>
      </c>
      <c r="N3018" s="6" t="s">
        <v>856</v>
      </c>
    </row>
    <row r="3019" spans="1:14" ht="15" customHeight="1" x14ac:dyDescent="0.2">
      <c r="A3019" s="31">
        <v>0.75507846527967615</v>
      </c>
      <c r="B3019" s="31"/>
      <c r="C3019" s="2" t="s">
        <v>855</v>
      </c>
      <c r="D3019" s="31">
        <f t="shared" si="101"/>
        <v>0.14799537919481653</v>
      </c>
      <c r="F3019" s="2" t="s">
        <v>822</v>
      </c>
      <c r="G3019" s="23" t="s">
        <v>902</v>
      </c>
      <c r="H3019" s="2" t="s">
        <v>822</v>
      </c>
      <c r="J3019" s="31">
        <v>35.987899800000001</v>
      </c>
      <c r="K3019" s="31">
        <v>10.9757996</v>
      </c>
      <c r="L3019" s="31"/>
      <c r="M3019" s="31" t="s">
        <v>854</v>
      </c>
      <c r="N3019" s="6" t="s">
        <v>856</v>
      </c>
    </row>
    <row r="3020" spans="1:14" ht="15" customHeight="1" x14ac:dyDescent="0.2">
      <c r="A3020" s="31">
        <v>0.75502108341033658</v>
      </c>
      <c r="B3020" s="31"/>
      <c r="C3020" s="2" t="s">
        <v>855</v>
      </c>
      <c r="D3020" s="31">
        <f t="shared" si="101"/>
        <v>0.14798413234842597</v>
      </c>
      <c r="F3020" s="2" t="s">
        <v>822</v>
      </c>
      <c r="G3020" s="23" t="s">
        <v>902</v>
      </c>
      <c r="H3020" s="2" t="s">
        <v>822</v>
      </c>
      <c r="J3020" s="31">
        <v>29.3799992</v>
      </c>
      <c r="K3020" s="31">
        <v>-17.176000599999998</v>
      </c>
      <c r="L3020" s="31"/>
      <c r="M3020" s="31" t="s">
        <v>854</v>
      </c>
      <c r="N3020" s="6" t="s">
        <v>856</v>
      </c>
    </row>
    <row r="3021" spans="1:14" ht="15" customHeight="1" x14ac:dyDescent="0.2">
      <c r="A3021" s="31">
        <v>0.75489392051151216</v>
      </c>
      <c r="B3021" s="31"/>
      <c r="C3021" s="2" t="s">
        <v>855</v>
      </c>
      <c r="D3021" s="31">
        <f t="shared" si="101"/>
        <v>0.14795920842025639</v>
      </c>
      <c r="F3021" s="2" t="s">
        <v>822</v>
      </c>
      <c r="G3021" s="23" t="s">
        <v>902</v>
      </c>
      <c r="H3021" s="2" t="s">
        <v>822</v>
      </c>
      <c r="J3021" s="31">
        <v>38.063999199999998</v>
      </c>
      <c r="K3021" s="31">
        <v>18.8959999</v>
      </c>
      <c r="L3021" s="31"/>
      <c r="M3021" s="31" t="s">
        <v>854</v>
      </c>
      <c r="N3021" s="6" t="s">
        <v>856</v>
      </c>
    </row>
    <row r="3022" spans="1:14" ht="15" customHeight="1" x14ac:dyDescent="0.2">
      <c r="A3022" s="31">
        <v>0.75485226251448112</v>
      </c>
      <c r="B3022" s="31"/>
      <c r="C3022" s="2" t="s">
        <v>855</v>
      </c>
      <c r="D3022" s="31">
        <f t="shared" si="101"/>
        <v>0.1479510434528383</v>
      </c>
      <c r="F3022" s="2" t="s">
        <v>822</v>
      </c>
      <c r="G3022" s="23" t="s">
        <v>902</v>
      </c>
      <c r="H3022" s="2" t="s">
        <v>822</v>
      </c>
      <c r="J3022" s="31">
        <v>48.707599600000002</v>
      </c>
      <c r="K3022" s="31">
        <v>-4.5170002</v>
      </c>
      <c r="L3022" s="31"/>
      <c r="M3022" s="31" t="s">
        <v>854</v>
      </c>
      <c r="N3022" s="6" t="s">
        <v>856</v>
      </c>
    </row>
    <row r="3023" spans="1:14" ht="15" customHeight="1" x14ac:dyDescent="0.2">
      <c r="A3023" s="31">
        <v>0.75456818940771253</v>
      </c>
      <c r="B3023" s="31"/>
      <c r="C3023" s="2" t="s">
        <v>855</v>
      </c>
      <c r="D3023" s="31">
        <f t="shared" si="101"/>
        <v>0.14789536512391166</v>
      </c>
      <c r="F3023" s="2" t="s">
        <v>822</v>
      </c>
      <c r="G3023" s="23" t="s">
        <v>902</v>
      </c>
      <c r="H3023" s="2" t="s">
        <v>822</v>
      </c>
      <c r="J3023" s="31">
        <v>42.556598700000002</v>
      </c>
      <c r="K3023" s="31">
        <v>-18.865100900000002</v>
      </c>
      <c r="L3023" s="31"/>
      <c r="M3023" s="31" t="s">
        <v>854</v>
      </c>
      <c r="N3023" s="6" t="s">
        <v>856</v>
      </c>
    </row>
    <row r="3024" spans="1:14" ht="15" customHeight="1" x14ac:dyDescent="0.2">
      <c r="A3024" s="31">
        <v>0.75455345080912173</v>
      </c>
      <c r="B3024" s="31"/>
      <c r="C3024" s="2" t="s">
        <v>855</v>
      </c>
      <c r="D3024" s="31">
        <f t="shared" si="101"/>
        <v>0.14789247635858788</v>
      </c>
      <c r="F3024" s="2" t="s">
        <v>822</v>
      </c>
      <c r="G3024" s="23" t="s">
        <v>902</v>
      </c>
      <c r="H3024" s="2" t="s">
        <v>822</v>
      </c>
      <c r="J3024" s="31">
        <v>40.940101599999998</v>
      </c>
      <c r="K3024" s="31">
        <v>-13.6422005</v>
      </c>
      <c r="L3024" s="31"/>
      <c r="M3024" s="31" t="s">
        <v>854</v>
      </c>
      <c r="N3024" s="6" t="s">
        <v>856</v>
      </c>
    </row>
    <row r="3025" spans="1:14" ht="15" customHeight="1" x14ac:dyDescent="0.2">
      <c r="A3025" s="31">
        <v>0.75455341521550856</v>
      </c>
      <c r="B3025" s="31"/>
      <c r="C3025" s="2" t="s">
        <v>855</v>
      </c>
      <c r="D3025" s="31">
        <f t="shared" si="101"/>
        <v>0.14789246938223968</v>
      </c>
      <c r="F3025" s="2" t="s">
        <v>822</v>
      </c>
      <c r="G3025" s="23" t="s">
        <v>902</v>
      </c>
      <c r="H3025" s="2" t="s">
        <v>822</v>
      </c>
      <c r="J3025" s="31">
        <v>42.189498899999997</v>
      </c>
      <c r="K3025" s="31">
        <v>3.1623999999999999</v>
      </c>
      <c r="L3025" s="31"/>
      <c r="M3025" s="31" t="s">
        <v>854</v>
      </c>
      <c r="N3025" s="6" t="s">
        <v>856</v>
      </c>
    </row>
    <row r="3026" spans="1:14" ht="15" customHeight="1" x14ac:dyDescent="0.2">
      <c r="A3026" s="31">
        <v>0.75452684178328311</v>
      </c>
      <c r="B3026" s="31"/>
      <c r="C3026" s="2" t="s">
        <v>855</v>
      </c>
      <c r="D3026" s="31">
        <f t="shared" si="101"/>
        <v>0.14788726098952348</v>
      </c>
      <c r="F3026" s="2" t="s">
        <v>822</v>
      </c>
      <c r="G3026" s="23" t="s">
        <v>902</v>
      </c>
      <c r="H3026" s="2" t="s">
        <v>822</v>
      </c>
      <c r="J3026" s="31">
        <v>40.492900800000001</v>
      </c>
      <c r="K3026" s="31">
        <v>6.3937701999999996</v>
      </c>
      <c r="L3026" s="31"/>
      <c r="M3026" s="31" t="s">
        <v>854</v>
      </c>
      <c r="N3026" s="6" t="s">
        <v>856</v>
      </c>
    </row>
    <row r="3027" spans="1:14" ht="15" customHeight="1" x14ac:dyDescent="0.2">
      <c r="A3027" s="31">
        <v>0.75442363117993694</v>
      </c>
      <c r="B3027" s="31"/>
      <c r="C3027" s="2" t="s">
        <v>855</v>
      </c>
      <c r="D3027" s="31">
        <f t="shared" si="101"/>
        <v>0.14786703171126764</v>
      </c>
      <c r="F3027" s="2" t="s">
        <v>822</v>
      </c>
      <c r="G3027" s="23" t="s">
        <v>902</v>
      </c>
      <c r="H3027" s="2" t="s">
        <v>822</v>
      </c>
      <c r="J3027" s="31">
        <v>36.434200300000001</v>
      </c>
      <c r="K3027" s="31">
        <v>-29.878999700000001</v>
      </c>
      <c r="L3027" s="31"/>
      <c r="M3027" s="31" t="s">
        <v>854</v>
      </c>
      <c r="N3027" s="6" t="s">
        <v>856</v>
      </c>
    </row>
    <row r="3028" spans="1:14" ht="15" customHeight="1" x14ac:dyDescent="0.2">
      <c r="A3028" s="31">
        <v>0.75437014224060472</v>
      </c>
      <c r="B3028" s="31"/>
      <c r="C3028" s="2" t="s">
        <v>855</v>
      </c>
      <c r="D3028" s="31">
        <f t="shared" si="101"/>
        <v>0.14785654787915853</v>
      </c>
      <c r="F3028" s="2" t="s">
        <v>822</v>
      </c>
      <c r="G3028" s="23" t="s">
        <v>902</v>
      </c>
      <c r="H3028" s="2" t="s">
        <v>822</v>
      </c>
      <c r="J3028" s="31">
        <v>34.723998999999999</v>
      </c>
      <c r="K3028" s="31">
        <v>20.899999600000001</v>
      </c>
      <c r="L3028" s="31"/>
      <c r="M3028" s="31" t="s">
        <v>854</v>
      </c>
      <c r="N3028" s="6" t="s">
        <v>856</v>
      </c>
    </row>
    <row r="3029" spans="1:14" ht="15" customHeight="1" x14ac:dyDescent="0.2">
      <c r="A3029" s="31">
        <v>0.75420017209154733</v>
      </c>
      <c r="B3029" s="31"/>
      <c r="C3029" s="2" t="s">
        <v>855</v>
      </c>
      <c r="D3029" s="31">
        <f t="shared" si="101"/>
        <v>0.14782323372994327</v>
      </c>
      <c r="F3029" s="2" t="s">
        <v>822</v>
      </c>
      <c r="G3029" s="23" t="s">
        <v>902</v>
      </c>
      <c r="H3029" s="2" t="s">
        <v>822</v>
      </c>
      <c r="J3029" s="31">
        <v>31.384000799999999</v>
      </c>
      <c r="K3029" s="31">
        <v>-17.8439999</v>
      </c>
      <c r="L3029" s="31"/>
      <c r="M3029" s="31" t="s">
        <v>854</v>
      </c>
      <c r="N3029" s="6" t="s">
        <v>856</v>
      </c>
    </row>
    <row r="3030" spans="1:14" ht="15" customHeight="1" x14ac:dyDescent="0.2">
      <c r="A3030" s="31">
        <v>0.75409930793951108</v>
      </c>
      <c r="B3030" s="31"/>
      <c r="C3030" s="2" t="s">
        <v>855</v>
      </c>
      <c r="D3030" s="31">
        <f t="shared" si="101"/>
        <v>0.14780346435614417</v>
      </c>
      <c r="F3030" s="2" t="s">
        <v>822</v>
      </c>
      <c r="G3030" s="23" t="s">
        <v>902</v>
      </c>
      <c r="H3030" s="2" t="s">
        <v>822</v>
      </c>
      <c r="J3030" s="31">
        <v>39.3445015</v>
      </c>
      <c r="K3030" s="31">
        <v>18.6128006</v>
      </c>
      <c r="L3030" s="31"/>
      <c r="M3030" s="31" t="s">
        <v>854</v>
      </c>
      <c r="N3030" s="6" t="s">
        <v>856</v>
      </c>
    </row>
    <row r="3031" spans="1:14" ht="15" customHeight="1" x14ac:dyDescent="0.2">
      <c r="A3031" s="31">
        <v>0.7540095352980527</v>
      </c>
      <c r="B3031" s="31"/>
      <c r="C3031" s="2" t="s">
        <v>855</v>
      </c>
      <c r="D3031" s="31">
        <f t="shared" si="101"/>
        <v>0.14778586891841833</v>
      </c>
      <c r="F3031" s="2" t="s">
        <v>822</v>
      </c>
      <c r="G3031" s="23" t="s">
        <v>902</v>
      </c>
      <c r="H3031" s="2" t="s">
        <v>822</v>
      </c>
      <c r="J3031" s="31">
        <v>56.471198999999999</v>
      </c>
      <c r="K3031" s="31">
        <v>17.690799699999999</v>
      </c>
      <c r="L3031" s="31"/>
      <c r="M3031" s="31" t="s">
        <v>854</v>
      </c>
      <c r="N3031" s="6" t="s">
        <v>856</v>
      </c>
    </row>
    <row r="3032" spans="1:14" ht="15" customHeight="1" x14ac:dyDescent="0.2">
      <c r="A3032" s="31">
        <v>0.75395291967754019</v>
      </c>
      <c r="B3032" s="31"/>
      <c r="C3032" s="2" t="s">
        <v>855</v>
      </c>
      <c r="D3032" s="31">
        <f t="shared" si="101"/>
        <v>0.14777477225679789</v>
      </c>
      <c r="F3032" s="2" t="s">
        <v>822</v>
      </c>
      <c r="G3032" s="23" t="s">
        <v>902</v>
      </c>
      <c r="H3032" s="2" t="s">
        <v>822</v>
      </c>
      <c r="J3032" s="31">
        <v>26.708000200000001</v>
      </c>
      <c r="K3032" s="31">
        <v>-35.880001100000001</v>
      </c>
      <c r="L3032" s="31"/>
      <c r="M3032" s="31" t="s">
        <v>854</v>
      </c>
      <c r="N3032" s="6" t="s">
        <v>856</v>
      </c>
    </row>
    <row r="3033" spans="1:14" ht="15" customHeight="1" x14ac:dyDescent="0.2">
      <c r="A3033" s="31">
        <v>0.7538971477188704</v>
      </c>
      <c r="B3033" s="31"/>
      <c r="C3033" s="2" t="s">
        <v>855</v>
      </c>
      <c r="D3033" s="31">
        <f t="shared" si="101"/>
        <v>0.1477638409528986</v>
      </c>
      <c r="F3033" s="2" t="s">
        <v>822</v>
      </c>
      <c r="G3033" s="23" t="s">
        <v>902</v>
      </c>
      <c r="H3033" s="2" t="s">
        <v>822</v>
      </c>
      <c r="J3033" s="31">
        <v>39.400001500000002</v>
      </c>
      <c r="K3033" s="31">
        <v>-41.891998299999997</v>
      </c>
      <c r="L3033" s="31"/>
      <c r="M3033" s="31" t="s">
        <v>854</v>
      </c>
      <c r="N3033" s="6" t="s">
        <v>856</v>
      </c>
    </row>
    <row r="3034" spans="1:14" ht="15" customHeight="1" x14ac:dyDescent="0.2">
      <c r="A3034" s="31">
        <v>0.75386877978250932</v>
      </c>
      <c r="B3034" s="31"/>
      <c r="C3034" s="2" t="s">
        <v>855</v>
      </c>
      <c r="D3034" s="31">
        <f t="shared" si="101"/>
        <v>0.14775828083737183</v>
      </c>
      <c r="F3034" s="2" t="s">
        <v>822</v>
      </c>
      <c r="G3034" s="23" t="s">
        <v>902</v>
      </c>
      <c r="H3034" s="2" t="s">
        <v>822</v>
      </c>
      <c r="J3034" s="31">
        <v>38.063999199999998</v>
      </c>
      <c r="K3034" s="31">
        <v>-14.5039997</v>
      </c>
      <c r="L3034" s="31"/>
      <c r="M3034" s="31" t="s">
        <v>854</v>
      </c>
      <c r="N3034" s="6" t="s">
        <v>856</v>
      </c>
    </row>
    <row r="3035" spans="1:14" ht="15" customHeight="1" x14ac:dyDescent="0.2">
      <c r="A3035" s="31">
        <v>0.75378035768003016</v>
      </c>
      <c r="B3035" s="31"/>
      <c r="C3035" s="2" t="s">
        <v>855</v>
      </c>
      <c r="D3035" s="31">
        <f t="shared" si="101"/>
        <v>0.14774095010528593</v>
      </c>
      <c r="F3035" s="2" t="s">
        <v>822</v>
      </c>
      <c r="G3035" s="23" t="s">
        <v>902</v>
      </c>
      <c r="H3035" s="2" t="s">
        <v>822</v>
      </c>
      <c r="J3035" s="31">
        <v>38.974201200000003</v>
      </c>
      <c r="K3035" s="31">
        <v>12.8843002</v>
      </c>
      <c r="L3035" s="31"/>
      <c r="M3035" s="31" t="s">
        <v>854</v>
      </c>
      <c r="N3035" s="6" t="s">
        <v>856</v>
      </c>
    </row>
    <row r="3036" spans="1:14" ht="15" customHeight="1" x14ac:dyDescent="0.2">
      <c r="A3036" s="31">
        <v>0.7537656348545192</v>
      </c>
      <c r="B3036" s="31"/>
      <c r="C3036" s="2" t="s">
        <v>855</v>
      </c>
      <c r="D3036" s="31">
        <f t="shared" si="101"/>
        <v>0.14773806443148577</v>
      </c>
      <c r="F3036" s="2" t="s">
        <v>822</v>
      </c>
      <c r="G3036" s="23" t="s">
        <v>902</v>
      </c>
      <c r="H3036" s="2" t="s">
        <v>822</v>
      </c>
      <c r="J3036" s="31">
        <v>37.394500700000002</v>
      </c>
      <c r="K3036" s="31">
        <v>9.6033200999999995</v>
      </c>
      <c r="L3036" s="31"/>
      <c r="M3036" s="31" t="s">
        <v>854</v>
      </c>
      <c r="N3036" s="6" t="s">
        <v>856</v>
      </c>
    </row>
    <row r="3037" spans="1:14" ht="15" customHeight="1" x14ac:dyDescent="0.2">
      <c r="A3037" s="31">
        <v>0.75374262248875312</v>
      </c>
      <c r="B3037" s="31"/>
      <c r="C3037" s="2" t="s">
        <v>855</v>
      </c>
      <c r="D3037" s="31">
        <f t="shared" si="101"/>
        <v>0.14773355400779561</v>
      </c>
      <c r="F3037" s="2" t="s">
        <v>822</v>
      </c>
      <c r="G3037" s="23" t="s">
        <v>902</v>
      </c>
      <c r="H3037" s="2" t="s">
        <v>822</v>
      </c>
      <c r="J3037" s="31">
        <v>41.620899199999997</v>
      </c>
      <c r="K3037" s="31">
        <v>8.8007802999999996</v>
      </c>
      <c r="L3037" s="31"/>
      <c r="M3037" s="31" t="s">
        <v>854</v>
      </c>
      <c r="N3037" s="6" t="s">
        <v>856</v>
      </c>
    </row>
    <row r="3038" spans="1:14" ht="15" customHeight="1" x14ac:dyDescent="0.2">
      <c r="A3038" s="31">
        <v>0.7537252256466932</v>
      </c>
      <c r="B3038" s="31"/>
      <c r="C3038" s="2" t="s">
        <v>855</v>
      </c>
      <c r="D3038" s="31">
        <f t="shared" si="101"/>
        <v>0.14773014422675187</v>
      </c>
      <c r="F3038" s="2" t="s">
        <v>822</v>
      </c>
      <c r="G3038" s="23" t="s">
        <v>902</v>
      </c>
      <c r="H3038" s="2" t="s">
        <v>822</v>
      </c>
      <c r="J3038" s="31">
        <v>28.397600199999999</v>
      </c>
      <c r="K3038" s="31">
        <v>-18.1835995</v>
      </c>
      <c r="L3038" s="31"/>
      <c r="M3038" s="31" t="s">
        <v>854</v>
      </c>
      <c r="N3038" s="6" t="s">
        <v>856</v>
      </c>
    </row>
    <row r="3039" spans="1:14" ht="15" customHeight="1" x14ac:dyDescent="0.2">
      <c r="A3039" s="31">
        <v>0.75359268729167861</v>
      </c>
      <c r="B3039" s="31"/>
      <c r="C3039" s="2" t="s">
        <v>855</v>
      </c>
      <c r="D3039" s="31">
        <f t="shared" si="101"/>
        <v>0.14770416670916903</v>
      </c>
      <c r="F3039" s="2" t="s">
        <v>822</v>
      </c>
      <c r="G3039" s="23" t="s">
        <v>902</v>
      </c>
      <c r="H3039" s="2" t="s">
        <v>822</v>
      </c>
      <c r="J3039" s="31">
        <v>40.0680008</v>
      </c>
      <c r="K3039" s="31">
        <v>-33.527198800000001</v>
      </c>
      <c r="L3039" s="31"/>
      <c r="M3039" s="31" t="s">
        <v>854</v>
      </c>
      <c r="N3039" s="6" t="s">
        <v>856</v>
      </c>
    </row>
    <row r="3040" spans="1:14" ht="15" customHeight="1" x14ac:dyDescent="0.2">
      <c r="A3040" s="31">
        <v>0.75348068043269012</v>
      </c>
      <c r="B3040" s="31"/>
      <c r="C3040" s="2" t="s">
        <v>855</v>
      </c>
      <c r="D3040" s="31">
        <f t="shared" si="101"/>
        <v>0.14768221336480727</v>
      </c>
      <c r="F3040" s="2" t="s">
        <v>822</v>
      </c>
      <c r="G3040" s="23" t="s">
        <v>902</v>
      </c>
      <c r="H3040" s="2" t="s">
        <v>822</v>
      </c>
      <c r="J3040" s="31">
        <v>54.168098399999998</v>
      </c>
      <c r="K3040" s="31">
        <v>14.324999800000001</v>
      </c>
      <c r="L3040" s="31"/>
      <c r="M3040" s="31" t="s">
        <v>854</v>
      </c>
      <c r="N3040" s="6" t="s">
        <v>856</v>
      </c>
    </row>
    <row r="3041" spans="1:14" ht="15" customHeight="1" x14ac:dyDescent="0.2">
      <c r="A3041" s="31">
        <v>0.75347800542228793</v>
      </c>
      <c r="B3041" s="31"/>
      <c r="C3041" s="2" t="s">
        <v>855</v>
      </c>
      <c r="D3041" s="31">
        <f t="shared" si="101"/>
        <v>0.14768168906276843</v>
      </c>
      <c r="F3041" s="2" t="s">
        <v>822</v>
      </c>
      <c r="G3041" s="23" t="s">
        <v>902</v>
      </c>
      <c r="H3041" s="2" t="s">
        <v>822</v>
      </c>
      <c r="J3041" s="31">
        <v>43.772598299999999</v>
      </c>
      <c r="K3041" s="31">
        <v>-27.836799599999999</v>
      </c>
      <c r="L3041" s="31"/>
      <c r="M3041" s="31" t="s">
        <v>854</v>
      </c>
      <c r="N3041" s="6" t="s">
        <v>856</v>
      </c>
    </row>
    <row r="3042" spans="1:14" ht="15" customHeight="1" x14ac:dyDescent="0.2">
      <c r="A3042" s="31">
        <v>0.7534203694338576</v>
      </c>
      <c r="B3042" s="31"/>
      <c r="C3042" s="2" t="s">
        <v>855</v>
      </c>
      <c r="D3042" s="31">
        <f t="shared" ref="D3042:D3105" si="102" xml:space="preserve"> A3042 * 0.196</f>
        <v>0.14767039240903609</v>
      </c>
      <c r="F3042" s="2" t="s">
        <v>822</v>
      </c>
      <c r="G3042" s="23" t="s">
        <v>902</v>
      </c>
      <c r="H3042" s="2" t="s">
        <v>822</v>
      </c>
      <c r="J3042" s="31">
        <v>25.3719997</v>
      </c>
      <c r="K3042" s="31">
        <v>-27.195999100000002</v>
      </c>
      <c r="L3042" s="31"/>
      <c r="M3042" s="31" t="s">
        <v>854</v>
      </c>
      <c r="N3042" s="6" t="s">
        <v>856</v>
      </c>
    </row>
    <row r="3043" spans="1:14" ht="15" customHeight="1" x14ac:dyDescent="0.2">
      <c r="A3043" s="31">
        <v>0.75337047241825783</v>
      </c>
      <c r="B3043" s="31"/>
      <c r="C3043" s="2" t="s">
        <v>855</v>
      </c>
      <c r="D3043" s="31">
        <f t="shared" si="102"/>
        <v>0.14766061259397853</v>
      </c>
      <c r="F3043" s="2" t="s">
        <v>822</v>
      </c>
      <c r="G3043" s="23" t="s">
        <v>902</v>
      </c>
      <c r="H3043" s="2" t="s">
        <v>822</v>
      </c>
      <c r="J3043" s="31">
        <v>38.984600100000002</v>
      </c>
      <c r="K3043" s="31">
        <v>-18.679199199999999</v>
      </c>
      <c r="L3043" s="31"/>
      <c r="M3043" s="31" t="s">
        <v>854</v>
      </c>
      <c r="N3043" s="6" t="s">
        <v>856</v>
      </c>
    </row>
    <row r="3044" spans="1:14" ht="15" customHeight="1" x14ac:dyDescent="0.2">
      <c r="A3044" s="31">
        <v>0.75332924580432559</v>
      </c>
      <c r="B3044" s="31"/>
      <c r="C3044" s="2" t="s">
        <v>855</v>
      </c>
      <c r="D3044" s="31">
        <f t="shared" si="102"/>
        <v>0.14765253217764782</v>
      </c>
      <c r="F3044" s="2" t="s">
        <v>822</v>
      </c>
      <c r="G3044" s="23" t="s">
        <v>902</v>
      </c>
      <c r="H3044" s="2" t="s">
        <v>822</v>
      </c>
      <c r="J3044" s="31">
        <v>35.221698799999999</v>
      </c>
      <c r="K3044" s="31">
        <v>12.1835003</v>
      </c>
      <c r="L3044" s="31"/>
      <c r="M3044" s="31" t="s">
        <v>854</v>
      </c>
      <c r="N3044" s="6" t="s">
        <v>856</v>
      </c>
    </row>
    <row r="3045" spans="1:14" ht="15" customHeight="1" x14ac:dyDescent="0.2">
      <c r="A3045" s="31">
        <v>0.75328157209995827</v>
      </c>
      <c r="B3045" s="31"/>
      <c r="C3045" s="2" t="s">
        <v>855</v>
      </c>
      <c r="D3045" s="31">
        <f t="shared" si="102"/>
        <v>0.14764318813159183</v>
      </c>
      <c r="F3045" s="2" t="s">
        <v>822</v>
      </c>
      <c r="G3045" s="23" t="s">
        <v>902</v>
      </c>
      <c r="H3045" s="2" t="s">
        <v>822</v>
      </c>
      <c r="J3045" s="31">
        <v>55.935901600000001</v>
      </c>
      <c r="K3045" s="31">
        <v>11.9869003</v>
      </c>
      <c r="L3045" s="31"/>
      <c r="M3045" s="31" t="s">
        <v>854</v>
      </c>
      <c r="N3045" s="6" t="s">
        <v>856</v>
      </c>
    </row>
    <row r="3046" spans="1:14" ht="15" customHeight="1" x14ac:dyDescent="0.2">
      <c r="A3046" s="31">
        <v>0.75310265996436976</v>
      </c>
      <c r="B3046" s="31"/>
      <c r="C3046" s="2" t="s">
        <v>855</v>
      </c>
      <c r="D3046" s="31">
        <f t="shared" si="102"/>
        <v>0.14760812135301649</v>
      </c>
      <c r="F3046" s="2" t="s">
        <v>822</v>
      </c>
      <c r="G3046" s="23" t="s">
        <v>902</v>
      </c>
      <c r="H3046" s="2" t="s">
        <v>822</v>
      </c>
      <c r="J3046" s="31">
        <v>56.275299099999998</v>
      </c>
      <c r="K3046" s="31">
        <v>-7.07376</v>
      </c>
      <c r="L3046" s="31"/>
      <c r="M3046" s="31" t="s">
        <v>854</v>
      </c>
      <c r="N3046" s="6" t="s">
        <v>856</v>
      </c>
    </row>
    <row r="3047" spans="1:14" ht="15" customHeight="1" x14ac:dyDescent="0.2">
      <c r="A3047" s="31">
        <v>0.75303483932748805</v>
      </c>
      <c r="B3047" s="31"/>
      <c r="C3047" s="2" t="s">
        <v>855</v>
      </c>
      <c r="D3047" s="31">
        <f t="shared" si="102"/>
        <v>0.14759482850818767</v>
      </c>
      <c r="F3047" s="2" t="s">
        <v>822</v>
      </c>
      <c r="G3047" s="23" t="s">
        <v>902</v>
      </c>
      <c r="H3047" s="2" t="s">
        <v>822</v>
      </c>
      <c r="J3047" s="31">
        <v>27.375999499999999</v>
      </c>
      <c r="K3047" s="31">
        <v>-41.891998299999997</v>
      </c>
      <c r="L3047" s="31"/>
      <c r="M3047" s="31" t="s">
        <v>854</v>
      </c>
      <c r="N3047" s="6" t="s">
        <v>856</v>
      </c>
    </row>
    <row r="3048" spans="1:14" ht="15" customHeight="1" x14ac:dyDescent="0.2">
      <c r="A3048" s="31">
        <v>0.75287449736115641</v>
      </c>
      <c r="B3048" s="31"/>
      <c r="C3048" s="2" t="s">
        <v>855</v>
      </c>
      <c r="D3048" s="31">
        <f t="shared" si="102"/>
        <v>0.14756340148278665</v>
      </c>
      <c r="F3048" s="2" t="s">
        <v>822</v>
      </c>
      <c r="G3048" s="23" t="s">
        <v>902</v>
      </c>
      <c r="H3048" s="2" t="s">
        <v>822</v>
      </c>
      <c r="J3048" s="31">
        <v>36.059600799999998</v>
      </c>
      <c r="K3048" s="31">
        <v>-21.852399800000001</v>
      </c>
      <c r="L3048" s="31"/>
      <c r="M3048" s="31" t="s">
        <v>854</v>
      </c>
      <c r="N3048" s="6" t="s">
        <v>856</v>
      </c>
    </row>
    <row r="3049" spans="1:14" ht="15" customHeight="1" x14ac:dyDescent="0.2">
      <c r="A3049" s="31">
        <v>0.75284997823411137</v>
      </c>
      <c r="B3049" s="31"/>
      <c r="C3049" s="2" t="s">
        <v>855</v>
      </c>
      <c r="D3049" s="31">
        <f t="shared" si="102"/>
        <v>0.14755859573388583</v>
      </c>
      <c r="F3049" s="2" t="s">
        <v>822</v>
      </c>
      <c r="G3049" s="23" t="s">
        <v>902</v>
      </c>
      <c r="H3049" s="2" t="s">
        <v>822</v>
      </c>
      <c r="J3049" s="31">
        <v>33.254600500000002</v>
      </c>
      <c r="K3049" s="31">
        <v>11.9160995</v>
      </c>
      <c r="L3049" s="31"/>
      <c r="M3049" s="31" t="s">
        <v>854</v>
      </c>
      <c r="N3049" s="6" t="s">
        <v>856</v>
      </c>
    </row>
    <row r="3050" spans="1:14" ht="15" customHeight="1" x14ac:dyDescent="0.2">
      <c r="A3050" s="31">
        <v>0.7524891218667098</v>
      </c>
      <c r="B3050" s="31"/>
      <c r="C3050" s="2" t="s">
        <v>855</v>
      </c>
      <c r="D3050" s="31">
        <f t="shared" si="102"/>
        <v>0.14748786788587512</v>
      </c>
      <c r="F3050" s="2" t="s">
        <v>822</v>
      </c>
      <c r="G3050" s="23" t="s">
        <v>902</v>
      </c>
      <c r="H3050" s="2" t="s">
        <v>822</v>
      </c>
      <c r="J3050" s="31">
        <v>39.278301200000001</v>
      </c>
      <c r="K3050" s="31">
        <v>0.61267300000000002</v>
      </c>
      <c r="L3050" s="31"/>
      <c r="M3050" s="31" t="s">
        <v>854</v>
      </c>
      <c r="N3050" s="6" t="s">
        <v>856</v>
      </c>
    </row>
    <row r="3051" spans="1:14" ht="15" customHeight="1" x14ac:dyDescent="0.2">
      <c r="A3051" s="31">
        <v>0.75236566023712004</v>
      </c>
      <c r="B3051" s="31"/>
      <c r="C3051" s="2" t="s">
        <v>855</v>
      </c>
      <c r="D3051" s="31">
        <f t="shared" si="102"/>
        <v>0.14746366940647554</v>
      </c>
      <c r="F3051" s="2" t="s">
        <v>822</v>
      </c>
      <c r="G3051" s="23" t="s">
        <v>902</v>
      </c>
      <c r="H3051" s="2" t="s">
        <v>822</v>
      </c>
      <c r="J3051" s="31">
        <v>39.247001599999997</v>
      </c>
      <c r="K3051" s="31">
        <v>-9.8901900999999999</v>
      </c>
      <c r="L3051" s="31"/>
      <c r="M3051" s="31" t="s">
        <v>854</v>
      </c>
      <c r="N3051" s="6" t="s">
        <v>856</v>
      </c>
    </row>
    <row r="3052" spans="1:14" ht="15" customHeight="1" x14ac:dyDescent="0.2">
      <c r="A3052" s="31">
        <v>0.75232462620571994</v>
      </c>
      <c r="B3052" s="31"/>
      <c r="C3052" s="2" t="s">
        <v>855</v>
      </c>
      <c r="D3052" s="31">
        <f t="shared" si="102"/>
        <v>0.14745562673632112</v>
      </c>
      <c r="F3052" s="2" t="s">
        <v>822</v>
      </c>
      <c r="G3052" s="23" t="s">
        <v>902</v>
      </c>
      <c r="H3052" s="2" t="s">
        <v>822</v>
      </c>
      <c r="J3052" s="31">
        <v>26.462499600000001</v>
      </c>
      <c r="K3052" s="31">
        <v>35.805301700000001</v>
      </c>
      <c r="L3052" s="31"/>
      <c r="M3052" s="31" t="s">
        <v>854</v>
      </c>
      <c r="N3052" s="6" t="s">
        <v>856</v>
      </c>
    </row>
    <row r="3053" spans="1:14" ht="15" customHeight="1" x14ac:dyDescent="0.2">
      <c r="A3053" s="31">
        <v>0.75231591285590504</v>
      </c>
      <c r="B3053" s="31"/>
      <c r="C3053" s="2" t="s">
        <v>855</v>
      </c>
      <c r="D3053" s="31">
        <f t="shared" si="102"/>
        <v>0.1474539189197574</v>
      </c>
      <c r="F3053" s="2" t="s">
        <v>822</v>
      </c>
      <c r="G3053" s="23" t="s">
        <v>902</v>
      </c>
      <c r="H3053" s="2" t="s">
        <v>822</v>
      </c>
      <c r="J3053" s="31">
        <v>38.421001400000002</v>
      </c>
      <c r="K3053" s="31">
        <v>17.879200000000001</v>
      </c>
      <c r="L3053" s="31"/>
      <c r="M3053" s="31" t="s">
        <v>854</v>
      </c>
      <c r="N3053" s="6" t="s">
        <v>856</v>
      </c>
    </row>
    <row r="3054" spans="1:14" ht="15" customHeight="1" x14ac:dyDescent="0.2">
      <c r="A3054" s="31">
        <v>0.75206418439207623</v>
      </c>
      <c r="B3054" s="31"/>
      <c r="C3054" s="2" t="s">
        <v>855</v>
      </c>
      <c r="D3054" s="31">
        <f t="shared" si="102"/>
        <v>0.14740458014084695</v>
      </c>
      <c r="F3054" s="2" t="s">
        <v>822</v>
      </c>
      <c r="G3054" s="23" t="s">
        <v>902</v>
      </c>
      <c r="H3054" s="2" t="s">
        <v>822</v>
      </c>
      <c r="J3054" s="31">
        <v>29.3799992</v>
      </c>
      <c r="K3054" s="31">
        <v>-15.171999899999999</v>
      </c>
      <c r="L3054" s="31"/>
      <c r="M3054" s="31" t="s">
        <v>854</v>
      </c>
      <c r="N3054" s="6" t="s">
        <v>856</v>
      </c>
    </row>
    <row r="3055" spans="1:14" ht="15" customHeight="1" x14ac:dyDescent="0.2">
      <c r="A3055" s="31">
        <v>0.75166097201137527</v>
      </c>
      <c r="B3055" s="31"/>
      <c r="C3055" s="2" t="s">
        <v>855</v>
      </c>
      <c r="D3055" s="31">
        <f t="shared" si="102"/>
        <v>0.14732555051422955</v>
      </c>
      <c r="F3055" s="2" t="s">
        <v>822</v>
      </c>
      <c r="G3055" s="23" t="s">
        <v>902</v>
      </c>
      <c r="H3055" s="2" t="s">
        <v>822</v>
      </c>
      <c r="J3055" s="31">
        <v>35.394500700000002</v>
      </c>
      <c r="K3055" s="31">
        <v>-29.5251999</v>
      </c>
      <c r="L3055" s="31"/>
      <c r="M3055" s="31" t="s">
        <v>854</v>
      </c>
      <c r="N3055" s="6" t="s">
        <v>856</v>
      </c>
    </row>
    <row r="3056" spans="1:14" ht="15" customHeight="1" x14ac:dyDescent="0.2">
      <c r="A3056" s="31">
        <v>0.75157833491802228</v>
      </c>
      <c r="B3056" s="31"/>
      <c r="C3056" s="2" t="s">
        <v>855</v>
      </c>
      <c r="D3056" s="31">
        <f t="shared" si="102"/>
        <v>0.14730935364393238</v>
      </c>
      <c r="F3056" s="2" t="s">
        <v>822</v>
      </c>
      <c r="G3056" s="23" t="s">
        <v>902</v>
      </c>
      <c r="H3056" s="2" t="s">
        <v>822</v>
      </c>
      <c r="J3056" s="31">
        <v>42.084201800000002</v>
      </c>
      <c r="K3056" s="31">
        <v>-37.198799100000002</v>
      </c>
      <c r="L3056" s="31"/>
      <c r="M3056" s="31" t="s">
        <v>854</v>
      </c>
      <c r="N3056" s="6" t="s">
        <v>856</v>
      </c>
    </row>
    <row r="3057" spans="1:14" ht="15" customHeight="1" x14ac:dyDescent="0.2">
      <c r="A3057" s="31">
        <v>0.75140050025668836</v>
      </c>
      <c r="B3057" s="31"/>
      <c r="C3057" s="2" t="s">
        <v>855</v>
      </c>
      <c r="D3057" s="31">
        <f t="shared" si="102"/>
        <v>0.14727449805031093</v>
      </c>
      <c r="F3057" s="2" t="s">
        <v>822</v>
      </c>
      <c r="G3057" s="23" t="s">
        <v>902</v>
      </c>
      <c r="H3057" s="2" t="s">
        <v>822</v>
      </c>
      <c r="J3057" s="31">
        <v>31.384000799999999</v>
      </c>
      <c r="K3057" s="31">
        <v>-14.5039997</v>
      </c>
      <c r="L3057" s="31"/>
      <c r="M3057" s="31" t="s">
        <v>854</v>
      </c>
      <c r="N3057" s="6" t="s">
        <v>856</v>
      </c>
    </row>
    <row r="3058" spans="1:14" ht="15" customHeight="1" x14ac:dyDescent="0.2">
      <c r="A3058" s="31">
        <v>0.75118462760448224</v>
      </c>
      <c r="B3058" s="31"/>
      <c r="C3058" s="2" t="s">
        <v>855</v>
      </c>
      <c r="D3058" s="31">
        <f t="shared" si="102"/>
        <v>0.14723218701047852</v>
      </c>
      <c r="F3058" s="2" t="s">
        <v>822</v>
      </c>
      <c r="G3058" s="23" t="s">
        <v>902</v>
      </c>
      <c r="H3058" s="2" t="s">
        <v>822</v>
      </c>
      <c r="J3058" s="31">
        <v>25.399799300000002</v>
      </c>
      <c r="K3058" s="31">
        <v>-33.693698900000001</v>
      </c>
      <c r="L3058" s="31"/>
      <c r="M3058" s="31" t="s">
        <v>854</v>
      </c>
      <c r="N3058" s="6" t="s">
        <v>856</v>
      </c>
    </row>
    <row r="3059" spans="1:14" ht="15" customHeight="1" x14ac:dyDescent="0.2">
      <c r="A3059" s="31">
        <v>0.75116115429709795</v>
      </c>
      <c r="B3059" s="31"/>
      <c r="C3059" s="2" t="s">
        <v>855</v>
      </c>
      <c r="D3059" s="31">
        <f t="shared" si="102"/>
        <v>0.1472275862422312</v>
      </c>
      <c r="F3059" s="2" t="s">
        <v>822</v>
      </c>
      <c r="G3059" s="23" t="s">
        <v>902</v>
      </c>
      <c r="H3059" s="2" t="s">
        <v>822</v>
      </c>
      <c r="J3059" s="31">
        <v>37.3959999</v>
      </c>
      <c r="K3059" s="31">
        <v>-13.1680002</v>
      </c>
      <c r="L3059" s="31"/>
      <c r="M3059" s="31" t="s">
        <v>854</v>
      </c>
      <c r="N3059" s="6" t="s">
        <v>856</v>
      </c>
    </row>
    <row r="3060" spans="1:14" ht="15" customHeight="1" x14ac:dyDescent="0.2">
      <c r="A3060" s="31">
        <v>0.7510784093545777</v>
      </c>
      <c r="B3060" s="31"/>
      <c r="C3060" s="2" t="s">
        <v>855</v>
      </c>
      <c r="D3060" s="31">
        <f t="shared" si="102"/>
        <v>0.14721136823349723</v>
      </c>
      <c r="F3060" s="2" t="s">
        <v>822</v>
      </c>
      <c r="G3060" s="23" t="s">
        <v>902</v>
      </c>
      <c r="H3060" s="2" t="s">
        <v>822</v>
      </c>
      <c r="J3060" s="31">
        <v>55.261100800000001</v>
      </c>
      <c r="K3060" s="31">
        <v>-6.3127398000000001</v>
      </c>
      <c r="L3060" s="31"/>
      <c r="M3060" s="31" t="s">
        <v>854</v>
      </c>
      <c r="N3060" s="6" t="s">
        <v>856</v>
      </c>
    </row>
    <row r="3061" spans="1:14" ht="15" customHeight="1" x14ac:dyDescent="0.2">
      <c r="A3061" s="31">
        <v>0.75101932012877659</v>
      </c>
      <c r="B3061" s="31"/>
      <c r="C3061" s="2" t="s">
        <v>855</v>
      </c>
      <c r="D3061" s="31">
        <f t="shared" si="102"/>
        <v>0.14719978674524023</v>
      </c>
      <c r="F3061" s="2" t="s">
        <v>822</v>
      </c>
      <c r="G3061" s="23" t="s">
        <v>902</v>
      </c>
      <c r="H3061" s="2" t="s">
        <v>822</v>
      </c>
      <c r="J3061" s="31">
        <v>33.666999799999999</v>
      </c>
      <c r="K3061" s="31">
        <v>31.6401997</v>
      </c>
      <c r="L3061" s="31"/>
      <c r="M3061" s="31" t="s">
        <v>854</v>
      </c>
      <c r="N3061" s="6" t="s">
        <v>856</v>
      </c>
    </row>
    <row r="3062" spans="1:14" ht="15" customHeight="1" x14ac:dyDescent="0.2">
      <c r="A3062" s="31">
        <v>0.7506705897677981</v>
      </c>
      <c r="B3062" s="31"/>
      <c r="C3062" s="2" t="s">
        <v>855</v>
      </c>
      <c r="D3062" s="31">
        <f t="shared" si="102"/>
        <v>0.14713143559448844</v>
      </c>
      <c r="F3062" s="2" t="s">
        <v>822</v>
      </c>
      <c r="G3062" s="23" t="s">
        <v>902</v>
      </c>
      <c r="H3062" s="2" t="s">
        <v>822</v>
      </c>
      <c r="J3062" s="31">
        <v>28.6159</v>
      </c>
      <c r="K3062" s="31">
        <v>-27.1219006</v>
      </c>
      <c r="L3062" s="31"/>
      <c r="M3062" s="31" t="s">
        <v>854</v>
      </c>
      <c r="N3062" s="6" t="s">
        <v>856</v>
      </c>
    </row>
    <row r="3063" spans="1:14" ht="15" customHeight="1" x14ac:dyDescent="0.2">
      <c r="A3063" s="31">
        <v>0.74986381241269473</v>
      </c>
      <c r="B3063" s="31"/>
      <c r="C3063" s="2" t="s">
        <v>855</v>
      </c>
      <c r="D3063" s="31">
        <f t="shared" si="102"/>
        <v>0.14697330723288818</v>
      </c>
      <c r="F3063" s="2" t="s">
        <v>822</v>
      </c>
      <c r="G3063" s="23" t="s">
        <v>902</v>
      </c>
      <c r="H3063" s="2" t="s">
        <v>822</v>
      </c>
      <c r="J3063" s="31">
        <v>35.533500699999998</v>
      </c>
      <c r="K3063" s="31">
        <v>-16.469200099999998</v>
      </c>
      <c r="L3063" s="31"/>
      <c r="M3063" s="31" t="s">
        <v>854</v>
      </c>
      <c r="N3063" s="6" t="s">
        <v>856</v>
      </c>
    </row>
    <row r="3064" spans="1:14" ht="15" customHeight="1" x14ac:dyDescent="0.2">
      <c r="A3064" s="31">
        <v>0.74980270180868236</v>
      </c>
      <c r="B3064" s="31"/>
      <c r="C3064" s="2" t="s">
        <v>855</v>
      </c>
      <c r="D3064" s="31">
        <f t="shared" si="102"/>
        <v>0.14696132955450175</v>
      </c>
      <c r="F3064" s="2" t="s">
        <v>822</v>
      </c>
      <c r="G3064" s="23" t="s">
        <v>902</v>
      </c>
      <c r="H3064" s="2" t="s">
        <v>822</v>
      </c>
      <c r="J3064" s="31">
        <v>40.402599299999999</v>
      </c>
      <c r="K3064" s="31">
        <v>-14.5039997</v>
      </c>
      <c r="L3064" s="31"/>
      <c r="M3064" s="31" t="s">
        <v>854</v>
      </c>
      <c r="N3064" s="6" t="s">
        <v>856</v>
      </c>
    </row>
    <row r="3065" spans="1:14" ht="15" customHeight="1" x14ac:dyDescent="0.2">
      <c r="A3065" s="31">
        <v>0.74974033443866273</v>
      </c>
      <c r="B3065" s="31"/>
      <c r="C3065" s="2" t="s">
        <v>855</v>
      </c>
      <c r="D3065" s="31">
        <f t="shared" si="102"/>
        <v>0.14694910554997789</v>
      </c>
      <c r="F3065" s="2" t="s">
        <v>822</v>
      </c>
      <c r="G3065" s="23" t="s">
        <v>902</v>
      </c>
      <c r="H3065" s="2" t="s">
        <v>822</v>
      </c>
      <c r="J3065" s="31">
        <v>34.055999800000002</v>
      </c>
      <c r="K3065" s="31">
        <v>-19.847999600000001</v>
      </c>
      <c r="L3065" s="31"/>
      <c r="M3065" s="31" t="s">
        <v>854</v>
      </c>
      <c r="N3065" s="6" t="s">
        <v>856</v>
      </c>
    </row>
    <row r="3066" spans="1:14" ht="15" customHeight="1" x14ac:dyDescent="0.2">
      <c r="A3066" s="31">
        <v>0.74951876596136646</v>
      </c>
      <c r="B3066" s="31"/>
      <c r="C3066" s="2" t="s">
        <v>855</v>
      </c>
      <c r="D3066" s="31">
        <f t="shared" si="102"/>
        <v>0.14690567812842784</v>
      </c>
      <c r="F3066" s="2" t="s">
        <v>822</v>
      </c>
      <c r="G3066" s="23" t="s">
        <v>902</v>
      </c>
      <c r="H3066" s="2" t="s">
        <v>822</v>
      </c>
      <c r="J3066" s="31">
        <v>54.647899600000002</v>
      </c>
      <c r="K3066" s="31">
        <v>-5.0159402000000002</v>
      </c>
      <c r="L3066" s="31"/>
      <c r="M3066" s="31" t="s">
        <v>854</v>
      </c>
      <c r="N3066" s="6" t="s">
        <v>856</v>
      </c>
    </row>
    <row r="3067" spans="1:14" ht="15" customHeight="1" x14ac:dyDescent="0.2">
      <c r="A3067" s="31">
        <v>0.74951181913421971</v>
      </c>
      <c r="B3067" s="31"/>
      <c r="C3067" s="2" t="s">
        <v>855</v>
      </c>
      <c r="D3067" s="31">
        <f t="shared" si="102"/>
        <v>0.14690431655030706</v>
      </c>
      <c r="F3067" s="2" t="s">
        <v>822</v>
      </c>
      <c r="G3067" s="23" t="s">
        <v>902</v>
      </c>
      <c r="H3067" s="2" t="s">
        <v>822</v>
      </c>
      <c r="J3067" s="31">
        <v>41.866298700000002</v>
      </c>
      <c r="K3067" s="31">
        <v>-37.5060997</v>
      </c>
      <c r="L3067" s="31"/>
      <c r="M3067" s="31" t="s">
        <v>854</v>
      </c>
      <c r="N3067" s="6" t="s">
        <v>856</v>
      </c>
    </row>
    <row r="3068" spans="1:14" ht="15" customHeight="1" x14ac:dyDescent="0.2">
      <c r="A3068" s="31">
        <v>0.74943473779490299</v>
      </c>
      <c r="B3068" s="31"/>
      <c r="C3068" s="2" t="s">
        <v>855</v>
      </c>
      <c r="D3068" s="31">
        <f t="shared" si="102"/>
        <v>0.146889208607801</v>
      </c>
      <c r="F3068" s="2" t="s">
        <v>822</v>
      </c>
      <c r="G3068" s="23" t="s">
        <v>902</v>
      </c>
      <c r="H3068" s="2" t="s">
        <v>822</v>
      </c>
      <c r="J3068" s="31">
        <v>33.388000499999997</v>
      </c>
      <c r="K3068" s="31">
        <v>28.916000400000001</v>
      </c>
      <c r="L3068" s="31"/>
      <c r="M3068" s="31" t="s">
        <v>854</v>
      </c>
      <c r="N3068" s="6" t="s">
        <v>856</v>
      </c>
    </row>
    <row r="3069" spans="1:14" ht="15" customHeight="1" x14ac:dyDescent="0.2">
      <c r="A3069" s="31">
        <v>0.74933406665573055</v>
      </c>
      <c r="B3069" s="31"/>
      <c r="C3069" s="2" t="s">
        <v>855</v>
      </c>
      <c r="D3069" s="31">
        <f t="shared" si="102"/>
        <v>0.14686947706452319</v>
      </c>
      <c r="F3069" s="2" t="s">
        <v>822</v>
      </c>
      <c r="G3069" s="23" t="s">
        <v>902</v>
      </c>
      <c r="H3069" s="2" t="s">
        <v>822</v>
      </c>
      <c r="J3069" s="31">
        <v>34.692501100000001</v>
      </c>
      <c r="K3069" s="31">
        <v>-33.856300400000002</v>
      </c>
      <c r="L3069" s="31"/>
      <c r="M3069" s="31" t="s">
        <v>854</v>
      </c>
      <c r="N3069" s="6" t="s">
        <v>856</v>
      </c>
    </row>
    <row r="3070" spans="1:14" ht="15" customHeight="1" x14ac:dyDescent="0.2">
      <c r="A3070" s="31">
        <v>0.74890687900679431</v>
      </c>
      <c r="B3070" s="31"/>
      <c r="C3070" s="2" t="s">
        <v>855</v>
      </c>
      <c r="D3070" s="31">
        <f t="shared" si="102"/>
        <v>0.1467857482853317</v>
      </c>
      <c r="F3070" s="2" t="s">
        <v>822</v>
      </c>
      <c r="G3070" s="23" t="s">
        <v>902</v>
      </c>
      <c r="H3070" s="2" t="s">
        <v>822</v>
      </c>
      <c r="J3070" s="31">
        <v>44.597698200000004</v>
      </c>
      <c r="K3070" s="31">
        <v>-22.500799199999999</v>
      </c>
      <c r="L3070" s="31"/>
      <c r="M3070" s="31" t="s">
        <v>854</v>
      </c>
      <c r="N3070" s="6" t="s">
        <v>856</v>
      </c>
    </row>
    <row r="3071" spans="1:14" ht="15" customHeight="1" x14ac:dyDescent="0.2">
      <c r="A3071" s="31">
        <v>0.74864997503019781</v>
      </c>
      <c r="B3071" s="31"/>
      <c r="C3071" s="2" t="s">
        <v>855</v>
      </c>
      <c r="D3071" s="31">
        <f t="shared" si="102"/>
        <v>0.14673539510591876</v>
      </c>
      <c r="F3071" s="2" t="s">
        <v>822</v>
      </c>
      <c r="G3071" s="23" t="s">
        <v>902</v>
      </c>
      <c r="H3071" s="2" t="s">
        <v>822</v>
      </c>
      <c r="J3071" s="31">
        <v>43.322200799999997</v>
      </c>
      <c r="K3071" s="31">
        <v>-37.233501400000002</v>
      </c>
      <c r="L3071" s="31"/>
      <c r="M3071" s="31" t="s">
        <v>854</v>
      </c>
      <c r="N3071" s="6" t="s">
        <v>856</v>
      </c>
    </row>
    <row r="3072" spans="1:14" ht="15" customHeight="1" x14ac:dyDescent="0.2">
      <c r="A3072" s="31">
        <v>0.74840302339204567</v>
      </c>
      <c r="B3072" s="31"/>
      <c r="C3072" s="2" t="s">
        <v>855</v>
      </c>
      <c r="D3072" s="31">
        <f t="shared" si="102"/>
        <v>0.14668699258484097</v>
      </c>
      <c r="F3072" s="2" t="s">
        <v>822</v>
      </c>
      <c r="G3072" s="23" t="s">
        <v>902</v>
      </c>
      <c r="H3072" s="2" t="s">
        <v>822</v>
      </c>
      <c r="J3072" s="31">
        <v>56.293598199999998</v>
      </c>
      <c r="K3072" s="31">
        <v>11.5480003</v>
      </c>
      <c r="L3072" s="31"/>
      <c r="M3072" s="31" t="s">
        <v>854</v>
      </c>
      <c r="N3072" s="6" t="s">
        <v>856</v>
      </c>
    </row>
    <row r="3073" spans="1:14" ht="15" customHeight="1" x14ac:dyDescent="0.2">
      <c r="A3073" s="31">
        <v>0.7483771787313912</v>
      </c>
      <c r="B3073" s="31"/>
      <c r="C3073" s="2" t="s">
        <v>855</v>
      </c>
      <c r="D3073" s="31">
        <f t="shared" si="102"/>
        <v>0.14668192703135269</v>
      </c>
      <c r="F3073" s="2" t="s">
        <v>822</v>
      </c>
      <c r="G3073" s="23" t="s">
        <v>902</v>
      </c>
      <c r="H3073" s="2" t="s">
        <v>822</v>
      </c>
      <c r="J3073" s="31">
        <v>29.3799992</v>
      </c>
      <c r="K3073" s="31">
        <v>-23.187999699999999</v>
      </c>
      <c r="L3073" s="31"/>
      <c r="M3073" s="31" t="s">
        <v>854</v>
      </c>
      <c r="N3073" s="6" t="s">
        <v>856</v>
      </c>
    </row>
    <row r="3074" spans="1:14" ht="15" customHeight="1" x14ac:dyDescent="0.2">
      <c r="A3074" s="31">
        <v>0.74809753349693275</v>
      </c>
      <c r="B3074" s="31"/>
      <c r="C3074" s="2" t="s">
        <v>855</v>
      </c>
      <c r="D3074" s="31">
        <f t="shared" si="102"/>
        <v>0.14662711656539881</v>
      </c>
      <c r="F3074" s="2" t="s">
        <v>822</v>
      </c>
      <c r="G3074" s="23" t="s">
        <v>902</v>
      </c>
      <c r="H3074" s="2" t="s">
        <v>822</v>
      </c>
      <c r="J3074" s="31">
        <v>27.375999499999999</v>
      </c>
      <c r="K3074" s="31">
        <v>-31.8719997</v>
      </c>
      <c r="L3074" s="31"/>
      <c r="M3074" s="31" t="s">
        <v>854</v>
      </c>
      <c r="N3074" s="6" t="s">
        <v>856</v>
      </c>
    </row>
    <row r="3075" spans="1:14" ht="15" customHeight="1" x14ac:dyDescent="0.2">
      <c r="A3075" s="31">
        <v>0.74802948558198734</v>
      </c>
      <c r="B3075" s="31"/>
      <c r="C3075" s="2" t="s">
        <v>855</v>
      </c>
      <c r="D3075" s="31">
        <f t="shared" si="102"/>
        <v>0.14661377917406954</v>
      </c>
      <c r="F3075" s="2" t="s">
        <v>822</v>
      </c>
      <c r="G3075" s="23" t="s">
        <v>902</v>
      </c>
      <c r="H3075" s="2" t="s">
        <v>822</v>
      </c>
      <c r="J3075" s="31">
        <v>36.060001399999997</v>
      </c>
      <c r="K3075" s="31">
        <v>-37.215999600000004</v>
      </c>
      <c r="L3075" s="31"/>
      <c r="M3075" s="31" t="s">
        <v>854</v>
      </c>
      <c r="N3075" s="6" t="s">
        <v>856</v>
      </c>
    </row>
    <row r="3076" spans="1:14" ht="15" customHeight="1" x14ac:dyDescent="0.2">
      <c r="A3076" s="31">
        <v>0.74791296891985559</v>
      </c>
      <c r="B3076" s="31"/>
      <c r="C3076" s="2" t="s">
        <v>855</v>
      </c>
      <c r="D3076" s="31">
        <f t="shared" si="102"/>
        <v>0.14659094190829169</v>
      </c>
      <c r="F3076" s="2" t="s">
        <v>822</v>
      </c>
      <c r="G3076" s="23" t="s">
        <v>902</v>
      </c>
      <c r="H3076" s="2" t="s">
        <v>822</v>
      </c>
      <c r="J3076" s="31">
        <v>36.060001399999997</v>
      </c>
      <c r="K3076" s="31">
        <v>-19.847999600000001</v>
      </c>
      <c r="L3076" s="31"/>
      <c r="M3076" s="31" t="s">
        <v>854</v>
      </c>
      <c r="N3076" s="6" t="s">
        <v>856</v>
      </c>
    </row>
    <row r="3077" spans="1:14" ht="15" customHeight="1" x14ac:dyDescent="0.2">
      <c r="A3077" s="31">
        <v>0.74754952331604629</v>
      </c>
      <c r="B3077" s="31"/>
      <c r="C3077" s="2" t="s">
        <v>855</v>
      </c>
      <c r="D3077" s="31">
        <f t="shared" si="102"/>
        <v>0.14651970656994509</v>
      </c>
      <c r="F3077" s="2" t="s">
        <v>822</v>
      </c>
      <c r="G3077" s="23" t="s">
        <v>902</v>
      </c>
      <c r="H3077" s="2" t="s">
        <v>822</v>
      </c>
      <c r="J3077" s="31">
        <v>36.611198399999999</v>
      </c>
      <c r="K3077" s="31">
        <v>-31.723400099999999</v>
      </c>
      <c r="L3077" s="31"/>
      <c r="M3077" s="31" t="s">
        <v>854</v>
      </c>
      <c r="N3077" s="6" t="s">
        <v>856</v>
      </c>
    </row>
    <row r="3078" spans="1:14" ht="15" customHeight="1" x14ac:dyDescent="0.2">
      <c r="A3078" s="31">
        <v>0.74746592810013757</v>
      </c>
      <c r="B3078" s="31"/>
      <c r="C3078" s="2" t="s">
        <v>855</v>
      </c>
      <c r="D3078" s="31">
        <f t="shared" si="102"/>
        <v>0.14650332190762697</v>
      </c>
      <c r="F3078" s="2" t="s">
        <v>822</v>
      </c>
      <c r="G3078" s="23" t="s">
        <v>902</v>
      </c>
      <c r="H3078" s="2" t="s">
        <v>822</v>
      </c>
      <c r="J3078" s="31">
        <v>38.063999199999998</v>
      </c>
      <c r="K3078" s="31">
        <v>6.8720001999999996</v>
      </c>
      <c r="L3078" s="31"/>
      <c r="M3078" s="31" t="s">
        <v>854</v>
      </c>
      <c r="N3078" s="6" t="s">
        <v>856</v>
      </c>
    </row>
    <row r="3079" spans="1:14" ht="15" customHeight="1" x14ac:dyDescent="0.2">
      <c r="A3079" s="31">
        <v>0.74706819109877121</v>
      </c>
      <c r="B3079" s="31"/>
      <c r="C3079" s="2" t="s">
        <v>855</v>
      </c>
      <c r="D3079" s="31">
        <f t="shared" si="102"/>
        <v>0.14642536545535917</v>
      </c>
      <c r="F3079" s="2" t="s">
        <v>822</v>
      </c>
      <c r="G3079" s="23" t="s">
        <v>902</v>
      </c>
      <c r="H3079" s="2" t="s">
        <v>822</v>
      </c>
      <c r="J3079" s="31">
        <v>36.616699199999999</v>
      </c>
      <c r="K3079" s="31">
        <v>-20.8050003</v>
      </c>
      <c r="L3079" s="31"/>
      <c r="M3079" s="31" t="s">
        <v>854</v>
      </c>
      <c r="N3079" s="6" t="s">
        <v>856</v>
      </c>
    </row>
    <row r="3080" spans="1:14" ht="15" customHeight="1" x14ac:dyDescent="0.2">
      <c r="A3080" s="31">
        <v>0.7469692731329477</v>
      </c>
      <c r="B3080" s="31"/>
      <c r="C3080" s="2" t="s">
        <v>855</v>
      </c>
      <c r="D3080" s="31">
        <f t="shared" si="102"/>
        <v>0.14640597753405776</v>
      </c>
      <c r="F3080" s="2" t="s">
        <v>822</v>
      </c>
      <c r="G3080" s="23" t="s">
        <v>902</v>
      </c>
      <c r="H3080" s="2" t="s">
        <v>822</v>
      </c>
      <c r="J3080" s="31">
        <v>37.877399400000002</v>
      </c>
      <c r="K3080" s="31">
        <v>21.235799799999999</v>
      </c>
      <c r="L3080" s="31"/>
      <c r="M3080" s="31" t="s">
        <v>854</v>
      </c>
      <c r="N3080" s="6" t="s">
        <v>856</v>
      </c>
    </row>
    <row r="3081" spans="1:14" ht="15" customHeight="1" x14ac:dyDescent="0.2">
      <c r="A3081" s="31">
        <v>0.74695651649328398</v>
      </c>
      <c r="B3081" s="31"/>
      <c r="C3081" s="2" t="s">
        <v>855</v>
      </c>
      <c r="D3081" s="31">
        <f t="shared" si="102"/>
        <v>0.14640347723268365</v>
      </c>
      <c r="F3081" s="2" t="s">
        <v>822</v>
      </c>
      <c r="G3081" s="23" t="s">
        <v>902</v>
      </c>
      <c r="H3081" s="2" t="s">
        <v>822</v>
      </c>
      <c r="J3081" s="31">
        <v>26.708000200000001</v>
      </c>
      <c r="K3081" s="31">
        <v>-41.891998299999997</v>
      </c>
      <c r="L3081" s="31"/>
      <c r="M3081" s="31" t="s">
        <v>854</v>
      </c>
      <c r="N3081" s="6" t="s">
        <v>856</v>
      </c>
    </row>
    <row r="3082" spans="1:14" ht="15" customHeight="1" x14ac:dyDescent="0.2">
      <c r="A3082" s="31">
        <v>0.74685064895997411</v>
      </c>
      <c r="B3082" s="31"/>
      <c r="C3082" s="2" t="s">
        <v>855</v>
      </c>
      <c r="D3082" s="31">
        <f t="shared" si="102"/>
        <v>0.14638272719615494</v>
      </c>
      <c r="F3082" s="2" t="s">
        <v>822</v>
      </c>
      <c r="G3082" s="23" t="s">
        <v>902</v>
      </c>
      <c r="H3082" s="2" t="s">
        <v>822</v>
      </c>
      <c r="J3082" s="31">
        <v>44.078998599999998</v>
      </c>
      <c r="K3082" s="31">
        <v>-21.182199499999999</v>
      </c>
      <c r="L3082" s="31"/>
      <c r="M3082" s="31" t="s">
        <v>854</v>
      </c>
      <c r="N3082" s="6" t="s">
        <v>856</v>
      </c>
    </row>
    <row r="3083" spans="1:14" ht="15" customHeight="1" x14ac:dyDescent="0.2">
      <c r="A3083" s="31">
        <v>0.74683574381737827</v>
      </c>
      <c r="B3083" s="31"/>
      <c r="C3083" s="2" t="s">
        <v>855</v>
      </c>
      <c r="D3083" s="31">
        <f t="shared" si="102"/>
        <v>0.14637980578820614</v>
      </c>
      <c r="F3083" s="2" t="s">
        <v>822</v>
      </c>
      <c r="G3083" s="23" t="s">
        <v>902</v>
      </c>
      <c r="H3083" s="2" t="s">
        <v>822</v>
      </c>
      <c r="J3083" s="31">
        <v>29.3799992</v>
      </c>
      <c r="K3083" s="31">
        <v>49.513801600000001</v>
      </c>
      <c r="L3083" s="31"/>
      <c r="M3083" s="31" t="s">
        <v>854</v>
      </c>
      <c r="N3083" s="6" t="s">
        <v>856</v>
      </c>
    </row>
    <row r="3084" spans="1:14" ht="15" customHeight="1" x14ac:dyDescent="0.2">
      <c r="A3084" s="31">
        <v>0.74669222791945999</v>
      </c>
      <c r="B3084" s="31"/>
      <c r="C3084" s="2" t="s">
        <v>855</v>
      </c>
      <c r="D3084" s="31">
        <f t="shared" si="102"/>
        <v>0.14635167667221416</v>
      </c>
      <c r="F3084" s="2" t="s">
        <v>822</v>
      </c>
      <c r="G3084" s="23" t="s">
        <v>902</v>
      </c>
      <c r="H3084" s="2" t="s">
        <v>822</v>
      </c>
      <c r="J3084" s="31">
        <v>34.818298300000002</v>
      </c>
      <c r="K3084" s="31">
        <v>-17.8271999</v>
      </c>
      <c r="L3084" s="31"/>
      <c r="M3084" s="31" t="s">
        <v>854</v>
      </c>
      <c r="N3084" s="6" t="s">
        <v>856</v>
      </c>
    </row>
    <row r="3085" spans="1:14" ht="15" customHeight="1" x14ac:dyDescent="0.2">
      <c r="A3085" s="31">
        <v>0.74635403879677764</v>
      </c>
      <c r="B3085" s="31"/>
      <c r="C3085" s="2" t="s">
        <v>855</v>
      </c>
      <c r="D3085" s="31">
        <f t="shared" si="102"/>
        <v>0.14628539160416842</v>
      </c>
      <c r="F3085" s="2" t="s">
        <v>822</v>
      </c>
      <c r="G3085" s="23" t="s">
        <v>902</v>
      </c>
      <c r="H3085" s="2" t="s">
        <v>822</v>
      </c>
      <c r="J3085" s="31">
        <v>41.820598599999997</v>
      </c>
      <c r="K3085" s="31">
        <v>-41.891998299999997</v>
      </c>
      <c r="L3085" s="31"/>
      <c r="M3085" s="31" t="s">
        <v>854</v>
      </c>
      <c r="N3085" s="6" t="s">
        <v>856</v>
      </c>
    </row>
    <row r="3086" spans="1:14" ht="15" customHeight="1" x14ac:dyDescent="0.2">
      <c r="A3086" s="31">
        <v>0.74629371628059016</v>
      </c>
      <c r="B3086" s="31"/>
      <c r="C3086" s="2" t="s">
        <v>855</v>
      </c>
      <c r="D3086" s="31">
        <f t="shared" si="102"/>
        <v>0.14627356839099567</v>
      </c>
      <c r="F3086" s="2" t="s">
        <v>822</v>
      </c>
      <c r="G3086" s="23" t="s">
        <v>902</v>
      </c>
      <c r="H3086" s="2" t="s">
        <v>822</v>
      </c>
      <c r="J3086" s="31">
        <v>36.060001399999997</v>
      </c>
      <c r="K3086" s="31">
        <v>20.2320004</v>
      </c>
      <c r="L3086" s="31"/>
      <c r="M3086" s="31" t="s">
        <v>854</v>
      </c>
      <c r="N3086" s="6" t="s">
        <v>856</v>
      </c>
    </row>
    <row r="3087" spans="1:14" ht="15" customHeight="1" x14ac:dyDescent="0.2">
      <c r="A3087" s="31">
        <v>0.74617059874647862</v>
      </c>
      <c r="B3087" s="31"/>
      <c r="C3087" s="2" t="s">
        <v>855</v>
      </c>
      <c r="D3087" s="31">
        <f t="shared" si="102"/>
        <v>0.14624943735430981</v>
      </c>
      <c r="F3087" s="2" t="s">
        <v>822</v>
      </c>
      <c r="G3087" s="23" t="s">
        <v>902</v>
      </c>
      <c r="H3087" s="2" t="s">
        <v>822</v>
      </c>
      <c r="J3087" s="31">
        <v>61.027000399999999</v>
      </c>
      <c r="K3087" s="31">
        <v>19.364099499999998</v>
      </c>
      <c r="L3087" s="31"/>
      <c r="M3087" s="31" t="s">
        <v>854</v>
      </c>
      <c r="N3087" s="6" t="s">
        <v>856</v>
      </c>
    </row>
    <row r="3088" spans="1:14" ht="15" customHeight="1" x14ac:dyDescent="0.2">
      <c r="A3088" s="31">
        <v>0.74612905145944974</v>
      </c>
      <c r="B3088" s="31"/>
      <c r="C3088" s="2" t="s">
        <v>855</v>
      </c>
      <c r="D3088" s="31">
        <f t="shared" si="102"/>
        <v>0.14624129408605216</v>
      </c>
      <c r="F3088" s="2" t="s">
        <v>822</v>
      </c>
      <c r="G3088" s="23" t="s">
        <v>902</v>
      </c>
      <c r="H3088" s="2" t="s">
        <v>822</v>
      </c>
      <c r="J3088" s="31">
        <v>38.372100799999998</v>
      </c>
      <c r="K3088" s="31">
        <v>-41.477001199999997</v>
      </c>
      <c r="L3088" s="31"/>
      <c r="M3088" s="31" t="s">
        <v>854</v>
      </c>
      <c r="N3088" s="6" t="s">
        <v>856</v>
      </c>
    </row>
    <row r="3089" spans="1:14" ht="15" customHeight="1" x14ac:dyDescent="0.2">
      <c r="A3089" s="31">
        <v>0.7456498352772486</v>
      </c>
      <c r="B3089" s="31"/>
      <c r="C3089" s="2" t="s">
        <v>855</v>
      </c>
      <c r="D3089" s="31">
        <f t="shared" si="102"/>
        <v>0.14614736771434073</v>
      </c>
      <c r="F3089" s="2" t="s">
        <v>822</v>
      </c>
      <c r="G3089" s="23" t="s">
        <v>902</v>
      </c>
      <c r="H3089" s="2" t="s">
        <v>822</v>
      </c>
      <c r="J3089" s="31">
        <v>37.187801399999998</v>
      </c>
      <c r="K3089" s="31">
        <v>17.614900599999999</v>
      </c>
      <c r="L3089" s="31"/>
      <c r="M3089" s="31" t="s">
        <v>854</v>
      </c>
      <c r="N3089" s="6" t="s">
        <v>856</v>
      </c>
    </row>
    <row r="3090" spans="1:14" ht="15" customHeight="1" x14ac:dyDescent="0.2">
      <c r="A3090" s="31">
        <v>0.74552789271002928</v>
      </c>
      <c r="B3090" s="31"/>
      <c r="C3090" s="2" t="s">
        <v>855</v>
      </c>
      <c r="D3090" s="31">
        <f t="shared" si="102"/>
        <v>0.14612346697116574</v>
      </c>
      <c r="F3090" s="2" t="s">
        <v>822</v>
      </c>
      <c r="G3090" s="23" t="s">
        <v>902</v>
      </c>
      <c r="H3090" s="2" t="s">
        <v>822</v>
      </c>
      <c r="J3090" s="31">
        <v>33.347801199999999</v>
      </c>
      <c r="K3090" s="31">
        <v>-23.291900600000002</v>
      </c>
      <c r="L3090" s="31"/>
      <c r="M3090" s="31" t="s">
        <v>854</v>
      </c>
      <c r="N3090" s="6" t="s">
        <v>856</v>
      </c>
    </row>
    <row r="3091" spans="1:14" ht="15" customHeight="1" x14ac:dyDescent="0.2">
      <c r="A3091" s="31">
        <v>0.74545378050675237</v>
      </c>
      <c r="B3091" s="31"/>
      <c r="C3091" s="2" t="s">
        <v>855</v>
      </c>
      <c r="D3091" s="31">
        <f t="shared" si="102"/>
        <v>0.14610894097932348</v>
      </c>
      <c r="F3091" s="2" t="s">
        <v>822</v>
      </c>
      <c r="G3091" s="23" t="s">
        <v>902</v>
      </c>
      <c r="H3091" s="2" t="s">
        <v>822</v>
      </c>
      <c r="J3091" s="31">
        <v>41.499198900000003</v>
      </c>
      <c r="K3091" s="31">
        <v>-12.5237999</v>
      </c>
      <c r="L3091" s="31"/>
      <c r="M3091" s="31" t="s">
        <v>854</v>
      </c>
      <c r="N3091" s="6" t="s">
        <v>856</v>
      </c>
    </row>
    <row r="3092" spans="1:14" ht="15" customHeight="1" x14ac:dyDescent="0.2">
      <c r="A3092" s="31">
        <v>0.74540418428512911</v>
      </c>
      <c r="B3092" s="31"/>
      <c r="C3092" s="2" t="s">
        <v>855</v>
      </c>
      <c r="D3092" s="31">
        <f t="shared" si="102"/>
        <v>0.1460992201198853</v>
      </c>
      <c r="F3092" s="2" t="s">
        <v>822</v>
      </c>
      <c r="G3092" s="23" t="s">
        <v>902</v>
      </c>
      <c r="H3092" s="2" t="s">
        <v>822</v>
      </c>
      <c r="J3092" s="31">
        <v>34.723998999999999</v>
      </c>
      <c r="K3092" s="31">
        <v>-9.8280001000000006</v>
      </c>
      <c r="L3092" s="31"/>
      <c r="M3092" s="31" t="s">
        <v>854</v>
      </c>
      <c r="N3092" s="6" t="s">
        <v>856</v>
      </c>
    </row>
    <row r="3093" spans="1:14" ht="15" customHeight="1" x14ac:dyDescent="0.2">
      <c r="A3093" s="31">
        <v>0.74536924420538764</v>
      </c>
      <c r="B3093" s="31"/>
      <c r="C3093" s="2" t="s">
        <v>855</v>
      </c>
      <c r="D3093" s="31">
        <f t="shared" si="102"/>
        <v>0.14609237186425597</v>
      </c>
      <c r="F3093" s="2" t="s">
        <v>822</v>
      </c>
      <c r="G3093" s="23" t="s">
        <v>902</v>
      </c>
      <c r="H3093" s="2" t="s">
        <v>822</v>
      </c>
      <c r="J3093" s="31">
        <v>30.029399900000001</v>
      </c>
      <c r="K3093" s="31">
        <v>-13.852100399999999</v>
      </c>
      <c r="L3093" s="31"/>
      <c r="M3093" s="31" t="s">
        <v>854</v>
      </c>
      <c r="N3093" s="6" t="s">
        <v>856</v>
      </c>
    </row>
    <row r="3094" spans="1:14" ht="15" customHeight="1" x14ac:dyDescent="0.2">
      <c r="A3094" s="31">
        <v>0.74520121544054319</v>
      </c>
      <c r="B3094" s="31"/>
      <c r="C3094" s="2" t="s">
        <v>855</v>
      </c>
      <c r="D3094" s="31">
        <f t="shared" si="102"/>
        <v>0.14605943822634648</v>
      </c>
      <c r="F3094" s="2" t="s">
        <v>822</v>
      </c>
      <c r="G3094" s="23" t="s">
        <v>902</v>
      </c>
      <c r="H3094" s="2" t="s">
        <v>822</v>
      </c>
      <c r="J3094" s="31">
        <v>47.416000400000001</v>
      </c>
      <c r="K3094" s="31">
        <v>-35.880001100000001</v>
      </c>
      <c r="L3094" s="31"/>
      <c r="M3094" s="31" t="s">
        <v>854</v>
      </c>
      <c r="N3094" s="6" t="s">
        <v>856</v>
      </c>
    </row>
    <row r="3095" spans="1:14" ht="15" customHeight="1" x14ac:dyDescent="0.2">
      <c r="A3095" s="31">
        <v>0.74520006564205299</v>
      </c>
      <c r="B3095" s="31"/>
      <c r="C3095" s="2" t="s">
        <v>855</v>
      </c>
      <c r="D3095" s="31">
        <f t="shared" si="102"/>
        <v>0.14605921286584239</v>
      </c>
      <c r="F3095" s="2" t="s">
        <v>822</v>
      </c>
      <c r="G3095" s="23" t="s">
        <v>902</v>
      </c>
      <c r="H3095" s="2" t="s">
        <v>822</v>
      </c>
      <c r="J3095" s="31">
        <v>42.960201300000001</v>
      </c>
      <c r="K3095" s="31">
        <v>-17.127300300000002</v>
      </c>
      <c r="L3095" s="31"/>
      <c r="M3095" s="31" t="s">
        <v>854</v>
      </c>
      <c r="N3095" s="6" t="s">
        <v>856</v>
      </c>
    </row>
    <row r="3096" spans="1:14" ht="15" customHeight="1" x14ac:dyDescent="0.2">
      <c r="A3096" s="31">
        <v>0.74512552936634135</v>
      </c>
      <c r="B3096" s="31"/>
      <c r="C3096" s="2" t="s">
        <v>855</v>
      </c>
      <c r="D3096" s="31">
        <f t="shared" si="102"/>
        <v>0.14604460375580292</v>
      </c>
      <c r="F3096" s="2" t="s">
        <v>822</v>
      </c>
      <c r="G3096" s="23" t="s">
        <v>902</v>
      </c>
      <c r="H3096" s="2" t="s">
        <v>822</v>
      </c>
      <c r="J3096" s="31">
        <v>43.238601699999997</v>
      </c>
      <c r="K3096" s="31">
        <v>-41.891998299999997</v>
      </c>
      <c r="L3096" s="31"/>
      <c r="M3096" s="31" t="s">
        <v>854</v>
      </c>
      <c r="N3096" s="6" t="s">
        <v>856</v>
      </c>
    </row>
    <row r="3097" spans="1:14" ht="15" customHeight="1" x14ac:dyDescent="0.2">
      <c r="A3097" s="31">
        <v>0.74511799995114691</v>
      </c>
      <c r="B3097" s="31"/>
      <c r="C3097" s="2" t="s">
        <v>855</v>
      </c>
      <c r="D3097" s="31">
        <f t="shared" si="102"/>
        <v>0.14604312799042479</v>
      </c>
      <c r="F3097" s="2" t="s">
        <v>822</v>
      </c>
      <c r="G3097" s="23" t="s">
        <v>902</v>
      </c>
      <c r="H3097" s="2" t="s">
        <v>822</v>
      </c>
      <c r="J3097" s="31">
        <v>34.723998999999999</v>
      </c>
      <c r="K3097" s="31">
        <v>-41.891998299999997</v>
      </c>
      <c r="L3097" s="31"/>
      <c r="M3097" s="31" t="s">
        <v>854</v>
      </c>
      <c r="N3097" s="6" t="s">
        <v>856</v>
      </c>
    </row>
    <row r="3098" spans="1:14" ht="15" customHeight="1" x14ac:dyDescent="0.2">
      <c r="A3098" s="31">
        <v>0.74494111586321143</v>
      </c>
      <c r="B3098" s="31"/>
      <c r="C3098" s="2" t="s">
        <v>855</v>
      </c>
      <c r="D3098" s="31">
        <f t="shared" si="102"/>
        <v>0.14600845870918944</v>
      </c>
      <c r="F3098" s="2" t="s">
        <v>822</v>
      </c>
      <c r="G3098" s="23" t="s">
        <v>902</v>
      </c>
      <c r="H3098" s="2" t="s">
        <v>822</v>
      </c>
      <c r="J3098" s="31">
        <v>34.630699200000002</v>
      </c>
      <c r="K3098" s="31">
        <v>-34.541000400000001</v>
      </c>
      <c r="L3098" s="31"/>
      <c r="M3098" s="31" t="s">
        <v>854</v>
      </c>
      <c r="N3098" s="6" t="s">
        <v>856</v>
      </c>
    </row>
    <row r="3099" spans="1:14" ht="15" customHeight="1" x14ac:dyDescent="0.2">
      <c r="A3099" s="31">
        <v>0.7448780748173901</v>
      </c>
      <c r="B3099" s="31"/>
      <c r="C3099" s="2" t="s">
        <v>855</v>
      </c>
      <c r="D3099" s="31">
        <f t="shared" si="102"/>
        <v>0.14599610266420845</v>
      </c>
      <c r="F3099" s="2" t="s">
        <v>822</v>
      </c>
      <c r="G3099" s="23" t="s">
        <v>902</v>
      </c>
      <c r="H3099" s="2" t="s">
        <v>822</v>
      </c>
      <c r="J3099" s="31">
        <v>38.262599899999998</v>
      </c>
      <c r="K3099" s="31">
        <v>15.586099600000001</v>
      </c>
      <c r="L3099" s="31"/>
      <c r="M3099" s="31" t="s">
        <v>854</v>
      </c>
      <c r="N3099" s="6" t="s">
        <v>856</v>
      </c>
    </row>
    <row r="3100" spans="1:14" ht="15" customHeight="1" x14ac:dyDescent="0.2">
      <c r="A3100" s="31">
        <v>0.74482850345764073</v>
      </c>
      <c r="B3100" s="31"/>
      <c r="C3100" s="2" t="s">
        <v>855</v>
      </c>
      <c r="D3100" s="31">
        <f t="shared" si="102"/>
        <v>0.14598638667769759</v>
      </c>
      <c r="F3100" s="2" t="s">
        <v>822</v>
      </c>
      <c r="G3100" s="23" t="s">
        <v>902</v>
      </c>
      <c r="H3100" s="2" t="s">
        <v>822</v>
      </c>
      <c r="J3100" s="31">
        <v>39.509601600000003</v>
      </c>
      <c r="K3100" s="31">
        <v>3.3441200000000002</v>
      </c>
      <c r="L3100" s="31"/>
      <c r="M3100" s="31" t="s">
        <v>854</v>
      </c>
      <c r="N3100" s="6" t="s">
        <v>856</v>
      </c>
    </row>
    <row r="3101" spans="1:14" ht="15" customHeight="1" x14ac:dyDescent="0.2">
      <c r="A3101" s="31">
        <v>0.74466408108442672</v>
      </c>
      <c r="B3101" s="31"/>
      <c r="C3101" s="2" t="s">
        <v>855</v>
      </c>
      <c r="D3101" s="31">
        <f t="shared" si="102"/>
        <v>0.14595415989254765</v>
      </c>
      <c r="F3101" s="2" t="s">
        <v>822</v>
      </c>
      <c r="G3101" s="23" t="s">
        <v>902</v>
      </c>
      <c r="H3101" s="2" t="s">
        <v>822</v>
      </c>
      <c r="J3101" s="31">
        <v>61.088298799999997</v>
      </c>
      <c r="K3101" s="31">
        <v>20.312700299999999</v>
      </c>
      <c r="L3101" s="31"/>
      <c r="M3101" s="31" t="s">
        <v>854</v>
      </c>
      <c r="N3101" s="6" t="s">
        <v>856</v>
      </c>
    </row>
    <row r="3102" spans="1:14" ht="15" customHeight="1" x14ac:dyDescent="0.2">
      <c r="A3102" s="31">
        <v>0.7446336237585347</v>
      </c>
      <c r="B3102" s="31"/>
      <c r="C3102" s="2" t="s">
        <v>855</v>
      </c>
      <c r="D3102" s="31">
        <f t="shared" si="102"/>
        <v>0.1459481902566728</v>
      </c>
      <c r="F3102" s="2" t="s">
        <v>822</v>
      </c>
      <c r="G3102" s="23" t="s">
        <v>902</v>
      </c>
      <c r="H3102" s="2" t="s">
        <v>822</v>
      </c>
      <c r="J3102" s="31">
        <v>58.091098799999997</v>
      </c>
      <c r="K3102" s="31">
        <v>-5.9610500000000002</v>
      </c>
      <c r="L3102" s="31"/>
      <c r="M3102" s="31" t="s">
        <v>854</v>
      </c>
      <c r="N3102" s="6" t="s">
        <v>856</v>
      </c>
    </row>
    <row r="3103" spans="1:14" ht="15" customHeight="1" x14ac:dyDescent="0.2">
      <c r="A3103" s="31">
        <v>0.74441254253947875</v>
      </c>
      <c r="B3103" s="31"/>
      <c r="C3103" s="2" t="s">
        <v>855</v>
      </c>
      <c r="D3103" s="31">
        <f t="shared" si="102"/>
        <v>0.14590485833773784</v>
      </c>
      <c r="F3103" s="2" t="s">
        <v>822</v>
      </c>
      <c r="G3103" s="23" t="s">
        <v>902</v>
      </c>
      <c r="H3103" s="2" t="s">
        <v>822</v>
      </c>
      <c r="J3103" s="31">
        <v>25.3719997</v>
      </c>
      <c r="K3103" s="31">
        <v>-23.187999699999999</v>
      </c>
      <c r="L3103" s="31"/>
      <c r="M3103" s="31" t="s">
        <v>854</v>
      </c>
      <c r="N3103" s="6" t="s">
        <v>856</v>
      </c>
    </row>
    <row r="3104" spans="1:14" ht="15" customHeight="1" x14ac:dyDescent="0.2">
      <c r="A3104" s="31">
        <v>0.74435087685983603</v>
      </c>
      <c r="B3104" s="31"/>
      <c r="C3104" s="2" t="s">
        <v>855</v>
      </c>
      <c r="D3104" s="31">
        <f t="shared" si="102"/>
        <v>0.14589277186452787</v>
      </c>
      <c r="F3104" s="2" t="s">
        <v>822</v>
      </c>
      <c r="G3104" s="23" t="s">
        <v>902</v>
      </c>
      <c r="H3104" s="2" t="s">
        <v>822</v>
      </c>
      <c r="J3104" s="31">
        <v>26.488300299999999</v>
      </c>
      <c r="K3104" s="31">
        <v>52.0110016</v>
      </c>
      <c r="L3104" s="31"/>
      <c r="M3104" s="31" t="s">
        <v>854</v>
      </c>
      <c r="N3104" s="6" t="s">
        <v>856</v>
      </c>
    </row>
    <row r="3105" spans="1:14" ht="15" customHeight="1" x14ac:dyDescent="0.2">
      <c r="A3105" s="31">
        <v>0.74321411937630499</v>
      </c>
      <c r="B3105" s="31"/>
      <c r="C3105" s="2" t="s">
        <v>855</v>
      </c>
      <c r="D3105" s="31">
        <f t="shared" si="102"/>
        <v>0.14566996739775578</v>
      </c>
      <c r="F3105" s="2" t="s">
        <v>822</v>
      </c>
      <c r="G3105" s="23" t="s">
        <v>902</v>
      </c>
      <c r="H3105" s="2" t="s">
        <v>822</v>
      </c>
      <c r="J3105" s="31">
        <v>33.536300699999998</v>
      </c>
      <c r="K3105" s="31">
        <v>21.060199699999998</v>
      </c>
      <c r="L3105" s="31"/>
      <c r="M3105" s="31" t="s">
        <v>854</v>
      </c>
      <c r="N3105" s="6" t="s">
        <v>856</v>
      </c>
    </row>
    <row r="3106" spans="1:14" ht="15" customHeight="1" x14ac:dyDescent="0.2">
      <c r="A3106" s="31">
        <v>0.74312435140128374</v>
      </c>
      <c r="B3106" s="31"/>
      <c r="C3106" s="2" t="s">
        <v>855</v>
      </c>
      <c r="D3106" s="31">
        <f t="shared" ref="D3106:D3169" si="103" xml:space="preserve"> A3106 * 0.196</f>
        <v>0.14565237287465163</v>
      </c>
      <c r="F3106" s="2" t="s">
        <v>822</v>
      </c>
      <c r="G3106" s="23" t="s">
        <v>902</v>
      </c>
      <c r="H3106" s="2" t="s">
        <v>822</v>
      </c>
      <c r="J3106" s="31">
        <v>44.0862999</v>
      </c>
      <c r="K3106" s="31">
        <v>-31.8658009</v>
      </c>
      <c r="L3106" s="31"/>
      <c r="M3106" s="31" t="s">
        <v>854</v>
      </c>
      <c r="N3106" s="6" t="s">
        <v>856</v>
      </c>
    </row>
    <row r="3107" spans="1:14" ht="15" customHeight="1" x14ac:dyDescent="0.2">
      <c r="A3107" s="31">
        <v>0.74298149560228877</v>
      </c>
      <c r="B3107" s="31"/>
      <c r="C3107" s="2" t="s">
        <v>855</v>
      </c>
      <c r="D3107" s="31">
        <f t="shared" si="103"/>
        <v>0.1456243731380486</v>
      </c>
      <c r="F3107" s="2" t="s">
        <v>822</v>
      </c>
      <c r="G3107" s="23" t="s">
        <v>902</v>
      </c>
      <c r="H3107" s="2" t="s">
        <v>822</v>
      </c>
      <c r="J3107" s="31">
        <v>38.132499699999997</v>
      </c>
      <c r="K3107" s="31">
        <v>20.013999900000002</v>
      </c>
      <c r="L3107" s="31"/>
      <c r="M3107" s="31" t="s">
        <v>854</v>
      </c>
      <c r="N3107" s="6" t="s">
        <v>856</v>
      </c>
    </row>
    <row r="3108" spans="1:14" ht="15" customHeight="1" x14ac:dyDescent="0.2">
      <c r="A3108" s="31">
        <v>0.74281883348244826</v>
      </c>
      <c r="B3108" s="31"/>
      <c r="C3108" s="2" t="s">
        <v>855</v>
      </c>
      <c r="D3108" s="31">
        <f t="shared" si="103"/>
        <v>0.14559249136255986</v>
      </c>
      <c r="F3108" s="2" t="s">
        <v>822</v>
      </c>
      <c r="G3108" s="23" t="s">
        <v>902</v>
      </c>
      <c r="H3108" s="2" t="s">
        <v>822</v>
      </c>
      <c r="J3108" s="31">
        <v>42.739799499999997</v>
      </c>
      <c r="K3108" s="31">
        <v>-23.187799500000001</v>
      </c>
      <c r="L3108" s="31"/>
      <c r="M3108" s="31" t="s">
        <v>854</v>
      </c>
      <c r="N3108" s="6" t="s">
        <v>856</v>
      </c>
    </row>
    <row r="3109" spans="1:14" ht="15" customHeight="1" x14ac:dyDescent="0.2">
      <c r="A3109" s="31">
        <v>0.74264324905384316</v>
      </c>
      <c r="B3109" s="31"/>
      <c r="C3109" s="2" t="s">
        <v>855</v>
      </c>
      <c r="D3109" s="31">
        <f t="shared" si="103"/>
        <v>0.14555807681455327</v>
      </c>
      <c r="F3109" s="2" t="s">
        <v>822</v>
      </c>
      <c r="G3109" s="23" t="s">
        <v>902</v>
      </c>
      <c r="H3109" s="2" t="s">
        <v>822</v>
      </c>
      <c r="J3109" s="31">
        <v>42.1194992</v>
      </c>
      <c r="K3109" s="31">
        <v>-30.617399200000001</v>
      </c>
      <c r="L3109" s="31"/>
      <c r="M3109" s="31" t="s">
        <v>854</v>
      </c>
      <c r="N3109" s="6" t="s">
        <v>856</v>
      </c>
    </row>
    <row r="3110" spans="1:14" ht="15" customHeight="1" x14ac:dyDescent="0.2">
      <c r="A3110" s="31">
        <v>0.74255638682344161</v>
      </c>
      <c r="B3110" s="31"/>
      <c r="C3110" s="2" t="s">
        <v>855</v>
      </c>
      <c r="D3110" s="31">
        <f t="shared" si="103"/>
        <v>0.14554105181739457</v>
      </c>
      <c r="F3110" s="2" t="s">
        <v>822</v>
      </c>
      <c r="G3110" s="23" t="s">
        <v>902</v>
      </c>
      <c r="H3110" s="2" t="s">
        <v>822</v>
      </c>
      <c r="J3110" s="31">
        <v>35.221401200000003</v>
      </c>
      <c r="K3110" s="31">
        <v>-16.594100999999998</v>
      </c>
      <c r="L3110" s="31"/>
      <c r="M3110" s="31" t="s">
        <v>854</v>
      </c>
      <c r="N3110" s="6" t="s">
        <v>856</v>
      </c>
    </row>
    <row r="3111" spans="1:14" ht="15" customHeight="1" x14ac:dyDescent="0.2">
      <c r="A3111" s="31">
        <v>0.74242748700265004</v>
      </c>
      <c r="B3111" s="31"/>
      <c r="C3111" s="2" t="s">
        <v>855</v>
      </c>
      <c r="D3111" s="31">
        <f t="shared" si="103"/>
        <v>0.14551578745251942</v>
      </c>
      <c r="F3111" s="2" t="s">
        <v>822</v>
      </c>
      <c r="G3111" s="23" t="s">
        <v>902</v>
      </c>
      <c r="H3111" s="2" t="s">
        <v>822</v>
      </c>
      <c r="J3111" s="31">
        <v>40.022201500000001</v>
      </c>
      <c r="K3111" s="31">
        <v>-37.276298500000003</v>
      </c>
      <c r="L3111" s="31"/>
      <c r="M3111" s="31" t="s">
        <v>854</v>
      </c>
      <c r="N3111" s="6" t="s">
        <v>856</v>
      </c>
    </row>
    <row r="3112" spans="1:14" ht="15" customHeight="1" x14ac:dyDescent="0.2">
      <c r="A3112" s="31">
        <v>0.74228770750196982</v>
      </c>
      <c r="B3112" s="31"/>
      <c r="C3112" s="2" t="s">
        <v>855</v>
      </c>
      <c r="D3112" s="31">
        <f t="shared" si="103"/>
        <v>0.1454883906703861</v>
      </c>
      <c r="F3112" s="2" t="s">
        <v>822</v>
      </c>
      <c r="G3112" s="23" t="s">
        <v>902</v>
      </c>
      <c r="H3112" s="2" t="s">
        <v>822</v>
      </c>
      <c r="J3112" s="31">
        <v>31.0459003</v>
      </c>
      <c r="K3112" s="31">
        <v>-39.572399099999998</v>
      </c>
      <c r="L3112" s="31"/>
      <c r="M3112" s="31" t="s">
        <v>854</v>
      </c>
      <c r="N3112" s="6" t="s">
        <v>856</v>
      </c>
    </row>
    <row r="3113" spans="1:14" ht="15" customHeight="1" x14ac:dyDescent="0.2">
      <c r="A3113" s="31">
        <v>0.74227276707296042</v>
      </c>
      <c r="B3113" s="31"/>
      <c r="C3113" s="2" t="s">
        <v>855</v>
      </c>
      <c r="D3113" s="31">
        <f t="shared" si="103"/>
        <v>0.14548546234630025</v>
      </c>
      <c r="F3113" s="2" t="s">
        <v>822</v>
      </c>
      <c r="G3113" s="23" t="s">
        <v>902</v>
      </c>
      <c r="H3113" s="2" t="s">
        <v>822</v>
      </c>
      <c r="J3113" s="31">
        <v>41.403999300000002</v>
      </c>
      <c r="K3113" s="31">
        <v>-35.212001800000003</v>
      </c>
      <c r="L3113" s="31"/>
      <c r="M3113" s="31" t="s">
        <v>854</v>
      </c>
      <c r="N3113" s="6" t="s">
        <v>856</v>
      </c>
    </row>
    <row r="3114" spans="1:14" ht="15" customHeight="1" x14ac:dyDescent="0.2">
      <c r="A3114" s="31">
        <v>0.74216967524682986</v>
      </c>
      <c r="B3114" s="31"/>
      <c r="C3114" s="2" t="s">
        <v>855</v>
      </c>
      <c r="D3114" s="31">
        <f t="shared" si="103"/>
        <v>0.14546525634837865</v>
      </c>
      <c r="F3114" s="2" t="s">
        <v>822</v>
      </c>
      <c r="G3114" s="23" t="s">
        <v>902</v>
      </c>
      <c r="H3114" s="2" t="s">
        <v>822</v>
      </c>
      <c r="J3114" s="31">
        <v>45.087898299999999</v>
      </c>
      <c r="K3114" s="31">
        <v>-13.5662003</v>
      </c>
      <c r="L3114" s="31"/>
      <c r="M3114" s="31" t="s">
        <v>854</v>
      </c>
      <c r="N3114" s="6" t="s">
        <v>856</v>
      </c>
    </row>
    <row r="3115" spans="1:14" ht="15" customHeight="1" x14ac:dyDescent="0.2">
      <c r="A3115" s="31">
        <v>0.74210632737737181</v>
      </c>
      <c r="B3115" s="31"/>
      <c r="C3115" s="2" t="s">
        <v>855</v>
      </c>
      <c r="D3115" s="31">
        <f t="shared" si="103"/>
        <v>0.14545284016596488</v>
      </c>
      <c r="F3115" s="2" t="s">
        <v>822</v>
      </c>
      <c r="G3115" s="23" t="s">
        <v>902</v>
      </c>
      <c r="H3115" s="2" t="s">
        <v>822</v>
      </c>
      <c r="J3115" s="31">
        <v>38.707401300000001</v>
      </c>
      <c r="K3115" s="31">
        <v>-13.173600199999999</v>
      </c>
      <c r="L3115" s="31"/>
      <c r="M3115" s="31" t="s">
        <v>854</v>
      </c>
      <c r="N3115" s="6" t="s">
        <v>856</v>
      </c>
    </row>
    <row r="3116" spans="1:14" ht="15" customHeight="1" x14ac:dyDescent="0.2">
      <c r="A3116" s="31">
        <v>0.74192342852945414</v>
      </c>
      <c r="B3116" s="31"/>
      <c r="C3116" s="2" t="s">
        <v>855</v>
      </c>
      <c r="D3116" s="31">
        <f t="shared" si="103"/>
        <v>0.14541699199177302</v>
      </c>
      <c r="F3116" s="2" t="s">
        <v>822</v>
      </c>
      <c r="G3116" s="23" t="s">
        <v>902</v>
      </c>
      <c r="H3116" s="2" t="s">
        <v>822</v>
      </c>
      <c r="J3116" s="31">
        <v>40.0680008</v>
      </c>
      <c r="K3116" s="31">
        <v>-35.203399699999999</v>
      </c>
      <c r="L3116" s="31"/>
      <c r="M3116" s="31" t="s">
        <v>854</v>
      </c>
      <c r="N3116" s="6" t="s">
        <v>856</v>
      </c>
    </row>
    <row r="3117" spans="1:14" ht="15" customHeight="1" x14ac:dyDescent="0.2">
      <c r="A3117" s="31">
        <v>0.74171714327189531</v>
      </c>
      <c r="B3117" s="31"/>
      <c r="C3117" s="2" t="s">
        <v>855</v>
      </c>
      <c r="D3117" s="31">
        <f t="shared" si="103"/>
        <v>0.14537656008129149</v>
      </c>
      <c r="F3117" s="2" t="s">
        <v>822</v>
      </c>
      <c r="G3117" s="23" t="s">
        <v>902</v>
      </c>
      <c r="H3117" s="2" t="s">
        <v>822</v>
      </c>
      <c r="J3117" s="31">
        <v>33.571998600000001</v>
      </c>
      <c r="K3117" s="31">
        <v>18.885900500000002</v>
      </c>
      <c r="L3117" s="31"/>
      <c r="M3117" s="31" t="s">
        <v>854</v>
      </c>
      <c r="N3117" s="6" t="s">
        <v>856</v>
      </c>
    </row>
    <row r="3118" spans="1:14" ht="15" customHeight="1" x14ac:dyDescent="0.2">
      <c r="A3118" s="31">
        <v>0.74161341897658573</v>
      </c>
      <c r="B3118" s="31"/>
      <c r="C3118" s="2" t="s">
        <v>855</v>
      </c>
      <c r="D3118" s="31">
        <f t="shared" si="103"/>
        <v>0.14535623011941082</v>
      </c>
      <c r="F3118" s="2" t="s">
        <v>822</v>
      </c>
      <c r="G3118" s="23" t="s">
        <v>902</v>
      </c>
      <c r="H3118" s="2" t="s">
        <v>822</v>
      </c>
      <c r="J3118" s="31">
        <v>33.388000499999997</v>
      </c>
      <c r="K3118" s="31">
        <v>-19.847999600000001</v>
      </c>
      <c r="L3118" s="31"/>
      <c r="M3118" s="31" t="s">
        <v>854</v>
      </c>
      <c r="N3118" s="6" t="s">
        <v>856</v>
      </c>
    </row>
    <row r="3119" spans="1:14" ht="15" customHeight="1" x14ac:dyDescent="0.2">
      <c r="A3119" s="31">
        <v>0.74159120364703301</v>
      </c>
      <c r="B3119" s="31"/>
      <c r="C3119" s="2" t="s">
        <v>855</v>
      </c>
      <c r="D3119" s="31">
        <f t="shared" si="103"/>
        <v>0.14535187591481849</v>
      </c>
      <c r="F3119" s="2" t="s">
        <v>822</v>
      </c>
      <c r="G3119" s="23" t="s">
        <v>902</v>
      </c>
      <c r="H3119" s="2" t="s">
        <v>822</v>
      </c>
      <c r="J3119" s="31">
        <v>54.560600299999997</v>
      </c>
      <c r="K3119" s="31">
        <v>-4.8899102000000001</v>
      </c>
      <c r="L3119" s="31"/>
      <c r="M3119" s="31" t="s">
        <v>854</v>
      </c>
      <c r="N3119" s="6" t="s">
        <v>856</v>
      </c>
    </row>
    <row r="3120" spans="1:14" ht="15" customHeight="1" x14ac:dyDescent="0.2">
      <c r="A3120" s="31">
        <v>0.74153707674793956</v>
      </c>
      <c r="B3120" s="31"/>
      <c r="C3120" s="2" t="s">
        <v>855</v>
      </c>
      <c r="D3120" s="31">
        <f t="shared" si="103"/>
        <v>0.14534126704259617</v>
      </c>
      <c r="F3120" s="2" t="s">
        <v>822</v>
      </c>
      <c r="G3120" s="23" t="s">
        <v>902</v>
      </c>
      <c r="H3120" s="2" t="s">
        <v>822</v>
      </c>
      <c r="J3120" s="31">
        <v>38.9402008</v>
      </c>
      <c r="K3120" s="31">
        <v>-17.385700199999999</v>
      </c>
      <c r="L3120" s="31"/>
      <c r="M3120" s="31" t="s">
        <v>854</v>
      </c>
      <c r="N3120" s="6" t="s">
        <v>856</v>
      </c>
    </row>
    <row r="3121" spans="1:14" ht="15" customHeight="1" x14ac:dyDescent="0.2">
      <c r="A3121" s="31">
        <v>0.74121042878742849</v>
      </c>
      <c r="B3121" s="31"/>
      <c r="C3121" s="2" t="s">
        <v>855</v>
      </c>
      <c r="D3121" s="31">
        <f t="shared" si="103"/>
        <v>0.145277244042336</v>
      </c>
      <c r="F3121" s="2" t="s">
        <v>822</v>
      </c>
      <c r="G3121" s="23" t="s">
        <v>902</v>
      </c>
      <c r="H3121" s="2" t="s">
        <v>822</v>
      </c>
      <c r="J3121" s="31">
        <v>30.7159996</v>
      </c>
      <c r="K3121" s="31">
        <v>-15.171999899999999</v>
      </c>
      <c r="L3121" s="31"/>
      <c r="M3121" s="31" t="s">
        <v>854</v>
      </c>
      <c r="N3121" s="6" t="s">
        <v>856</v>
      </c>
    </row>
    <row r="3122" spans="1:14" ht="15" customHeight="1" x14ac:dyDescent="0.2">
      <c r="A3122" s="31">
        <v>0.74120541014444052</v>
      </c>
      <c r="B3122" s="31"/>
      <c r="C3122" s="2" t="s">
        <v>855</v>
      </c>
      <c r="D3122" s="31">
        <f t="shared" si="103"/>
        <v>0.14527626038831035</v>
      </c>
      <c r="F3122" s="2" t="s">
        <v>822</v>
      </c>
      <c r="G3122" s="23" t="s">
        <v>902</v>
      </c>
      <c r="H3122" s="2" t="s">
        <v>822</v>
      </c>
      <c r="J3122" s="31">
        <v>30.048000300000002</v>
      </c>
      <c r="K3122" s="31">
        <v>-23.187999699999999</v>
      </c>
      <c r="L3122" s="31"/>
      <c r="M3122" s="31" t="s">
        <v>854</v>
      </c>
      <c r="N3122" s="6" t="s">
        <v>856</v>
      </c>
    </row>
    <row r="3123" spans="1:14" ht="15" customHeight="1" x14ac:dyDescent="0.2">
      <c r="A3123" s="31">
        <v>0.74078780013405277</v>
      </c>
      <c r="B3123" s="31"/>
      <c r="C3123" s="2" t="s">
        <v>855</v>
      </c>
      <c r="D3123" s="31">
        <f t="shared" si="103"/>
        <v>0.14519440882627435</v>
      </c>
      <c r="F3123" s="2" t="s">
        <v>822</v>
      </c>
      <c r="G3123" s="23" t="s">
        <v>902</v>
      </c>
      <c r="H3123" s="2" t="s">
        <v>822</v>
      </c>
      <c r="J3123" s="31">
        <v>49.419998200000002</v>
      </c>
      <c r="K3123" s="31">
        <v>-14.5039997</v>
      </c>
      <c r="L3123" s="31"/>
      <c r="M3123" s="31" t="s">
        <v>854</v>
      </c>
      <c r="N3123" s="6" t="s">
        <v>856</v>
      </c>
    </row>
    <row r="3124" spans="1:14" ht="15" customHeight="1" x14ac:dyDescent="0.2">
      <c r="A3124" s="31">
        <v>0.74076990602685955</v>
      </c>
      <c r="B3124" s="31"/>
      <c r="C3124" s="2" t="s">
        <v>855</v>
      </c>
      <c r="D3124" s="31">
        <f t="shared" si="103"/>
        <v>0.14519090158126446</v>
      </c>
      <c r="F3124" s="2" t="s">
        <v>822</v>
      </c>
      <c r="G3124" s="23" t="s">
        <v>902</v>
      </c>
      <c r="H3124" s="2" t="s">
        <v>822</v>
      </c>
      <c r="J3124" s="31">
        <v>29.3799992</v>
      </c>
      <c r="K3124" s="31">
        <v>-33.875999499999999</v>
      </c>
      <c r="L3124" s="31"/>
      <c r="M3124" s="31" t="s">
        <v>854</v>
      </c>
      <c r="N3124" s="6" t="s">
        <v>856</v>
      </c>
    </row>
    <row r="3125" spans="1:14" ht="15" customHeight="1" x14ac:dyDescent="0.2">
      <c r="A3125" s="31">
        <v>0.74055027960427</v>
      </c>
      <c r="B3125" s="31"/>
      <c r="C3125" s="2" t="s">
        <v>855</v>
      </c>
      <c r="D3125" s="31">
        <f t="shared" si="103"/>
        <v>0.14514785480243692</v>
      </c>
      <c r="F3125" s="2" t="s">
        <v>822</v>
      </c>
      <c r="G3125" s="23" t="s">
        <v>902</v>
      </c>
      <c r="H3125" s="2" t="s">
        <v>822</v>
      </c>
      <c r="J3125" s="31">
        <v>33.364498099999999</v>
      </c>
      <c r="K3125" s="31">
        <v>26.917499500000002</v>
      </c>
      <c r="L3125" s="31"/>
      <c r="M3125" s="31" t="s">
        <v>854</v>
      </c>
      <c r="N3125" s="6" t="s">
        <v>856</v>
      </c>
    </row>
    <row r="3126" spans="1:14" ht="15" customHeight="1" x14ac:dyDescent="0.2">
      <c r="A3126" s="31">
        <v>0.74040985709926044</v>
      </c>
      <c r="B3126" s="31"/>
      <c r="C3126" s="2" t="s">
        <v>855</v>
      </c>
      <c r="D3126" s="31">
        <f t="shared" si="103"/>
        <v>0.14512033199145505</v>
      </c>
      <c r="F3126" s="2" t="s">
        <v>822</v>
      </c>
      <c r="G3126" s="23" t="s">
        <v>902</v>
      </c>
      <c r="H3126" s="2" t="s">
        <v>822</v>
      </c>
      <c r="J3126" s="31">
        <v>53.123001100000003</v>
      </c>
      <c r="K3126" s="31">
        <v>-4.5760598000000003</v>
      </c>
      <c r="L3126" s="31"/>
      <c r="M3126" s="31" t="s">
        <v>854</v>
      </c>
      <c r="N3126" s="6" t="s">
        <v>856</v>
      </c>
    </row>
    <row r="3127" spans="1:14" ht="15" customHeight="1" x14ac:dyDescent="0.2">
      <c r="A3127" s="31">
        <v>0.7399947346928355</v>
      </c>
      <c r="B3127" s="31"/>
      <c r="C3127" s="2" t="s">
        <v>855</v>
      </c>
      <c r="D3127" s="31">
        <f t="shared" si="103"/>
        <v>0.14503896799979576</v>
      </c>
      <c r="F3127" s="2" t="s">
        <v>822</v>
      </c>
      <c r="G3127" s="23" t="s">
        <v>902</v>
      </c>
      <c r="H3127" s="2" t="s">
        <v>822</v>
      </c>
      <c r="J3127" s="31">
        <v>30.048000300000002</v>
      </c>
      <c r="K3127" s="31">
        <v>-41.223998999999999</v>
      </c>
      <c r="L3127" s="31"/>
      <c r="M3127" s="31" t="s">
        <v>854</v>
      </c>
      <c r="N3127" s="6" t="s">
        <v>856</v>
      </c>
    </row>
    <row r="3128" spans="1:14" ht="15" customHeight="1" x14ac:dyDescent="0.2">
      <c r="A3128" s="31">
        <v>0.73988903186135502</v>
      </c>
      <c r="B3128" s="31"/>
      <c r="C3128" s="2" t="s">
        <v>855</v>
      </c>
      <c r="D3128" s="31">
        <f t="shared" si="103"/>
        <v>0.14501825024482559</v>
      </c>
      <c r="F3128" s="2" t="s">
        <v>822</v>
      </c>
      <c r="G3128" s="23" t="s">
        <v>902</v>
      </c>
      <c r="H3128" s="2" t="s">
        <v>822</v>
      </c>
      <c r="J3128" s="31">
        <v>35.633300800000001</v>
      </c>
      <c r="K3128" s="31">
        <v>27.2679996</v>
      </c>
      <c r="L3128" s="31"/>
      <c r="M3128" s="31" t="s">
        <v>854</v>
      </c>
      <c r="N3128" s="6" t="s">
        <v>856</v>
      </c>
    </row>
    <row r="3129" spans="1:14" ht="15" customHeight="1" x14ac:dyDescent="0.2">
      <c r="A3129" s="31">
        <v>0.73982200062872372</v>
      </c>
      <c r="B3129" s="31"/>
      <c r="C3129" s="2" t="s">
        <v>855</v>
      </c>
      <c r="D3129" s="31">
        <f t="shared" si="103"/>
        <v>0.14500511212322986</v>
      </c>
      <c r="F3129" s="2" t="s">
        <v>822</v>
      </c>
      <c r="G3129" s="23" t="s">
        <v>902</v>
      </c>
      <c r="H3129" s="2" t="s">
        <v>822</v>
      </c>
      <c r="J3129" s="31">
        <v>36.302799200000003</v>
      </c>
      <c r="K3129" s="31">
        <v>-18.159400900000001</v>
      </c>
      <c r="L3129" s="31"/>
      <c r="M3129" s="31" t="s">
        <v>854</v>
      </c>
      <c r="N3129" s="6" t="s">
        <v>856</v>
      </c>
    </row>
    <row r="3130" spans="1:14" ht="15" customHeight="1" x14ac:dyDescent="0.2">
      <c r="A3130" s="31">
        <v>0.73981302954730821</v>
      </c>
      <c r="B3130" s="31"/>
      <c r="C3130" s="2" t="s">
        <v>855</v>
      </c>
      <c r="D3130" s="31">
        <f t="shared" si="103"/>
        <v>0.14500335379127241</v>
      </c>
      <c r="F3130" s="2" t="s">
        <v>822</v>
      </c>
      <c r="G3130" s="23" t="s">
        <v>902</v>
      </c>
      <c r="H3130" s="2" t="s">
        <v>822</v>
      </c>
      <c r="J3130" s="31">
        <v>50.564998600000003</v>
      </c>
      <c r="K3130" s="31">
        <v>-1.78345</v>
      </c>
      <c r="L3130" s="31"/>
      <c r="M3130" s="31" t="s">
        <v>854</v>
      </c>
      <c r="N3130" s="6" t="s">
        <v>856</v>
      </c>
    </row>
    <row r="3131" spans="1:14" ht="15" customHeight="1" x14ac:dyDescent="0.2">
      <c r="A3131" s="31">
        <v>0.73965528826951776</v>
      </c>
      <c r="B3131" s="31"/>
      <c r="C3131" s="2" t="s">
        <v>855</v>
      </c>
      <c r="D3131" s="31">
        <f t="shared" si="103"/>
        <v>0.14497243650082547</v>
      </c>
      <c r="F3131" s="2" t="s">
        <v>822</v>
      </c>
      <c r="G3131" s="23" t="s">
        <v>902</v>
      </c>
      <c r="H3131" s="2" t="s">
        <v>822</v>
      </c>
      <c r="J3131" s="31">
        <v>32.720001199999999</v>
      </c>
      <c r="K3131" s="31">
        <v>-21.851999299999999</v>
      </c>
      <c r="L3131" s="31"/>
      <c r="M3131" s="31" t="s">
        <v>854</v>
      </c>
      <c r="N3131" s="6" t="s">
        <v>856</v>
      </c>
    </row>
    <row r="3132" spans="1:14" ht="15" customHeight="1" x14ac:dyDescent="0.2">
      <c r="A3132" s="31">
        <v>0.73960580756658234</v>
      </c>
      <c r="B3132" s="31"/>
      <c r="C3132" s="2" t="s">
        <v>855</v>
      </c>
      <c r="D3132" s="31">
        <f t="shared" si="103"/>
        <v>0.14496273828305015</v>
      </c>
      <c r="F3132" s="2" t="s">
        <v>822</v>
      </c>
      <c r="G3132" s="23" t="s">
        <v>902</v>
      </c>
      <c r="H3132" s="2" t="s">
        <v>822</v>
      </c>
      <c r="J3132" s="31">
        <v>33.411701200000003</v>
      </c>
      <c r="K3132" s="31">
        <v>30.795999500000001</v>
      </c>
      <c r="L3132" s="31"/>
      <c r="M3132" s="31" t="s">
        <v>854</v>
      </c>
      <c r="N3132" s="6" t="s">
        <v>856</v>
      </c>
    </row>
    <row r="3133" spans="1:14" ht="15" customHeight="1" x14ac:dyDescent="0.2">
      <c r="A3133" s="31">
        <v>0.73943305338777177</v>
      </c>
      <c r="B3133" s="31"/>
      <c r="C3133" s="2" t="s">
        <v>855</v>
      </c>
      <c r="D3133" s="31">
        <f t="shared" si="103"/>
        <v>0.14492887846400326</v>
      </c>
      <c r="F3133" s="2" t="s">
        <v>822</v>
      </c>
      <c r="G3133" s="23" t="s">
        <v>902</v>
      </c>
      <c r="H3133" s="2" t="s">
        <v>822</v>
      </c>
      <c r="J3133" s="31">
        <v>41.972198499999998</v>
      </c>
      <c r="K3133" s="31">
        <v>15.9378004</v>
      </c>
      <c r="L3133" s="31"/>
      <c r="M3133" s="31" t="s">
        <v>854</v>
      </c>
      <c r="N3133" s="6" t="s">
        <v>856</v>
      </c>
    </row>
    <row r="3134" spans="1:14" ht="15" customHeight="1" x14ac:dyDescent="0.2">
      <c r="A3134" s="31">
        <v>0.73942369229814742</v>
      </c>
      <c r="B3134" s="31"/>
      <c r="C3134" s="2" t="s">
        <v>855</v>
      </c>
      <c r="D3134" s="31">
        <f t="shared" si="103"/>
        <v>0.14492704369043691</v>
      </c>
      <c r="F3134" s="2" t="s">
        <v>822</v>
      </c>
      <c r="G3134" s="23" t="s">
        <v>902</v>
      </c>
      <c r="H3134" s="2" t="s">
        <v>822</v>
      </c>
      <c r="J3134" s="31">
        <v>35.394401600000002</v>
      </c>
      <c r="K3134" s="31">
        <v>-25.8687</v>
      </c>
      <c r="L3134" s="31"/>
      <c r="M3134" s="31" t="s">
        <v>854</v>
      </c>
      <c r="N3134" s="6" t="s">
        <v>856</v>
      </c>
    </row>
    <row r="3135" spans="1:14" ht="15" customHeight="1" x14ac:dyDescent="0.2">
      <c r="A3135" s="31">
        <v>0.7392801556370816</v>
      </c>
      <c r="B3135" s="31"/>
      <c r="C3135" s="2" t="s">
        <v>855</v>
      </c>
      <c r="D3135" s="31">
        <f t="shared" si="103"/>
        <v>0.144898910504868</v>
      </c>
      <c r="F3135" s="2" t="s">
        <v>822</v>
      </c>
      <c r="G3135" s="23" t="s">
        <v>902</v>
      </c>
      <c r="H3135" s="2" t="s">
        <v>822</v>
      </c>
      <c r="J3135" s="31">
        <v>41.855800600000002</v>
      </c>
      <c r="K3135" s="31">
        <v>-11.3329</v>
      </c>
      <c r="L3135" s="31"/>
      <c r="M3135" s="31" t="s">
        <v>854</v>
      </c>
      <c r="N3135" s="6" t="s">
        <v>856</v>
      </c>
    </row>
    <row r="3136" spans="1:14" ht="15" customHeight="1" x14ac:dyDescent="0.2">
      <c r="A3136" s="31">
        <v>0.73916827713675259</v>
      </c>
      <c r="B3136" s="31"/>
      <c r="C3136" s="2" t="s">
        <v>855</v>
      </c>
      <c r="D3136" s="31">
        <f t="shared" si="103"/>
        <v>0.14487698231880353</v>
      </c>
      <c r="F3136" s="2" t="s">
        <v>822</v>
      </c>
      <c r="G3136" s="23" t="s">
        <v>902</v>
      </c>
      <c r="H3136" s="2" t="s">
        <v>822</v>
      </c>
      <c r="J3136" s="31">
        <v>54.347000100000002</v>
      </c>
      <c r="K3136" s="31">
        <v>-9.1445998999999993</v>
      </c>
      <c r="L3136" s="31"/>
      <c r="M3136" s="31" t="s">
        <v>854</v>
      </c>
      <c r="N3136" s="6" t="s">
        <v>856</v>
      </c>
    </row>
    <row r="3137" spans="1:14" ht="15" customHeight="1" x14ac:dyDescent="0.2">
      <c r="A3137" s="31">
        <v>0.7390439362918263</v>
      </c>
      <c r="B3137" s="31"/>
      <c r="C3137" s="2" t="s">
        <v>855</v>
      </c>
      <c r="D3137" s="31">
        <f t="shared" si="103"/>
        <v>0.14485261151319795</v>
      </c>
      <c r="F3137" s="2" t="s">
        <v>822</v>
      </c>
      <c r="G3137" s="23" t="s">
        <v>902</v>
      </c>
      <c r="H3137" s="2" t="s">
        <v>822</v>
      </c>
      <c r="J3137" s="31">
        <v>43.922298400000003</v>
      </c>
      <c r="K3137" s="31">
        <v>13.3266001</v>
      </c>
      <c r="L3137" s="31"/>
      <c r="M3137" s="31" t="s">
        <v>854</v>
      </c>
      <c r="N3137" s="6" t="s">
        <v>856</v>
      </c>
    </row>
    <row r="3138" spans="1:14" ht="15" customHeight="1" x14ac:dyDescent="0.2">
      <c r="A3138" s="31">
        <v>0.73904106291190674</v>
      </c>
      <c r="B3138" s="31"/>
      <c r="C3138" s="2" t="s">
        <v>855</v>
      </c>
      <c r="D3138" s="31">
        <f t="shared" si="103"/>
        <v>0.14485204833073373</v>
      </c>
      <c r="F3138" s="2" t="s">
        <v>822</v>
      </c>
      <c r="G3138" s="23" t="s">
        <v>902</v>
      </c>
      <c r="H3138" s="2" t="s">
        <v>822</v>
      </c>
      <c r="J3138" s="31">
        <v>55.069099399999999</v>
      </c>
      <c r="K3138" s="31">
        <v>-7.4735798999999998</v>
      </c>
      <c r="L3138" s="31"/>
      <c r="M3138" s="31" t="s">
        <v>854</v>
      </c>
      <c r="N3138" s="6" t="s">
        <v>856</v>
      </c>
    </row>
    <row r="3139" spans="1:14" ht="15" customHeight="1" x14ac:dyDescent="0.2">
      <c r="A3139" s="31">
        <v>0.7388793746608372</v>
      </c>
      <c r="B3139" s="31"/>
      <c r="C3139" s="2" t="s">
        <v>855</v>
      </c>
      <c r="D3139" s="31">
        <f t="shared" si="103"/>
        <v>0.14482035743352409</v>
      </c>
      <c r="F3139" s="2" t="s">
        <v>822</v>
      </c>
      <c r="G3139" s="23" t="s">
        <v>902</v>
      </c>
      <c r="H3139" s="2" t="s">
        <v>822</v>
      </c>
      <c r="J3139" s="31">
        <v>50.785800899999998</v>
      </c>
      <c r="K3139" s="31">
        <v>-25.2383995</v>
      </c>
      <c r="L3139" s="31"/>
      <c r="M3139" s="31" t="s">
        <v>854</v>
      </c>
      <c r="N3139" s="6" t="s">
        <v>856</v>
      </c>
    </row>
    <row r="3140" spans="1:14" ht="15" customHeight="1" x14ac:dyDescent="0.2">
      <c r="A3140" s="31">
        <v>0.73867325099474301</v>
      </c>
      <c r="B3140" s="31"/>
      <c r="C3140" s="2" t="s">
        <v>855</v>
      </c>
      <c r="D3140" s="31">
        <f t="shared" si="103"/>
        <v>0.14477995719496964</v>
      </c>
      <c r="F3140" s="2" t="s">
        <v>822</v>
      </c>
      <c r="G3140" s="23" t="s">
        <v>902</v>
      </c>
      <c r="H3140" s="2" t="s">
        <v>822</v>
      </c>
      <c r="J3140" s="31">
        <v>34.656101200000002</v>
      </c>
      <c r="K3140" s="31">
        <v>-25.0191002</v>
      </c>
      <c r="L3140" s="31"/>
      <c r="M3140" s="31" t="s">
        <v>854</v>
      </c>
      <c r="N3140" s="6" t="s">
        <v>856</v>
      </c>
    </row>
    <row r="3141" spans="1:14" ht="15" customHeight="1" x14ac:dyDescent="0.2">
      <c r="A3141" s="31">
        <v>0.73863256961606416</v>
      </c>
      <c r="B3141" s="31"/>
      <c r="C3141" s="2" t="s">
        <v>855</v>
      </c>
      <c r="D3141" s="31">
        <f t="shared" si="103"/>
        <v>0.14477198364474858</v>
      </c>
      <c r="F3141" s="2" t="s">
        <v>822</v>
      </c>
      <c r="G3141" s="23" t="s">
        <v>902</v>
      </c>
      <c r="H3141" s="2" t="s">
        <v>822</v>
      </c>
      <c r="J3141" s="31">
        <v>49.7057991</v>
      </c>
      <c r="K3141" s="31">
        <v>-5.3873300999999998</v>
      </c>
      <c r="L3141" s="31"/>
      <c r="M3141" s="31" t="s">
        <v>854</v>
      </c>
      <c r="N3141" s="6" t="s">
        <v>856</v>
      </c>
    </row>
    <row r="3142" spans="1:14" ht="15" customHeight="1" x14ac:dyDescent="0.2">
      <c r="A3142" s="31">
        <v>0.73855370060547154</v>
      </c>
      <c r="B3142" s="31"/>
      <c r="C3142" s="2" t="s">
        <v>855</v>
      </c>
      <c r="D3142" s="31">
        <f t="shared" si="103"/>
        <v>0.14475652531867242</v>
      </c>
      <c r="F3142" s="2" t="s">
        <v>822</v>
      </c>
      <c r="G3142" s="23" t="s">
        <v>902</v>
      </c>
      <c r="H3142" s="2" t="s">
        <v>822</v>
      </c>
      <c r="J3142" s="31">
        <v>53.528301200000001</v>
      </c>
      <c r="K3142" s="31">
        <v>-3.42191</v>
      </c>
      <c r="L3142" s="31"/>
      <c r="M3142" s="31" t="s">
        <v>854</v>
      </c>
      <c r="N3142" s="6" t="s">
        <v>856</v>
      </c>
    </row>
    <row r="3143" spans="1:14" ht="15" customHeight="1" x14ac:dyDescent="0.2">
      <c r="A3143" s="31">
        <v>0.73845578200331718</v>
      </c>
      <c r="B3143" s="31"/>
      <c r="C3143" s="2" t="s">
        <v>855</v>
      </c>
      <c r="D3143" s="31">
        <f t="shared" si="103"/>
        <v>0.14473733327265018</v>
      </c>
      <c r="F3143" s="2" t="s">
        <v>822</v>
      </c>
      <c r="G3143" s="23" t="s">
        <v>902</v>
      </c>
      <c r="H3143" s="2" t="s">
        <v>822</v>
      </c>
      <c r="J3143" s="31">
        <v>55.278801000000001</v>
      </c>
      <c r="K3143" s="31">
        <v>-5.9422497999999999</v>
      </c>
      <c r="L3143" s="31"/>
      <c r="M3143" s="31" t="s">
        <v>854</v>
      </c>
      <c r="N3143" s="6" t="s">
        <v>856</v>
      </c>
    </row>
    <row r="3144" spans="1:14" ht="15" customHeight="1" x14ac:dyDescent="0.2">
      <c r="A3144" s="31">
        <v>0.73834461719478872</v>
      </c>
      <c r="B3144" s="31"/>
      <c r="C3144" s="2" t="s">
        <v>855</v>
      </c>
      <c r="D3144" s="31">
        <f t="shared" si="103"/>
        <v>0.14471554497017861</v>
      </c>
      <c r="F3144" s="2" t="s">
        <v>822</v>
      </c>
      <c r="G3144" s="23" t="s">
        <v>902</v>
      </c>
      <c r="H3144" s="2" t="s">
        <v>822</v>
      </c>
      <c r="J3144" s="31">
        <v>46.750099200000001</v>
      </c>
      <c r="K3144" s="31">
        <v>-3.1752900999999998</v>
      </c>
      <c r="L3144" s="31"/>
      <c r="M3144" s="31" t="s">
        <v>854</v>
      </c>
      <c r="N3144" s="6" t="s">
        <v>856</v>
      </c>
    </row>
    <row r="3145" spans="1:14" ht="15" customHeight="1" x14ac:dyDescent="0.2">
      <c r="A3145" s="31">
        <v>0.73795845160135798</v>
      </c>
      <c r="B3145" s="31"/>
      <c r="C3145" s="2" t="s">
        <v>855</v>
      </c>
      <c r="D3145" s="31">
        <f t="shared" si="103"/>
        <v>0.14463985651386618</v>
      </c>
      <c r="F3145" s="2" t="s">
        <v>822</v>
      </c>
      <c r="G3145" s="23" t="s">
        <v>902</v>
      </c>
      <c r="H3145" s="2" t="s">
        <v>822</v>
      </c>
      <c r="J3145" s="31">
        <v>34.098998999999999</v>
      </c>
      <c r="K3145" s="31">
        <v>-28.0970993</v>
      </c>
      <c r="L3145" s="31"/>
      <c r="M3145" s="31" t="s">
        <v>854</v>
      </c>
      <c r="N3145" s="6" t="s">
        <v>856</v>
      </c>
    </row>
    <row r="3146" spans="1:14" ht="15" customHeight="1" x14ac:dyDescent="0.2">
      <c r="A3146" s="31">
        <v>0.7378706586332886</v>
      </c>
      <c r="B3146" s="31"/>
      <c r="C3146" s="2" t="s">
        <v>855</v>
      </c>
      <c r="D3146" s="31">
        <f t="shared" si="103"/>
        <v>0.14462264909212458</v>
      </c>
      <c r="F3146" s="2" t="s">
        <v>822</v>
      </c>
      <c r="G3146" s="23" t="s">
        <v>902</v>
      </c>
      <c r="H3146" s="2" t="s">
        <v>822</v>
      </c>
      <c r="J3146" s="31">
        <v>37.757701900000001</v>
      </c>
      <c r="K3146" s="31">
        <v>-31.988899199999999</v>
      </c>
      <c r="L3146" s="31"/>
      <c r="M3146" s="31" t="s">
        <v>854</v>
      </c>
      <c r="N3146" s="6" t="s">
        <v>856</v>
      </c>
    </row>
    <row r="3147" spans="1:14" ht="15" customHeight="1" x14ac:dyDescent="0.2">
      <c r="A3147" s="31">
        <v>0.73785730300606378</v>
      </c>
      <c r="B3147" s="31"/>
      <c r="C3147" s="2" t="s">
        <v>855</v>
      </c>
      <c r="D3147" s="31">
        <f t="shared" si="103"/>
        <v>0.1446200313891885</v>
      </c>
      <c r="F3147" s="2" t="s">
        <v>822</v>
      </c>
      <c r="G3147" s="23" t="s">
        <v>902</v>
      </c>
      <c r="H3147" s="2" t="s">
        <v>822</v>
      </c>
      <c r="J3147" s="31">
        <v>41.105998999999997</v>
      </c>
      <c r="K3147" s="31">
        <v>3.9675701000000001</v>
      </c>
      <c r="L3147" s="31"/>
      <c r="M3147" s="31" t="s">
        <v>854</v>
      </c>
      <c r="N3147" s="6" t="s">
        <v>856</v>
      </c>
    </row>
    <row r="3148" spans="1:14" ht="15" customHeight="1" x14ac:dyDescent="0.2">
      <c r="A3148" s="31">
        <v>0.73784406341792053</v>
      </c>
      <c r="B3148" s="31"/>
      <c r="C3148" s="2" t="s">
        <v>855</v>
      </c>
      <c r="D3148" s="31">
        <f t="shared" si="103"/>
        <v>0.14461743642991243</v>
      </c>
      <c r="F3148" s="2" t="s">
        <v>822</v>
      </c>
      <c r="G3148" s="23" t="s">
        <v>902</v>
      </c>
      <c r="H3148" s="2" t="s">
        <v>822</v>
      </c>
      <c r="J3148" s="31">
        <v>40.650699600000003</v>
      </c>
      <c r="K3148" s="31">
        <v>-33.045898399999999</v>
      </c>
      <c r="L3148" s="31"/>
      <c r="M3148" s="31" t="s">
        <v>854</v>
      </c>
      <c r="N3148" s="6" t="s">
        <v>856</v>
      </c>
    </row>
    <row r="3149" spans="1:14" ht="15" customHeight="1" x14ac:dyDescent="0.2">
      <c r="A3149" s="31">
        <v>0.73781583121950267</v>
      </c>
      <c r="B3149" s="31"/>
      <c r="C3149" s="2" t="s">
        <v>855</v>
      </c>
      <c r="D3149" s="31">
        <f t="shared" si="103"/>
        <v>0.14461190291902254</v>
      </c>
      <c r="F3149" s="2" t="s">
        <v>822</v>
      </c>
      <c r="G3149" s="23" t="s">
        <v>902</v>
      </c>
      <c r="H3149" s="2" t="s">
        <v>822</v>
      </c>
      <c r="J3149" s="31">
        <v>36.682701100000003</v>
      </c>
      <c r="K3149" s="31">
        <v>-9.4686003000000003</v>
      </c>
      <c r="L3149" s="31"/>
      <c r="M3149" s="31" t="s">
        <v>854</v>
      </c>
      <c r="N3149" s="6" t="s">
        <v>856</v>
      </c>
    </row>
    <row r="3150" spans="1:14" ht="15" customHeight="1" x14ac:dyDescent="0.2">
      <c r="A3150" s="31">
        <v>0.73769658737921195</v>
      </c>
      <c r="B3150" s="31"/>
      <c r="C3150" s="2" t="s">
        <v>855</v>
      </c>
      <c r="D3150" s="31">
        <f t="shared" si="103"/>
        <v>0.14458853112632555</v>
      </c>
      <c r="F3150" s="2" t="s">
        <v>822</v>
      </c>
      <c r="G3150" s="23" t="s">
        <v>902</v>
      </c>
      <c r="H3150" s="2" t="s">
        <v>822</v>
      </c>
      <c r="J3150" s="31">
        <v>61.348201799999998</v>
      </c>
      <c r="K3150" s="31">
        <v>18.399499899999999</v>
      </c>
      <c r="L3150" s="31"/>
      <c r="M3150" s="31" t="s">
        <v>854</v>
      </c>
      <c r="N3150" s="6" t="s">
        <v>856</v>
      </c>
    </row>
    <row r="3151" spans="1:14" ht="15" customHeight="1" x14ac:dyDescent="0.2">
      <c r="A3151" s="31">
        <v>0.73755335826940349</v>
      </c>
      <c r="B3151" s="31"/>
      <c r="C3151" s="2" t="s">
        <v>855</v>
      </c>
      <c r="D3151" s="31">
        <f t="shared" si="103"/>
        <v>0.1445604582208031</v>
      </c>
      <c r="F3151" s="2" t="s">
        <v>822</v>
      </c>
      <c r="G3151" s="23" t="s">
        <v>902</v>
      </c>
      <c r="H3151" s="2" t="s">
        <v>822</v>
      </c>
      <c r="J3151" s="31">
        <v>42.740001700000001</v>
      </c>
      <c r="K3151" s="31">
        <v>-36.548000299999998</v>
      </c>
      <c r="L3151" s="31"/>
      <c r="M3151" s="31" t="s">
        <v>854</v>
      </c>
      <c r="N3151" s="6" t="s">
        <v>856</v>
      </c>
    </row>
    <row r="3152" spans="1:14" ht="15" customHeight="1" x14ac:dyDescent="0.2">
      <c r="A3152" s="31">
        <v>0.73721974062138196</v>
      </c>
      <c r="B3152" s="31"/>
      <c r="C3152" s="2" t="s">
        <v>855</v>
      </c>
      <c r="D3152" s="31">
        <f t="shared" si="103"/>
        <v>0.14449506916179086</v>
      </c>
      <c r="F3152" s="2" t="s">
        <v>822</v>
      </c>
      <c r="G3152" s="23" t="s">
        <v>902</v>
      </c>
      <c r="H3152" s="2" t="s">
        <v>822</v>
      </c>
      <c r="J3152" s="31">
        <v>45.411998699999998</v>
      </c>
      <c r="K3152" s="31">
        <v>-23.856000900000002</v>
      </c>
      <c r="L3152" s="31"/>
      <c r="M3152" s="31" t="s">
        <v>854</v>
      </c>
      <c r="N3152" s="6" t="s">
        <v>856</v>
      </c>
    </row>
    <row r="3153" spans="1:14" ht="15" customHeight="1" x14ac:dyDescent="0.2">
      <c r="A3153" s="31">
        <v>0.73703742660678606</v>
      </c>
      <c r="B3153" s="31"/>
      <c r="C3153" s="2" t="s">
        <v>855</v>
      </c>
      <c r="D3153" s="31">
        <f t="shared" si="103"/>
        <v>0.14445933561493007</v>
      </c>
      <c r="F3153" s="2" t="s">
        <v>822</v>
      </c>
      <c r="G3153" s="23" t="s">
        <v>902</v>
      </c>
      <c r="H3153" s="2" t="s">
        <v>822</v>
      </c>
      <c r="J3153" s="31">
        <v>33.779201499999999</v>
      </c>
      <c r="K3153" s="31">
        <v>-31.6550999</v>
      </c>
      <c r="L3153" s="31"/>
      <c r="M3153" s="31" t="s">
        <v>854</v>
      </c>
      <c r="N3153" s="6" t="s">
        <v>856</v>
      </c>
    </row>
    <row r="3154" spans="1:14" ht="15" customHeight="1" x14ac:dyDescent="0.2">
      <c r="A3154" s="31">
        <v>0.73687719208238645</v>
      </c>
      <c r="B3154" s="31"/>
      <c r="C3154" s="2" t="s">
        <v>855</v>
      </c>
      <c r="D3154" s="31">
        <f t="shared" si="103"/>
        <v>0.14442792964814774</v>
      </c>
      <c r="F3154" s="2" t="s">
        <v>822</v>
      </c>
      <c r="G3154" s="23" t="s">
        <v>902</v>
      </c>
      <c r="H3154" s="2" t="s">
        <v>822</v>
      </c>
      <c r="J3154" s="31">
        <v>32.051998099999999</v>
      </c>
      <c r="K3154" s="31">
        <v>-21.851999299999999</v>
      </c>
      <c r="L3154" s="31"/>
      <c r="M3154" s="31" t="s">
        <v>854</v>
      </c>
      <c r="N3154" s="6" t="s">
        <v>856</v>
      </c>
    </row>
    <row r="3155" spans="1:14" ht="15" customHeight="1" x14ac:dyDescent="0.2">
      <c r="A3155" s="31">
        <v>0.73683643798097453</v>
      </c>
      <c r="B3155" s="31"/>
      <c r="C3155" s="2" t="s">
        <v>855</v>
      </c>
      <c r="D3155" s="31">
        <f t="shared" si="103"/>
        <v>0.14441994184427101</v>
      </c>
      <c r="F3155" s="2" t="s">
        <v>822</v>
      </c>
      <c r="G3155" s="23" t="s">
        <v>902</v>
      </c>
      <c r="H3155" s="2" t="s">
        <v>822</v>
      </c>
      <c r="J3155" s="31">
        <v>32.063400299999998</v>
      </c>
      <c r="K3155" s="31">
        <v>-31.192100499999999</v>
      </c>
      <c r="L3155" s="31"/>
      <c r="M3155" s="31" t="s">
        <v>854</v>
      </c>
      <c r="N3155" s="6" t="s">
        <v>856</v>
      </c>
    </row>
    <row r="3156" spans="1:14" ht="15" customHeight="1" x14ac:dyDescent="0.2">
      <c r="A3156" s="31">
        <v>0.73679940425654467</v>
      </c>
      <c r="B3156" s="31"/>
      <c r="C3156" s="2" t="s">
        <v>855</v>
      </c>
      <c r="D3156" s="31">
        <f t="shared" si="103"/>
        <v>0.14441268323428277</v>
      </c>
      <c r="F3156" s="2" t="s">
        <v>822</v>
      </c>
      <c r="G3156" s="23" t="s">
        <v>902</v>
      </c>
      <c r="H3156" s="2" t="s">
        <v>822</v>
      </c>
      <c r="J3156" s="31">
        <v>46.711200699999999</v>
      </c>
      <c r="K3156" s="31">
        <v>-5.9581599000000001</v>
      </c>
      <c r="L3156" s="31"/>
      <c r="M3156" s="31" t="s">
        <v>854</v>
      </c>
      <c r="N3156" s="6" t="s">
        <v>856</v>
      </c>
    </row>
    <row r="3157" spans="1:14" ht="15" customHeight="1" x14ac:dyDescent="0.2">
      <c r="A3157" s="31">
        <v>0.73674942691025691</v>
      </c>
      <c r="B3157" s="31"/>
      <c r="C3157" s="2" t="s">
        <v>855</v>
      </c>
      <c r="D3157" s="31">
        <f t="shared" si="103"/>
        <v>0.14440288767441037</v>
      </c>
      <c r="F3157" s="2" t="s">
        <v>822</v>
      </c>
      <c r="G3157" s="23" t="s">
        <v>902</v>
      </c>
      <c r="H3157" s="2" t="s">
        <v>822</v>
      </c>
      <c r="J3157" s="31">
        <v>31.0351009</v>
      </c>
      <c r="K3157" s="31">
        <v>-11.615400299999999</v>
      </c>
      <c r="L3157" s="31"/>
      <c r="M3157" s="31" t="s">
        <v>854</v>
      </c>
      <c r="N3157" s="6" t="s">
        <v>856</v>
      </c>
    </row>
    <row r="3158" spans="1:14" ht="15" customHeight="1" x14ac:dyDescent="0.2">
      <c r="A3158" s="31">
        <v>0.73647844908443583</v>
      </c>
      <c r="B3158" s="31"/>
      <c r="C3158" s="2" t="s">
        <v>855</v>
      </c>
      <c r="D3158" s="31">
        <f t="shared" si="103"/>
        <v>0.14434977602054944</v>
      </c>
      <c r="F3158" s="2" t="s">
        <v>822</v>
      </c>
      <c r="G3158" s="23" t="s">
        <v>902</v>
      </c>
      <c r="H3158" s="2" t="s">
        <v>822</v>
      </c>
      <c r="J3158" s="31">
        <v>43.408000899999998</v>
      </c>
      <c r="K3158" s="31">
        <v>-38.551998099999999</v>
      </c>
      <c r="L3158" s="31"/>
      <c r="M3158" s="31" t="s">
        <v>854</v>
      </c>
      <c r="N3158" s="6" t="s">
        <v>856</v>
      </c>
    </row>
    <row r="3159" spans="1:14" ht="15" customHeight="1" x14ac:dyDescent="0.2">
      <c r="A3159" s="31">
        <v>0.73636010846813182</v>
      </c>
      <c r="B3159" s="31"/>
      <c r="C3159" s="2" t="s">
        <v>855</v>
      </c>
      <c r="D3159" s="31">
        <f t="shared" si="103"/>
        <v>0.14432658125975384</v>
      </c>
      <c r="F3159" s="2" t="s">
        <v>822</v>
      </c>
      <c r="G3159" s="23" t="s">
        <v>902</v>
      </c>
      <c r="H3159" s="2" t="s">
        <v>822</v>
      </c>
      <c r="J3159" s="31">
        <v>25.3719997</v>
      </c>
      <c r="K3159" s="31">
        <v>-38.551998099999999</v>
      </c>
      <c r="L3159" s="31"/>
      <c r="M3159" s="31" t="s">
        <v>854</v>
      </c>
      <c r="N3159" s="6" t="s">
        <v>856</v>
      </c>
    </row>
    <row r="3160" spans="1:14" ht="15" customHeight="1" x14ac:dyDescent="0.2">
      <c r="A3160" s="31">
        <v>0.7360654130461195</v>
      </c>
      <c r="B3160" s="31"/>
      <c r="C3160" s="2" t="s">
        <v>855</v>
      </c>
      <c r="D3160" s="31">
        <f t="shared" si="103"/>
        <v>0.14426882095703944</v>
      </c>
      <c r="F3160" s="2" t="s">
        <v>822</v>
      </c>
      <c r="G3160" s="23" t="s">
        <v>902</v>
      </c>
      <c r="H3160" s="2" t="s">
        <v>822</v>
      </c>
      <c r="J3160" s="31">
        <v>42.154598200000002</v>
      </c>
      <c r="K3160" s="31">
        <v>6.3878398000000001</v>
      </c>
      <c r="L3160" s="31"/>
      <c r="M3160" s="31" t="s">
        <v>854</v>
      </c>
      <c r="N3160" s="6" t="s">
        <v>856</v>
      </c>
    </row>
    <row r="3161" spans="1:14" ht="15" customHeight="1" x14ac:dyDescent="0.2">
      <c r="A3161" s="31">
        <v>0.73599089317960897</v>
      </c>
      <c r="B3161" s="31"/>
      <c r="C3161" s="2" t="s">
        <v>855</v>
      </c>
      <c r="D3161" s="31">
        <f t="shared" si="103"/>
        <v>0.14425421506320338</v>
      </c>
      <c r="F3161" s="2" t="s">
        <v>822</v>
      </c>
      <c r="G3161" s="23" t="s">
        <v>902</v>
      </c>
      <c r="H3161" s="2" t="s">
        <v>822</v>
      </c>
      <c r="J3161" s="31">
        <v>44.889499700000002</v>
      </c>
      <c r="K3161" s="31">
        <v>-7.1436299999999999</v>
      </c>
      <c r="L3161" s="31"/>
      <c r="M3161" s="31" t="s">
        <v>854</v>
      </c>
      <c r="N3161" s="6" t="s">
        <v>856</v>
      </c>
    </row>
    <row r="3162" spans="1:14" ht="15" customHeight="1" x14ac:dyDescent="0.2">
      <c r="A3162" s="31">
        <v>0.73585956244219908</v>
      </c>
      <c r="B3162" s="31"/>
      <c r="C3162" s="2" t="s">
        <v>855</v>
      </c>
      <c r="D3162" s="31">
        <f t="shared" si="103"/>
        <v>0.14422847423867102</v>
      </c>
      <c r="F3162" s="2" t="s">
        <v>822</v>
      </c>
      <c r="G3162" s="23" t="s">
        <v>902</v>
      </c>
      <c r="H3162" s="2" t="s">
        <v>822</v>
      </c>
      <c r="J3162" s="31">
        <v>34.710998500000002</v>
      </c>
      <c r="K3162" s="31">
        <v>-28.051000599999998</v>
      </c>
      <c r="L3162" s="31"/>
      <c r="M3162" s="31" t="s">
        <v>854</v>
      </c>
      <c r="N3162" s="6" t="s">
        <v>856</v>
      </c>
    </row>
    <row r="3163" spans="1:14" ht="15" customHeight="1" x14ac:dyDescent="0.2">
      <c r="A3163" s="31">
        <v>0.73554274827349941</v>
      </c>
      <c r="B3163" s="31"/>
      <c r="C3163" s="2" t="s">
        <v>855</v>
      </c>
      <c r="D3163" s="31">
        <f t="shared" si="103"/>
        <v>0.14416637866160589</v>
      </c>
      <c r="F3163" s="2" t="s">
        <v>822</v>
      </c>
      <c r="G3163" s="23" t="s">
        <v>902</v>
      </c>
      <c r="H3163" s="2" t="s">
        <v>822</v>
      </c>
      <c r="J3163" s="31">
        <v>37.145401</v>
      </c>
      <c r="K3163" s="31">
        <v>-28.4925003</v>
      </c>
      <c r="L3163" s="31"/>
      <c r="M3163" s="31" t="s">
        <v>854</v>
      </c>
      <c r="N3163" s="6" t="s">
        <v>856</v>
      </c>
    </row>
    <row r="3164" spans="1:14" ht="15" customHeight="1" x14ac:dyDescent="0.2">
      <c r="A3164" s="31">
        <v>0.7353762706767677</v>
      </c>
      <c r="B3164" s="31"/>
      <c r="C3164" s="2" t="s">
        <v>855</v>
      </c>
      <c r="D3164" s="31">
        <f t="shared" si="103"/>
        <v>0.14413374905264648</v>
      </c>
      <c r="F3164" s="2" t="s">
        <v>822</v>
      </c>
      <c r="G3164" s="23" t="s">
        <v>902</v>
      </c>
      <c r="H3164" s="2" t="s">
        <v>822</v>
      </c>
      <c r="J3164" s="31">
        <v>39.033698999999999</v>
      </c>
      <c r="K3164" s="31">
        <v>11.3399</v>
      </c>
      <c r="L3164" s="31"/>
      <c r="M3164" s="31" t="s">
        <v>854</v>
      </c>
      <c r="N3164" s="6" t="s">
        <v>856</v>
      </c>
    </row>
    <row r="3165" spans="1:14" ht="15" customHeight="1" x14ac:dyDescent="0.2">
      <c r="A3165" s="31">
        <v>0.73507663465184314</v>
      </c>
      <c r="B3165" s="31"/>
      <c r="C3165" s="2" t="s">
        <v>855</v>
      </c>
      <c r="D3165" s="31">
        <f t="shared" si="103"/>
        <v>0.14407502039176126</v>
      </c>
      <c r="F3165" s="2" t="s">
        <v>822</v>
      </c>
      <c r="G3165" s="23" t="s">
        <v>902</v>
      </c>
      <c r="H3165" s="2" t="s">
        <v>822</v>
      </c>
      <c r="J3165" s="31">
        <v>53.832599600000002</v>
      </c>
      <c r="K3165" s="31">
        <v>-9.8900299</v>
      </c>
      <c r="L3165" s="31"/>
      <c r="M3165" s="31" t="s">
        <v>854</v>
      </c>
      <c r="N3165" s="6" t="s">
        <v>856</v>
      </c>
    </row>
    <row r="3166" spans="1:14" ht="15" customHeight="1" x14ac:dyDescent="0.2">
      <c r="A3166" s="31">
        <v>0.73503462637772088</v>
      </c>
      <c r="B3166" s="31"/>
      <c r="C3166" s="2" t="s">
        <v>855</v>
      </c>
      <c r="D3166" s="31">
        <f t="shared" si="103"/>
        <v>0.14406678677003329</v>
      </c>
      <c r="F3166" s="2" t="s">
        <v>822</v>
      </c>
      <c r="G3166" s="23" t="s">
        <v>902</v>
      </c>
      <c r="H3166" s="2" t="s">
        <v>822</v>
      </c>
      <c r="J3166" s="31">
        <v>43.408000899999998</v>
      </c>
      <c r="K3166" s="31">
        <v>-25.860000599999999</v>
      </c>
      <c r="L3166" s="31"/>
      <c r="M3166" s="31" t="s">
        <v>854</v>
      </c>
      <c r="N3166" s="6" t="s">
        <v>856</v>
      </c>
    </row>
    <row r="3167" spans="1:14" ht="15" customHeight="1" x14ac:dyDescent="0.2">
      <c r="A3167" s="31">
        <v>0.73495177177759385</v>
      </c>
      <c r="B3167" s="31"/>
      <c r="C3167" s="2" t="s">
        <v>855</v>
      </c>
      <c r="D3167" s="31">
        <f t="shared" si="103"/>
        <v>0.14405054726840841</v>
      </c>
      <c r="F3167" s="2" t="s">
        <v>822</v>
      </c>
      <c r="G3167" s="23" t="s">
        <v>902</v>
      </c>
      <c r="H3167" s="2" t="s">
        <v>822</v>
      </c>
      <c r="J3167" s="31">
        <v>41.901001000000001</v>
      </c>
      <c r="K3167" s="31">
        <v>9.4233598999999995</v>
      </c>
      <c r="L3167" s="31"/>
      <c r="M3167" s="31" t="s">
        <v>854</v>
      </c>
      <c r="N3167" s="6" t="s">
        <v>856</v>
      </c>
    </row>
    <row r="3168" spans="1:14" ht="15" customHeight="1" x14ac:dyDescent="0.2">
      <c r="A3168" s="31">
        <v>0.73479421847860882</v>
      </c>
      <c r="B3168" s="31"/>
      <c r="C3168" s="2" t="s">
        <v>855</v>
      </c>
      <c r="D3168" s="31">
        <f t="shared" si="103"/>
        <v>0.14401966682180734</v>
      </c>
      <c r="F3168" s="2" t="s">
        <v>822</v>
      </c>
      <c r="G3168" s="23" t="s">
        <v>902</v>
      </c>
      <c r="H3168" s="2" t="s">
        <v>822</v>
      </c>
      <c r="J3168" s="31">
        <v>51.594898200000003</v>
      </c>
      <c r="K3168" s="31">
        <v>-2.6616900000000001</v>
      </c>
      <c r="L3168" s="31"/>
      <c r="M3168" s="31" t="s">
        <v>854</v>
      </c>
      <c r="N3168" s="6" t="s">
        <v>856</v>
      </c>
    </row>
    <row r="3169" spans="1:14" ht="15" customHeight="1" x14ac:dyDescent="0.2">
      <c r="A3169" s="31">
        <v>0.73456129597656761</v>
      </c>
      <c r="B3169" s="31"/>
      <c r="C3169" s="2" t="s">
        <v>855</v>
      </c>
      <c r="D3169" s="31">
        <f t="shared" si="103"/>
        <v>0.14397401401140725</v>
      </c>
      <c r="F3169" s="2" t="s">
        <v>822</v>
      </c>
      <c r="G3169" s="23" t="s">
        <v>902</v>
      </c>
      <c r="H3169" s="2" t="s">
        <v>822</v>
      </c>
      <c r="J3169" s="31">
        <v>40.946098300000003</v>
      </c>
      <c r="K3169" s="31">
        <v>-30.728599500000001</v>
      </c>
      <c r="L3169" s="31"/>
      <c r="M3169" s="31" t="s">
        <v>854</v>
      </c>
      <c r="N3169" s="6" t="s">
        <v>856</v>
      </c>
    </row>
    <row r="3170" spans="1:14" ht="15" customHeight="1" x14ac:dyDescent="0.2">
      <c r="A3170" s="31">
        <v>0.73454768482205324</v>
      </c>
      <c r="B3170" s="31"/>
      <c r="C3170" s="2" t="s">
        <v>855</v>
      </c>
      <c r="D3170" s="31">
        <f t="shared" ref="D3170:D3233" si="104" xml:space="preserve"> A3170 * 0.196</f>
        <v>0.14397134622512245</v>
      </c>
      <c r="F3170" s="2" t="s">
        <v>822</v>
      </c>
      <c r="G3170" s="23" t="s">
        <v>902</v>
      </c>
      <c r="H3170" s="2" t="s">
        <v>822</v>
      </c>
      <c r="J3170" s="31">
        <v>32.269599900000003</v>
      </c>
      <c r="K3170" s="31">
        <v>27.579999900000001</v>
      </c>
      <c r="L3170" s="31"/>
      <c r="M3170" s="31" t="s">
        <v>854</v>
      </c>
      <c r="N3170" s="6" t="s">
        <v>856</v>
      </c>
    </row>
    <row r="3171" spans="1:14" ht="15" customHeight="1" x14ac:dyDescent="0.2">
      <c r="A3171" s="31">
        <v>0.73424575165244166</v>
      </c>
      <c r="B3171" s="31"/>
      <c r="C3171" s="2" t="s">
        <v>855</v>
      </c>
      <c r="D3171" s="31">
        <f t="shared" si="104"/>
        <v>0.14391216732387857</v>
      </c>
      <c r="F3171" s="2" t="s">
        <v>822</v>
      </c>
      <c r="G3171" s="23" t="s">
        <v>902</v>
      </c>
      <c r="H3171" s="2" t="s">
        <v>822</v>
      </c>
      <c r="J3171" s="31">
        <v>26.940700499999998</v>
      </c>
      <c r="K3171" s="31">
        <v>-25.312200499999999</v>
      </c>
      <c r="L3171" s="31"/>
      <c r="M3171" s="31" t="s">
        <v>854</v>
      </c>
      <c r="N3171" s="6" t="s">
        <v>856</v>
      </c>
    </row>
    <row r="3172" spans="1:14" ht="15" customHeight="1" x14ac:dyDescent="0.2">
      <c r="A3172" s="31">
        <v>0.73422823056522257</v>
      </c>
      <c r="B3172" s="31"/>
      <c r="C3172" s="2" t="s">
        <v>855</v>
      </c>
      <c r="D3172" s="31">
        <f t="shared" si="104"/>
        <v>0.14390873319078362</v>
      </c>
      <c r="F3172" s="2" t="s">
        <v>822</v>
      </c>
      <c r="G3172" s="23" t="s">
        <v>902</v>
      </c>
      <c r="H3172" s="2" t="s">
        <v>822</v>
      </c>
      <c r="J3172" s="31">
        <v>34.4396019</v>
      </c>
      <c r="K3172" s="31">
        <v>-24.4256992</v>
      </c>
      <c r="L3172" s="31"/>
      <c r="M3172" s="31" t="s">
        <v>854</v>
      </c>
      <c r="N3172" s="6" t="s">
        <v>856</v>
      </c>
    </row>
    <row r="3173" spans="1:14" ht="15" customHeight="1" x14ac:dyDescent="0.2">
      <c r="A3173" s="31">
        <v>0.73416094611246419</v>
      </c>
      <c r="B3173" s="31"/>
      <c r="C3173" s="2" t="s">
        <v>855</v>
      </c>
      <c r="D3173" s="31">
        <f t="shared" si="104"/>
        <v>0.14389554543804298</v>
      </c>
      <c r="F3173" s="2" t="s">
        <v>822</v>
      </c>
      <c r="G3173" s="23" t="s">
        <v>902</v>
      </c>
      <c r="H3173" s="2" t="s">
        <v>822</v>
      </c>
      <c r="J3173" s="31">
        <v>32.917800900000003</v>
      </c>
      <c r="K3173" s="31">
        <v>12.8428001</v>
      </c>
      <c r="L3173" s="31"/>
      <c r="M3173" s="31" t="s">
        <v>854</v>
      </c>
      <c r="N3173" s="6" t="s">
        <v>856</v>
      </c>
    </row>
    <row r="3174" spans="1:14" ht="15" customHeight="1" x14ac:dyDescent="0.2">
      <c r="A3174" s="31">
        <v>0.73333094370926033</v>
      </c>
      <c r="B3174" s="31"/>
      <c r="C3174" s="2" t="s">
        <v>855</v>
      </c>
      <c r="D3174" s="31">
        <f t="shared" si="104"/>
        <v>0.14373286496701504</v>
      </c>
      <c r="F3174" s="2" t="s">
        <v>822</v>
      </c>
      <c r="G3174" s="23" t="s">
        <v>902</v>
      </c>
      <c r="H3174" s="2" t="s">
        <v>822</v>
      </c>
      <c r="J3174" s="31">
        <v>46.509200999999997</v>
      </c>
      <c r="K3174" s="31">
        <v>-11.880100300000001</v>
      </c>
      <c r="L3174" s="31"/>
      <c r="M3174" s="31" t="s">
        <v>854</v>
      </c>
      <c r="N3174" s="6" t="s">
        <v>856</v>
      </c>
    </row>
    <row r="3175" spans="1:14" ht="15" customHeight="1" x14ac:dyDescent="0.2">
      <c r="A3175" s="31">
        <v>0.73330455649414039</v>
      </c>
      <c r="B3175" s="31"/>
      <c r="C3175" s="2" t="s">
        <v>855</v>
      </c>
      <c r="D3175" s="31">
        <f t="shared" si="104"/>
        <v>0.14372769307285152</v>
      </c>
      <c r="F3175" s="2" t="s">
        <v>822</v>
      </c>
      <c r="G3175" s="23" t="s">
        <v>902</v>
      </c>
      <c r="H3175" s="2" t="s">
        <v>822</v>
      </c>
      <c r="J3175" s="31">
        <v>36.060001399999997</v>
      </c>
      <c r="K3175" s="31">
        <v>-25.860000599999999</v>
      </c>
      <c r="L3175" s="31"/>
      <c r="M3175" s="31" t="s">
        <v>854</v>
      </c>
      <c r="N3175" s="6" t="s">
        <v>856</v>
      </c>
    </row>
    <row r="3176" spans="1:14" ht="15" customHeight="1" x14ac:dyDescent="0.2">
      <c r="A3176" s="31">
        <v>0.73326333093257945</v>
      </c>
      <c r="B3176" s="31"/>
      <c r="C3176" s="2" t="s">
        <v>855</v>
      </c>
      <c r="D3176" s="31">
        <f t="shared" si="104"/>
        <v>0.14371961286278559</v>
      </c>
      <c r="F3176" s="2" t="s">
        <v>822</v>
      </c>
      <c r="G3176" s="23" t="s">
        <v>902</v>
      </c>
      <c r="H3176" s="2" t="s">
        <v>822</v>
      </c>
      <c r="J3176" s="31">
        <v>34.083698300000002</v>
      </c>
      <c r="K3176" s="31">
        <v>-23.896099100000001</v>
      </c>
      <c r="L3176" s="31"/>
      <c r="M3176" s="31" t="s">
        <v>854</v>
      </c>
      <c r="N3176" s="6" t="s">
        <v>856</v>
      </c>
    </row>
    <row r="3177" spans="1:14" ht="15" customHeight="1" x14ac:dyDescent="0.2">
      <c r="A3177" s="31">
        <v>0.73317732401091973</v>
      </c>
      <c r="B3177" s="31"/>
      <c r="C3177" s="2" t="s">
        <v>855</v>
      </c>
      <c r="D3177" s="31">
        <f t="shared" si="104"/>
        <v>0.14370275550614028</v>
      </c>
      <c r="F3177" s="2" t="s">
        <v>822</v>
      </c>
      <c r="G3177" s="23" t="s">
        <v>902</v>
      </c>
      <c r="H3177" s="2" t="s">
        <v>822</v>
      </c>
      <c r="J3177" s="31">
        <v>38.731998400000002</v>
      </c>
      <c r="K3177" s="31">
        <v>-36.548000299999998</v>
      </c>
      <c r="L3177" s="31"/>
      <c r="M3177" s="31" t="s">
        <v>854</v>
      </c>
      <c r="N3177" s="6" t="s">
        <v>856</v>
      </c>
    </row>
    <row r="3178" spans="1:14" ht="15" customHeight="1" x14ac:dyDescent="0.2">
      <c r="A3178" s="31">
        <v>0.73303788788675894</v>
      </c>
      <c r="B3178" s="31"/>
      <c r="C3178" s="2" t="s">
        <v>855</v>
      </c>
      <c r="D3178" s="31">
        <f t="shared" si="104"/>
        <v>0.14367542602580477</v>
      </c>
      <c r="F3178" s="2" t="s">
        <v>822</v>
      </c>
      <c r="G3178" s="23" t="s">
        <v>902</v>
      </c>
      <c r="H3178" s="2" t="s">
        <v>822</v>
      </c>
      <c r="J3178" s="31">
        <v>28.0440006</v>
      </c>
      <c r="K3178" s="31">
        <v>-39.220001199999999</v>
      </c>
      <c r="L3178" s="31"/>
      <c r="M3178" s="31" t="s">
        <v>854</v>
      </c>
      <c r="N3178" s="6" t="s">
        <v>856</v>
      </c>
    </row>
    <row r="3179" spans="1:14" ht="15" customHeight="1" x14ac:dyDescent="0.2">
      <c r="A3179" s="31">
        <v>0.73274857480407485</v>
      </c>
      <c r="B3179" s="31"/>
      <c r="C3179" s="2" t="s">
        <v>855</v>
      </c>
      <c r="D3179" s="31">
        <f t="shared" si="104"/>
        <v>0.14361872066159867</v>
      </c>
      <c r="F3179" s="2" t="s">
        <v>822</v>
      </c>
      <c r="G3179" s="23" t="s">
        <v>902</v>
      </c>
      <c r="H3179" s="2" t="s">
        <v>822</v>
      </c>
      <c r="J3179" s="31">
        <v>31.0506001</v>
      </c>
      <c r="K3179" s="31">
        <v>-40.892398800000002</v>
      </c>
      <c r="L3179" s="31"/>
      <c r="M3179" s="31" t="s">
        <v>854</v>
      </c>
      <c r="N3179" s="6" t="s">
        <v>856</v>
      </c>
    </row>
    <row r="3180" spans="1:14" ht="15" customHeight="1" x14ac:dyDescent="0.2">
      <c r="A3180" s="31">
        <v>0.73252958780312416</v>
      </c>
      <c r="B3180" s="31"/>
      <c r="C3180" s="2" t="s">
        <v>855</v>
      </c>
      <c r="D3180" s="31">
        <f t="shared" si="104"/>
        <v>0.14357579920941235</v>
      </c>
      <c r="F3180" s="2" t="s">
        <v>822</v>
      </c>
      <c r="G3180" s="23" t="s">
        <v>902</v>
      </c>
      <c r="H3180" s="2" t="s">
        <v>822</v>
      </c>
      <c r="J3180" s="31">
        <v>34.789299</v>
      </c>
      <c r="K3180" s="31">
        <v>21.5785999</v>
      </c>
      <c r="L3180" s="31"/>
      <c r="M3180" s="31" t="s">
        <v>854</v>
      </c>
      <c r="N3180" s="6" t="s">
        <v>856</v>
      </c>
    </row>
    <row r="3181" spans="1:14" ht="15" customHeight="1" x14ac:dyDescent="0.2">
      <c r="A3181" s="31">
        <v>0.73234742078875625</v>
      </c>
      <c r="B3181" s="31"/>
      <c r="C3181" s="2" t="s">
        <v>855</v>
      </c>
      <c r="D3181" s="31">
        <f t="shared" si="104"/>
        <v>0.14354009447459623</v>
      </c>
      <c r="F3181" s="2" t="s">
        <v>822</v>
      </c>
      <c r="G3181" s="23" t="s">
        <v>902</v>
      </c>
      <c r="H3181" s="2" t="s">
        <v>822</v>
      </c>
      <c r="J3181" s="31">
        <v>36.678600299999999</v>
      </c>
      <c r="K3181" s="31">
        <v>-25.945999100000002</v>
      </c>
      <c r="L3181" s="31"/>
      <c r="M3181" s="31" t="s">
        <v>854</v>
      </c>
      <c r="N3181" s="6" t="s">
        <v>856</v>
      </c>
    </row>
    <row r="3182" spans="1:14" ht="15" customHeight="1" x14ac:dyDescent="0.2">
      <c r="A3182" s="31">
        <v>0.73204057016249657</v>
      </c>
      <c r="B3182" s="31"/>
      <c r="C3182" s="2" t="s">
        <v>855</v>
      </c>
      <c r="D3182" s="31">
        <f t="shared" si="104"/>
        <v>0.14347995175184933</v>
      </c>
      <c r="F3182" s="2" t="s">
        <v>822</v>
      </c>
      <c r="G3182" s="23" t="s">
        <v>902</v>
      </c>
      <c r="H3182" s="2" t="s">
        <v>822</v>
      </c>
      <c r="J3182" s="31">
        <v>47.416000400000001</v>
      </c>
      <c r="K3182" s="31">
        <v>-38.551998099999999</v>
      </c>
      <c r="L3182" s="31"/>
      <c r="M3182" s="31" t="s">
        <v>854</v>
      </c>
      <c r="N3182" s="6" t="s">
        <v>856</v>
      </c>
    </row>
    <row r="3183" spans="1:14" ht="15" customHeight="1" x14ac:dyDescent="0.2">
      <c r="A3183" s="31">
        <v>0.73186218854751928</v>
      </c>
      <c r="B3183" s="31"/>
      <c r="C3183" s="2" t="s">
        <v>855</v>
      </c>
      <c r="D3183" s="31">
        <f t="shared" si="104"/>
        <v>0.1434449889553138</v>
      </c>
      <c r="F3183" s="2" t="s">
        <v>822</v>
      </c>
      <c r="G3183" s="23" t="s">
        <v>902</v>
      </c>
      <c r="H3183" s="2" t="s">
        <v>822</v>
      </c>
      <c r="J3183" s="31">
        <v>42.733898199999999</v>
      </c>
      <c r="K3183" s="31">
        <v>-26.856000900000002</v>
      </c>
      <c r="L3183" s="31"/>
      <c r="M3183" s="31" t="s">
        <v>854</v>
      </c>
      <c r="N3183" s="6" t="s">
        <v>856</v>
      </c>
    </row>
    <row r="3184" spans="1:14" ht="15" customHeight="1" x14ac:dyDescent="0.2">
      <c r="A3184" s="31">
        <v>0.73154402006049679</v>
      </c>
      <c r="B3184" s="31"/>
      <c r="C3184" s="2" t="s">
        <v>855</v>
      </c>
      <c r="D3184" s="31">
        <f t="shared" si="104"/>
        <v>0.14338262793185738</v>
      </c>
      <c r="F3184" s="2" t="s">
        <v>822</v>
      </c>
      <c r="G3184" s="23" t="s">
        <v>902</v>
      </c>
      <c r="H3184" s="2" t="s">
        <v>822</v>
      </c>
      <c r="J3184" s="31">
        <v>35.391998299999997</v>
      </c>
      <c r="K3184" s="31">
        <v>28.916000400000001</v>
      </c>
      <c r="L3184" s="31"/>
      <c r="M3184" s="31" t="s">
        <v>854</v>
      </c>
      <c r="N3184" s="6" t="s">
        <v>856</v>
      </c>
    </row>
    <row r="3185" spans="1:14" ht="15" customHeight="1" x14ac:dyDescent="0.2">
      <c r="A3185" s="31">
        <v>0.73140599888181124</v>
      </c>
      <c r="B3185" s="31"/>
      <c r="C3185" s="2" t="s">
        <v>855</v>
      </c>
      <c r="D3185" s="31">
        <f t="shared" si="104"/>
        <v>0.14335557578083502</v>
      </c>
      <c r="F3185" s="2" t="s">
        <v>822</v>
      </c>
      <c r="G3185" s="23" t="s">
        <v>902</v>
      </c>
      <c r="H3185" s="2" t="s">
        <v>822</v>
      </c>
      <c r="J3185" s="31">
        <v>32.7206993</v>
      </c>
      <c r="K3185" s="31">
        <v>20.799600600000002</v>
      </c>
      <c r="L3185" s="31"/>
      <c r="M3185" s="31" t="s">
        <v>854</v>
      </c>
      <c r="N3185" s="6" t="s">
        <v>856</v>
      </c>
    </row>
    <row r="3186" spans="1:14" ht="15" customHeight="1" x14ac:dyDescent="0.2">
      <c r="A3186" s="31">
        <v>0.73137561877786861</v>
      </c>
      <c r="B3186" s="31"/>
      <c r="C3186" s="2" t="s">
        <v>855</v>
      </c>
      <c r="D3186" s="31">
        <f t="shared" si="104"/>
        <v>0.14334962128046225</v>
      </c>
      <c r="F3186" s="2" t="s">
        <v>822</v>
      </c>
      <c r="G3186" s="23" t="s">
        <v>902</v>
      </c>
      <c r="H3186" s="2" t="s">
        <v>822</v>
      </c>
      <c r="J3186" s="31">
        <v>25.979700099999999</v>
      </c>
      <c r="K3186" s="31">
        <v>53.207298299999998</v>
      </c>
      <c r="L3186" s="31"/>
      <c r="M3186" s="31" t="s">
        <v>854</v>
      </c>
      <c r="N3186" s="6" t="s">
        <v>856</v>
      </c>
    </row>
    <row r="3187" spans="1:14" ht="15" customHeight="1" x14ac:dyDescent="0.2">
      <c r="A3187" s="31">
        <v>0.73095003747079057</v>
      </c>
      <c r="B3187" s="31"/>
      <c r="C3187" s="2" t="s">
        <v>855</v>
      </c>
      <c r="D3187" s="31">
        <f t="shared" si="104"/>
        <v>0.14326620734427495</v>
      </c>
      <c r="F3187" s="2" t="s">
        <v>822</v>
      </c>
      <c r="G3187" s="23" t="s">
        <v>902</v>
      </c>
      <c r="H3187" s="2" t="s">
        <v>822</v>
      </c>
      <c r="J3187" s="31">
        <v>46.693698900000001</v>
      </c>
      <c r="K3187" s="31">
        <v>-10.481699900000001</v>
      </c>
      <c r="L3187" s="31"/>
      <c r="M3187" s="31" t="s">
        <v>854</v>
      </c>
      <c r="N3187" s="6" t="s">
        <v>856</v>
      </c>
    </row>
    <row r="3188" spans="1:14" ht="15" customHeight="1" x14ac:dyDescent="0.2">
      <c r="A3188" s="31">
        <v>0.73083244639746614</v>
      </c>
      <c r="B3188" s="31"/>
      <c r="C3188" s="2" t="s">
        <v>855</v>
      </c>
      <c r="D3188" s="31">
        <f t="shared" si="104"/>
        <v>0.14324315949390337</v>
      </c>
      <c r="F3188" s="2" t="s">
        <v>822</v>
      </c>
      <c r="G3188" s="23" t="s">
        <v>902</v>
      </c>
      <c r="H3188" s="2" t="s">
        <v>822</v>
      </c>
      <c r="J3188" s="31">
        <v>43.745498699999999</v>
      </c>
      <c r="K3188" s="31">
        <v>-38.907398200000003</v>
      </c>
      <c r="L3188" s="31"/>
      <c r="M3188" s="31" t="s">
        <v>854</v>
      </c>
      <c r="N3188" s="6" t="s">
        <v>856</v>
      </c>
    </row>
    <row r="3189" spans="1:14" ht="15" customHeight="1" x14ac:dyDescent="0.2">
      <c r="A3189" s="31">
        <v>0.73073639293467219</v>
      </c>
      <c r="B3189" s="31"/>
      <c r="C3189" s="2" t="s">
        <v>855</v>
      </c>
      <c r="D3189" s="31">
        <f t="shared" si="104"/>
        <v>0.14322433301519574</v>
      </c>
      <c r="F3189" s="2" t="s">
        <v>822</v>
      </c>
      <c r="G3189" s="23" t="s">
        <v>902</v>
      </c>
      <c r="H3189" s="2" t="s">
        <v>822</v>
      </c>
      <c r="J3189" s="31">
        <v>41.686599700000002</v>
      </c>
      <c r="K3189" s="31">
        <v>17.711700400000002</v>
      </c>
      <c r="L3189" s="31"/>
      <c r="M3189" s="31" t="s">
        <v>854</v>
      </c>
      <c r="N3189" s="6" t="s">
        <v>856</v>
      </c>
    </row>
    <row r="3190" spans="1:14" ht="15" customHeight="1" x14ac:dyDescent="0.2">
      <c r="A3190" s="31">
        <v>0.73058884284130488</v>
      </c>
      <c r="B3190" s="31"/>
      <c r="C3190" s="2" t="s">
        <v>855</v>
      </c>
      <c r="D3190" s="31">
        <f t="shared" si="104"/>
        <v>0.14319541319689577</v>
      </c>
      <c r="F3190" s="2" t="s">
        <v>822</v>
      </c>
      <c r="G3190" s="23" t="s">
        <v>902</v>
      </c>
      <c r="H3190" s="2" t="s">
        <v>822</v>
      </c>
      <c r="J3190" s="31">
        <v>42.073299400000003</v>
      </c>
      <c r="K3190" s="31">
        <v>-31.2029991</v>
      </c>
      <c r="L3190" s="31"/>
      <c r="M3190" s="31" t="s">
        <v>854</v>
      </c>
      <c r="N3190" s="6" t="s">
        <v>856</v>
      </c>
    </row>
    <row r="3191" spans="1:14" ht="15" customHeight="1" x14ac:dyDescent="0.2">
      <c r="A3191" s="31">
        <v>0.73020857740604639</v>
      </c>
      <c r="B3191" s="31"/>
      <c r="C3191" s="2" t="s">
        <v>855</v>
      </c>
      <c r="D3191" s="31">
        <f t="shared" si="104"/>
        <v>0.14312088117158508</v>
      </c>
      <c r="F3191" s="2" t="s">
        <v>822</v>
      </c>
      <c r="G3191" s="23" t="s">
        <v>902</v>
      </c>
      <c r="H3191" s="2" t="s">
        <v>822</v>
      </c>
      <c r="J3191" s="31">
        <v>45.015399899999998</v>
      </c>
      <c r="K3191" s="31">
        <v>-9.1163702000000004</v>
      </c>
      <c r="L3191" s="31"/>
      <c r="M3191" s="31" t="s">
        <v>854</v>
      </c>
      <c r="N3191" s="6" t="s">
        <v>856</v>
      </c>
    </row>
    <row r="3192" spans="1:14" ht="15" customHeight="1" x14ac:dyDescent="0.2">
      <c r="A3192" s="31">
        <v>0.730193507986584</v>
      </c>
      <c r="B3192" s="31"/>
      <c r="C3192" s="2" t="s">
        <v>855</v>
      </c>
      <c r="D3192" s="31">
        <f t="shared" si="104"/>
        <v>0.14311792756537048</v>
      </c>
      <c r="F3192" s="2" t="s">
        <v>822</v>
      </c>
      <c r="G3192" s="23" t="s">
        <v>902</v>
      </c>
      <c r="H3192" s="2" t="s">
        <v>822</v>
      </c>
      <c r="J3192" s="31">
        <v>37.104099300000001</v>
      </c>
      <c r="K3192" s="31">
        <v>-29.909099600000001</v>
      </c>
      <c r="L3192" s="31"/>
      <c r="M3192" s="31" t="s">
        <v>854</v>
      </c>
      <c r="N3192" s="6" t="s">
        <v>856</v>
      </c>
    </row>
    <row r="3193" spans="1:14" ht="15" customHeight="1" x14ac:dyDescent="0.2">
      <c r="A3193" s="31">
        <v>0.72976854525564694</v>
      </c>
      <c r="B3193" s="31"/>
      <c r="C3193" s="2" t="s">
        <v>855</v>
      </c>
      <c r="D3193" s="31">
        <f t="shared" si="104"/>
        <v>0.14303463487010681</v>
      </c>
      <c r="F3193" s="2" t="s">
        <v>822</v>
      </c>
      <c r="G3193" s="23" t="s">
        <v>902</v>
      </c>
      <c r="H3193" s="2" t="s">
        <v>822</v>
      </c>
      <c r="J3193" s="31">
        <v>39.359600100000002</v>
      </c>
      <c r="K3193" s="31">
        <v>-24.5240002</v>
      </c>
      <c r="L3193" s="31"/>
      <c r="M3193" s="31" t="s">
        <v>854</v>
      </c>
      <c r="N3193" s="6" t="s">
        <v>856</v>
      </c>
    </row>
    <row r="3194" spans="1:14" ht="15" customHeight="1" x14ac:dyDescent="0.2">
      <c r="A3194" s="31">
        <v>0.72945323672780515</v>
      </c>
      <c r="B3194" s="31"/>
      <c r="C3194" s="2" t="s">
        <v>855</v>
      </c>
      <c r="D3194" s="31">
        <f t="shared" si="104"/>
        <v>0.14297283439864983</v>
      </c>
      <c r="F3194" s="2" t="s">
        <v>822</v>
      </c>
      <c r="G3194" s="23" t="s">
        <v>902</v>
      </c>
      <c r="H3194" s="2" t="s">
        <v>822</v>
      </c>
      <c r="J3194" s="31">
        <v>25.3719997</v>
      </c>
      <c r="K3194" s="31">
        <v>-24.5240002</v>
      </c>
      <c r="L3194" s="31"/>
      <c r="M3194" s="31" t="s">
        <v>854</v>
      </c>
      <c r="N3194" s="6" t="s">
        <v>856</v>
      </c>
    </row>
    <row r="3195" spans="1:14" ht="15" customHeight="1" x14ac:dyDescent="0.2">
      <c r="A3195" s="31">
        <v>0.72926553260260463</v>
      </c>
      <c r="B3195" s="31"/>
      <c r="C3195" s="2" t="s">
        <v>855</v>
      </c>
      <c r="D3195" s="31">
        <f t="shared" si="104"/>
        <v>0.14293604439011051</v>
      </c>
      <c r="F3195" s="2" t="s">
        <v>822</v>
      </c>
      <c r="G3195" s="23" t="s">
        <v>902</v>
      </c>
      <c r="H3195" s="2" t="s">
        <v>822</v>
      </c>
      <c r="J3195" s="31">
        <v>39.151901199999998</v>
      </c>
      <c r="K3195" s="31">
        <v>-28.396699900000002</v>
      </c>
      <c r="L3195" s="31"/>
      <c r="M3195" s="31" t="s">
        <v>854</v>
      </c>
      <c r="N3195" s="6" t="s">
        <v>856</v>
      </c>
    </row>
    <row r="3196" spans="1:14" ht="15" customHeight="1" x14ac:dyDescent="0.2">
      <c r="A3196" s="31">
        <v>0.7291140913316736</v>
      </c>
      <c r="B3196" s="31"/>
      <c r="C3196" s="2" t="s">
        <v>855</v>
      </c>
      <c r="D3196" s="31">
        <f t="shared" si="104"/>
        <v>0.14290636190100803</v>
      </c>
      <c r="F3196" s="2" t="s">
        <v>822</v>
      </c>
      <c r="G3196" s="23" t="s">
        <v>902</v>
      </c>
      <c r="H3196" s="2" t="s">
        <v>822</v>
      </c>
      <c r="J3196" s="31">
        <v>32.051998099999999</v>
      </c>
      <c r="K3196" s="31">
        <v>-33.208000200000001</v>
      </c>
      <c r="L3196" s="31"/>
      <c r="M3196" s="31" t="s">
        <v>854</v>
      </c>
      <c r="N3196" s="6" t="s">
        <v>856</v>
      </c>
    </row>
    <row r="3197" spans="1:14" ht="15" customHeight="1" x14ac:dyDescent="0.2">
      <c r="A3197" s="31">
        <v>0.72907921798175823</v>
      </c>
      <c r="B3197" s="31"/>
      <c r="C3197" s="2" t="s">
        <v>855</v>
      </c>
      <c r="D3197" s="31">
        <f t="shared" si="104"/>
        <v>0.14289952672442463</v>
      </c>
      <c r="F3197" s="2" t="s">
        <v>822</v>
      </c>
      <c r="G3197" s="23" t="s">
        <v>902</v>
      </c>
      <c r="H3197" s="2" t="s">
        <v>822</v>
      </c>
      <c r="J3197" s="31">
        <v>34.393798799999999</v>
      </c>
      <c r="K3197" s="31">
        <v>-39.8866005</v>
      </c>
      <c r="L3197" s="31"/>
      <c r="M3197" s="31" t="s">
        <v>854</v>
      </c>
      <c r="N3197" s="6" t="s">
        <v>856</v>
      </c>
    </row>
    <row r="3198" spans="1:14" ht="15" customHeight="1" x14ac:dyDescent="0.2">
      <c r="A3198" s="31">
        <v>0.72900097398786923</v>
      </c>
      <c r="B3198" s="31"/>
      <c r="C3198" s="2" t="s">
        <v>855</v>
      </c>
      <c r="D3198" s="31">
        <f t="shared" si="104"/>
        <v>0.14288419090162238</v>
      </c>
      <c r="F3198" s="2" t="s">
        <v>822</v>
      </c>
      <c r="G3198" s="23" t="s">
        <v>902</v>
      </c>
      <c r="H3198" s="2" t="s">
        <v>822</v>
      </c>
      <c r="J3198" s="31">
        <v>58.345500899999998</v>
      </c>
      <c r="K3198" s="31">
        <v>8.6396903999999992</v>
      </c>
      <c r="L3198" s="31"/>
      <c r="M3198" s="31" t="s">
        <v>854</v>
      </c>
      <c r="N3198" s="6" t="s">
        <v>856</v>
      </c>
    </row>
    <row r="3199" spans="1:14" ht="15" customHeight="1" x14ac:dyDescent="0.2">
      <c r="A3199" s="31">
        <v>0.72893674613154147</v>
      </c>
      <c r="B3199" s="31"/>
      <c r="C3199" s="2" t="s">
        <v>855</v>
      </c>
      <c r="D3199" s="31">
        <f t="shared" si="104"/>
        <v>0.14287160224178214</v>
      </c>
      <c r="F3199" s="2" t="s">
        <v>822</v>
      </c>
      <c r="G3199" s="23" t="s">
        <v>902</v>
      </c>
      <c r="H3199" s="2" t="s">
        <v>822</v>
      </c>
      <c r="J3199" s="31">
        <v>32.051998099999999</v>
      </c>
      <c r="K3199" s="31">
        <v>-35.880001100000001</v>
      </c>
      <c r="L3199" s="31"/>
      <c r="M3199" s="31" t="s">
        <v>854</v>
      </c>
      <c r="N3199" s="6" t="s">
        <v>856</v>
      </c>
    </row>
    <row r="3200" spans="1:14" ht="15" customHeight="1" x14ac:dyDescent="0.2">
      <c r="A3200" s="31">
        <v>0.72892122115362235</v>
      </c>
      <c r="B3200" s="31"/>
      <c r="C3200" s="2" t="s">
        <v>855</v>
      </c>
      <c r="D3200" s="31">
        <f t="shared" si="104"/>
        <v>0.14286855934610998</v>
      </c>
      <c r="F3200" s="2" t="s">
        <v>822</v>
      </c>
      <c r="G3200" s="23" t="s">
        <v>902</v>
      </c>
      <c r="H3200" s="2" t="s">
        <v>822</v>
      </c>
      <c r="J3200" s="31">
        <v>54.8755989</v>
      </c>
      <c r="K3200" s="31">
        <v>12.768899899999999</v>
      </c>
      <c r="L3200" s="31"/>
      <c r="M3200" s="31" t="s">
        <v>854</v>
      </c>
      <c r="N3200" s="6" t="s">
        <v>856</v>
      </c>
    </row>
    <row r="3201" spans="1:14" ht="15" customHeight="1" x14ac:dyDescent="0.2">
      <c r="A3201" s="31">
        <v>0.72866586723111715</v>
      </c>
      <c r="B3201" s="31"/>
      <c r="C3201" s="2" t="s">
        <v>855</v>
      </c>
      <c r="D3201" s="31">
        <f t="shared" si="104"/>
        <v>0.14281850997729897</v>
      </c>
      <c r="F3201" s="2" t="s">
        <v>822</v>
      </c>
      <c r="G3201" s="23" t="s">
        <v>902</v>
      </c>
      <c r="H3201" s="2" t="s">
        <v>822</v>
      </c>
      <c r="J3201" s="31">
        <v>42.059600799999998</v>
      </c>
      <c r="K3201" s="31">
        <v>-12.2129002</v>
      </c>
      <c r="L3201" s="31"/>
      <c r="M3201" s="31" t="s">
        <v>854</v>
      </c>
      <c r="N3201" s="6" t="s">
        <v>856</v>
      </c>
    </row>
    <row r="3202" spans="1:14" ht="15" customHeight="1" x14ac:dyDescent="0.2">
      <c r="A3202" s="31">
        <v>0.72857247737917419</v>
      </c>
      <c r="B3202" s="31"/>
      <c r="C3202" s="2" t="s">
        <v>855</v>
      </c>
      <c r="D3202" s="31">
        <f t="shared" si="104"/>
        <v>0.14280020556631814</v>
      </c>
      <c r="F3202" s="2" t="s">
        <v>822</v>
      </c>
      <c r="G3202" s="23" t="s">
        <v>902</v>
      </c>
      <c r="H3202" s="2" t="s">
        <v>822</v>
      </c>
      <c r="J3202" s="31">
        <v>29.3799992</v>
      </c>
      <c r="K3202" s="31">
        <v>-41.891998299999997</v>
      </c>
      <c r="L3202" s="31"/>
      <c r="M3202" s="31" t="s">
        <v>854</v>
      </c>
      <c r="N3202" s="6" t="s">
        <v>856</v>
      </c>
    </row>
    <row r="3203" spans="1:14" ht="15" customHeight="1" x14ac:dyDescent="0.2">
      <c r="A3203" s="31">
        <v>0.72845297951486399</v>
      </c>
      <c r="B3203" s="31"/>
      <c r="C3203" s="2" t="s">
        <v>855</v>
      </c>
      <c r="D3203" s="31">
        <f t="shared" si="104"/>
        <v>0.14277678398491334</v>
      </c>
      <c r="F3203" s="2" t="s">
        <v>822</v>
      </c>
      <c r="G3203" s="23" t="s">
        <v>902</v>
      </c>
      <c r="H3203" s="2" t="s">
        <v>822</v>
      </c>
      <c r="J3203" s="31">
        <v>28.711999899999999</v>
      </c>
      <c r="K3203" s="31">
        <v>-32.540000900000003</v>
      </c>
      <c r="L3203" s="31"/>
      <c r="M3203" s="31" t="s">
        <v>854</v>
      </c>
      <c r="N3203" s="6" t="s">
        <v>856</v>
      </c>
    </row>
    <row r="3204" spans="1:14" ht="15" customHeight="1" x14ac:dyDescent="0.2">
      <c r="A3204" s="31">
        <v>0.72826167466869041</v>
      </c>
      <c r="B3204" s="31"/>
      <c r="C3204" s="2" t="s">
        <v>855</v>
      </c>
      <c r="D3204" s="31">
        <f t="shared" si="104"/>
        <v>0.14273928823506332</v>
      </c>
      <c r="F3204" s="2" t="s">
        <v>822</v>
      </c>
      <c r="G3204" s="23" t="s">
        <v>902</v>
      </c>
      <c r="H3204" s="2" t="s">
        <v>822</v>
      </c>
      <c r="J3204" s="31">
        <v>37.852798499999999</v>
      </c>
      <c r="K3204" s="31">
        <v>-8.8142098999999998</v>
      </c>
      <c r="L3204" s="31"/>
      <c r="M3204" s="31" t="s">
        <v>854</v>
      </c>
      <c r="N3204" s="6" t="s">
        <v>856</v>
      </c>
    </row>
    <row r="3205" spans="1:14" ht="15" customHeight="1" x14ac:dyDescent="0.2">
      <c r="A3205" s="31">
        <v>0.7281082890663606</v>
      </c>
      <c r="B3205" s="31"/>
      <c r="C3205" s="2" t="s">
        <v>855</v>
      </c>
      <c r="D3205" s="31">
        <f t="shared" si="104"/>
        <v>0.14270922465700669</v>
      </c>
      <c r="F3205" s="2" t="s">
        <v>822</v>
      </c>
      <c r="G3205" s="23" t="s">
        <v>902</v>
      </c>
      <c r="H3205" s="2" t="s">
        <v>822</v>
      </c>
      <c r="J3205" s="31">
        <v>34.4906006</v>
      </c>
      <c r="K3205" s="31">
        <v>-17.8855991</v>
      </c>
      <c r="L3205" s="31"/>
      <c r="M3205" s="31" t="s">
        <v>854</v>
      </c>
      <c r="N3205" s="6" t="s">
        <v>856</v>
      </c>
    </row>
    <row r="3206" spans="1:14" ht="15" customHeight="1" x14ac:dyDescent="0.2">
      <c r="A3206" s="31">
        <v>0.72804027552019979</v>
      </c>
      <c r="B3206" s="31"/>
      <c r="C3206" s="2" t="s">
        <v>855</v>
      </c>
      <c r="D3206" s="31">
        <f t="shared" si="104"/>
        <v>0.14269589400195917</v>
      </c>
      <c r="F3206" s="2" t="s">
        <v>822</v>
      </c>
      <c r="G3206" s="23" t="s">
        <v>902</v>
      </c>
      <c r="H3206" s="2" t="s">
        <v>822</v>
      </c>
      <c r="J3206" s="31">
        <v>40.031200400000003</v>
      </c>
      <c r="K3206" s="31">
        <v>18.416599300000001</v>
      </c>
      <c r="L3206" s="31"/>
      <c r="M3206" s="31" t="s">
        <v>854</v>
      </c>
      <c r="N3206" s="6" t="s">
        <v>856</v>
      </c>
    </row>
    <row r="3207" spans="1:14" ht="15" customHeight="1" x14ac:dyDescent="0.2">
      <c r="A3207" s="31">
        <v>0.72770376515014346</v>
      </c>
      <c r="B3207" s="31"/>
      <c r="C3207" s="2" t="s">
        <v>855</v>
      </c>
      <c r="D3207" s="31">
        <f t="shared" si="104"/>
        <v>0.14262993796942813</v>
      </c>
      <c r="F3207" s="2" t="s">
        <v>822</v>
      </c>
      <c r="G3207" s="23" t="s">
        <v>902</v>
      </c>
      <c r="H3207" s="2" t="s">
        <v>822</v>
      </c>
      <c r="J3207" s="31">
        <v>38.111099199999998</v>
      </c>
      <c r="K3207" s="31">
        <v>-31.0755005</v>
      </c>
      <c r="L3207" s="31"/>
      <c r="M3207" s="31" t="s">
        <v>854</v>
      </c>
      <c r="N3207" s="6" t="s">
        <v>856</v>
      </c>
    </row>
    <row r="3208" spans="1:14" ht="15" customHeight="1" x14ac:dyDescent="0.2">
      <c r="A3208" s="31">
        <v>0.72764421777293919</v>
      </c>
      <c r="B3208" s="31"/>
      <c r="C3208" s="2" t="s">
        <v>855</v>
      </c>
      <c r="D3208" s="31">
        <f t="shared" si="104"/>
        <v>0.14261826668349609</v>
      </c>
      <c r="F3208" s="2" t="s">
        <v>822</v>
      </c>
      <c r="G3208" s="23" t="s">
        <v>902</v>
      </c>
      <c r="H3208" s="2" t="s">
        <v>822</v>
      </c>
      <c r="J3208" s="31">
        <v>38.784301800000001</v>
      </c>
      <c r="K3208" s="31">
        <v>18.607200599999999</v>
      </c>
      <c r="L3208" s="31"/>
      <c r="M3208" s="31" t="s">
        <v>854</v>
      </c>
      <c r="N3208" s="6" t="s">
        <v>856</v>
      </c>
    </row>
    <row r="3209" spans="1:14" ht="15" customHeight="1" x14ac:dyDescent="0.2">
      <c r="A3209" s="31">
        <v>0.72756000667825105</v>
      </c>
      <c r="B3209" s="31"/>
      <c r="C3209" s="2" t="s">
        <v>855</v>
      </c>
      <c r="D3209" s="31">
        <f t="shared" si="104"/>
        <v>0.1426017613089372</v>
      </c>
      <c r="F3209" s="2" t="s">
        <v>822</v>
      </c>
      <c r="G3209" s="23" t="s">
        <v>902</v>
      </c>
      <c r="H3209" s="2" t="s">
        <v>822</v>
      </c>
      <c r="J3209" s="31">
        <v>30.048000300000002</v>
      </c>
      <c r="K3209" s="31">
        <v>-36.548000299999998</v>
      </c>
      <c r="L3209" s="31"/>
      <c r="M3209" s="31" t="s">
        <v>854</v>
      </c>
      <c r="N3209" s="6" t="s">
        <v>856</v>
      </c>
    </row>
    <row r="3210" spans="1:14" ht="15" customHeight="1" x14ac:dyDescent="0.2">
      <c r="A3210" s="31">
        <v>0.72749829659949405</v>
      </c>
      <c r="B3210" s="31"/>
      <c r="C3210" s="2" t="s">
        <v>855</v>
      </c>
      <c r="D3210" s="31">
        <f t="shared" si="104"/>
        <v>0.14258966613350085</v>
      </c>
      <c r="F3210" s="2" t="s">
        <v>822</v>
      </c>
      <c r="G3210" s="23" t="s">
        <v>902</v>
      </c>
      <c r="H3210" s="2" t="s">
        <v>822</v>
      </c>
      <c r="J3210" s="31">
        <v>45.745998399999998</v>
      </c>
      <c r="K3210" s="31">
        <v>13.316700000000001</v>
      </c>
      <c r="L3210" s="31"/>
      <c r="M3210" s="31" t="s">
        <v>854</v>
      </c>
      <c r="N3210" s="6" t="s">
        <v>856</v>
      </c>
    </row>
    <row r="3211" spans="1:14" ht="15" customHeight="1" x14ac:dyDescent="0.2">
      <c r="A3211" s="31">
        <v>0.72744241341212079</v>
      </c>
      <c r="B3211" s="31"/>
      <c r="C3211" s="2" t="s">
        <v>855</v>
      </c>
      <c r="D3211" s="31">
        <f t="shared" si="104"/>
        <v>0.14257871302877567</v>
      </c>
      <c r="F3211" s="2" t="s">
        <v>822</v>
      </c>
      <c r="G3211" s="23" t="s">
        <v>902</v>
      </c>
      <c r="H3211" s="2" t="s">
        <v>822</v>
      </c>
      <c r="J3211" s="31">
        <v>47.75</v>
      </c>
      <c r="K3211" s="31">
        <v>-16.507999399999999</v>
      </c>
      <c r="L3211" s="31"/>
      <c r="M3211" s="31" t="s">
        <v>854</v>
      </c>
      <c r="N3211" s="6" t="s">
        <v>856</v>
      </c>
    </row>
    <row r="3212" spans="1:14" ht="15" customHeight="1" x14ac:dyDescent="0.2">
      <c r="A3212" s="31">
        <v>0.72701994047921714</v>
      </c>
      <c r="B3212" s="31"/>
      <c r="C3212" s="2" t="s">
        <v>855</v>
      </c>
      <c r="D3212" s="31">
        <f t="shared" si="104"/>
        <v>0.14249590833392656</v>
      </c>
      <c r="F3212" s="2" t="s">
        <v>822</v>
      </c>
      <c r="G3212" s="23" t="s">
        <v>902</v>
      </c>
      <c r="H3212" s="2" t="s">
        <v>822</v>
      </c>
      <c r="J3212" s="31">
        <v>33.386299100000002</v>
      </c>
      <c r="K3212" s="31">
        <v>-30.541099500000001</v>
      </c>
      <c r="L3212" s="31"/>
      <c r="M3212" s="31" t="s">
        <v>854</v>
      </c>
      <c r="N3212" s="6" t="s">
        <v>856</v>
      </c>
    </row>
    <row r="3213" spans="1:14" ht="15" customHeight="1" x14ac:dyDescent="0.2">
      <c r="A3213" s="31">
        <v>0.72695031654364606</v>
      </c>
      <c r="B3213" s="31"/>
      <c r="C3213" s="2" t="s">
        <v>855</v>
      </c>
      <c r="D3213" s="31">
        <f t="shared" si="104"/>
        <v>0.14248226204255462</v>
      </c>
      <c r="F3213" s="2" t="s">
        <v>822</v>
      </c>
      <c r="G3213" s="23" t="s">
        <v>902</v>
      </c>
      <c r="H3213" s="2" t="s">
        <v>822</v>
      </c>
      <c r="J3213" s="31">
        <v>49.727199599999999</v>
      </c>
      <c r="K3213" s="31">
        <v>-6.1413102000000004</v>
      </c>
      <c r="L3213" s="31"/>
      <c r="M3213" s="31" t="s">
        <v>854</v>
      </c>
      <c r="N3213" s="6" t="s">
        <v>856</v>
      </c>
    </row>
    <row r="3214" spans="1:14" ht="15" customHeight="1" x14ac:dyDescent="0.2">
      <c r="A3214" s="31">
        <v>0.72684558264328658</v>
      </c>
      <c r="B3214" s="31"/>
      <c r="C3214" s="2" t="s">
        <v>855</v>
      </c>
      <c r="D3214" s="31">
        <f t="shared" si="104"/>
        <v>0.14246173419808417</v>
      </c>
      <c r="F3214" s="2" t="s">
        <v>822</v>
      </c>
      <c r="G3214" s="23" t="s">
        <v>902</v>
      </c>
      <c r="H3214" s="2" t="s">
        <v>822</v>
      </c>
      <c r="J3214" s="31">
        <v>35.493000000000002</v>
      </c>
      <c r="K3214" s="31">
        <v>-34.401298500000003</v>
      </c>
      <c r="L3214" s="31"/>
      <c r="M3214" s="31" t="s">
        <v>854</v>
      </c>
      <c r="N3214" s="6" t="s">
        <v>856</v>
      </c>
    </row>
    <row r="3215" spans="1:14" ht="15" customHeight="1" x14ac:dyDescent="0.2">
      <c r="A3215" s="31">
        <v>0.72659503636058098</v>
      </c>
      <c r="B3215" s="31"/>
      <c r="C3215" s="2" t="s">
        <v>855</v>
      </c>
      <c r="D3215" s="31">
        <f t="shared" si="104"/>
        <v>0.14241262712667388</v>
      </c>
      <c r="F3215" s="2" t="s">
        <v>822</v>
      </c>
      <c r="G3215" s="23" t="s">
        <v>902</v>
      </c>
      <c r="H3215" s="2" t="s">
        <v>822</v>
      </c>
      <c r="J3215" s="31">
        <v>44.466499300000002</v>
      </c>
      <c r="K3215" s="31">
        <v>-25.241699199999999</v>
      </c>
      <c r="L3215" s="31"/>
      <c r="M3215" s="31" t="s">
        <v>854</v>
      </c>
      <c r="N3215" s="6" t="s">
        <v>856</v>
      </c>
    </row>
    <row r="3216" spans="1:14" ht="15" customHeight="1" x14ac:dyDescent="0.2">
      <c r="A3216" s="31">
        <v>0.72643156307016976</v>
      </c>
      <c r="B3216" s="31"/>
      <c r="C3216" s="2" t="s">
        <v>855</v>
      </c>
      <c r="D3216" s="31">
        <f t="shared" si="104"/>
        <v>0.14238058636175327</v>
      </c>
      <c r="F3216" s="2" t="s">
        <v>822</v>
      </c>
      <c r="G3216" s="23" t="s">
        <v>902</v>
      </c>
      <c r="H3216" s="2" t="s">
        <v>822</v>
      </c>
      <c r="J3216" s="31">
        <v>50.7057991</v>
      </c>
      <c r="K3216" s="31">
        <v>-5.3873300999999998</v>
      </c>
      <c r="L3216" s="31"/>
      <c r="M3216" s="31" t="s">
        <v>854</v>
      </c>
      <c r="N3216" s="6" t="s">
        <v>856</v>
      </c>
    </row>
    <row r="3217" spans="1:14" ht="15" customHeight="1" x14ac:dyDescent="0.2">
      <c r="A3217" s="31">
        <v>0.72642933856112635</v>
      </c>
      <c r="B3217" s="31"/>
      <c r="C3217" s="2" t="s">
        <v>855</v>
      </c>
      <c r="D3217" s="31">
        <f t="shared" si="104"/>
        <v>0.14238015035798077</v>
      </c>
      <c r="F3217" s="2" t="s">
        <v>822</v>
      </c>
      <c r="G3217" s="23" t="s">
        <v>902</v>
      </c>
      <c r="H3217" s="2" t="s">
        <v>822</v>
      </c>
      <c r="J3217" s="31">
        <v>34.055999800000002</v>
      </c>
      <c r="K3217" s="31">
        <v>-17.8439999</v>
      </c>
      <c r="L3217" s="31"/>
      <c r="M3217" s="31" t="s">
        <v>854</v>
      </c>
      <c r="N3217" s="6" t="s">
        <v>856</v>
      </c>
    </row>
    <row r="3218" spans="1:14" ht="15" customHeight="1" x14ac:dyDescent="0.2">
      <c r="A3218" s="31">
        <v>0.72632739879146802</v>
      </c>
      <c r="B3218" s="31"/>
      <c r="C3218" s="2" t="s">
        <v>855</v>
      </c>
      <c r="D3218" s="31">
        <f t="shared" si="104"/>
        <v>0.14236017016312774</v>
      </c>
      <c r="F3218" s="2" t="s">
        <v>822</v>
      </c>
      <c r="G3218" s="23" t="s">
        <v>902</v>
      </c>
      <c r="H3218" s="2" t="s">
        <v>822</v>
      </c>
      <c r="J3218" s="31">
        <v>43.3307991</v>
      </c>
      <c r="K3218" s="31">
        <v>3.9268401000000002</v>
      </c>
      <c r="L3218" s="31"/>
      <c r="M3218" s="31" t="s">
        <v>854</v>
      </c>
      <c r="N3218" s="6" t="s">
        <v>856</v>
      </c>
    </row>
    <row r="3219" spans="1:14" ht="15" customHeight="1" x14ac:dyDescent="0.2">
      <c r="A3219" s="31">
        <v>0.72632366568773443</v>
      </c>
      <c r="B3219" s="31"/>
      <c r="C3219" s="2" t="s">
        <v>855</v>
      </c>
      <c r="D3219" s="31">
        <f t="shared" si="104"/>
        <v>0.14235943847479596</v>
      </c>
      <c r="F3219" s="2" t="s">
        <v>822</v>
      </c>
      <c r="G3219" s="23" t="s">
        <v>902</v>
      </c>
      <c r="H3219" s="2" t="s">
        <v>822</v>
      </c>
      <c r="J3219" s="31">
        <v>32.269599900000003</v>
      </c>
      <c r="K3219" s="31">
        <v>28.247999199999999</v>
      </c>
      <c r="L3219" s="31"/>
      <c r="M3219" s="31" t="s">
        <v>854</v>
      </c>
      <c r="N3219" s="6" t="s">
        <v>856</v>
      </c>
    </row>
    <row r="3220" spans="1:14" ht="15" customHeight="1" x14ac:dyDescent="0.2">
      <c r="A3220" s="31">
        <v>0.72629323826293835</v>
      </c>
      <c r="B3220" s="31"/>
      <c r="C3220" s="2" t="s">
        <v>855</v>
      </c>
      <c r="D3220" s="31">
        <f t="shared" si="104"/>
        <v>0.14235347469953591</v>
      </c>
      <c r="F3220" s="2" t="s">
        <v>822</v>
      </c>
      <c r="G3220" s="23" t="s">
        <v>902</v>
      </c>
      <c r="H3220" s="2" t="s">
        <v>822</v>
      </c>
      <c r="J3220" s="31">
        <v>40.401100200000002</v>
      </c>
      <c r="K3220" s="31">
        <v>-27.5207996</v>
      </c>
      <c r="L3220" s="31"/>
      <c r="M3220" s="31" t="s">
        <v>854</v>
      </c>
      <c r="N3220" s="6" t="s">
        <v>856</v>
      </c>
    </row>
    <row r="3221" spans="1:14" ht="15" customHeight="1" x14ac:dyDescent="0.2">
      <c r="A3221" s="31">
        <v>0.72619851686917891</v>
      </c>
      <c r="B3221" s="31"/>
      <c r="C3221" s="2" t="s">
        <v>855</v>
      </c>
      <c r="D3221" s="31">
        <f t="shared" si="104"/>
        <v>0.14233490930635906</v>
      </c>
      <c r="F3221" s="2" t="s">
        <v>822</v>
      </c>
      <c r="G3221" s="23" t="s">
        <v>902</v>
      </c>
      <c r="H3221" s="2" t="s">
        <v>822</v>
      </c>
      <c r="J3221" s="31">
        <v>30.7159996</v>
      </c>
      <c r="K3221" s="31">
        <v>-22.520000499999998</v>
      </c>
      <c r="L3221" s="31"/>
      <c r="M3221" s="31" t="s">
        <v>854</v>
      </c>
      <c r="N3221" s="6" t="s">
        <v>856</v>
      </c>
    </row>
    <row r="3222" spans="1:14" ht="15" customHeight="1" x14ac:dyDescent="0.2">
      <c r="A3222" s="31">
        <v>0.72616387720328468</v>
      </c>
      <c r="B3222" s="31"/>
      <c r="C3222" s="2" t="s">
        <v>855</v>
      </c>
      <c r="D3222" s="31">
        <f t="shared" si="104"/>
        <v>0.1423281199318438</v>
      </c>
      <c r="F3222" s="2" t="s">
        <v>822</v>
      </c>
      <c r="G3222" s="23" t="s">
        <v>902</v>
      </c>
      <c r="H3222" s="2" t="s">
        <v>822</v>
      </c>
      <c r="J3222" s="31">
        <v>28.711999899999999</v>
      </c>
      <c r="K3222" s="31">
        <v>-19.1800003</v>
      </c>
      <c r="L3222" s="31"/>
      <c r="M3222" s="31" t="s">
        <v>854</v>
      </c>
      <c r="N3222" s="6" t="s">
        <v>856</v>
      </c>
    </row>
    <row r="3223" spans="1:14" ht="15" customHeight="1" x14ac:dyDescent="0.2">
      <c r="A3223" s="31">
        <v>0.72587328218007241</v>
      </c>
      <c r="B3223" s="31"/>
      <c r="C3223" s="2" t="s">
        <v>855</v>
      </c>
      <c r="D3223" s="31">
        <f t="shared" si="104"/>
        <v>0.1422711633072942</v>
      </c>
      <c r="F3223" s="2" t="s">
        <v>822</v>
      </c>
      <c r="G3223" s="23" t="s">
        <v>902</v>
      </c>
      <c r="H3223" s="2" t="s">
        <v>822</v>
      </c>
      <c r="J3223" s="31">
        <v>42.623199499999998</v>
      </c>
      <c r="K3223" s="31">
        <v>-13.8045998</v>
      </c>
      <c r="L3223" s="31"/>
      <c r="M3223" s="31" t="s">
        <v>854</v>
      </c>
      <c r="N3223" s="6" t="s">
        <v>856</v>
      </c>
    </row>
    <row r="3224" spans="1:14" ht="15" customHeight="1" x14ac:dyDescent="0.2">
      <c r="A3224" s="31">
        <v>0.72575327601624562</v>
      </c>
      <c r="B3224" s="31"/>
      <c r="C3224" s="2" t="s">
        <v>855</v>
      </c>
      <c r="D3224" s="31">
        <f t="shared" si="104"/>
        <v>0.14224764209918414</v>
      </c>
      <c r="F3224" s="2" t="s">
        <v>822</v>
      </c>
      <c r="G3224" s="23" t="s">
        <v>902</v>
      </c>
      <c r="H3224" s="2" t="s">
        <v>822</v>
      </c>
      <c r="J3224" s="31">
        <v>25.3719997</v>
      </c>
      <c r="K3224" s="31">
        <v>-31.204000499999999</v>
      </c>
      <c r="L3224" s="31"/>
      <c r="M3224" s="31" t="s">
        <v>854</v>
      </c>
      <c r="N3224" s="6" t="s">
        <v>856</v>
      </c>
    </row>
    <row r="3225" spans="1:14" ht="15" customHeight="1" x14ac:dyDescent="0.2">
      <c r="A3225" s="31">
        <v>0.72554918534120949</v>
      </c>
      <c r="B3225" s="31"/>
      <c r="C3225" s="2" t="s">
        <v>855</v>
      </c>
      <c r="D3225" s="31">
        <f t="shared" si="104"/>
        <v>0.14220764032687708</v>
      </c>
      <c r="F3225" s="2" t="s">
        <v>822</v>
      </c>
      <c r="G3225" s="23" t="s">
        <v>902</v>
      </c>
      <c r="H3225" s="2" t="s">
        <v>822</v>
      </c>
      <c r="J3225" s="31">
        <v>51.580001799999998</v>
      </c>
      <c r="K3225" s="31">
        <v>-5.2637099999999997</v>
      </c>
      <c r="L3225" s="31"/>
      <c r="M3225" s="31" t="s">
        <v>854</v>
      </c>
      <c r="N3225" s="6" t="s">
        <v>856</v>
      </c>
    </row>
    <row r="3226" spans="1:14" ht="15" customHeight="1" x14ac:dyDescent="0.2">
      <c r="A3226" s="31">
        <v>0.72548762592413052</v>
      </c>
      <c r="B3226" s="31"/>
      <c r="C3226" s="2" t="s">
        <v>855</v>
      </c>
      <c r="D3226" s="31">
        <f t="shared" si="104"/>
        <v>0.14219557468112959</v>
      </c>
      <c r="F3226" s="2" t="s">
        <v>822</v>
      </c>
      <c r="G3226" s="23" t="s">
        <v>902</v>
      </c>
      <c r="H3226" s="2" t="s">
        <v>822</v>
      </c>
      <c r="J3226" s="31">
        <v>29.399200400000002</v>
      </c>
      <c r="K3226" s="31">
        <v>-42.519599900000003</v>
      </c>
      <c r="L3226" s="31"/>
      <c r="M3226" s="31" t="s">
        <v>854</v>
      </c>
      <c r="N3226" s="6" t="s">
        <v>856</v>
      </c>
    </row>
    <row r="3227" spans="1:14" ht="15" customHeight="1" x14ac:dyDescent="0.2">
      <c r="A3227" s="31">
        <v>0.72518098095956496</v>
      </c>
      <c r="B3227" s="31"/>
      <c r="C3227" s="2" t="s">
        <v>855</v>
      </c>
      <c r="D3227" s="31">
        <f t="shared" si="104"/>
        <v>0.14213547226807474</v>
      </c>
      <c r="F3227" s="2" t="s">
        <v>822</v>
      </c>
      <c r="G3227" s="23" t="s">
        <v>902</v>
      </c>
      <c r="H3227" s="2" t="s">
        <v>822</v>
      </c>
      <c r="J3227" s="31">
        <v>31.384000799999999</v>
      </c>
      <c r="K3227" s="31">
        <v>-25.1919994</v>
      </c>
      <c r="L3227" s="31"/>
      <c r="M3227" s="31" t="s">
        <v>854</v>
      </c>
      <c r="N3227" s="6" t="s">
        <v>856</v>
      </c>
    </row>
    <row r="3228" spans="1:14" ht="15" customHeight="1" x14ac:dyDescent="0.2">
      <c r="A3228" s="31">
        <v>0.72512737401738703</v>
      </c>
      <c r="B3228" s="31"/>
      <c r="C3228" s="2" t="s">
        <v>855</v>
      </c>
      <c r="D3228" s="31">
        <f t="shared" si="104"/>
        <v>0.14212496530740787</v>
      </c>
      <c r="F3228" s="2" t="s">
        <v>822</v>
      </c>
      <c r="G3228" s="23" t="s">
        <v>902</v>
      </c>
      <c r="H3228" s="2" t="s">
        <v>822</v>
      </c>
      <c r="J3228" s="31">
        <v>44.076301600000001</v>
      </c>
      <c r="K3228" s="31">
        <v>-39.220199600000001</v>
      </c>
      <c r="L3228" s="31"/>
      <c r="M3228" s="31" t="s">
        <v>854</v>
      </c>
      <c r="N3228" s="6" t="s">
        <v>856</v>
      </c>
    </row>
    <row r="3229" spans="1:14" ht="15" customHeight="1" x14ac:dyDescent="0.2">
      <c r="A3229" s="31">
        <v>0.72498593227502939</v>
      </c>
      <c r="B3229" s="31"/>
      <c r="C3229" s="2" t="s">
        <v>855</v>
      </c>
      <c r="D3229" s="31">
        <f t="shared" si="104"/>
        <v>0.14209724272590576</v>
      </c>
      <c r="F3229" s="2" t="s">
        <v>822</v>
      </c>
      <c r="G3229" s="23" t="s">
        <v>902</v>
      </c>
      <c r="H3229" s="2" t="s">
        <v>822</v>
      </c>
      <c r="J3229" s="31">
        <v>55.086799599999999</v>
      </c>
      <c r="K3229" s="31">
        <v>15.8598003</v>
      </c>
      <c r="L3229" s="31"/>
      <c r="M3229" s="31" t="s">
        <v>854</v>
      </c>
      <c r="N3229" s="6" t="s">
        <v>856</v>
      </c>
    </row>
    <row r="3230" spans="1:14" ht="15" customHeight="1" x14ac:dyDescent="0.2">
      <c r="A3230" s="31">
        <v>0.72493972715041688</v>
      </c>
      <c r="B3230" s="31"/>
      <c r="C3230" s="2" t="s">
        <v>855</v>
      </c>
      <c r="D3230" s="31">
        <f t="shared" si="104"/>
        <v>0.14208818652148172</v>
      </c>
      <c r="F3230" s="2" t="s">
        <v>822</v>
      </c>
      <c r="G3230" s="23" t="s">
        <v>902</v>
      </c>
      <c r="H3230" s="2" t="s">
        <v>822</v>
      </c>
      <c r="J3230" s="31">
        <v>41.662601500000001</v>
      </c>
      <c r="K3230" s="31">
        <v>7.9860500999999999</v>
      </c>
      <c r="L3230" s="31"/>
      <c r="M3230" s="31" t="s">
        <v>854</v>
      </c>
      <c r="N3230" s="6" t="s">
        <v>856</v>
      </c>
    </row>
    <row r="3231" spans="1:14" ht="15" customHeight="1" x14ac:dyDescent="0.2">
      <c r="A3231" s="31">
        <v>0.72492630488406629</v>
      </c>
      <c r="B3231" s="31"/>
      <c r="C3231" s="2" t="s">
        <v>855</v>
      </c>
      <c r="D3231" s="31">
        <f t="shared" si="104"/>
        <v>0.14208555575727699</v>
      </c>
      <c r="F3231" s="2" t="s">
        <v>822</v>
      </c>
      <c r="G3231" s="23" t="s">
        <v>902</v>
      </c>
      <c r="H3231" s="2" t="s">
        <v>822</v>
      </c>
      <c r="J3231" s="31">
        <v>37.3959999</v>
      </c>
      <c r="K3231" s="31">
        <v>-12.5</v>
      </c>
      <c r="L3231" s="31"/>
      <c r="M3231" s="31" t="s">
        <v>854</v>
      </c>
      <c r="N3231" s="6" t="s">
        <v>856</v>
      </c>
    </row>
    <row r="3232" spans="1:14" ht="15" customHeight="1" x14ac:dyDescent="0.2">
      <c r="A3232" s="31">
        <v>0.7246963450079873</v>
      </c>
      <c r="B3232" s="31"/>
      <c r="C3232" s="2" t="s">
        <v>855</v>
      </c>
      <c r="D3232" s="31">
        <f t="shared" si="104"/>
        <v>0.14204048362156552</v>
      </c>
      <c r="F3232" s="2" t="s">
        <v>822</v>
      </c>
      <c r="G3232" s="23" t="s">
        <v>902</v>
      </c>
      <c r="H3232" s="2" t="s">
        <v>822</v>
      </c>
      <c r="J3232" s="31">
        <v>37.450500499999997</v>
      </c>
      <c r="K3232" s="31">
        <v>2.8644799999999999</v>
      </c>
      <c r="L3232" s="31"/>
      <c r="M3232" s="31" t="s">
        <v>854</v>
      </c>
      <c r="N3232" s="6" t="s">
        <v>856</v>
      </c>
    </row>
    <row r="3233" spans="1:14" ht="15" customHeight="1" x14ac:dyDescent="0.2">
      <c r="A3233" s="31">
        <v>0.72467463165481183</v>
      </c>
      <c r="B3233" s="31"/>
      <c r="C3233" s="2" t="s">
        <v>855</v>
      </c>
      <c r="D3233" s="31">
        <f t="shared" si="104"/>
        <v>0.14203622780434313</v>
      </c>
      <c r="F3233" s="2" t="s">
        <v>822</v>
      </c>
      <c r="G3233" s="23" t="s">
        <v>902</v>
      </c>
      <c r="H3233" s="2" t="s">
        <v>822</v>
      </c>
      <c r="J3233" s="31">
        <v>54.1554985</v>
      </c>
      <c r="K3233" s="31">
        <v>-4.2054200000000002</v>
      </c>
      <c r="L3233" s="31"/>
      <c r="M3233" s="31" t="s">
        <v>854</v>
      </c>
      <c r="N3233" s="6" t="s">
        <v>856</v>
      </c>
    </row>
    <row r="3234" spans="1:14" ht="15" customHeight="1" x14ac:dyDescent="0.2">
      <c r="A3234" s="31">
        <v>0.72433206438495845</v>
      </c>
      <c r="B3234" s="31"/>
      <c r="C3234" s="2" t="s">
        <v>855</v>
      </c>
      <c r="D3234" s="31">
        <f t="shared" ref="D3234:D3262" si="105" xml:space="preserve"> A3234 * 0.196</f>
        <v>0.14196908461945187</v>
      </c>
      <c r="F3234" s="2" t="s">
        <v>822</v>
      </c>
      <c r="G3234" s="23" t="s">
        <v>902</v>
      </c>
      <c r="H3234" s="2" t="s">
        <v>822</v>
      </c>
      <c r="J3234" s="31">
        <v>52.165199299999998</v>
      </c>
      <c r="K3234" s="31">
        <v>-4.8986901999999999</v>
      </c>
      <c r="L3234" s="31"/>
      <c r="M3234" s="31" t="s">
        <v>854</v>
      </c>
      <c r="N3234" s="6" t="s">
        <v>856</v>
      </c>
    </row>
    <row r="3235" spans="1:14" ht="15" customHeight="1" x14ac:dyDescent="0.2">
      <c r="A3235" s="31">
        <v>0.72418776561143317</v>
      </c>
      <c r="B3235" s="31"/>
      <c r="C3235" s="2" t="s">
        <v>855</v>
      </c>
      <c r="D3235" s="31">
        <f t="shared" si="105"/>
        <v>0.14194080205984091</v>
      </c>
      <c r="F3235" s="2" t="s">
        <v>822</v>
      </c>
      <c r="G3235" s="23" t="s">
        <v>902</v>
      </c>
      <c r="H3235" s="2" t="s">
        <v>822</v>
      </c>
      <c r="J3235" s="31">
        <v>38.7826004</v>
      </c>
      <c r="K3235" s="31">
        <v>16.152000399999999</v>
      </c>
      <c r="L3235" s="31"/>
      <c r="M3235" s="31" t="s">
        <v>854</v>
      </c>
      <c r="N3235" s="6" t="s">
        <v>856</v>
      </c>
    </row>
    <row r="3236" spans="1:14" ht="15" customHeight="1" x14ac:dyDescent="0.2">
      <c r="A3236" s="31">
        <v>0.72415687358096392</v>
      </c>
      <c r="B3236" s="31"/>
      <c r="C3236" s="2" t="s">
        <v>855</v>
      </c>
      <c r="D3236" s="31">
        <f t="shared" si="105"/>
        <v>0.14193474722186894</v>
      </c>
      <c r="F3236" s="2" t="s">
        <v>822</v>
      </c>
      <c r="G3236" s="23" t="s">
        <v>902</v>
      </c>
      <c r="H3236" s="2" t="s">
        <v>822</v>
      </c>
      <c r="J3236" s="31">
        <v>44.241699199999999</v>
      </c>
      <c r="K3236" s="31">
        <v>-18.771200199999999</v>
      </c>
      <c r="L3236" s="31"/>
      <c r="M3236" s="31" t="s">
        <v>854</v>
      </c>
      <c r="N3236" s="6" t="s">
        <v>856</v>
      </c>
    </row>
    <row r="3237" spans="1:14" ht="15" customHeight="1" x14ac:dyDescent="0.2">
      <c r="A3237" s="31">
        <v>0.72407696778187991</v>
      </c>
      <c r="B3237" s="31"/>
      <c r="C3237" s="2" t="s">
        <v>855</v>
      </c>
      <c r="D3237" s="31">
        <f t="shared" si="105"/>
        <v>0.14191908568524847</v>
      </c>
      <c r="F3237" s="2" t="s">
        <v>822</v>
      </c>
      <c r="G3237" s="23" t="s">
        <v>902</v>
      </c>
      <c r="H3237" s="2" t="s">
        <v>822</v>
      </c>
      <c r="J3237" s="31">
        <v>38.071201299999998</v>
      </c>
      <c r="K3237" s="31">
        <v>24.2134991</v>
      </c>
      <c r="L3237" s="31"/>
      <c r="M3237" s="31" t="s">
        <v>854</v>
      </c>
      <c r="N3237" s="6" t="s">
        <v>856</v>
      </c>
    </row>
    <row r="3238" spans="1:14" ht="15" customHeight="1" x14ac:dyDescent="0.2">
      <c r="A3238" s="31">
        <v>0.72404869031567931</v>
      </c>
      <c r="B3238" s="31"/>
      <c r="C3238" s="2" t="s">
        <v>855</v>
      </c>
      <c r="D3238" s="31">
        <f t="shared" si="105"/>
        <v>0.14191354330187314</v>
      </c>
      <c r="F3238" s="2" t="s">
        <v>822</v>
      </c>
      <c r="G3238" s="23" t="s">
        <v>902</v>
      </c>
      <c r="H3238" s="2" t="s">
        <v>822</v>
      </c>
      <c r="J3238" s="31">
        <v>25.395099600000002</v>
      </c>
      <c r="K3238" s="31">
        <v>-29.217199300000001</v>
      </c>
      <c r="L3238" s="31"/>
      <c r="M3238" s="31" t="s">
        <v>854</v>
      </c>
      <c r="N3238" s="6" t="s">
        <v>856</v>
      </c>
    </row>
    <row r="3239" spans="1:14" ht="15" customHeight="1" x14ac:dyDescent="0.2">
      <c r="A3239" s="31">
        <v>0.72394079806102773</v>
      </c>
      <c r="B3239" s="31"/>
      <c r="C3239" s="2" t="s">
        <v>855</v>
      </c>
      <c r="D3239" s="31">
        <f t="shared" si="105"/>
        <v>0.14189239641996143</v>
      </c>
      <c r="F3239" s="2" t="s">
        <v>822</v>
      </c>
      <c r="G3239" s="23" t="s">
        <v>902</v>
      </c>
      <c r="H3239" s="2" t="s">
        <v>822</v>
      </c>
      <c r="J3239" s="31">
        <v>33.388000499999997</v>
      </c>
      <c r="K3239" s="31">
        <v>-21.851999299999999</v>
      </c>
      <c r="L3239" s="31"/>
      <c r="M3239" s="31" t="s">
        <v>854</v>
      </c>
      <c r="N3239" s="6" t="s">
        <v>856</v>
      </c>
    </row>
    <row r="3240" spans="1:14" ht="15" customHeight="1" x14ac:dyDescent="0.2">
      <c r="A3240" s="31">
        <v>0.72390547738238897</v>
      </c>
      <c r="B3240" s="31"/>
      <c r="C3240" s="2" t="s">
        <v>855</v>
      </c>
      <c r="D3240" s="31">
        <f t="shared" si="105"/>
        <v>0.14188547356694825</v>
      </c>
      <c r="F3240" s="2" t="s">
        <v>822</v>
      </c>
      <c r="G3240" s="23" t="s">
        <v>902</v>
      </c>
      <c r="H3240" s="2" t="s">
        <v>822</v>
      </c>
      <c r="J3240" s="31">
        <v>36.739498099999999</v>
      </c>
      <c r="K3240" s="31">
        <v>-42.550800299999999</v>
      </c>
      <c r="L3240" s="31"/>
      <c r="M3240" s="31" t="s">
        <v>854</v>
      </c>
      <c r="N3240" s="6" t="s">
        <v>856</v>
      </c>
    </row>
    <row r="3241" spans="1:14" ht="15" customHeight="1" x14ac:dyDescent="0.2">
      <c r="A3241" s="31">
        <v>0.7236531982551776</v>
      </c>
      <c r="B3241" s="31"/>
      <c r="C3241" s="2" t="s">
        <v>855</v>
      </c>
      <c r="D3241" s="31">
        <f t="shared" si="105"/>
        <v>0.1418360268580148</v>
      </c>
      <c r="F3241" s="2" t="s">
        <v>822</v>
      </c>
      <c r="G3241" s="23" t="s">
        <v>902</v>
      </c>
      <c r="H3241" s="2" t="s">
        <v>822</v>
      </c>
      <c r="J3241" s="31">
        <v>33.441600800000003</v>
      </c>
      <c r="K3241" s="31">
        <v>-23.699800499999998</v>
      </c>
      <c r="L3241" s="31"/>
      <c r="M3241" s="31" t="s">
        <v>854</v>
      </c>
      <c r="N3241" s="6" t="s">
        <v>856</v>
      </c>
    </row>
    <row r="3242" spans="1:14" ht="15" customHeight="1" x14ac:dyDescent="0.2">
      <c r="A3242" s="31">
        <v>0.72355971439447109</v>
      </c>
      <c r="B3242" s="31"/>
      <c r="C3242" s="2" t="s">
        <v>855</v>
      </c>
      <c r="D3242" s="31">
        <f t="shared" si="105"/>
        <v>0.14181770402131633</v>
      </c>
      <c r="F3242" s="2" t="s">
        <v>822</v>
      </c>
      <c r="G3242" s="23" t="s">
        <v>902</v>
      </c>
      <c r="H3242" s="2" t="s">
        <v>822</v>
      </c>
      <c r="J3242" s="31">
        <v>61.124698600000002</v>
      </c>
      <c r="K3242" s="31">
        <v>17.719999300000001</v>
      </c>
      <c r="L3242" s="31"/>
      <c r="M3242" s="31" t="s">
        <v>854</v>
      </c>
      <c r="N3242" s="6" t="s">
        <v>856</v>
      </c>
    </row>
    <row r="3243" spans="1:14" ht="15" customHeight="1" x14ac:dyDescent="0.2">
      <c r="A3243" s="31">
        <v>0.72314654271439749</v>
      </c>
      <c r="B3243" s="31"/>
      <c r="C3243" s="2" t="s">
        <v>855</v>
      </c>
      <c r="D3243" s="31">
        <f t="shared" si="105"/>
        <v>0.14173672237202192</v>
      </c>
      <c r="F3243" s="2" t="s">
        <v>822</v>
      </c>
      <c r="G3243" s="23" t="s">
        <v>902</v>
      </c>
      <c r="H3243" s="2" t="s">
        <v>822</v>
      </c>
      <c r="J3243" s="31">
        <v>25.431100799999999</v>
      </c>
      <c r="K3243" s="31">
        <v>-31.623800299999999</v>
      </c>
      <c r="L3243" s="31"/>
      <c r="M3243" s="31" t="s">
        <v>854</v>
      </c>
      <c r="N3243" s="6" t="s">
        <v>856</v>
      </c>
    </row>
    <row r="3244" spans="1:14" ht="15" customHeight="1" x14ac:dyDescent="0.2">
      <c r="A3244" s="31">
        <v>0.72269701900302552</v>
      </c>
      <c r="B3244" s="31"/>
      <c r="C3244" s="2" t="s">
        <v>855</v>
      </c>
      <c r="D3244" s="31">
        <f t="shared" si="105"/>
        <v>0.141648615724593</v>
      </c>
      <c r="F3244" s="2" t="s">
        <v>822</v>
      </c>
      <c r="G3244" s="23" t="s">
        <v>902</v>
      </c>
      <c r="H3244" s="2" t="s">
        <v>822</v>
      </c>
      <c r="J3244" s="31">
        <v>44.081901600000002</v>
      </c>
      <c r="K3244" s="31">
        <v>-22.5202007</v>
      </c>
      <c r="L3244" s="31"/>
      <c r="M3244" s="31" t="s">
        <v>854</v>
      </c>
      <c r="N3244" s="6" t="s">
        <v>856</v>
      </c>
    </row>
    <row r="3245" spans="1:14" ht="15" customHeight="1" x14ac:dyDescent="0.2">
      <c r="A3245" s="31">
        <v>0.72253677962601204</v>
      </c>
      <c r="B3245" s="31"/>
      <c r="C3245" s="2" t="s">
        <v>855</v>
      </c>
      <c r="D3245" s="31">
        <f t="shared" si="105"/>
        <v>0.14161720880669837</v>
      </c>
      <c r="F3245" s="2" t="s">
        <v>822</v>
      </c>
      <c r="G3245" s="23" t="s">
        <v>902</v>
      </c>
      <c r="H3245" s="2" t="s">
        <v>822</v>
      </c>
      <c r="J3245" s="31">
        <v>40.0680008</v>
      </c>
      <c r="K3245" s="31">
        <v>-12.5</v>
      </c>
      <c r="L3245" s="31"/>
      <c r="M3245" s="31" t="s">
        <v>854</v>
      </c>
      <c r="N3245" s="6" t="s">
        <v>856</v>
      </c>
    </row>
    <row r="3246" spans="1:14" ht="15" customHeight="1" x14ac:dyDescent="0.2">
      <c r="A3246" s="31">
        <v>0.72245517212918542</v>
      </c>
      <c r="B3246" s="31"/>
      <c r="C3246" s="2" t="s">
        <v>855</v>
      </c>
      <c r="D3246" s="31">
        <f t="shared" si="105"/>
        <v>0.14160121373732035</v>
      </c>
      <c r="F3246" s="2" t="s">
        <v>822</v>
      </c>
      <c r="G3246" s="23" t="s">
        <v>902</v>
      </c>
      <c r="H3246" s="2" t="s">
        <v>822</v>
      </c>
      <c r="J3246" s="31">
        <v>40.815101599999998</v>
      </c>
      <c r="K3246" s="31">
        <v>-10.511500399999999</v>
      </c>
      <c r="L3246" s="31"/>
      <c r="M3246" s="31" t="s">
        <v>854</v>
      </c>
      <c r="N3246" s="6" t="s">
        <v>856</v>
      </c>
    </row>
    <row r="3247" spans="1:14" ht="15" customHeight="1" x14ac:dyDescent="0.2">
      <c r="A3247" s="31">
        <v>0.72221883430627198</v>
      </c>
      <c r="B3247" s="31"/>
      <c r="C3247" s="2" t="s">
        <v>855</v>
      </c>
      <c r="D3247" s="31">
        <f t="shared" si="105"/>
        <v>0.14155489152402931</v>
      </c>
      <c r="F3247" s="2" t="s">
        <v>822</v>
      </c>
      <c r="G3247" s="23" t="s">
        <v>902</v>
      </c>
      <c r="H3247" s="2" t="s">
        <v>822</v>
      </c>
      <c r="J3247" s="31">
        <v>36.060001399999997</v>
      </c>
      <c r="K3247" s="31">
        <v>20.899999600000001</v>
      </c>
      <c r="L3247" s="31"/>
      <c r="M3247" s="31" t="s">
        <v>854</v>
      </c>
      <c r="N3247" s="6" t="s">
        <v>856</v>
      </c>
    </row>
    <row r="3248" spans="1:14" ht="15" customHeight="1" x14ac:dyDescent="0.2">
      <c r="A3248" s="31">
        <v>0.72188244408310609</v>
      </c>
      <c r="B3248" s="31"/>
      <c r="C3248" s="2" t="s">
        <v>855</v>
      </c>
      <c r="D3248" s="31">
        <f t="shared" si="105"/>
        <v>0.1414889590402888</v>
      </c>
      <c r="F3248" s="2" t="s">
        <v>822</v>
      </c>
      <c r="G3248" s="23" t="s">
        <v>902</v>
      </c>
      <c r="H3248" s="2" t="s">
        <v>822</v>
      </c>
      <c r="J3248" s="31">
        <v>39.330001799999998</v>
      </c>
      <c r="K3248" s="31">
        <v>-34.5956993</v>
      </c>
      <c r="L3248" s="31"/>
      <c r="M3248" s="31" t="s">
        <v>854</v>
      </c>
      <c r="N3248" s="6" t="s">
        <v>856</v>
      </c>
    </row>
    <row r="3249" spans="1:14" ht="15" customHeight="1" x14ac:dyDescent="0.2">
      <c r="A3249" s="31">
        <v>0.72183900273482515</v>
      </c>
      <c r="B3249" s="31"/>
      <c r="C3249" s="2" t="s">
        <v>855</v>
      </c>
      <c r="D3249" s="31">
        <f t="shared" si="105"/>
        <v>0.14148044453602573</v>
      </c>
      <c r="F3249" s="2" t="s">
        <v>822</v>
      </c>
      <c r="G3249" s="23" t="s">
        <v>902</v>
      </c>
      <c r="H3249" s="2" t="s">
        <v>822</v>
      </c>
      <c r="J3249" s="31">
        <v>44.743999500000001</v>
      </c>
      <c r="K3249" s="31">
        <v>-33.208000200000001</v>
      </c>
      <c r="L3249" s="31"/>
      <c r="M3249" s="31" t="s">
        <v>854</v>
      </c>
      <c r="N3249" s="6" t="s">
        <v>856</v>
      </c>
    </row>
    <row r="3250" spans="1:14" ht="15" customHeight="1" x14ac:dyDescent="0.2">
      <c r="A3250" s="31">
        <v>0.72179403371951611</v>
      </c>
      <c r="B3250" s="31"/>
      <c r="C3250" s="2" t="s">
        <v>855</v>
      </c>
      <c r="D3250" s="31">
        <f t="shared" si="105"/>
        <v>0.14147163060902515</v>
      </c>
      <c r="F3250" s="2" t="s">
        <v>822</v>
      </c>
      <c r="G3250" s="23" t="s">
        <v>902</v>
      </c>
      <c r="H3250" s="2" t="s">
        <v>822</v>
      </c>
      <c r="J3250" s="31">
        <v>37.882900200000002</v>
      </c>
      <c r="K3250" s="31">
        <v>1.54671</v>
      </c>
      <c r="L3250" s="31"/>
      <c r="M3250" s="31" t="s">
        <v>854</v>
      </c>
      <c r="N3250" s="6" t="s">
        <v>856</v>
      </c>
    </row>
    <row r="3251" spans="1:14" ht="15" customHeight="1" x14ac:dyDescent="0.2">
      <c r="A3251" s="31">
        <v>0.72174445868547032</v>
      </c>
      <c r="B3251" s="31"/>
      <c r="C3251" s="2" t="s">
        <v>855</v>
      </c>
      <c r="D3251" s="31">
        <f t="shared" si="105"/>
        <v>0.14146191390235219</v>
      </c>
      <c r="F3251" s="2" t="s">
        <v>822</v>
      </c>
      <c r="G3251" s="23" t="s">
        <v>902</v>
      </c>
      <c r="H3251" s="2" t="s">
        <v>822</v>
      </c>
      <c r="J3251" s="31">
        <v>26.3948994</v>
      </c>
      <c r="K3251" s="31">
        <v>-26.239700299999999</v>
      </c>
      <c r="L3251" s="31"/>
      <c r="M3251" s="31" t="s">
        <v>854</v>
      </c>
      <c r="N3251" s="6" t="s">
        <v>856</v>
      </c>
    </row>
    <row r="3252" spans="1:14" ht="15" customHeight="1" x14ac:dyDescent="0.2">
      <c r="A3252" s="31">
        <v>0.72174425848699741</v>
      </c>
      <c r="B3252" s="31"/>
      <c r="C3252" s="2" t="s">
        <v>855</v>
      </c>
      <c r="D3252" s="31">
        <f t="shared" si="105"/>
        <v>0.1414618746634515</v>
      </c>
      <c r="F3252" s="2" t="s">
        <v>822</v>
      </c>
      <c r="G3252" s="23" t="s">
        <v>902</v>
      </c>
      <c r="H3252" s="2" t="s">
        <v>822</v>
      </c>
      <c r="J3252" s="31">
        <v>28.711999899999999</v>
      </c>
      <c r="K3252" s="31">
        <v>-25.1919994</v>
      </c>
      <c r="L3252" s="31"/>
      <c r="M3252" s="31" t="s">
        <v>854</v>
      </c>
      <c r="N3252" s="6" t="s">
        <v>856</v>
      </c>
    </row>
    <row r="3253" spans="1:14" ht="15" customHeight="1" x14ac:dyDescent="0.2">
      <c r="A3253" s="31">
        <v>0.72169743267254349</v>
      </c>
      <c r="B3253" s="31"/>
      <c r="C3253" s="2" t="s">
        <v>855</v>
      </c>
      <c r="D3253" s="31">
        <f t="shared" si="105"/>
        <v>0.14145269680381853</v>
      </c>
      <c r="F3253" s="2" t="s">
        <v>822</v>
      </c>
      <c r="G3253" s="23" t="s">
        <v>902</v>
      </c>
      <c r="H3253" s="2" t="s">
        <v>822</v>
      </c>
      <c r="J3253" s="31">
        <v>36.060001399999997</v>
      </c>
      <c r="K3253" s="31">
        <v>-13.8360004</v>
      </c>
      <c r="L3253" s="31"/>
      <c r="M3253" s="31" t="s">
        <v>854</v>
      </c>
      <c r="N3253" s="6" t="s">
        <v>856</v>
      </c>
    </row>
    <row r="3254" spans="1:14" ht="15" customHeight="1" x14ac:dyDescent="0.2">
      <c r="A3254" s="31">
        <v>0.72159106290084019</v>
      </c>
      <c r="B3254" s="31"/>
      <c r="C3254" s="2" t="s">
        <v>855</v>
      </c>
      <c r="D3254" s="31">
        <f t="shared" si="105"/>
        <v>0.14143184832856467</v>
      </c>
      <c r="F3254" s="2" t="s">
        <v>822</v>
      </c>
      <c r="G3254" s="23" t="s">
        <v>902</v>
      </c>
      <c r="H3254" s="2" t="s">
        <v>822</v>
      </c>
      <c r="J3254" s="31">
        <v>28.711999899999999</v>
      </c>
      <c r="K3254" s="31">
        <v>-39.220001199999999</v>
      </c>
      <c r="L3254" s="31"/>
      <c r="M3254" s="31" t="s">
        <v>854</v>
      </c>
      <c r="N3254" s="6" t="s">
        <v>856</v>
      </c>
    </row>
    <row r="3255" spans="1:14" ht="15" customHeight="1" x14ac:dyDescent="0.2">
      <c r="A3255" s="31">
        <v>0.72156058846662285</v>
      </c>
      <c r="B3255" s="31"/>
      <c r="C3255" s="2" t="s">
        <v>855</v>
      </c>
      <c r="D3255" s="31">
        <f t="shared" si="105"/>
        <v>0.14142587533945808</v>
      </c>
      <c r="F3255" s="2" t="s">
        <v>822</v>
      </c>
      <c r="G3255" s="23" t="s">
        <v>902</v>
      </c>
      <c r="H3255" s="2" t="s">
        <v>822</v>
      </c>
      <c r="J3255" s="31">
        <v>52.183998099999997</v>
      </c>
      <c r="K3255" s="31">
        <v>-9.9810400000000001</v>
      </c>
      <c r="L3255" s="31"/>
      <c r="M3255" s="31" t="s">
        <v>854</v>
      </c>
      <c r="N3255" s="6" t="s">
        <v>856</v>
      </c>
    </row>
    <row r="3256" spans="1:14" ht="15" customHeight="1" x14ac:dyDescent="0.2">
      <c r="A3256" s="31">
        <v>0.72151150113463514</v>
      </c>
      <c r="B3256" s="31"/>
      <c r="C3256" s="2" t="s">
        <v>855</v>
      </c>
      <c r="D3256" s="31">
        <f t="shared" si="105"/>
        <v>0.14141625422238849</v>
      </c>
      <c r="F3256" s="2" t="s">
        <v>822</v>
      </c>
      <c r="G3256" s="23" t="s">
        <v>902</v>
      </c>
      <c r="H3256" s="2" t="s">
        <v>822</v>
      </c>
      <c r="J3256" s="31">
        <v>42.097599000000002</v>
      </c>
      <c r="K3256" s="31">
        <v>3.2197900000000002</v>
      </c>
      <c r="L3256" s="31"/>
      <c r="M3256" s="31" t="s">
        <v>854</v>
      </c>
      <c r="N3256" s="6" t="s">
        <v>856</v>
      </c>
    </row>
    <row r="3257" spans="1:14" ht="15" customHeight="1" x14ac:dyDescent="0.2">
      <c r="A3257" s="31">
        <v>0.72128629582636405</v>
      </c>
      <c r="B3257" s="31"/>
      <c r="C3257" s="2" t="s">
        <v>855</v>
      </c>
      <c r="D3257" s="31">
        <f t="shared" si="105"/>
        <v>0.14137211398196736</v>
      </c>
      <c r="F3257" s="2" t="s">
        <v>822</v>
      </c>
      <c r="G3257" s="23" t="s">
        <v>902</v>
      </c>
      <c r="H3257" s="2" t="s">
        <v>822</v>
      </c>
      <c r="J3257" s="31">
        <v>34.723998999999999</v>
      </c>
      <c r="K3257" s="31">
        <v>-38.551998099999999</v>
      </c>
      <c r="L3257" s="31"/>
      <c r="M3257" s="31" t="s">
        <v>854</v>
      </c>
      <c r="N3257" s="6" t="s">
        <v>856</v>
      </c>
    </row>
    <row r="3258" spans="1:14" ht="15" customHeight="1" x14ac:dyDescent="0.2">
      <c r="A3258" s="31">
        <v>0.72125981771304093</v>
      </c>
      <c r="B3258" s="31"/>
      <c r="C3258" s="2" t="s">
        <v>855</v>
      </c>
      <c r="D3258" s="31">
        <f t="shared" si="105"/>
        <v>0.14136692427175604</v>
      </c>
      <c r="F3258" s="2" t="s">
        <v>822</v>
      </c>
      <c r="G3258" s="23" t="s">
        <v>902</v>
      </c>
      <c r="H3258" s="2" t="s">
        <v>822</v>
      </c>
      <c r="J3258" s="31">
        <v>35.391998299999997</v>
      </c>
      <c r="K3258" s="31">
        <v>-13.8360004</v>
      </c>
      <c r="L3258" s="31"/>
      <c r="M3258" s="31" t="s">
        <v>854</v>
      </c>
      <c r="N3258" s="6" t="s">
        <v>856</v>
      </c>
    </row>
    <row r="3259" spans="1:14" ht="15" customHeight="1" x14ac:dyDescent="0.2">
      <c r="A3259" s="31">
        <v>0.72077408514319041</v>
      </c>
      <c r="B3259" s="31"/>
      <c r="C3259" s="2" t="s">
        <v>855</v>
      </c>
      <c r="D3259" s="31">
        <f t="shared" si="105"/>
        <v>0.14127172068806532</v>
      </c>
      <c r="F3259" s="2" t="s">
        <v>822</v>
      </c>
      <c r="G3259" s="23" t="s">
        <v>902</v>
      </c>
      <c r="H3259" s="2" t="s">
        <v>822</v>
      </c>
      <c r="J3259" s="31">
        <v>27.375999499999999</v>
      </c>
      <c r="K3259" s="31">
        <v>-42.560001399999997</v>
      </c>
      <c r="L3259" s="31"/>
      <c r="M3259" s="31" t="s">
        <v>854</v>
      </c>
      <c r="N3259" s="6" t="s">
        <v>856</v>
      </c>
    </row>
    <row r="3260" spans="1:14" ht="15" customHeight="1" x14ac:dyDescent="0.2">
      <c r="A3260" s="31">
        <v>0.72061273177920915</v>
      </c>
      <c r="B3260" s="31"/>
      <c r="C3260" s="2" t="s">
        <v>855</v>
      </c>
      <c r="D3260" s="31">
        <f t="shared" si="105"/>
        <v>0.14124009542872501</v>
      </c>
      <c r="F3260" s="2" t="s">
        <v>822</v>
      </c>
      <c r="G3260" s="23" t="s">
        <v>902</v>
      </c>
      <c r="H3260" s="2" t="s">
        <v>822</v>
      </c>
      <c r="J3260" s="31">
        <v>37.409900700000001</v>
      </c>
      <c r="K3260" s="31">
        <v>15.9509001</v>
      </c>
      <c r="L3260" s="31"/>
      <c r="M3260" s="31" t="s">
        <v>854</v>
      </c>
      <c r="N3260" s="6" t="s">
        <v>856</v>
      </c>
    </row>
    <row r="3261" spans="1:14" ht="15" customHeight="1" x14ac:dyDescent="0.2">
      <c r="A3261" s="31">
        <v>0.72021483507429596</v>
      </c>
      <c r="B3261" s="31"/>
      <c r="C3261" s="2" t="s">
        <v>855</v>
      </c>
      <c r="D3261" s="31">
        <f t="shared" si="105"/>
        <v>0.14116210767456203</v>
      </c>
      <c r="F3261" s="2" t="s">
        <v>822</v>
      </c>
      <c r="G3261" s="23" t="s">
        <v>902</v>
      </c>
      <c r="H3261" s="2" t="s">
        <v>822</v>
      </c>
      <c r="J3261" s="31">
        <v>46.748001100000003</v>
      </c>
      <c r="K3261" s="31">
        <v>-7.8239998999999996</v>
      </c>
      <c r="L3261" s="31"/>
      <c r="M3261" s="31" t="s">
        <v>854</v>
      </c>
      <c r="N3261" s="6" t="s">
        <v>856</v>
      </c>
    </row>
    <row r="3262" spans="1:14" ht="15" customHeight="1" x14ac:dyDescent="0.2">
      <c r="A3262" s="31">
        <v>0.71999340072078089</v>
      </c>
      <c r="B3262" s="31"/>
      <c r="C3262" s="2" t="s">
        <v>855</v>
      </c>
      <c r="D3262" s="31">
        <f t="shared" si="105"/>
        <v>0.14111870654127306</v>
      </c>
      <c r="F3262" s="2" t="s">
        <v>822</v>
      </c>
      <c r="G3262" s="23" t="s">
        <v>902</v>
      </c>
      <c r="H3262" s="2" t="s">
        <v>822</v>
      </c>
      <c r="J3262" s="31">
        <v>38.042301199999997</v>
      </c>
      <c r="K3262" s="31">
        <v>-19.822399099999998</v>
      </c>
      <c r="L3262" s="31"/>
      <c r="M3262" s="31" t="s">
        <v>854</v>
      </c>
      <c r="N3262" s="6" t="s">
        <v>856</v>
      </c>
    </row>
    <row r="3263" spans="1:14" ht="15" customHeight="1" x14ac:dyDescent="0.2">
      <c r="A3263" s="22">
        <v>0.14110890407205132</v>
      </c>
      <c r="B3263" s="22"/>
      <c r="C3263" s="2" t="s">
        <v>891</v>
      </c>
      <c r="D3263" s="2">
        <f>A3263</f>
        <v>0.14110890407205132</v>
      </c>
      <c r="F3263" s="2">
        <v>2023</v>
      </c>
      <c r="G3263" s="23" t="s">
        <v>902</v>
      </c>
      <c r="H3263" s="2" t="s">
        <v>771</v>
      </c>
      <c r="I3263" s="23" t="s">
        <v>189</v>
      </c>
      <c r="J3263" s="23">
        <v>58077389</v>
      </c>
      <c r="K3263" s="23">
        <v>11813534</v>
      </c>
      <c r="L3263" s="23" t="s">
        <v>819</v>
      </c>
      <c r="M3263" s="2" t="s">
        <v>825</v>
      </c>
      <c r="N3263" s="6" t="s">
        <v>828</v>
      </c>
    </row>
    <row r="3264" spans="1:14" ht="15" customHeight="1" x14ac:dyDescent="0.2">
      <c r="A3264" s="31">
        <v>0.71983488807354379</v>
      </c>
      <c r="B3264" s="31"/>
      <c r="C3264" s="2" t="s">
        <v>855</v>
      </c>
      <c r="D3264" s="31">
        <f t="shared" ref="D3264:D3295" si="106" xml:space="preserve"> A3264 * 0.196</f>
        <v>0.14108763806241459</v>
      </c>
      <c r="F3264" s="2" t="s">
        <v>822</v>
      </c>
      <c r="G3264" s="23" t="s">
        <v>902</v>
      </c>
      <c r="H3264" s="2" t="s">
        <v>822</v>
      </c>
      <c r="J3264" s="31">
        <v>45.411998699999998</v>
      </c>
      <c r="K3264" s="31">
        <v>-9.1599997999999996</v>
      </c>
      <c r="L3264" s="31"/>
      <c r="M3264" s="31" t="s">
        <v>854</v>
      </c>
      <c r="N3264" s="6" t="s">
        <v>856</v>
      </c>
    </row>
    <row r="3265" spans="1:14" ht="15" customHeight="1" x14ac:dyDescent="0.2">
      <c r="A3265" s="31">
        <v>0.71971601962600251</v>
      </c>
      <c r="B3265" s="31"/>
      <c r="C3265" s="2" t="s">
        <v>855</v>
      </c>
      <c r="D3265" s="31">
        <f t="shared" si="106"/>
        <v>0.1410643398466965</v>
      </c>
      <c r="F3265" s="2" t="s">
        <v>822</v>
      </c>
      <c r="G3265" s="23" t="s">
        <v>902</v>
      </c>
      <c r="H3265" s="2" t="s">
        <v>822</v>
      </c>
      <c r="J3265" s="31">
        <v>36.552200300000003</v>
      </c>
      <c r="K3265" s="31">
        <v>17.1459999</v>
      </c>
      <c r="L3265" s="31"/>
      <c r="M3265" s="31" t="s">
        <v>854</v>
      </c>
      <c r="N3265" s="6" t="s">
        <v>856</v>
      </c>
    </row>
    <row r="3266" spans="1:14" ht="15" customHeight="1" x14ac:dyDescent="0.2">
      <c r="A3266" s="31">
        <v>0.71935881425915793</v>
      </c>
      <c r="B3266" s="31"/>
      <c r="C3266" s="2" t="s">
        <v>855</v>
      </c>
      <c r="D3266" s="31">
        <f t="shared" si="106"/>
        <v>0.14099432759479497</v>
      </c>
      <c r="F3266" s="2" t="s">
        <v>822</v>
      </c>
      <c r="G3266" s="23" t="s">
        <v>902</v>
      </c>
      <c r="H3266" s="2" t="s">
        <v>822</v>
      </c>
      <c r="J3266" s="31">
        <v>27.6725998</v>
      </c>
      <c r="K3266" s="31">
        <v>-14.545200299999999</v>
      </c>
      <c r="L3266" s="31"/>
      <c r="M3266" s="31" t="s">
        <v>854</v>
      </c>
      <c r="N3266" s="6" t="s">
        <v>856</v>
      </c>
    </row>
    <row r="3267" spans="1:14" ht="15" customHeight="1" x14ac:dyDescent="0.2">
      <c r="A3267" s="31">
        <v>0.71889592066814856</v>
      </c>
      <c r="B3267" s="31"/>
      <c r="C3267" s="2" t="s">
        <v>855</v>
      </c>
      <c r="D3267" s="31">
        <f t="shared" si="106"/>
        <v>0.14090360045095712</v>
      </c>
      <c r="F3267" s="2" t="s">
        <v>822</v>
      </c>
      <c r="G3267" s="23" t="s">
        <v>902</v>
      </c>
      <c r="H3267" s="2" t="s">
        <v>822</v>
      </c>
      <c r="J3267" s="31">
        <v>34.055999800000002</v>
      </c>
      <c r="K3267" s="31">
        <v>-26.527999900000001</v>
      </c>
      <c r="L3267" s="31"/>
      <c r="M3267" s="31" t="s">
        <v>854</v>
      </c>
      <c r="N3267" s="6" t="s">
        <v>856</v>
      </c>
    </row>
    <row r="3268" spans="1:14" ht="15" customHeight="1" x14ac:dyDescent="0.2">
      <c r="A3268" s="31">
        <v>0.71882842238727263</v>
      </c>
      <c r="B3268" s="31"/>
      <c r="C3268" s="2" t="s">
        <v>855</v>
      </c>
      <c r="D3268" s="31">
        <f t="shared" si="106"/>
        <v>0.14089037078790545</v>
      </c>
      <c r="F3268" s="2" t="s">
        <v>822</v>
      </c>
      <c r="G3268" s="23" t="s">
        <v>902</v>
      </c>
      <c r="H3268" s="2" t="s">
        <v>822</v>
      </c>
      <c r="J3268" s="31">
        <v>40.402599299999999</v>
      </c>
      <c r="K3268" s="31">
        <v>-8.8243399</v>
      </c>
      <c r="L3268" s="31"/>
      <c r="M3268" s="31" t="s">
        <v>854</v>
      </c>
      <c r="N3268" s="6" t="s">
        <v>856</v>
      </c>
    </row>
    <row r="3269" spans="1:14" ht="15" customHeight="1" x14ac:dyDescent="0.2">
      <c r="A3269" s="31">
        <v>0.71880774690185589</v>
      </c>
      <c r="B3269" s="31"/>
      <c r="C3269" s="2" t="s">
        <v>855</v>
      </c>
      <c r="D3269" s="31">
        <f t="shared" si="106"/>
        <v>0.14088631839276375</v>
      </c>
      <c r="F3269" s="2" t="s">
        <v>822</v>
      </c>
      <c r="G3269" s="23" t="s">
        <v>902</v>
      </c>
      <c r="H3269" s="2" t="s">
        <v>822</v>
      </c>
      <c r="J3269" s="31">
        <v>25.554599799999998</v>
      </c>
      <c r="K3269" s="31">
        <v>-17.8439999</v>
      </c>
      <c r="L3269" s="31"/>
      <c r="M3269" s="31" t="s">
        <v>854</v>
      </c>
      <c r="N3269" s="6" t="s">
        <v>856</v>
      </c>
    </row>
    <row r="3270" spans="1:14" ht="15" customHeight="1" x14ac:dyDescent="0.2">
      <c r="A3270" s="31">
        <v>0.71879349590732144</v>
      </c>
      <c r="B3270" s="31"/>
      <c r="C3270" s="2" t="s">
        <v>855</v>
      </c>
      <c r="D3270" s="31">
        <f t="shared" si="106"/>
        <v>0.14088352519783501</v>
      </c>
      <c r="F3270" s="2" t="s">
        <v>822</v>
      </c>
      <c r="G3270" s="23" t="s">
        <v>902</v>
      </c>
      <c r="H3270" s="2" t="s">
        <v>822</v>
      </c>
      <c r="J3270" s="31">
        <v>54.949798600000001</v>
      </c>
      <c r="K3270" s="31">
        <v>15.068699799999999</v>
      </c>
      <c r="L3270" s="31"/>
      <c r="M3270" s="31" t="s">
        <v>854</v>
      </c>
      <c r="N3270" s="6" t="s">
        <v>856</v>
      </c>
    </row>
    <row r="3271" spans="1:14" ht="15" customHeight="1" x14ac:dyDescent="0.2">
      <c r="A3271" s="31">
        <v>0.71868996259835838</v>
      </c>
      <c r="B3271" s="31"/>
      <c r="C3271" s="2" t="s">
        <v>855</v>
      </c>
      <c r="D3271" s="31">
        <f t="shared" si="106"/>
        <v>0.14086323266927825</v>
      </c>
      <c r="F3271" s="2" t="s">
        <v>822</v>
      </c>
      <c r="G3271" s="23" t="s">
        <v>902</v>
      </c>
      <c r="H3271" s="2" t="s">
        <v>822</v>
      </c>
      <c r="J3271" s="31">
        <v>55.216999100000002</v>
      </c>
      <c r="K3271" s="31">
        <v>12.421699500000001</v>
      </c>
      <c r="L3271" s="31"/>
      <c r="M3271" s="31" t="s">
        <v>854</v>
      </c>
      <c r="N3271" s="6" t="s">
        <v>856</v>
      </c>
    </row>
    <row r="3272" spans="1:14" ht="15" customHeight="1" x14ac:dyDescent="0.2">
      <c r="A3272" s="31">
        <v>0.71840990216619427</v>
      </c>
      <c r="B3272" s="31"/>
      <c r="C3272" s="2" t="s">
        <v>855</v>
      </c>
      <c r="D3272" s="31">
        <f t="shared" si="106"/>
        <v>0.14080834082457408</v>
      </c>
      <c r="F3272" s="2" t="s">
        <v>822</v>
      </c>
      <c r="G3272" s="23" t="s">
        <v>902</v>
      </c>
      <c r="H3272" s="2" t="s">
        <v>822</v>
      </c>
      <c r="J3272" s="31">
        <v>43.652400999999998</v>
      </c>
      <c r="K3272" s="31">
        <v>-5.7043299999999997</v>
      </c>
      <c r="L3272" s="31"/>
      <c r="M3272" s="31" t="s">
        <v>854</v>
      </c>
      <c r="N3272" s="6" t="s">
        <v>856</v>
      </c>
    </row>
    <row r="3273" spans="1:14" ht="15" customHeight="1" x14ac:dyDescent="0.2">
      <c r="A3273" s="31">
        <v>0.71828121244904886</v>
      </c>
      <c r="B3273" s="31"/>
      <c r="C3273" s="2" t="s">
        <v>855</v>
      </c>
      <c r="D3273" s="31">
        <f t="shared" si="106"/>
        <v>0.14078311764001358</v>
      </c>
      <c r="F3273" s="2" t="s">
        <v>822</v>
      </c>
      <c r="G3273" s="23" t="s">
        <v>902</v>
      </c>
      <c r="H3273" s="2" t="s">
        <v>822</v>
      </c>
      <c r="J3273" s="31">
        <v>26.0342007</v>
      </c>
      <c r="K3273" s="31">
        <v>-30.880600000000001</v>
      </c>
      <c r="L3273" s="31"/>
      <c r="M3273" s="31" t="s">
        <v>854</v>
      </c>
      <c r="N3273" s="6" t="s">
        <v>856</v>
      </c>
    </row>
    <row r="3274" spans="1:14" ht="15" customHeight="1" x14ac:dyDescent="0.2">
      <c r="A3274" s="31">
        <v>0.7182182050178928</v>
      </c>
      <c r="B3274" s="31"/>
      <c r="C3274" s="2" t="s">
        <v>855</v>
      </c>
      <c r="D3274" s="31">
        <f t="shared" si="106"/>
        <v>0.14077076818350701</v>
      </c>
      <c r="F3274" s="2" t="s">
        <v>822</v>
      </c>
      <c r="G3274" s="23" t="s">
        <v>902</v>
      </c>
      <c r="H3274" s="2" t="s">
        <v>822</v>
      </c>
      <c r="J3274" s="31">
        <v>35.421501200000002</v>
      </c>
      <c r="K3274" s="31">
        <v>-1.3710099</v>
      </c>
      <c r="L3274" s="31"/>
      <c r="M3274" s="31" t="s">
        <v>854</v>
      </c>
      <c r="N3274" s="6" t="s">
        <v>856</v>
      </c>
    </row>
    <row r="3275" spans="1:14" ht="15" customHeight="1" x14ac:dyDescent="0.2">
      <c r="A3275" s="31">
        <v>0.71820563571369189</v>
      </c>
      <c r="B3275" s="31"/>
      <c r="C3275" s="2" t="s">
        <v>855</v>
      </c>
      <c r="D3275" s="31">
        <f t="shared" si="106"/>
        <v>0.14076830459988363</v>
      </c>
      <c r="F3275" s="2" t="s">
        <v>822</v>
      </c>
      <c r="G3275" s="23" t="s">
        <v>902</v>
      </c>
      <c r="H3275" s="2" t="s">
        <v>822</v>
      </c>
      <c r="J3275" s="31">
        <v>43.5840988</v>
      </c>
      <c r="K3275" s="31">
        <v>-17.823499699999999</v>
      </c>
      <c r="L3275" s="31"/>
      <c r="M3275" s="31" t="s">
        <v>854</v>
      </c>
      <c r="N3275" s="6" t="s">
        <v>856</v>
      </c>
    </row>
    <row r="3276" spans="1:14" ht="15" customHeight="1" x14ac:dyDescent="0.2">
      <c r="A3276" s="31">
        <v>0.71805914341725652</v>
      </c>
      <c r="B3276" s="31"/>
      <c r="C3276" s="2" t="s">
        <v>855</v>
      </c>
      <c r="D3276" s="31">
        <f t="shared" si="106"/>
        <v>0.14073959210978229</v>
      </c>
      <c r="F3276" s="2" t="s">
        <v>822</v>
      </c>
      <c r="G3276" s="23" t="s">
        <v>902</v>
      </c>
      <c r="H3276" s="2" t="s">
        <v>822</v>
      </c>
      <c r="J3276" s="31">
        <v>32.879199999999997</v>
      </c>
      <c r="K3276" s="31">
        <v>-26.5365009</v>
      </c>
      <c r="L3276" s="31"/>
      <c r="M3276" s="31" t="s">
        <v>854</v>
      </c>
      <c r="N3276" s="6" t="s">
        <v>856</v>
      </c>
    </row>
    <row r="3277" spans="1:14" ht="15" customHeight="1" x14ac:dyDescent="0.2">
      <c r="A3277" s="31">
        <v>0.71782310111027703</v>
      </c>
      <c r="B3277" s="31"/>
      <c r="C3277" s="2" t="s">
        <v>855</v>
      </c>
      <c r="D3277" s="31">
        <f t="shared" si="106"/>
        <v>0.14069332781761432</v>
      </c>
      <c r="F3277" s="2" t="s">
        <v>822</v>
      </c>
      <c r="G3277" s="23" t="s">
        <v>902</v>
      </c>
      <c r="H3277" s="2" t="s">
        <v>822</v>
      </c>
      <c r="J3277" s="31">
        <v>42.740001700000001</v>
      </c>
      <c r="K3277" s="31">
        <v>-37.215999600000004</v>
      </c>
      <c r="L3277" s="31"/>
      <c r="M3277" s="31" t="s">
        <v>854</v>
      </c>
      <c r="N3277" s="6" t="s">
        <v>856</v>
      </c>
    </row>
    <row r="3278" spans="1:14" ht="15" customHeight="1" x14ac:dyDescent="0.2">
      <c r="A3278" s="31">
        <v>0.71774234734254683</v>
      </c>
      <c r="B3278" s="31"/>
      <c r="C3278" s="2" t="s">
        <v>855</v>
      </c>
      <c r="D3278" s="31">
        <f t="shared" si="106"/>
        <v>0.14067750007913918</v>
      </c>
      <c r="F3278" s="2" t="s">
        <v>822</v>
      </c>
      <c r="G3278" s="23" t="s">
        <v>902</v>
      </c>
      <c r="H3278" s="2" t="s">
        <v>822</v>
      </c>
      <c r="J3278" s="31">
        <v>54.478198999999996</v>
      </c>
      <c r="K3278" s="31">
        <v>11.406200399999999</v>
      </c>
      <c r="L3278" s="31"/>
      <c r="M3278" s="31" t="s">
        <v>854</v>
      </c>
      <c r="N3278" s="6" t="s">
        <v>856</v>
      </c>
    </row>
    <row r="3279" spans="1:14" ht="15" customHeight="1" x14ac:dyDescent="0.2">
      <c r="A3279" s="31">
        <v>0.71759458797100872</v>
      </c>
      <c r="B3279" s="31"/>
      <c r="C3279" s="2" t="s">
        <v>855</v>
      </c>
      <c r="D3279" s="31">
        <f t="shared" si="106"/>
        <v>0.14064853924231771</v>
      </c>
      <c r="F3279" s="2" t="s">
        <v>822</v>
      </c>
      <c r="G3279" s="23" t="s">
        <v>902</v>
      </c>
      <c r="H3279" s="2" t="s">
        <v>822</v>
      </c>
      <c r="J3279" s="31">
        <v>45.350799600000002</v>
      </c>
      <c r="K3279" s="31">
        <v>-34.616901400000003</v>
      </c>
      <c r="L3279" s="31"/>
      <c r="M3279" s="31" t="s">
        <v>854</v>
      </c>
      <c r="N3279" s="6" t="s">
        <v>856</v>
      </c>
    </row>
    <row r="3280" spans="1:14" ht="15" customHeight="1" x14ac:dyDescent="0.2">
      <c r="A3280" s="31">
        <v>0.71753544561101745</v>
      </c>
      <c r="B3280" s="31"/>
      <c r="C3280" s="2" t="s">
        <v>855</v>
      </c>
      <c r="D3280" s="31">
        <f t="shared" si="106"/>
        <v>0.14063694733975943</v>
      </c>
      <c r="F3280" s="2" t="s">
        <v>822</v>
      </c>
      <c r="G3280" s="23" t="s">
        <v>902</v>
      </c>
      <c r="H3280" s="2" t="s">
        <v>822</v>
      </c>
      <c r="J3280" s="31">
        <v>38.731998400000002</v>
      </c>
      <c r="K3280" s="31">
        <v>-11.8319998</v>
      </c>
      <c r="L3280" s="31"/>
      <c r="M3280" s="31" t="s">
        <v>854</v>
      </c>
      <c r="N3280" s="6" t="s">
        <v>856</v>
      </c>
    </row>
    <row r="3281" spans="1:14" ht="15" customHeight="1" x14ac:dyDescent="0.2">
      <c r="A3281" s="31">
        <v>0.71698642832677306</v>
      </c>
      <c r="B3281" s="31"/>
      <c r="C3281" s="2" t="s">
        <v>855</v>
      </c>
      <c r="D3281" s="31">
        <f t="shared" si="106"/>
        <v>0.14052933995204753</v>
      </c>
      <c r="F3281" s="2" t="s">
        <v>822</v>
      </c>
      <c r="G3281" s="23" t="s">
        <v>902</v>
      </c>
      <c r="H3281" s="2" t="s">
        <v>822</v>
      </c>
      <c r="J3281" s="31">
        <v>54.959400199999997</v>
      </c>
      <c r="K3281" s="31">
        <v>-5.1344900000000004</v>
      </c>
      <c r="L3281" s="31"/>
      <c r="M3281" s="31" t="s">
        <v>854</v>
      </c>
      <c r="N3281" s="6" t="s">
        <v>856</v>
      </c>
    </row>
    <row r="3282" spans="1:14" ht="15" customHeight="1" x14ac:dyDescent="0.2">
      <c r="A3282" s="31">
        <v>0.7169389277307755</v>
      </c>
      <c r="B3282" s="31"/>
      <c r="C3282" s="2" t="s">
        <v>855</v>
      </c>
      <c r="D3282" s="31">
        <f t="shared" si="106"/>
        <v>0.14052002983523201</v>
      </c>
      <c r="F3282" s="2" t="s">
        <v>822</v>
      </c>
      <c r="G3282" s="23" t="s">
        <v>902</v>
      </c>
      <c r="H3282" s="2" t="s">
        <v>822</v>
      </c>
      <c r="J3282" s="31">
        <v>41.540401500000002</v>
      </c>
      <c r="K3282" s="31">
        <v>-31.647499100000001</v>
      </c>
      <c r="L3282" s="31"/>
      <c r="M3282" s="31" t="s">
        <v>854</v>
      </c>
      <c r="N3282" s="6" t="s">
        <v>856</v>
      </c>
    </row>
    <row r="3283" spans="1:14" ht="15" customHeight="1" x14ac:dyDescent="0.2">
      <c r="A3283" s="31">
        <v>0.71689283959762284</v>
      </c>
      <c r="B3283" s="31"/>
      <c r="C3283" s="2" t="s">
        <v>855</v>
      </c>
      <c r="D3283" s="31">
        <f t="shared" si="106"/>
        <v>0.14051099656113408</v>
      </c>
      <c r="F3283" s="2" t="s">
        <v>822</v>
      </c>
      <c r="G3283" s="23" t="s">
        <v>902</v>
      </c>
      <c r="H3283" s="2" t="s">
        <v>822</v>
      </c>
      <c r="J3283" s="31">
        <v>45.117500300000003</v>
      </c>
      <c r="K3283" s="31">
        <v>-3.4397600000000002</v>
      </c>
      <c r="L3283" s="31"/>
      <c r="M3283" s="31" t="s">
        <v>854</v>
      </c>
      <c r="N3283" s="6" t="s">
        <v>856</v>
      </c>
    </row>
    <row r="3284" spans="1:14" ht="15" customHeight="1" x14ac:dyDescent="0.2">
      <c r="A3284" s="31">
        <v>0.71686954411349857</v>
      </c>
      <c r="B3284" s="31"/>
      <c r="C3284" s="2" t="s">
        <v>855</v>
      </c>
      <c r="D3284" s="31">
        <f t="shared" si="106"/>
        <v>0.14050643064624571</v>
      </c>
      <c r="F3284" s="2" t="s">
        <v>822</v>
      </c>
      <c r="G3284" s="23" t="s">
        <v>902</v>
      </c>
      <c r="H3284" s="2" t="s">
        <v>822</v>
      </c>
      <c r="J3284" s="31">
        <v>34.063301099999997</v>
      </c>
      <c r="K3284" s="31">
        <v>-41.904998800000001</v>
      </c>
      <c r="L3284" s="31"/>
      <c r="M3284" s="31" t="s">
        <v>854</v>
      </c>
      <c r="N3284" s="6" t="s">
        <v>856</v>
      </c>
    </row>
    <row r="3285" spans="1:14" ht="15" customHeight="1" x14ac:dyDescent="0.2">
      <c r="A3285" s="31">
        <v>0.7167266782898617</v>
      </c>
      <c r="B3285" s="31"/>
      <c r="C3285" s="2" t="s">
        <v>855</v>
      </c>
      <c r="D3285" s="31">
        <f t="shared" si="106"/>
        <v>0.14047842894481291</v>
      </c>
      <c r="F3285" s="2" t="s">
        <v>822</v>
      </c>
      <c r="G3285" s="23" t="s">
        <v>902</v>
      </c>
      <c r="H3285" s="2" t="s">
        <v>822</v>
      </c>
      <c r="J3285" s="31">
        <v>44.649600999999997</v>
      </c>
      <c r="K3285" s="31">
        <v>-13.6548996</v>
      </c>
      <c r="L3285" s="31"/>
      <c r="M3285" s="31" t="s">
        <v>854</v>
      </c>
      <c r="N3285" s="6" t="s">
        <v>856</v>
      </c>
    </row>
    <row r="3286" spans="1:14" ht="15" customHeight="1" x14ac:dyDescent="0.2">
      <c r="A3286" s="31">
        <v>0.716717465617843</v>
      </c>
      <c r="B3286" s="31"/>
      <c r="C3286" s="2" t="s">
        <v>855</v>
      </c>
      <c r="D3286" s="31">
        <f t="shared" si="106"/>
        <v>0.14047662326109722</v>
      </c>
      <c r="F3286" s="2" t="s">
        <v>822</v>
      </c>
      <c r="G3286" s="23" t="s">
        <v>902</v>
      </c>
      <c r="H3286" s="2" t="s">
        <v>822</v>
      </c>
      <c r="J3286" s="31">
        <v>53.593299899999998</v>
      </c>
      <c r="K3286" s="31">
        <v>6.3860697999999996</v>
      </c>
      <c r="L3286" s="31"/>
      <c r="M3286" s="31" t="s">
        <v>854</v>
      </c>
      <c r="N3286" s="6" t="s">
        <v>856</v>
      </c>
    </row>
    <row r="3287" spans="1:14" ht="15" customHeight="1" x14ac:dyDescent="0.2">
      <c r="A3287" s="31">
        <v>0.71667221237020118</v>
      </c>
      <c r="B3287" s="31"/>
      <c r="C3287" s="2" t="s">
        <v>855</v>
      </c>
      <c r="D3287" s="31">
        <f t="shared" si="106"/>
        <v>0.14046775362455943</v>
      </c>
      <c r="F3287" s="2" t="s">
        <v>822</v>
      </c>
      <c r="G3287" s="23" t="s">
        <v>902</v>
      </c>
      <c r="H3287" s="2" t="s">
        <v>822</v>
      </c>
      <c r="J3287" s="31">
        <v>43.712699899999997</v>
      </c>
      <c r="K3287" s="31">
        <v>-32.799598699999997</v>
      </c>
      <c r="L3287" s="31"/>
      <c r="M3287" s="31" t="s">
        <v>854</v>
      </c>
      <c r="N3287" s="6" t="s">
        <v>856</v>
      </c>
    </row>
    <row r="3288" spans="1:14" ht="15" customHeight="1" x14ac:dyDescent="0.2">
      <c r="A3288" s="31">
        <v>0.71658163670265351</v>
      </c>
      <c r="B3288" s="31"/>
      <c r="C3288" s="2" t="s">
        <v>855</v>
      </c>
      <c r="D3288" s="31">
        <f t="shared" si="106"/>
        <v>0.14045000079372008</v>
      </c>
      <c r="F3288" s="2" t="s">
        <v>822</v>
      </c>
      <c r="G3288" s="23" t="s">
        <v>902</v>
      </c>
      <c r="H3288" s="2" t="s">
        <v>822</v>
      </c>
      <c r="J3288" s="31">
        <v>38.731998400000002</v>
      </c>
      <c r="K3288" s="31">
        <v>-13.8360004</v>
      </c>
      <c r="L3288" s="31"/>
      <c r="M3288" s="31" t="s">
        <v>854</v>
      </c>
      <c r="N3288" s="6" t="s">
        <v>856</v>
      </c>
    </row>
    <row r="3289" spans="1:14" ht="15" customHeight="1" x14ac:dyDescent="0.2">
      <c r="A3289" s="31">
        <v>0.71615948442825961</v>
      </c>
      <c r="B3289" s="31"/>
      <c r="C3289" s="2" t="s">
        <v>855</v>
      </c>
      <c r="D3289" s="31">
        <f t="shared" si="106"/>
        <v>0.14036725894793889</v>
      </c>
      <c r="F3289" s="2" t="s">
        <v>822</v>
      </c>
      <c r="G3289" s="23" t="s">
        <v>902</v>
      </c>
      <c r="H3289" s="2" t="s">
        <v>822</v>
      </c>
      <c r="J3289" s="31">
        <v>37.010299699999997</v>
      </c>
      <c r="K3289" s="31">
        <v>2.8456999999999999</v>
      </c>
      <c r="L3289" s="31"/>
      <c r="M3289" s="31" t="s">
        <v>854</v>
      </c>
      <c r="N3289" s="6" t="s">
        <v>856</v>
      </c>
    </row>
    <row r="3290" spans="1:14" ht="15" customHeight="1" x14ac:dyDescent="0.2">
      <c r="A3290" s="31">
        <v>0.71592089185186747</v>
      </c>
      <c r="B3290" s="31"/>
      <c r="C3290" s="2" t="s">
        <v>855</v>
      </c>
      <c r="D3290" s="31">
        <f t="shared" si="106"/>
        <v>0.14032049480296602</v>
      </c>
      <c r="F3290" s="2" t="s">
        <v>822</v>
      </c>
      <c r="G3290" s="23" t="s">
        <v>902</v>
      </c>
      <c r="H3290" s="2" t="s">
        <v>822</v>
      </c>
      <c r="J3290" s="31">
        <v>36.225799600000002</v>
      </c>
      <c r="K3290" s="31">
        <v>-23.6695004</v>
      </c>
      <c r="L3290" s="31"/>
      <c r="M3290" s="31" t="s">
        <v>854</v>
      </c>
      <c r="N3290" s="6" t="s">
        <v>856</v>
      </c>
    </row>
    <row r="3291" spans="1:14" ht="15" customHeight="1" x14ac:dyDescent="0.2">
      <c r="A3291" s="31">
        <v>0.71586877058036336</v>
      </c>
      <c r="B3291" s="31"/>
      <c r="C3291" s="2" t="s">
        <v>855</v>
      </c>
      <c r="D3291" s="31">
        <f t="shared" si="106"/>
        <v>0.14031027903375123</v>
      </c>
      <c r="F3291" s="2" t="s">
        <v>822</v>
      </c>
      <c r="G3291" s="23" t="s">
        <v>902</v>
      </c>
      <c r="H3291" s="2" t="s">
        <v>822</v>
      </c>
      <c r="J3291" s="31">
        <v>34.723998999999999</v>
      </c>
      <c r="K3291" s="31">
        <v>-21.184000000000001</v>
      </c>
      <c r="L3291" s="31"/>
      <c r="M3291" s="31" t="s">
        <v>854</v>
      </c>
      <c r="N3291" s="6" t="s">
        <v>856</v>
      </c>
    </row>
    <row r="3292" spans="1:14" ht="15" customHeight="1" x14ac:dyDescent="0.2">
      <c r="A3292" s="31">
        <v>0.71573763972108662</v>
      </c>
      <c r="B3292" s="31"/>
      <c r="C3292" s="2" t="s">
        <v>855</v>
      </c>
      <c r="D3292" s="31">
        <f t="shared" si="106"/>
        <v>0.14028457738533298</v>
      </c>
      <c r="F3292" s="2" t="s">
        <v>822</v>
      </c>
      <c r="G3292" s="23" t="s">
        <v>902</v>
      </c>
      <c r="H3292" s="2" t="s">
        <v>822</v>
      </c>
      <c r="J3292" s="31">
        <v>38.037200900000002</v>
      </c>
      <c r="K3292" s="31">
        <v>14.154500000000001</v>
      </c>
      <c r="L3292" s="31"/>
      <c r="M3292" s="31" t="s">
        <v>854</v>
      </c>
      <c r="N3292" s="6" t="s">
        <v>856</v>
      </c>
    </row>
    <row r="3293" spans="1:14" ht="15" customHeight="1" x14ac:dyDescent="0.2">
      <c r="A3293" s="31">
        <v>0.71562820250780923</v>
      </c>
      <c r="B3293" s="31"/>
      <c r="C3293" s="2" t="s">
        <v>855</v>
      </c>
      <c r="D3293" s="31">
        <f t="shared" si="106"/>
        <v>0.14026312769153063</v>
      </c>
      <c r="F3293" s="2" t="s">
        <v>822</v>
      </c>
      <c r="G3293" s="23" t="s">
        <v>902</v>
      </c>
      <c r="H3293" s="2" t="s">
        <v>822</v>
      </c>
      <c r="J3293" s="31">
        <v>41.133899700000001</v>
      </c>
      <c r="K3293" s="31">
        <v>16.927900300000001</v>
      </c>
      <c r="L3293" s="31"/>
      <c r="M3293" s="31" t="s">
        <v>854</v>
      </c>
      <c r="N3293" s="6" t="s">
        <v>856</v>
      </c>
    </row>
    <row r="3294" spans="1:14" ht="15" customHeight="1" x14ac:dyDescent="0.2">
      <c r="A3294" s="31">
        <v>0.71556328812717052</v>
      </c>
      <c r="B3294" s="31"/>
      <c r="C3294" s="2" t="s">
        <v>855</v>
      </c>
      <c r="D3294" s="31">
        <f t="shared" si="106"/>
        <v>0.14025040447292542</v>
      </c>
      <c r="F3294" s="2" t="s">
        <v>822</v>
      </c>
      <c r="G3294" s="23" t="s">
        <v>902</v>
      </c>
      <c r="H3294" s="2" t="s">
        <v>822</v>
      </c>
      <c r="J3294" s="31">
        <v>34.723998999999999</v>
      </c>
      <c r="K3294" s="31">
        <v>-9.1599997999999996</v>
      </c>
      <c r="L3294" s="31"/>
      <c r="M3294" s="31" t="s">
        <v>854</v>
      </c>
      <c r="N3294" s="6" t="s">
        <v>856</v>
      </c>
    </row>
    <row r="3295" spans="1:14" ht="15" customHeight="1" x14ac:dyDescent="0.2">
      <c r="A3295" s="31">
        <v>0.71535872163670211</v>
      </c>
      <c r="B3295" s="31"/>
      <c r="C3295" s="2" t="s">
        <v>855</v>
      </c>
      <c r="D3295" s="31">
        <f t="shared" si="106"/>
        <v>0.14021030944079363</v>
      </c>
      <c r="F3295" s="2" t="s">
        <v>822</v>
      </c>
      <c r="G3295" s="23" t="s">
        <v>902</v>
      </c>
      <c r="H3295" s="2" t="s">
        <v>822</v>
      </c>
      <c r="J3295" s="31">
        <v>61.475399000000003</v>
      </c>
      <c r="K3295" s="31">
        <v>18.6187</v>
      </c>
      <c r="L3295" s="31"/>
      <c r="M3295" s="31" t="s">
        <v>854</v>
      </c>
      <c r="N3295" s="6" t="s">
        <v>856</v>
      </c>
    </row>
    <row r="3296" spans="1:14" ht="15" customHeight="1" x14ac:dyDescent="0.2">
      <c r="A3296" s="31">
        <v>0.71528200923608076</v>
      </c>
      <c r="B3296" s="31"/>
      <c r="C3296" s="2" t="s">
        <v>855</v>
      </c>
      <c r="D3296" s="31">
        <f t="shared" ref="D3296:D3327" si="107" xml:space="preserve"> A3296 * 0.196</f>
        <v>0.14019527381027183</v>
      </c>
      <c r="F3296" s="2" t="s">
        <v>822</v>
      </c>
      <c r="G3296" s="23" t="s">
        <v>902</v>
      </c>
      <c r="H3296" s="2" t="s">
        <v>822</v>
      </c>
      <c r="J3296" s="31">
        <v>32.559699999999999</v>
      </c>
      <c r="K3296" s="31">
        <v>29.086999899999999</v>
      </c>
      <c r="L3296" s="31"/>
      <c r="M3296" s="31" t="s">
        <v>854</v>
      </c>
      <c r="N3296" s="6" t="s">
        <v>856</v>
      </c>
    </row>
    <row r="3297" spans="1:14" ht="15" customHeight="1" x14ac:dyDescent="0.2">
      <c r="A3297" s="31">
        <v>0.71459401640336973</v>
      </c>
      <c r="B3297" s="31"/>
      <c r="C3297" s="2" t="s">
        <v>855</v>
      </c>
      <c r="D3297" s="31">
        <f t="shared" si="107"/>
        <v>0.14006042721506048</v>
      </c>
      <c r="F3297" s="2" t="s">
        <v>822</v>
      </c>
      <c r="G3297" s="23" t="s">
        <v>902</v>
      </c>
      <c r="H3297" s="2" t="s">
        <v>822</v>
      </c>
      <c r="J3297" s="31">
        <v>33.3567009</v>
      </c>
      <c r="K3297" s="31">
        <v>-27.008400000000002</v>
      </c>
      <c r="L3297" s="31"/>
      <c r="M3297" s="31" t="s">
        <v>854</v>
      </c>
      <c r="N3297" s="6" t="s">
        <v>856</v>
      </c>
    </row>
    <row r="3298" spans="1:14" ht="15" customHeight="1" x14ac:dyDescent="0.2">
      <c r="A3298" s="31">
        <v>0.71445929489113547</v>
      </c>
      <c r="B3298" s="31"/>
      <c r="C3298" s="2" t="s">
        <v>855</v>
      </c>
      <c r="D3298" s="31">
        <f t="shared" si="107"/>
        <v>0.14003402179866256</v>
      </c>
      <c r="F3298" s="2" t="s">
        <v>822</v>
      </c>
      <c r="G3298" s="23" t="s">
        <v>902</v>
      </c>
      <c r="H3298" s="2" t="s">
        <v>822</v>
      </c>
      <c r="J3298" s="31">
        <v>27.5550003</v>
      </c>
      <c r="K3298" s="31">
        <v>-25.803499200000001</v>
      </c>
      <c r="L3298" s="31"/>
      <c r="M3298" s="31" t="s">
        <v>854</v>
      </c>
      <c r="N3298" s="6" t="s">
        <v>856</v>
      </c>
    </row>
    <row r="3299" spans="1:14" ht="15" customHeight="1" x14ac:dyDescent="0.2">
      <c r="A3299" s="31">
        <v>0.7144577102611821</v>
      </c>
      <c r="B3299" s="31"/>
      <c r="C3299" s="2" t="s">
        <v>855</v>
      </c>
      <c r="D3299" s="31">
        <f t="shared" si="107"/>
        <v>0.14003371121119171</v>
      </c>
      <c r="F3299" s="2" t="s">
        <v>822</v>
      </c>
      <c r="G3299" s="23" t="s">
        <v>902</v>
      </c>
      <c r="H3299" s="2" t="s">
        <v>822</v>
      </c>
      <c r="J3299" s="31">
        <v>36.132598899999998</v>
      </c>
      <c r="K3299" s="31">
        <v>16.705900199999999</v>
      </c>
      <c r="L3299" s="31"/>
      <c r="M3299" s="31" t="s">
        <v>854</v>
      </c>
      <c r="N3299" s="6" t="s">
        <v>856</v>
      </c>
    </row>
    <row r="3300" spans="1:14" ht="15" customHeight="1" x14ac:dyDescent="0.2">
      <c r="A3300" s="31">
        <v>0.71444743223456519</v>
      </c>
      <c r="B3300" s="31"/>
      <c r="C3300" s="2" t="s">
        <v>855</v>
      </c>
      <c r="D3300" s="31">
        <f t="shared" si="107"/>
        <v>0.14003169671797477</v>
      </c>
      <c r="F3300" s="2" t="s">
        <v>822</v>
      </c>
      <c r="G3300" s="23" t="s">
        <v>902</v>
      </c>
      <c r="H3300" s="2" t="s">
        <v>822</v>
      </c>
      <c r="J3300" s="31">
        <v>39.258300800000001</v>
      </c>
      <c r="K3300" s="31">
        <v>17.264200200000001</v>
      </c>
      <c r="L3300" s="31"/>
      <c r="M3300" s="31" t="s">
        <v>854</v>
      </c>
      <c r="N3300" s="6" t="s">
        <v>856</v>
      </c>
    </row>
    <row r="3301" spans="1:14" ht="15" customHeight="1" x14ac:dyDescent="0.2">
      <c r="A3301" s="31">
        <v>0.71428185646699405</v>
      </c>
      <c r="B3301" s="31"/>
      <c r="C3301" s="2" t="s">
        <v>855</v>
      </c>
      <c r="D3301" s="31">
        <f t="shared" si="107"/>
        <v>0.13999924386753085</v>
      </c>
      <c r="F3301" s="2" t="s">
        <v>822</v>
      </c>
      <c r="G3301" s="23" t="s">
        <v>902</v>
      </c>
      <c r="H3301" s="2" t="s">
        <v>822</v>
      </c>
      <c r="J3301" s="31">
        <v>39.0381012</v>
      </c>
      <c r="K3301" s="31">
        <v>14.3601999</v>
      </c>
      <c r="L3301" s="31"/>
      <c r="M3301" s="31" t="s">
        <v>854</v>
      </c>
      <c r="N3301" s="6" t="s">
        <v>856</v>
      </c>
    </row>
    <row r="3302" spans="1:14" ht="15" customHeight="1" x14ac:dyDescent="0.2">
      <c r="A3302" s="31">
        <v>0.71427366274152959</v>
      </c>
      <c r="B3302" s="31"/>
      <c r="C3302" s="2" t="s">
        <v>855</v>
      </c>
      <c r="D3302" s="31">
        <f t="shared" si="107"/>
        <v>0.13999763789733979</v>
      </c>
      <c r="F3302" s="2" t="s">
        <v>822</v>
      </c>
      <c r="G3302" s="23" t="s">
        <v>902</v>
      </c>
      <c r="H3302" s="2" t="s">
        <v>822</v>
      </c>
      <c r="J3302" s="31">
        <v>34.084301000000004</v>
      </c>
      <c r="K3302" s="31">
        <v>11.4575005</v>
      </c>
      <c r="L3302" s="31"/>
      <c r="M3302" s="31" t="s">
        <v>854</v>
      </c>
      <c r="N3302" s="6" t="s">
        <v>856</v>
      </c>
    </row>
    <row r="3303" spans="1:14" ht="15" customHeight="1" x14ac:dyDescent="0.2">
      <c r="A3303" s="31">
        <v>0.71425296952290507</v>
      </c>
      <c r="B3303" s="31"/>
      <c r="C3303" s="2" t="s">
        <v>855</v>
      </c>
      <c r="D3303" s="31">
        <f t="shared" si="107"/>
        <v>0.1399935820264894</v>
      </c>
      <c r="F3303" s="2" t="s">
        <v>822</v>
      </c>
      <c r="G3303" s="23" t="s">
        <v>902</v>
      </c>
      <c r="H3303" s="2" t="s">
        <v>822</v>
      </c>
      <c r="J3303" s="31">
        <v>38.801200899999998</v>
      </c>
      <c r="K3303" s="31">
        <v>-25.438100800000001</v>
      </c>
      <c r="L3303" s="31"/>
      <c r="M3303" s="31" t="s">
        <v>854</v>
      </c>
      <c r="N3303" s="6" t="s">
        <v>856</v>
      </c>
    </row>
    <row r="3304" spans="1:14" ht="15" customHeight="1" x14ac:dyDescent="0.2">
      <c r="A3304" s="31">
        <v>0.7141179449941325</v>
      </c>
      <c r="B3304" s="31"/>
      <c r="C3304" s="2" t="s">
        <v>855</v>
      </c>
      <c r="D3304" s="31">
        <f t="shared" si="107"/>
        <v>0.13996711721884997</v>
      </c>
      <c r="F3304" s="2" t="s">
        <v>822</v>
      </c>
      <c r="G3304" s="23" t="s">
        <v>902</v>
      </c>
      <c r="H3304" s="2" t="s">
        <v>822</v>
      </c>
      <c r="J3304" s="31">
        <v>38.179901100000002</v>
      </c>
      <c r="K3304" s="31">
        <v>13.2026997</v>
      </c>
      <c r="L3304" s="31"/>
      <c r="M3304" s="31" t="s">
        <v>854</v>
      </c>
      <c r="N3304" s="6" t="s">
        <v>856</v>
      </c>
    </row>
    <row r="3305" spans="1:14" ht="15" customHeight="1" x14ac:dyDescent="0.2">
      <c r="A3305" s="31">
        <v>0.71409379878177603</v>
      </c>
      <c r="B3305" s="31"/>
      <c r="C3305" s="2" t="s">
        <v>855</v>
      </c>
      <c r="D3305" s="31">
        <f t="shared" si="107"/>
        <v>0.13996238456122811</v>
      </c>
      <c r="F3305" s="2" t="s">
        <v>822</v>
      </c>
      <c r="G3305" s="23" t="s">
        <v>902</v>
      </c>
      <c r="H3305" s="2" t="s">
        <v>822</v>
      </c>
      <c r="J3305" s="31">
        <v>43.640598300000001</v>
      </c>
      <c r="K3305" s="31">
        <v>-18.479600900000001</v>
      </c>
      <c r="L3305" s="31"/>
      <c r="M3305" s="31" t="s">
        <v>854</v>
      </c>
      <c r="N3305" s="6" t="s">
        <v>856</v>
      </c>
    </row>
    <row r="3306" spans="1:14" ht="15" customHeight="1" x14ac:dyDescent="0.2">
      <c r="A3306" s="31">
        <v>0.71402382862904268</v>
      </c>
      <c r="B3306" s="31"/>
      <c r="C3306" s="2" t="s">
        <v>855</v>
      </c>
      <c r="D3306" s="31">
        <f t="shared" si="107"/>
        <v>0.13994867041129236</v>
      </c>
      <c r="F3306" s="2" t="s">
        <v>822</v>
      </c>
      <c r="G3306" s="23" t="s">
        <v>902</v>
      </c>
      <c r="H3306" s="2" t="s">
        <v>822</v>
      </c>
      <c r="J3306" s="31">
        <v>34.093398999999998</v>
      </c>
      <c r="K3306" s="31">
        <v>-36.0027008</v>
      </c>
      <c r="L3306" s="31"/>
      <c r="M3306" s="31" t="s">
        <v>854</v>
      </c>
      <c r="N3306" s="6" t="s">
        <v>856</v>
      </c>
    </row>
    <row r="3307" spans="1:14" ht="15" customHeight="1" x14ac:dyDescent="0.2">
      <c r="A3307" s="31">
        <v>0.71400715287799565</v>
      </c>
      <c r="B3307" s="31"/>
      <c r="C3307" s="2" t="s">
        <v>855</v>
      </c>
      <c r="D3307" s="31">
        <f t="shared" si="107"/>
        <v>0.13994540196408714</v>
      </c>
      <c r="F3307" s="2" t="s">
        <v>822</v>
      </c>
      <c r="G3307" s="23" t="s">
        <v>902</v>
      </c>
      <c r="H3307" s="2" t="s">
        <v>822</v>
      </c>
      <c r="J3307" s="31">
        <v>31.937000300000001</v>
      </c>
      <c r="K3307" s="31">
        <v>27.582000699999998</v>
      </c>
      <c r="L3307" s="31"/>
      <c r="M3307" s="31" t="s">
        <v>854</v>
      </c>
      <c r="N3307" s="6" t="s">
        <v>856</v>
      </c>
    </row>
    <row r="3308" spans="1:14" ht="15" customHeight="1" x14ac:dyDescent="0.2">
      <c r="A3308" s="31">
        <v>0.7135953394923148</v>
      </c>
      <c r="B3308" s="31"/>
      <c r="C3308" s="2" t="s">
        <v>855</v>
      </c>
      <c r="D3308" s="31">
        <f t="shared" si="107"/>
        <v>0.13986468654049369</v>
      </c>
      <c r="F3308" s="2" t="s">
        <v>822</v>
      </c>
      <c r="G3308" s="23" t="s">
        <v>902</v>
      </c>
      <c r="H3308" s="2" t="s">
        <v>822</v>
      </c>
      <c r="J3308" s="31">
        <v>46.080600699999998</v>
      </c>
      <c r="K3308" s="31">
        <v>-37.884601600000003</v>
      </c>
      <c r="L3308" s="31"/>
      <c r="M3308" s="31" t="s">
        <v>854</v>
      </c>
      <c r="N3308" s="6" t="s">
        <v>856</v>
      </c>
    </row>
    <row r="3309" spans="1:14" ht="15" customHeight="1" x14ac:dyDescent="0.2">
      <c r="A3309" s="31">
        <v>0.71335833558599393</v>
      </c>
      <c r="B3309" s="31"/>
      <c r="C3309" s="2" t="s">
        <v>855</v>
      </c>
      <c r="D3309" s="31">
        <f t="shared" si="107"/>
        <v>0.13981823377485481</v>
      </c>
      <c r="F3309" s="2" t="s">
        <v>822</v>
      </c>
      <c r="G3309" s="23" t="s">
        <v>902</v>
      </c>
      <c r="H3309" s="2" t="s">
        <v>822</v>
      </c>
      <c r="J3309" s="31">
        <v>32.064498899999997</v>
      </c>
      <c r="K3309" s="31">
        <v>-13.188799899999999</v>
      </c>
      <c r="L3309" s="31"/>
      <c r="M3309" s="31" t="s">
        <v>854</v>
      </c>
      <c r="N3309" s="6" t="s">
        <v>856</v>
      </c>
    </row>
    <row r="3310" spans="1:14" ht="15" customHeight="1" x14ac:dyDescent="0.2">
      <c r="A3310" s="31">
        <v>0.71317599533602694</v>
      </c>
      <c r="B3310" s="31"/>
      <c r="C3310" s="2" t="s">
        <v>855</v>
      </c>
      <c r="D3310" s="31">
        <f t="shared" si="107"/>
        <v>0.1397824950858613</v>
      </c>
      <c r="F3310" s="2" t="s">
        <v>822</v>
      </c>
      <c r="G3310" s="23" t="s">
        <v>902</v>
      </c>
      <c r="H3310" s="2" t="s">
        <v>822</v>
      </c>
      <c r="J3310" s="31">
        <v>38.063999199999998</v>
      </c>
      <c r="K3310" s="31">
        <v>4.8680000000000003</v>
      </c>
      <c r="L3310" s="31"/>
      <c r="M3310" s="31" t="s">
        <v>854</v>
      </c>
      <c r="N3310" s="6" t="s">
        <v>856</v>
      </c>
    </row>
    <row r="3311" spans="1:14" ht="15" customHeight="1" x14ac:dyDescent="0.2">
      <c r="A3311" s="31">
        <v>0.71312988019550017</v>
      </c>
      <c r="B3311" s="31"/>
      <c r="C3311" s="2" t="s">
        <v>855</v>
      </c>
      <c r="D3311" s="31">
        <f t="shared" si="107"/>
        <v>0.13977345651831805</v>
      </c>
      <c r="F3311" s="2" t="s">
        <v>822</v>
      </c>
      <c r="G3311" s="23" t="s">
        <v>902</v>
      </c>
      <c r="H3311" s="2" t="s">
        <v>822</v>
      </c>
      <c r="J3311" s="31">
        <v>41.578899399999997</v>
      </c>
      <c r="K3311" s="31">
        <v>-31.359100300000001</v>
      </c>
      <c r="L3311" s="31"/>
      <c r="M3311" s="31" t="s">
        <v>854</v>
      </c>
      <c r="N3311" s="6" t="s">
        <v>856</v>
      </c>
    </row>
    <row r="3312" spans="1:14" ht="15" customHeight="1" x14ac:dyDescent="0.2">
      <c r="A3312" s="31">
        <v>0.71306485715293655</v>
      </c>
      <c r="B3312" s="31"/>
      <c r="C3312" s="2" t="s">
        <v>855</v>
      </c>
      <c r="D3312" s="31">
        <f t="shared" si="107"/>
        <v>0.13976071200197557</v>
      </c>
      <c r="F3312" s="2" t="s">
        <v>822</v>
      </c>
      <c r="G3312" s="23" t="s">
        <v>902</v>
      </c>
      <c r="H3312" s="2" t="s">
        <v>822</v>
      </c>
      <c r="J3312" s="31">
        <v>43.445900000000002</v>
      </c>
      <c r="K3312" s="31">
        <v>-27.177</v>
      </c>
      <c r="L3312" s="31"/>
      <c r="M3312" s="31" t="s">
        <v>854</v>
      </c>
      <c r="N3312" s="6" t="s">
        <v>856</v>
      </c>
    </row>
    <row r="3313" spans="1:14" ht="15" customHeight="1" x14ac:dyDescent="0.2">
      <c r="A3313" s="31">
        <v>0.71303694818309349</v>
      </c>
      <c r="B3313" s="31"/>
      <c r="C3313" s="2" t="s">
        <v>855</v>
      </c>
      <c r="D3313" s="31">
        <f t="shared" si="107"/>
        <v>0.13975524184388632</v>
      </c>
      <c r="F3313" s="2" t="s">
        <v>822</v>
      </c>
      <c r="G3313" s="23" t="s">
        <v>902</v>
      </c>
      <c r="H3313" s="2" t="s">
        <v>822</v>
      </c>
      <c r="J3313" s="31">
        <v>32.720001199999999</v>
      </c>
      <c r="K3313" s="31">
        <v>-19.1800003</v>
      </c>
      <c r="L3313" s="31"/>
      <c r="M3313" s="31" t="s">
        <v>854</v>
      </c>
      <c r="N3313" s="6" t="s">
        <v>856</v>
      </c>
    </row>
    <row r="3314" spans="1:14" ht="15" customHeight="1" x14ac:dyDescent="0.2">
      <c r="A3314" s="31">
        <v>0.71284363038568133</v>
      </c>
      <c r="B3314" s="31"/>
      <c r="C3314" s="2" t="s">
        <v>855</v>
      </c>
      <c r="D3314" s="31">
        <f t="shared" si="107"/>
        <v>0.13971735155559353</v>
      </c>
      <c r="F3314" s="2" t="s">
        <v>822</v>
      </c>
      <c r="G3314" s="23" t="s">
        <v>902</v>
      </c>
      <c r="H3314" s="2" t="s">
        <v>822</v>
      </c>
      <c r="J3314" s="31">
        <v>54.634601600000003</v>
      </c>
      <c r="K3314" s="31">
        <v>-5.8868098</v>
      </c>
      <c r="L3314" s="31"/>
      <c r="M3314" s="31" t="s">
        <v>854</v>
      </c>
      <c r="N3314" s="6" t="s">
        <v>856</v>
      </c>
    </row>
    <row r="3315" spans="1:14" ht="15" customHeight="1" x14ac:dyDescent="0.2">
      <c r="A3315" s="31">
        <v>0.71276165220565391</v>
      </c>
      <c r="B3315" s="31"/>
      <c r="C3315" s="2" t="s">
        <v>855</v>
      </c>
      <c r="D3315" s="31">
        <f t="shared" si="107"/>
        <v>0.13970128383230818</v>
      </c>
      <c r="F3315" s="2" t="s">
        <v>822</v>
      </c>
      <c r="G3315" s="23" t="s">
        <v>902</v>
      </c>
      <c r="H3315" s="2" t="s">
        <v>822</v>
      </c>
      <c r="J3315" s="31">
        <v>55.4557991</v>
      </c>
      <c r="K3315" s="31">
        <v>-7.7491697999999998</v>
      </c>
      <c r="L3315" s="31"/>
      <c r="M3315" s="31" t="s">
        <v>854</v>
      </c>
      <c r="N3315" s="6" t="s">
        <v>856</v>
      </c>
    </row>
    <row r="3316" spans="1:14" ht="15" customHeight="1" x14ac:dyDescent="0.2">
      <c r="A3316" s="31">
        <v>0.71275657710956442</v>
      </c>
      <c r="B3316" s="31"/>
      <c r="C3316" s="2" t="s">
        <v>855</v>
      </c>
      <c r="D3316" s="31">
        <f t="shared" si="107"/>
        <v>0.13970028911347462</v>
      </c>
      <c r="F3316" s="2" t="s">
        <v>822</v>
      </c>
      <c r="G3316" s="23" t="s">
        <v>902</v>
      </c>
      <c r="H3316" s="2" t="s">
        <v>822</v>
      </c>
      <c r="J3316" s="31">
        <v>33.392299700000002</v>
      </c>
      <c r="K3316" s="31">
        <v>-37.882499699999997</v>
      </c>
      <c r="L3316" s="31"/>
      <c r="M3316" s="31" t="s">
        <v>854</v>
      </c>
      <c r="N3316" s="6" t="s">
        <v>856</v>
      </c>
    </row>
    <row r="3317" spans="1:14" ht="15" customHeight="1" x14ac:dyDescent="0.2">
      <c r="A3317" s="31">
        <v>0.71272844111833311</v>
      </c>
      <c r="B3317" s="31"/>
      <c r="C3317" s="2" t="s">
        <v>855</v>
      </c>
      <c r="D3317" s="31">
        <f t="shared" si="107"/>
        <v>0.13969477445919329</v>
      </c>
      <c r="F3317" s="2" t="s">
        <v>822</v>
      </c>
      <c r="G3317" s="23" t="s">
        <v>902</v>
      </c>
      <c r="H3317" s="2" t="s">
        <v>822</v>
      </c>
      <c r="J3317" s="31">
        <v>40.767398800000002</v>
      </c>
      <c r="K3317" s="31">
        <v>7.4806398999999999</v>
      </c>
      <c r="L3317" s="31"/>
      <c r="M3317" s="31" t="s">
        <v>854</v>
      </c>
      <c r="N3317" s="6" t="s">
        <v>856</v>
      </c>
    </row>
    <row r="3318" spans="1:14" ht="15" customHeight="1" x14ac:dyDescent="0.2">
      <c r="A3318" s="31">
        <v>0.71259264679659895</v>
      </c>
      <c r="B3318" s="31"/>
      <c r="C3318" s="2" t="s">
        <v>855</v>
      </c>
      <c r="D3318" s="31">
        <f t="shared" si="107"/>
        <v>0.1396681587721334</v>
      </c>
      <c r="F3318" s="2" t="s">
        <v>822</v>
      </c>
      <c r="G3318" s="23" t="s">
        <v>902</v>
      </c>
      <c r="H3318" s="2" t="s">
        <v>822</v>
      </c>
      <c r="J3318" s="31">
        <v>46.748001100000003</v>
      </c>
      <c r="K3318" s="31">
        <v>-17.176000599999998</v>
      </c>
      <c r="L3318" s="31"/>
      <c r="M3318" s="31" t="s">
        <v>854</v>
      </c>
      <c r="N3318" s="6" t="s">
        <v>856</v>
      </c>
    </row>
    <row r="3319" spans="1:14" ht="15" customHeight="1" x14ac:dyDescent="0.2">
      <c r="A3319" s="31">
        <v>0.71242057656064706</v>
      </c>
      <c r="B3319" s="31"/>
      <c r="C3319" s="2" t="s">
        <v>855</v>
      </c>
      <c r="D3319" s="31">
        <f t="shared" si="107"/>
        <v>0.13963443300588682</v>
      </c>
      <c r="F3319" s="2" t="s">
        <v>822</v>
      </c>
      <c r="G3319" s="23" t="s">
        <v>902</v>
      </c>
      <c r="H3319" s="2" t="s">
        <v>822</v>
      </c>
      <c r="J3319" s="31">
        <v>34.055999800000002</v>
      </c>
      <c r="K3319" s="31">
        <v>-40.555999800000002</v>
      </c>
      <c r="L3319" s="31"/>
      <c r="M3319" s="31" t="s">
        <v>854</v>
      </c>
      <c r="N3319" s="6" t="s">
        <v>856</v>
      </c>
    </row>
    <row r="3320" spans="1:14" ht="15" customHeight="1" x14ac:dyDescent="0.2">
      <c r="A3320" s="31">
        <v>0.71238408833660882</v>
      </c>
      <c r="B3320" s="31"/>
      <c r="C3320" s="2" t="s">
        <v>855</v>
      </c>
      <c r="D3320" s="31">
        <f t="shared" si="107"/>
        <v>0.13962728131397534</v>
      </c>
      <c r="F3320" s="2" t="s">
        <v>822</v>
      </c>
      <c r="G3320" s="23" t="s">
        <v>902</v>
      </c>
      <c r="H3320" s="2" t="s">
        <v>822</v>
      </c>
      <c r="J3320" s="31">
        <v>54.977798499999999</v>
      </c>
      <c r="K3320" s="31">
        <v>13.9699001</v>
      </c>
      <c r="L3320" s="31"/>
      <c r="M3320" s="31" t="s">
        <v>854</v>
      </c>
      <c r="N3320" s="6" t="s">
        <v>856</v>
      </c>
    </row>
    <row r="3321" spans="1:14" ht="15" customHeight="1" x14ac:dyDescent="0.2">
      <c r="A3321" s="31">
        <v>0.7123386654405649</v>
      </c>
      <c r="B3321" s="31"/>
      <c r="C3321" s="2" t="s">
        <v>855</v>
      </c>
      <c r="D3321" s="31">
        <f t="shared" si="107"/>
        <v>0.13961837842635072</v>
      </c>
      <c r="F3321" s="2" t="s">
        <v>822</v>
      </c>
      <c r="G3321" s="23" t="s">
        <v>902</v>
      </c>
      <c r="H3321" s="2" t="s">
        <v>822</v>
      </c>
      <c r="J3321" s="31">
        <v>36.562400799999999</v>
      </c>
      <c r="K3321" s="31">
        <v>18.834499399999999</v>
      </c>
      <c r="L3321" s="31"/>
      <c r="M3321" s="31" t="s">
        <v>854</v>
      </c>
      <c r="N3321" s="6" t="s">
        <v>856</v>
      </c>
    </row>
    <row r="3322" spans="1:14" ht="15" customHeight="1" x14ac:dyDescent="0.2">
      <c r="A3322" s="31">
        <v>0.71218123062359706</v>
      </c>
      <c r="B3322" s="31"/>
      <c r="C3322" s="2" t="s">
        <v>855</v>
      </c>
      <c r="D3322" s="31">
        <f t="shared" si="107"/>
        <v>0.13958752120222503</v>
      </c>
      <c r="F3322" s="2" t="s">
        <v>822</v>
      </c>
      <c r="G3322" s="23" t="s">
        <v>902</v>
      </c>
      <c r="H3322" s="2" t="s">
        <v>822</v>
      </c>
      <c r="J3322" s="31">
        <v>33.695999100000002</v>
      </c>
      <c r="K3322" s="31">
        <v>35.421901699999999</v>
      </c>
      <c r="L3322" s="31"/>
      <c r="M3322" s="31" t="s">
        <v>854</v>
      </c>
      <c r="N3322" s="6" t="s">
        <v>856</v>
      </c>
    </row>
    <row r="3323" spans="1:14" ht="15" customHeight="1" x14ac:dyDescent="0.2">
      <c r="A3323" s="31">
        <v>0.71216781760731163</v>
      </c>
      <c r="B3323" s="31"/>
      <c r="C3323" s="2" t="s">
        <v>855</v>
      </c>
      <c r="D3323" s="31">
        <f t="shared" si="107"/>
        <v>0.13958489225103307</v>
      </c>
      <c r="F3323" s="2" t="s">
        <v>822</v>
      </c>
      <c r="G3323" s="23" t="s">
        <v>902</v>
      </c>
      <c r="H3323" s="2" t="s">
        <v>822</v>
      </c>
      <c r="J3323" s="31">
        <v>46.525398299999999</v>
      </c>
      <c r="K3323" s="31">
        <v>-13.760299699999999</v>
      </c>
      <c r="L3323" s="31"/>
      <c r="M3323" s="31" t="s">
        <v>854</v>
      </c>
      <c r="N3323" s="6" t="s">
        <v>856</v>
      </c>
    </row>
    <row r="3324" spans="1:14" ht="15" customHeight="1" x14ac:dyDescent="0.2">
      <c r="A3324" s="31">
        <v>0.71213990177143061</v>
      </c>
      <c r="B3324" s="31"/>
      <c r="C3324" s="2" t="s">
        <v>855</v>
      </c>
      <c r="D3324" s="31">
        <f t="shared" si="107"/>
        <v>0.13957942074720039</v>
      </c>
      <c r="F3324" s="2" t="s">
        <v>822</v>
      </c>
      <c r="G3324" s="23" t="s">
        <v>902</v>
      </c>
      <c r="H3324" s="2" t="s">
        <v>822</v>
      </c>
      <c r="J3324" s="31">
        <v>33.613799999999998</v>
      </c>
      <c r="K3324" s="31">
        <v>18.257900200000002</v>
      </c>
      <c r="L3324" s="31"/>
      <c r="M3324" s="31" t="s">
        <v>854</v>
      </c>
      <c r="N3324" s="6" t="s">
        <v>856</v>
      </c>
    </row>
    <row r="3325" spans="1:14" ht="15" customHeight="1" x14ac:dyDescent="0.2">
      <c r="A3325" s="31">
        <v>0.71194789872561859</v>
      </c>
      <c r="B3325" s="31"/>
      <c r="C3325" s="2" t="s">
        <v>855</v>
      </c>
      <c r="D3325" s="31">
        <f t="shared" si="107"/>
        <v>0.13954178815022125</v>
      </c>
      <c r="F3325" s="2" t="s">
        <v>822</v>
      </c>
      <c r="G3325" s="23" t="s">
        <v>902</v>
      </c>
      <c r="H3325" s="2" t="s">
        <v>822</v>
      </c>
      <c r="J3325" s="31">
        <v>42.628700299999998</v>
      </c>
      <c r="K3325" s="31">
        <v>-27.585699099999999</v>
      </c>
      <c r="L3325" s="31"/>
      <c r="M3325" s="31" t="s">
        <v>854</v>
      </c>
      <c r="N3325" s="6" t="s">
        <v>856</v>
      </c>
    </row>
    <row r="3326" spans="1:14" ht="15" customHeight="1" x14ac:dyDescent="0.2">
      <c r="A3326" s="31">
        <v>0.71190078815453317</v>
      </c>
      <c r="B3326" s="31"/>
      <c r="C3326" s="2" t="s">
        <v>855</v>
      </c>
      <c r="D3326" s="31">
        <f t="shared" si="107"/>
        <v>0.1395325544782885</v>
      </c>
      <c r="F3326" s="2" t="s">
        <v>822</v>
      </c>
      <c r="G3326" s="23" t="s">
        <v>902</v>
      </c>
      <c r="H3326" s="2" t="s">
        <v>822</v>
      </c>
      <c r="J3326" s="31">
        <v>36.728000600000001</v>
      </c>
      <c r="K3326" s="31">
        <v>-22.520000499999998</v>
      </c>
      <c r="L3326" s="31"/>
      <c r="M3326" s="31" t="s">
        <v>854</v>
      </c>
      <c r="N3326" s="6" t="s">
        <v>856</v>
      </c>
    </row>
    <row r="3327" spans="1:14" ht="15" customHeight="1" x14ac:dyDescent="0.2">
      <c r="A3327" s="31">
        <v>0.71184465913111306</v>
      </c>
      <c r="B3327" s="31"/>
      <c r="C3327" s="2" t="s">
        <v>855</v>
      </c>
      <c r="D3327" s="31">
        <f t="shared" si="107"/>
        <v>0.13952155318969817</v>
      </c>
      <c r="F3327" s="2" t="s">
        <v>822</v>
      </c>
      <c r="G3327" s="23" t="s">
        <v>902</v>
      </c>
      <c r="H3327" s="2" t="s">
        <v>822</v>
      </c>
      <c r="J3327" s="31">
        <v>28.711999899999999</v>
      </c>
      <c r="K3327" s="31">
        <v>-24.5240002</v>
      </c>
      <c r="L3327" s="31"/>
      <c r="M3327" s="31" t="s">
        <v>854</v>
      </c>
      <c r="N3327" s="6" t="s">
        <v>856</v>
      </c>
    </row>
    <row r="3328" spans="1:14" ht="15" customHeight="1" x14ac:dyDescent="0.2">
      <c r="A3328" s="31">
        <v>0.71181599708648302</v>
      </c>
      <c r="B3328" s="31"/>
      <c r="C3328" s="2" t="s">
        <v>855</v>
      </c>
      <c r="D3328" s="31">
        <f t="shared" ref="D3328:D3353" si="108" xml:space="preserve"> A3328 * 0.196</f>
        <v>0.13951593542895069</v>
      </c>
      <c r="F3328" s="2" t="s">
        <v>822</v>
      </c>
      <c r="G3328" s="23" t="s">
        <v>902</v>
      </c>
      <c r="H3328" s="2" t="s">
        <v>822</v>
      </c>
      <c r="J3328" s="31">
        <v>50.108398399999999</v>
      </c>
      <c r="K3328" s="31">
        <v>-29.8901997</v>
      </c>
      <c r="L3328" s="31"/>
      <c r="M3328" s="31" t="s">
        <v>854</v>
      </c>
      <c r="N3328" s="6" t="s">
        <v>856</v>
      </c>
    </row>
    <row r="3329" spans="1:14" ht="15" customHeight="1" x14ac:dyDescent="0.2">
      <c r="A3329" s="31">
        <v>0.71178528950221664</v>
      </c>
      <c r="B3329" s="31"/>
      <c r="C3329" s="2" t="s">
        <v>855</v>
      </c>
      <c r="D3329" s="31">
        <f t="shared" si="108"/>
        <v>0.13950991674243446</v>
      </c>
      <c r="F3329" s="2" t="s">
        <v>822</v>
      </c>
      <c r="G3329" s="23" t="s">
        <v>902</v>
      </c>
      <c r="H3329" s="2" t="s">
        <v>822</v>
      </c>
      <c r="J3329" s="31">
        <v>53.7356987</v>
      </c>
      <c r="K3329" s="31">
        <v>7.8035002000000002</v>
      </c>
      <c r="L3329" s="31"/>
      <c r="M3329" s="31" t="s">
        <v>854</v>
      </c>
      <c r="N3329" s="6" t="s">
        <v>856</v>
      </c>
    </row>
    <row r="3330" spans="1:14" ht="15" customHeight="1" x14ac:dyDescent="0.2">
      <c r="A3330" s="31">
        <v>0.71162448575496051</v>
      </c>
      <c r="B3330" s="31"/>
      <c r="C3330" s="2" t="s">
        <v>855</v>
      </c>
      <c r="D3330" s="31">
        <f t="shared" si="108"/>
        <v>0.13947839920797225</v>
      </c>
      <c r="F3330" s="2" t="s">
        <v>822</v>
      </c>
      <c r="G3330" s="23" t="s">
        <v>902</v>
      </c>
      <c r="H3330" s="2" t="s">
        <v>822</v>
      </c>
      <c r="J3330" s="31">
        <v>52.385299699999997</v>
      </c>
      <c r="K3330" s="31">
        <v>-4.3889297999999997</v>
      </c>
      <c r="L3330" s="31"/>
      <c r="M3330" s="31" t="s">
        <v>854</v>
      </c>
      <c r="N3330" s="6" t="s">
        <v>856</v>
      </c>
    </row>
    <row r="3331" spans="1:14" ht="15" customHeight="1" x14ac:dyDescent="0.2">
      <c r="A3331" s="31">
        <v>0.71161460056367765</v>
      </c>
      <c r="B3331" s="31"/>
      <c r="C3331" s="2" t="s">
        <v>855</v>
      </c>
      <c r="D3331" s="31">
        <f t="shared" si="108"/>
        <v>0.13947646171048084</v>
      </c>
      <c r="F3331" s="2" t="s">
        <v>822</v>
      </c>
      <c r="G3331" s="23" t="s">
        <v>902</v>
      </c>
      <c r="H3331" s="2" t="s">
        <v>822</v>
      </c>
      <c r="J3331" s="31">
        <v>41.543800400000002</v>
      </c>
      <c r="K3331" s="31">
        <v>-11.764200199999999</v>
      </c>
      <c r="L3331" s="31"/>
      <c r="M3331" s="31" t="s">
        <v>854</v>
      </c>
      <c r="N3331" s="6" t="s">
        <v>856</v>
      </c>
    </row>
    <row r="3332" spans="1:14" ht="15" customHeight="1" x14ac:dyDescent="0.2">
      <c r="A3332" s="31">
        <v>0.7112392273735999</v>
      </c>
      <c r="B3332" s="31"/>
      <c r="C3332" s="2" t="s">
        <v>855</v>
      </c>
      <c r="D3332" s="31">
        <f t="shared" si="108"/>
        <v>0.13940288856522559</v>
      </c>
      <c r="F3332" s="2" t="s">
        <v>822</v>
      </c>
      <c r="G3332" s="23" t="s">
        <v>902</v>
      </c>
      <c r="H3332" s="2" t="s">
        <v>822</v>
      </c>
      <c r="J3332" s="31">
        <v>50.287601500000001</v>
      </c>
      <c r="K3332" s="31">
        <v>-5.8853302000000003</v>
      </c>
      <c r="L3332" s="31"/>
      <c r="M3332" s="31" t="s">
        <v>854</v>
      </c>
      <c r="N3332" s="6" t="s">
        <v>856</v>
      </c>
    </row>
    <row r="3333" spans="1:14" ht="15" customHeight="1" x14ac:dyDescent="0.2">
      <c r="A3333" s="31">
        <v>0.71098192933668003</v>
      </c>
      <c r="B3333" s="31"/>
      <c r="C3333" s="2" t="s">
        <v>855</v>
      </c>
      <c r="D3333" s="31">
        <f t="shared" si="108"/>
        <v>0.13935245814998928</v>
      </c>
      <c r="F3333" s="2" t="s">
        <v>822</v>
      </c>
      <c r="G3333" s="23" t="s">
        <v>902</v>
      </c>
      <c r="H3333" s="2" t="s">
        <v>822</v>
      </c>
      <c r="J3333" s="31">
        <v>29.846900900000001</v>
      </c>
      <c r="K3333" s="31">
        <v>-24.065099700000001</v>
      </c>
      <c r="L3333" s="31"/>
      <c r="M3333" s="31" t="s">
        <v>854</v>
      </c>
      <c r="N3333" s="6" t="s">
        <v>856</v>
      </c>
    </row>
    <row r="3334" spans="1:14" ht="15" customHeight="1" x14ac:dyDescent="0.2">
      <c r="A3334" s="31">
        <v>0.71085315159235996</v>
      </c>
      <c r="B3334" s="31"/>
      <c r="C3334" s="2" t="s">
        <v>855</v>
      </c>
      <c r="D3334" s="31">
        <f t="shared" si="108"/>
        <v>0.13932721771210255</v>
      </c>
      <c r="F3334" s="2" t="s">
        <v>822</v>
      </c>
      <c r="G3334" s="23" t="s">
        <v>902</v>
      </c>
      <c r="H3334" s="2" t="s">
        <v>822</v>
      </c>
      <c r="J3334" s="31">
        <v>42.784599299999996</v>
      </c>
      <c r="K3334" s="31">
        <v>8.8795795000000002</v>
      </c>
      <c r="L3334" s="31"/>
      <c r="M3334" s="31" t="s">
        <v>854</v>
      </c>
      <c r="N3334" s="6" t="s">
        <v>856</v>
      </c>
    </row>
    <row r="3335" spans="1:14" ht="15" customHeight="1" x14ac:dyDescent="0.2">
      <c r="A3335" s="31">
        <v>0.71080132224693149</v>
      </c>
      <c r="B3335" s="31"/>
      <c r="C3335" s="2" t="s">
        <v>855</v>
      </c>
      <c r="D3335" s="31">
        <f t="shared" si="108"/>
        <v>0.13931705916039858</v>
      </c>
      <c r="F3335" s="2" t="s">
        <v>822</v>
      </c>
      <c r="G3335" s="23" t="s">
        <v>902</v>
      </c>
      <c r="H3335" s="2" t="s">
        <v>822</v>
      </c>
      <c r="J3335" s="31">
        <v>57.333301499999997</v>
      </c>
      <c r="K3335" s="31">
        <v>18.833400699999999</v>
      </c>
      <c r="L3335" s="31"/>
      <c r="M3335" s="31" t="s">
        <v>854</v>
      </c>
      <c r="N3335" s="6" t="s">
        <v>856</v>
      </c>
    </row>
    <row r="3336" spans="1:14" ht="15" customHeight="1" x14ac:dyDescent="0.2">
      <c r="A3336" s="31">
        <v>0.71070164562882931</v>
      </c>
      <c r="B3336" s="31"/>
      <c r="C3336" s="2" t="s">
        <v>855</v>
      </c>
      <c r="D3336" s="31">
        <f t="shared" si="108"/>
        <v>0.13929752254325056</v>
      </c>
      <c r="F3336" s="2" t="s">
        <v>822</v>
      </c>
      <c r="G3336" s="23" t="s">
        <v>902</v>
      </c>
      <c r="H3336" s="2" t="s">
        <v>822</v>
      </c>
      <c r="J3336" s="31">
        <v>44.355598399999998</v>
      </c>
      <c r="K3336" s="31">
        <v>-28.9988995</v>
      </c>
      <c r="L3336" s="31"/>
      <c r="M3336" s="31" t="s">
        <v>854</v>
      </c>
      <c r="N3336" s="6" t="s">
        <v>856</v>
      </c>
    </row>
    <row r="3337" spans="1:14" ht="15" customHeight="1" x14ac:dyDescent="0.2">
      <c r="A3337" s="31">
        <v>0.71042309310093232</v>
      </c>
      <c r="B3337" s="31"/>
      <c r="C3337" s="2" t="s">
        <v>855</v>
      </c>
      <c r="D3337" s="31">
        <f t="shared" si="108"/>
        <v>0.13924292624778273</v>
      </c>
      <c r="F3337" s="2" t="s">
        <v>822</v>
      </c>
      <c r="G3337" s="23" t="s">
        <v>902</v>
      </c>
      <c r="H3337" s="2" t="s">
        <v>822</v>
      </c>
      <c r="J3337" s="31">
        <v>33.988700899999998</v>
      </c>
      <c r="K3337" s="31">
        <v>-35.705600699999998</v>
      </c>
      <c r="L3337" s="31"/>
      <c r="M3337" s="31" t="s">
        <v>854</v>
      </c>
      <c r="N3337" s="6" t="s">
        <v>856</v>
      </c>
    </row>
    <row r="3338" spans="1:14" ht="15" customHeight="1" x14ac:dyDescent="0.2">
      <c r="A3338" s="31">
        <v>0.70996499302202731</v>
      </c>
      <c r="B3338" s="31"/>
      <c r="C3338" s="2" t="s">
        <v>855</v>
      </c>
      <c r="D3338" s="31">
        <f t="shared" si="108"/>
        <v>0.13915313863231735</v>
      </c>
      <c r="F3338" s="2" t="s">
        <v>822</v>
      </c>
      <c r="G3338" s="23" t="s">
        <v>902</v>
      </c>
      <c r="H3338" s="2" t="s">
        <v>822</v>
      </c>
      <c r="J3338" s="31">
        <v>44.590400700000004</v>
      </c>
      <c r="K3338" s="31">
        <v>12.8028002</v>
      </c>
      <c r="L3338" s="31"/>
      <c r="M3338" s="31" t="s">
        <v>854</v>
      </c>
      <c r="N3338" s="6" t="s">
        <v>856</v>
      </c>
    </row>
    <row r="3339" spans="1:14" ht="15" customHeight="1" x14ac:dyDescent="0.2">
      <c r="A3339" s="31">
        <v>0.70984073203865061</v>
      </c>
      <c r="B3339" s="31"/>
      <c r="C3339" s="2" t="s">
        <v>855</v>
      </c>
      <c r="D3339" s="31">
        <f t="shared" si="108"/>
        <v>0.13912878347957552</v>
      </c>
      <c r="F3339" s="2" t="s">
        <v>822</v>
      </c>
      <c r="G3339" s="23" t="s">
        <v>902</v>
      </c>
      <c r="H3339" s="2" t="s">
        <v>822</v>
      </c>
      <c r="J3339" s="31">
        <v>26.708000200000001</v>
      </c>
      <c r="K3339" s="31">
        <v>-27.864000300000001</v>
      </c>
      <c r="L3339" s="31"/>
      <c r="M3339" s="31" t="s">
        <v>854</v>
      </c>
      <c r="N3339" s="6" t="s">
        <v>856</v>
      </c>
    </row>
    <row r="3340" spans="1:14" ht="15" customHeight="1" x14ac:dyDescent="0.2">
      <c r="A3340" s="31">
        <v>0.7095831663478116</v>
      </c>
      <c r="B3340" s="31"/>
      <c r="C3340" s="2" t="s">
        <v>855</v>
      </c>
      <c r="D3340" s="31">
        <f t="shared" si="108"/>
        <v>0.13907830060417109</v>
      </c>
      <c r="F3340" s="2" t="s">
        <v>822</v>
      </c>
      <c r="G3340" s="23" t="s">
        <v>902</v>
      </c>
      <c r="H3340" s="2" t="s">
        <v>822</v>
      </c>
      <c r="J3340" s="31">
        <v>33.611499799999997</v>
      </c>
      <c r="K3340" s="31">
        <v>25.772100399999999</v>
      </c>
      <c r="L3340" s="31"/>
      <c r="M3340" s="31" t="s">
        <v>854</v>
      </c>
      <c r="N3340" s="6" t="s">
        <v>856</v>
      </c>
    </row>
    <row r="3341" spans="1:14" ht="15" customHeight="1" x14ac:dyDescent="0.2">
      <c r="A3341" s="31">
        <v>0.70956343658353538</v>
      </c>
      <c r="B3341" s="31"/>
      <c r="C3341" s="2" t="s">
        <v>855</v>
      </c>
      <c r="D3341" s="31">
        <f t="shared" si="108"/>
        <v>0.13907443357037294</v>
      </c>
      <c r="F3341" s="2" t="s">
        <v>822</v>
      </c>
      <c r="G3341" s="23" t="s">
        <v>902</v>
      </c>
      <c r="H3341" s="2" t="s">
        <v>822</v>
      </c>
      <c r="J3341" s="31">
        <v>34.055999800000002</v>
      </c>
      <c r="K3341" s="31">
        <v>-39.220001199999999</v>
      </c>
      <c r="L3341" s="31"/>
      <c r="M3341" s="31" t="s">
        <v>854</v>
      </c>
      <c r="N3341" s="6" t="s">
        <v>856</v>
      </c>
    </row>
    <row r="3342" spans="1:14" ht="15" customHeight="1" x14ac:dyDescent="0.2">
      <c r="A3342" s="31">
        <v>0.70948657847663499</v>
      </c>
      <c r="B3342" s="31"/>
      <c r="C3342" s="2" t="s">
        <v>855</v>
      </c>
      <c r="D3342" s="31">
        <f t="shared" si="108"/>
        <v>0.13905936938142047</v>
      </c>
      <c r="F3342" s="2" t="s">
        <v>822</v>
      </c>
      <c r="G3342" s="23" t="s">
        <v>902</v>
      </c>
      <c r="H3342" s="2" t="s">
        <v>822</v>
      </c>
      <c r="J3342" s="31">
        <v>46.748001100000003</v>
      </c>
      <c r="K3342" s="31">
        <v>-23.187999699999999</v>
      </c>
      <c r="L3342" s="31"/>
      <c r="M3342" s="31" t="s">
        <v>854</v>
      </c>
      <c r="N3342" s="6" t="s">
        <v>856</v>
      </c>
    </row>
    <row r="3343" spans="1:14" ht="15" customHeight="1" x14ac:dyDescent="0.2">
      <c r="A3343" s="31">
        <v>0.70937478226560324</v>
      </c>
      <c r="B3343" s="31"/>
      <c r="C3343" s="2" t="s">
        <v>855</v>
      </c>
      <c r="D3343" s="31">
        <f t="shared" si="108"/>
        <v>0.13903745732405823</v>
      </c>
      <c r="F3343" s="2" t="s">
        <v>822</v>
      </c>
      <c r="G3343" s="23" t="s">
        <v>902</v>
      </c>
      <c r="H3343" s="2" t="s">
        <v>822</v>
      </c>
      <c r="J3343" s="31">
        <v>46.080001799999998</v>
      </c>
      <c r="K3343" s="31">
        <v>-23.856000900000002</v>
      </c>
      <c r="L3343" s="31"/>
      <c r="M3343" s="31" t="s">
        <v>854</v>
      </c>
      <c r="N3343" s="6" t="s">
        <v>856</v>
      </c>
    </row>
    <row r="3344" spans="1:14" ht="15" customHeight="1" x14ac:dyDescent="0.2">
      <c r="A3344" s="31">
        <v>0.70910403633095043</v>
      </c>
      <c r="B3344" s="31"/>
      <c r="C3344" s="2" t="s">
        <v>855</v>
      </c>
      <c r="D3344" s="31">
        <f t="shared" si="108"/>
        <v>0.1389843911208663</v>
      </c>
      <c r="F3344" s="2" t="s">
        <v>822</v>
      </c>
      <c r="G3344" s="23" t="s">
        <v>902</v>
      </c>
      <c r="H3344" s="2" t="s">
        <v>822</v>
      </c>
      <c r="J3344" s="31">
        <v>38.063999199999998</v>
      </c>
      <c r="K3344" s="31">
        <v>18.228000600000001</v>
      </c>
      <c r="L3344" s="31"/>
      <c r="M3344" s="31" t="s">
        <v>854</v>
      </c>
      <c r="N3344" s="6" t="s">
        <v>856</v>
      </c>
    </row>
    <row r="3345" spans="1:14" ht="15" customHeight="1" x14ac:dyDescent="0.2">
      <c r="A3345" s="31">
        <v>0.70893322818925286</v>
      </c>
      <c r="B3345" s="31"/>
      <c r="C3345" s="2" t="s">
        <v>855</v>
      </c>
      <c r="D3345" s="31">
        <f t="shared" si="108"/>
        <v>0.13895091272509358</v>
      </c>
      <c r="F3345" s="2" t="s">
        <v>822</v>
      </c>
      <c r="G3345" s="23" t="s">
        <v>902</v>
      </c>
      <c r="H3345" s="2" t="s">
        <v>822</v>
      </c>
      <c r="J3345" s="31">
        <v>34.055999800000002</v>
      </c>
      <c r="K3345" s="31">
        <v>-12.5</v>
      </c>
      <c r="L3345" s="31"/>
      <c r="M3345" s="31" t="s">
        <v>854</v>
      </c>
      <c r="N3345" s="6" t="s">
        <v>856</v>
      </c>
    </row>
    <row r="3346" spans="1:14" ht="15" customHeight="1" x14ac:dyDescent="0.2">
      <c r="A3346" s="31">
        <v>0.70861383725607041</v>
      </c>
      <c r="B3346" s="31"/>
      <c r="C3346" s="2" t="s">
        <v>855</v>
      </c>
      <c r="D3346" s="31">
        <f t="shared" si="108"/>
        <v>0.1388883121021898</v>
      </c>
      <c r="F3346" s="2" t="s">
        <v>822</v>
      </c>
      <c r="G3346" s="23" t="s">
        <v>902</v>
      </c>
      <c r="H3346" s="2" t="s">
        <v>822</v>
      </c>
      <c r="J3346" s="31">
        <v>54.711700399999998</v>
      </c>
      <c r="K3346" s="31">
        <v>-5.62256</v>
      </c>
      <c r="L3346" s="31"/>
      <c r="M3346" s="31" t="s">
        <v>854</v>
      </c>
      <c r="N3346" s="6" t="s">
        <v>856</v>
      </c>
    </row>
    <row r="3347" spans="1:14" ht="15" customHeight="1" x14ac:dyDescent="0.2">
      <c r="A3347" s="31">
        <v>0.70861294497714766</v>
      </c>
      <c r="B3347" s="31"/>
      <c r="C3347" s="2" t="s">
        <v>855</v>
      </c>
      <c r="D3347" s="31">
        <f t="shared" si="108"/>
        <v>0.13888813721552096</v>
      </c>
      <c r="F3347" s="2" t="s">
        <v>822</v>
      </c>
      <c r="G3347" s="23" t="s">
        <v>902</v>
      </c>
      <c r="H3347" s="2" t="s">
        <v>822</v>
      </c>
      <c r="J3347" s="31">
        <v>48.083999599999999</v>
      </c>
      <c r="K3347" s="31">
        <v>-39.888000499999997</v>
      </c>
      <c r="L3347" s="31"/>
      <c r="M3347" s="31" t="s">
        <v>854</v>
      </c>
      <c r="N3347" s="6" t="s">
        <v>856</v>
      </c>
    </row>
    <row r="3348" spans="1:14" ht="15" customHeight="1" x14ac:dyDescent="0.2">
      <c r="A3348" s="31">
        <v>0.70861171429849623</v>
      </c>
      <c r="B3348" s="31"/>
      <c r="C3348" s="2" t="s">
        <v>855</v>
      </c>
      <c r="D3348" s="31">
        <f t="shared" si="108"/>
        <v>0.13888789600250526</v>
      </c>
      <c r="F3348" s="2" t="s">
        <v>822</v>
      </c>
      <c r="G3348" s="23" t="s">
        <v>902</v>
      </c>
      <c r="H3348" s="2" t="s">
        <v>822</v>
      </c>
      <c r="J3348" s="31">
        <v>42.529598200000002</v>
      </c>
      <c r="K3348" s="31">
        <v>-10.2122002</v>
      </c>
      <c r="L3348" s="31"/>
      <c r="M3348" s="31" t="s">
        <v>854</v>
      </c>
      <c r="N3348" s="6" t="s">
        <v>856</v>
      </c>
    </row>
    <row r="3349" spans="1:14" ht="15" customHeight="1" x14ac:dyDescent="0.2">
      <c r="A3349" s="31">
        <v>0.70839459016946904</v>
      </c>
      <c r="B3349" s="31"/>
      <c r="C3349" s="2" t="s">
        <v>855</v>
      </c>
      <c r="D3349" s="31">
        <f t="shared" si="108"/>
        <v>0.13884533967321594</v>
      </c>
      <c r="F3349" s="2" t="s">
        <v>822</v>
      </c>
      <c r="G3349" s="23" t="s">
        <v>902</v>
      </c>
      <c r="H3349" s="2" t="s">
        <v>822</v>
      </c>
      <c r="J3349" s="31">
        <v>26.708000200000001</v>
      </c>
      <c r="K3349" s="31">
        <v>-21.851999299999999</v>
      </c>
      <c r="L3349" s="31"/>
      <c r="M3349" s="31" t="s">
        <v>854</v>
      </c>
      <c r="N3349" s="6" t="s">
        <v>856</v>
      </c>
    </row>
    <row r="3350" spans="1:14" ht="15" customHeight="1" x14ac:dyDescent="0.2">
      <c r="A3350" s="31">
        <v>0.70825529011028887</v>
      </c>
      <c r="B3350" s="31"/>
      <c r="C3350" s="2" t="s">
        <v>855</v>
      </c>
      <c r="D3350" s="31">
        <f t="shared" si="108"/>
        <v>0.13881803686161662</v>
      </c>
      <c r="F3350" s="2" t="s">
        <v>822</v>
      </c>
      <c r="G3350" s="23" t="s">
        <v>902</v>
      </c>
      <c r="H3350" s="2" t="s">
        <v>822</v>
      </c>
      <c r="J3350" s="31">
        <v>40.402599299999999</v>
      </c>
      <c r="K3350" s="31">
        <v>-35.9883995</v>
      </c>
      <c r="L3350" s="31"/>
      <c r="M3350" s="31" t="s">
        <v>854</v>
      </c>
      <c r="N3350" s="6" t="s">
        <v>856</v>
      </c>
    </row>
    <row r="3351" spans="1:14" ht="15" customHeight="1" x14ac:dyDescent="0.2">
      <c r="A3351" s="31">
        <v>0.70825497209206045</v>
      </c>
      <c r="B3351" s="31"/>
      <c r="C3351" s="2" t="s">
        <v>855</v>
      </c>
      <c r="D3351" s="31">
        <f t="shared" si="108"/>
        <v>0.13881797453004385</v>
      </c>
      <c r="F3351" s="2" t="s">
        <v>822</v>
      </c>
      <c r="G3351" s="23" t="s">
        <v>902</v>
      </c>
      <c r="H3351" s="2" t="s">
        <v>822</v>
      </c>
      <c r="J3351" s="31">
        <v>31.787399300000001</v>
      </c>
      <c r="K3351" s="31">
        <v>-31.4783993</v>
      </c>
      <c r="L3351" s="31"/>
      <c r="M3351" s="31" t="s">
        <v>854</v>
      </c>
      <c r="N3351" s="6" t="s">
        <v>856</v>
      </c>
    </row>
    <row r="3352" spans="1:14" ht="15" customHeight="1" x14ac:dyDescent="0.2">
      <c r="A3352" s="31">
        <v>0.7079502921821631</v>
      </c>
      <c r="B3352" s="31"/>
      <c r="C3352" s="2" t="s">
        <v>855</v>
      </c>
      <c r="D3352" s="31">
        <f t="shared" si="108"/>
        <v>0.13875825726770397</v>
      </c>
      <c r="F3352" s="2" t="s">
        <v>822</v>
      </c>
      <c r="G3352" s="23" t="s">
        <v>902</v>
      </c>
      <c r="H3352" s="2" t="s">
        <v>822</v>
      </c>
      <c r="J3352" s="31">
        <v>32.485900899999997</v>
      </c>
      <c r="K3352" s="31">
        <v>-35.784900700000001</v>
      </c>
      <c r="L3352" s="31"/>
      <c r="M3352" s="31" t="s">
        <v>854</v>
      </c>
      <c r="N3352" s="6" t="s">
        <v>856</v>
      </c>
    </row>
    <row r="3353" spans="1:14" ht="15" customHeight="1" x14ac:dyDescent="0.2">
      <c r="A3353" s="31">
        <v>0.70792311623506854</v>
      </c>
      <c r="B3353" s="31"/>
      <c r="C3353" s="2" t="s">
        <v>855</v>
      </c>
      <c r="D3353" s="31">
        <f t="shared" si="108"/>
        <v>0.13875293078207343</v>
      </c>
      <c r="F3353" s="2" t="s">
        <v>822</v>
      </c>
      <c r="G3353" s="23" t="s">
        <v>902</v>
      </c>
      <c r="H3353" s="2" t="s">
        <v>822</v>
      </c>
      <c r="J3353" s="31">
        <v>26.9726009</v>
      </c>
      <c r="K3353" s="31">
        <v>-13.5052004</v>
      </c>
      <c r="L3353" s="31"/>
      <c r="M3353" s="31" t="s">
        <v>854</v>
      </c>
      <c r="N3353" s="6" t="s">
        <v>856</v>
      </c>
    </row>
    <row r="3354" spans="1:14" ht="15" customHeight="1" x14ac:dyDescent="0.2">
      <c r="A3354" s="22">
        <v>0.13873117827238907</v>
      </c>
      <c r="B3354" s="22"/>
      <c r="C3354" s="2" t="s">
        <v>891</v>
      </c>
      <c r="D3354" s="2">
        <f>A3354</f>
        <v>0.13873117827238907</v>
      </c>
      <c r="F3354" s="2">
        <v>2023</v>
      </c>
      <c r="G3354" s="23" t="s">
        <v>902</v>
      </c>
      <c r="H3354" s="2" t="s">
        <v>771</v>
      </c>
      <c r="I3354" s="23" t="s">
        <v>189</v>
      </c>
      <c r="J3354" s="23">
        <v>58075302</v>
      </c>
      <c r="K3354" s="23">
        <v>11769216</v>
      </c>
      <c r="L3354" s="23" t="s">
        <v>819</v>
      </c>
      <c r="M3354" s="2" t="s">
        <v>825</v>
      </c>
      <c r="N3354" s="6" t="s">
        <v>828</v>
      </c>
    </row>
    <row r="3355" spans="1:14" ht="15" customHeight="1" x14ac:dyDescent="0.2">
      <c r="A3355" s="31">
        <v>0.70765490972452549</v>
      </c>
      <c r="B3355" s="31"/>
      <c r="C3355" s="2" t="s">
        <v>855</v>
      </c>
      <c r="D3355" s="31">
        <f t="shared" ref="D3355:D3386" si="109" xml:space="preserve"> A3355 * 0.196</f>
        <v>0.13870036230600699</v>
      </c>
      <c r="F3355" s="2" t="s">
        <v>822</v>
      </c>
      <c r="G3355" s="23" t="s">
        <v>902</v>
      </c>
      <c r="H3355" s="2" t="s">
        <v>822</v>
      </c>
      <c r="J3355" s="31">
        <v>40.402599299999999</v>
      </c>
      <c r="K3355" s="31">
        <v>-15.171999899999999</v>
      </c>
      <c r="L3355" s="31"/>
      <c r="M3355" s="31" t="s">
        <v>854</v>
      </c>
      <c r="N3355" s="6" t="s">
        <v>856</v>
      </c>
    </row>
    <row r="3356" spans="1:14" ht="15" customHeight="1" x14ac:dyDescent="0.2">
      <c r="A3356" s="31">
        <v>0.70732699718459191</v>
      </c>
      <c r="B3356" s="31"/>
      <c r="C3356" s="2" t="s">
        <v>855</v>
      </c>
      <c r="D3356" s="31">
        <f t="shared" si="109"/>
        <v>0.13863609144818001</v>
      </c>
      <c r="F3356" s="2" t="s">
        <v>822</v>
      </c>
      <c r="G3356" s="23" t="s">
        <v>902</v>
      </c>
      <c r="H3356" s="2" t="s">
        <v>822</v>
      </c>
      <c r="J3356" s="31">
        <v>51.350700400000001</v>
      </c>
      <c r="K3356" s="31">
        <v>-3.1593399</v>
      </c>
      <c r="L3356" s="31"/>
      <c r="M3356" s="31" t="s">
        <v>854</v>
      </c>
      <c r="N3356" s="6" t="s">
        <v>856</v>
      </c>
    </row>
    <row r="3357" spans="1:14" ht="15" customHeight="1" x14ac:dyDescent="0.2">
      <c r="A3357" s="31">
        <v>0.70729010797172798</v>
      </c>
      <c r="B3357" s="31"/>
      <c r="C3357" s="2" t="s">
        <v>855</v>
      </c>
      <c r="D3357" s="31">
        <f t="shared" si="109"/>
        <v>0.13862886116245868</v>
      </c>
      <c r="F3357" s="2" t="s">
        <v>822</v>
      </c>
      <c r="G3357" s="23" t="s">
        <v>902</v>
      </c>
      <c r="H3357" s="2" t="s">
        <v>822</v>
      </c>
      <c r="J3357" s="31">
        <v>45.715099299999999</v>
      </c>
      <c r="K3357" s="31">
        <v>-41.1310997</v>
      </c>
      <c r="L3357" s="31"/>
      <c r="M3357" s="31" t="s">
        <v>854</v>
      </c>
      <c r="N3357" s="6" t="s">
        <v>856</v>
      </c>
    </row>
    <row r="3358" spans="1:14" ht="15" customHeight="1" x14ac:dyDescent="0.2">
      <c r="A3358" s="31">
        <v>0.70711282382514906</v>
      </c>
      <c r="B3358" s="31"/>
      <c r="C3358" s="2" t="s">
        <v>855</v>
      </c>
      <c r="D3358" s="31">
        <f t="shared" si="109"/>
        <v>0.13859411346972922</v>
      </c>
      <c r="F3358" s="2" t="s">
        <v>822</v>
      </c>
      <c r="G3358" s="23" t="s">
        <v>902</v>
      </c>
      <c r="H3358" s="2" t="s">
        <v>822</v>
      </c>
      <c r="J3358" s="31">
        <v>28.0440006</v>
      </c>
      <c r="K3358" s="31">
        <v>-23.187999699999999</v>
      </c>
      <c r="L3358" s="31"/>
      <c r="M3358" s="31" t="s">
        <v>854</v>
      </c>
      <c r="N3358" s="6" t="s">
        <v>856</v>
      </c>
    </row>
    <row r="3359" spans="1:14" ht="15" customHeight="1" x14ac:dyDescent="0.2">
      <c r="A3359" s="31">
        <v>0.70710015819365746</v>
      </c>
      <c r="B3359" s="31"/>
      <c r="C3359" s="2" t="s">
        <v>855</v>
      </c>
      <c r="D3359" s="31">
        <f t="shared" si="109"/>
        <v>0.13859163100595687</v>
      </c>
      <c r="F3359" s="2" t="s">
        <v>822</v>
      </c>
      <c r="G3359" s="23" t="s">
        <v>902</v>
      </c>
      <c r="H3359" s="2" t="s">
        <v>822</v>
      </c>
      <c r="J3359" s="31">
        <v>44.463600200000002</v>
      </c>
      <c r="K3359" s="31">
        <v>-5.1122798999999999</v>
      </c>
      <c r="L3359" s="31"/>
      <c r="M3359" s="31" t="s">
        <v>854</v>
      </c>
      <c r="N3359" s="6" t="s">
        <v>856</v>
      </c>
    </row>
    <row r="3360" spans="1:14" ht="15" customHeight="1" x14ac:dyDescent="0.2">
      <c r="A3360" s="31">
        <v>0.70701928463609842</v>
      </c>
      <c r="B3360" s="31"/>
      <c r="C3360" s="2" t="s">
        <v>855</v>
      </c>
      <c r="D3360" s="31">
        <f t="shared" si="109"/>
        <v>0.1385757797886753</v>
      </c>
      <c r="F3360" s="2" t="s">
        <v>822</v>
      </c>
      <c r="G3360" s="23" t="s">
        <v>902</v>
      </c>
      <c r="H3360" s="2" t="s">
        <v>822</v>
      </c>
      <c r="J3360" s="31">
        <v>48.083999599999999</v>
      </c>
      <c r="K3360" s="31">
        <v>-29.200000800000002</v>
      </c>
      <c r="L3360" s="31"/>
      <c r="M3360" s="31" t="s">
        <v>854</v>
      </c>
      <c r="N3360" s="6" t="s">
        <v>856</v>
      </c>
    </row>
    <row r="3361" spans="1:14" ht="15" customHeight="1" x14ac:dyDescent="0.2">
      <c r="A3361" s="31">
        <v>0.70681141556749949</v>
      </c>
      <c r="B3361" s="31"/>
      <c r="C3361" s="2" t="s">
        <v>855</v>
      </c>
      <c r="D3361" s="31">
        <f t="shared" si="109"/>
        <v>0.13853503745122991</v>
      </c>
      <c r="F3361" s="2" t="s">
        <v>822</v>
      </c>
      <c r="G3361" s="23" t="s">
        <v>902</v>
      </c>
      <c r="H3361" s="2" t="s">
        <v>822</v>
      </c>
      <c r="J3361" s="31">
        <v>41.837600700000003</v>
      </c>
      <c r="K3361" s="31">
        <v>-37.649600999999997</v>
      </c>
      <c r="L3361" s="31"/>
      <c r="M3361" s="31" t="s">
        <v>854</v>
      </c>
      <c r="N3361" s="6" t="s">
        <v>856</v>
      </c>
    </row>
    <row r="3362" spans="1:14" ht="15" customHeight="1" x14ac:dyDescent="0.2">
      <c r="A3362" s="31">
        <v>0.70639364620584355</v>
      </c>
      <c r="B3362" s="31"/>
      <c r="C3362" s="2" t="s">
        <v>855</v>
      </c>
      <c r="D3362" s="31">
        <f t="shared" si="109"/>
        <v>0.13845315465634533</v>
      </c>
      <c r="F3362" s="2" t="s">
        <v>822</v>
      </c>
      <c r="G3362" s="23" t="s">
        <v>902</v>
      </c>
      <c r="H3362" s="2" t="s">
        <v>822</v>
      </c>
      <c r="J3362" s="31">
        <v>33.362701399999999</v>
      </c>
      <c r="K3362" s="31">
        <v>-39.272701300000001</v>
      </c>
      <c r="L3362" s="31"/>
      <c r="M3362" s="31" t="s">
        <v>854</v>
      </c>
      <c r="N3362" s="6" t="s">
        <v>856</v>
      </c>
    </row>
    <row r="3363" spans="1:14" ht="15" customHeight="1" x14ac:dyDescent="0.2">
      <c r="A3363" s="31">
        <v>0.70632573065688975</v>
      </c>
      <c r="B3363" s="31"/>
      <c r="C3363" s="2" t="s">
        <v>855</v>
      </c>
      <c r="D3363" s="31">
        <f t="shared" si="109"/>
        <v>0.13843984320875038</v>
      </c>
      <c r="F3363" s="2" t="s">
        <v>822</v>
      </c>
      <c r="G3363" s="23" t="s">
        <v>902</v>
      </c>
      <c r="H3363" s="2" t="s">
        <v>822</v>
      </c>
      <c r="J3363" s="31">
        <v>60.1725998</v>
      </c>
      <c r="K3363" s="31">
        <v>21.235799799999999</v>
      </c>
      <c r="L3363" s="31"/>
      <c r="M3363" s="31" t="s">
        <v>854</v>
      </c>
      <c r="N3363" s="6" t="s">
        <v>856</v>
      </c>
    </row>
    <row r="3364" spans="1:14" ht="15" customHeight="1" x14ac:dyDescent="0.2">
      <c r="A3364" s="31">
        <v>0.70619937018955248</v>
      </c>
      <c r="B3364" s="31"/>
      <c r="C3364" s="2" t="s">
        <v>855</v>
      </c>
      <c r="D3364" s="31">
        <f t="shared" si="109"/>
        <v>0.13841507655715229</v>
      </c>
      <c r="F3364" s="2" t="s">
        <v>822</v>
      </c>
      <c r="G3364" s="23" t="s">
        <v>902</v>
      </c>
      <c r="H3364" s="2" t="s">
        <v>822</v>
      </c>
      <c r="J3364" s="31">
        <v>31.384000799999999</v>
      </c>
      <c r="K3364" s="31">
        <v>-32.540000900000003</v>
      </c>
      <c r="L3364" s="31"/>
      <c r="M3364" s="31" t="s">
        <v>854</v>
      </c>
      <c r="N3364" s="6" t="s">
        <v>856</v>
      </c>
    </row>
    <row r="3365" spans="1:14" ht="15" customHeight="1" x14ac:dyDescent="0.2">
      <c r="A3365" s="31">
        <v>0.70605527272776913</v>
      </c>
      <c r="B3365" s="31"/>
      <c r="C3365" s="2" t="s">
        <v>855</v>
      </c>
      <c r="D3365" s="31">
        <f t="shared" si="109"/>
        <v>0.13838683345464275</v>
      </c>
      <c r="F3365" s="2" t="s">
        <v>822</v>
      </c>
      <c r="G3365" s="23" t="s">
        <v>902</v>
      </c>
      <c r="H3365" s="2" t="s">
        <v>822</v>
      </c>
      <c r="J3365" s="31">
        <v>37.8777008</v>
      </c>
      <c r="K3365" s="31">
        <v>17.715299600000002</v>
      </c>
      <c r="L3365" s="31"/>
      <c r="M3365" s="31" t="s">
        <v>854</v>
      </c>
      <c r="N3365" s="6" t="s">
        <v>856</v>
      </c>
    </row>
    <row r="3366" spans="1:14" ht="15" customHeight="1" x14ac:dyDescent="0.2">
      <c r="A3366" s="31">
        <v>0.70592408444705002</v>
      </c>
      <c r="B3366" s="31"/>
      <c r="C3366" s="2" t="s">
        <v>855</v>
      </c>
      <c r="D3366" s="31">
        <f t="shared" si="109"/>
        <v>0.13836112055162181</v>
      </c>
      <c r="F3366" s="2" t="s">
        <v>822</v>
      </c>
      <c r="G3366" s="23" t="s">
        <v>902</v>
      </c>
      <c r="H3366" s="2" t="s">
        <v>822</v>
      </c>
      <c r="J3366" s="31">
        <v>30.715700099999999</v>
      </c>
      <c r="K3366" s="31">
        <v>-39.888198899999999</v>
      </c>
      <c r="L3366" s="31"/>
      <c r="M3366" s="31" t="s">
        <v>854</v>
      </c>
      <c r="N3366" s="6" t="s">
        <v>856</v>
      </c>
    </row>
    <row r="3367" spans="1:14" ht="15" customHeight="1" x14ac:dyDescent="0.2">
      <c r="A3367" s="31">
        <v>0.70567359539912011</v>
      </c>
      <c r="B3367" s="31"/>
      <c r="C3367" s="2" t="s">
        <v>855</v>
      </c>
      <c r="D3367" s="31">
        <f t="shared" si="109"/>
        <v>0.13831202469822754</v>
      </c>
      <c r="F3367" s="2" t="s">
        <v>822</v>
      </c>
      <c r="G3367" s="23" t="s">
        <v>902</v>
      </c>
      <c r="H3367" s="2" t="s">
        <v>822</v>
      </c>
      <c r="J3367" s="31">
        <v>39.4076004</v>
      </c>
      <c r="K3367" s="31">
        <v>11.542200100000001</v>
      </c>
      <c r="L3367" s="31"/>
      <c r="M3367" s="31" t="s">
        <v>854</v>
      </c>
      <c r="N3367" s="6" t="s">
        <v>856</v>
      </c>
    </row>
    <row r="3368" spans="1:14" ht="15" customHeight="1" x14ac:dyDescent="0.2">
      <c r="A3368" s="31">
        <v>0.70564527677376843</v>
      </c>
      <c r="B3368" s="31"/>
      <c r="C3368" s="2" t="s">
        <v>855</v>
      </c>
      <c r="D3368" s="31">
        <f t="shared" si="109"/>
        <v>0.13830647424765863</v>
      </c>
      <c r="F3368" s="2" t="s">
        <v>822</v>
      </c>
      <c r="G3368" s="23" t="s">
        <v>902</v>
      </c>
      <c r="H3368" s="2" t="s">
        <v>822</v>
      </c>
      <c r="J3368" s="31">
        <v>35.500099200000001</v>
      </c>
      <c r="K3368" s="31">
        <v>-41.299198199999999</v>
      </c>
      <c r="L3368" s="31"/>
      <c r="M3368" s="31" t="s">
        <v>854</v>
      </c>
      <c r="N3368" s="6" t="s">
        <v>856</v>
      </c>
    </row>
    <row r="3369" spans="1:14" ht="15" customHeight="1" x14ac:dyDescent="0.2">
      <c r="A3369" s="31">
        <v>0.70537427225052163</v>
      </c>
      <c r="B3369" s="31"/>
      <c r="C3369" s="2" t="s">
        <v>855</v>
      </c>
      <c r="D3369" s="31">
        <f t="shared" si="109"/>
        <v>0.13825335736110225</v>
      </c>
      <c r="F3369" s="2" t="s">
        <v>822</v>
      </c>
      <c r="G3369" s="23" t="s">
        <v>902</v>
      </c>
      <c r="H3369" s="2" t="s">
        <v>822</v>
      </c>
      <c r="J3369" s="31">
        <v>41.466098799999997</v>
      </c>
      <c r="K3369" s="31">
        <v>-18.6980991</v>
      </c>
      <c r="L3369" s="31"/>
      <c r="M3369" s="31" t="s">
        <v>854</v>
      </c>
      <c r="N3369" s="6" t="s">
        <v>856</v>
      </c>
    </row>
    <row r="3370" spans="1:14" ht="15" customHeight="1" x14ac:dyDescent="0.2">
      <c r="A3370" s="31">
        <v>0.70535977258462823</v>
      </c>
      <c r="B3370" s="31"/>
      <c r="C3370" s="2" t="s">
        <v>855</v>
      </c>
      <c r="D3370" s="31">
        <f t="shared" si="109"/>
        <v>0.13825051542658714</v>
      </c>
      <c r="F3370" s="2" t="s">
        <v>822</v>
      </c>
      <c r="G3370" s="23" t="s">
        <v>902</v>
      </c>
      <c r="H3370" s="2" t="s">
        <v>822</v>
      </c>
      <c r="J3370" s="31">
        <v>43.034999800000001</v>
      </c>
      <c r="K3370" s="31">
        <v>-34.649200399999998</v>
      </c>
      <c r="L3370" s="31"/>
      <c r="M3370" s="31" t="s">
        <v>854</v>
      </c>
      <c r="N3370" s="6" t="s">
        <v>856</v>
      </c>
    </row>
    <row r="3371" spans="1:14" ht="15" customHeight="1" x14ac:dyDescent="0.2">
      <c r="A3371" s="31">
        <v>0.70528359251783568</v>
      </c>
      <c r="B3371" s="31"/>
      <c r="C3371" s="2" t="s">
        <v>855</v>
      </c>
      <c r="D3371" s="31">
        <f t="shared" si="109"/>
        <v>0.13823558413349579</v>
      </c>
      <c r="F3371" s="2" t="s">
        <v>822</v>
      </c>
      <c r="G3371" s="23" t="s">
        <v>902</v>
      </c>
      <c r="H3371" s="2" t="s">
        <v>822</v>
      </c>
      <c r="J3371" s="31">
        <v>27.242399200000001</v>
      </c>
      <c r="K3371" s="31">
        <v>-25.902200700000002</v>
      </c>
      <c r="L3371" s="31"/>
      <c r="M3371" s="31" t="s">
        <v>854</v>
      </c>
      <c r="N3371" s="6" t="s">
        <v>856</v>
      </c>
    </row>
    <row r="3372" spans="1:14" ht="15" customHeight="1" x14ac:dyDescent="0.2">
      <c r="A3372" s="31">
        <v>0.70526277224469358</v>
      </c>
      <c r="B3372" s="31"/>
      <c r="C3372" s="2" t="s">
        <v>855</v>
      </c>
      <c r="D3372" s="31">
        <f t="shared" si="109"/>
        <v>0.13823150335995996</v>
      </c>
      <c r="F3372" s="2" t="s">
        <v>822</v>
      </c>
      <c r="G3372" s="23" t="s">
        <v>902</v>
      </c>
      <c r="H3372" s="2" t="s">
        <v>822</v>
      </c>
      <c r="J3372" s="31">
        <v>29.3799992</v>
      </c>
      <c r="K3372" s="31">
        <v>-31.8719997</v>
      </c>
      <c r="L3372" s="31"/>
      <c r="M3372" s="31" t="s">
        <v>854</v>
      </c>
      <c r="N3372" s="6" t="s">
        <v>856</v>
      </c>
    </row>
    <row r="3373" spans="1:14" ht="15" customHeight="1" x14ac:dyDescent="0.2">
      <c r="A3373" s="31">
        <v>0.70522774655510201</v>
      </c>
      <c r="B3373" s="31"/>
      <c r="C3373" s="2" t="s">
        <v>855</v>
      </c>
      <c r="D3373" s="31">
        <f t="shared" si="109"/>
        <v>0.1382246383248</v>
      </c>
      <c r="F3373" s="2" t="s">
        <v>822</v>
      </c>
      <c r="G3373" s="23" t="s">
        <v>902</v>
      </c>
      <c r="H3373" s="2" t="s">
        <v>822</v>
      </c>
      <c r="J3373" s="31">
        <v>46.748001100000003</v>
      </c>
      <c r="K3373" s="31">
        <v>-32.540000900000003</v>
      </c>
      <c r="L3373" s="31"/>
      <c r="M3373" s="31" t="s">
        <v>854</v>
      </c>
      <c r="N3373" s="6" t="s">
        <v>856</v>
      </c>
    </row>
    <row r="3374" spans="1:14" ht="15" customHeight="1" x14ac:dyDescent="0.2">
      <c r="A3374" s="31">
        <v>0.70501470819569478</v>
      </c>
      <c r="B3374" s="31"/>
      <c r="C3374" s="2" t="s">
        <v>855</v>
      </c>
      <c r="D3374" s="31">
        <f t="shared" si="109"/>
        <v>0.13818288280635618</v>
      </c>
      <c r="F3374" s="2" t="s">
        <v>822</v>
      </c>
      <c r="G3374" s="23" t="s">
        <v>902</v>
      </c>
      <c r="H3374" s="2" t="s">
        <v>822</v>
      </c>
      <c r="J3374" s="31">
        <v>36.3146019</v>
      </c>
      <c r="K3374" s="31">
        <v>-19.2933998</v>
      </c>
      <c r="L3374" s="31"/>
      <c r="M3374" s="31" t="s">
        <v>854</v>
      </c>
      <c r="N3374" s="6" t="s">
        <v>856</v>
      </c>
    </row>
    <row r="3375" spans="1:14" ht="15" customHeight="1" x14ac:dyDescent="0.2">
      <c r="A3375" s="31">
        <v>0.70485088766404846</v>
      </c>
      <c r="B3375" s="31"/>
      <c r="C3375" s="2" t="s">
        <v>855</v>
      </c>
      <c r="D3375" s="31">
        <f t="shared" si="109"/>
        <v>0.1381507739821535</v>
      </c>
      <c r="F3375" s="2" t="s">
        <v>822</v>
      </c>
      <c r="G3375" s="23" t="s">
        <v>902</v>
      </c>
      <c r="H3375" s="2" t="s">
        <v>822</v>
      </c>
      <c r="J3375" s="31">
        <v>43.238601699999997</v>
      </c>
      <c r="K3375" s="31">
        <v>-12.6731997</v>
      </c>
      <c r="L3375" s="31"/>
      <c r="M3375" s="31" t="s">
        <v>854</v>
      </c>
      <c r="N3375" s="6" t="s">
        <v>856</v>
      </c>
    </row>
    <row r="3376" spans="1:14" ht="15" customHeight="1" x14ac:dyDescent="0.2">
      <c r="A3376" s="31">
        <v>0.70460748921479444</v>
      </c>
      <c r="B3376" s="31"/>
      <c r="C3376" s="2" t="s">
        <v>855</v>
      </c>
      <c r="D3376" s="31">
        <f t="shared" si="109"/>
        <v>0.13810306788609972</v>
      </c>
      <c r="F3376" s="2" t="s">
        <v>822</v>
      </c>
      <c r="G3376" s="23" t="s">
        <v>902</v>
      </c>
      <c r="H3376" s="2" t="s">
        <v>822</v>
      </c>
      <c r="J3376" s="31">
        <v>57.709800700000002</v>
      </c>
      <c r="K3376" s="31">
        <v>21.652500199999999</v>
      </c>
      <c r="L3376" s="31"/>
      <c r="M3376" s="31" t="s">
        <v>854</v>
      </c>
      <c r="N3376" s="6" t="s">
        <v>856</v>
      </c>
    </row>
    <row r="3377" spans="1:14" ht="15" customHeight="1" x14ac:dyDescent="0.2">
      <c r="A3377" s="31">
        <v>0.70459829610553071</v>
      </c>
      <c r="B3377" s="31"/>
      <c r="C3377" s="2" t="s">
        <v>855</v>
      </c>
      <c r="D3377" s="31">
        <f t="shared" si="109"/>
        <v>0.13810126603668402</v>
      </c>
      <c r="F3377" s="2" t="s">
        <v>822</v>
      </c>
      <c r="G3377" s="23" t="s">
        <v>902</v>
      </c>
      <c r="H3377" s="2" t="s">
        <v>822</v>
      </c>
      <c r="J3377" s="31">
        <v>33.784500100000002</v>
      </c>
      <c r="K3377" s="31">
        <v>35.459701500000001</v>
      </c>
      <c r="L3377" s="31"/>
      <c r="M3377" s="31" t="s">
        <v>854</v>
      </c>
      <c r="N3377" s="6" t="s">
        <v>856</v>
      </c>
    </row>
    <row r="3378" spans="1:14" ht="15" customHeight="1" x14ac:dyDescent="0.2">
      <c r="A3378" s="31">
        <v>0.70459619047248945</v>
      </c>
      <c r="B3378" s="31"/>
      <c r="C3378" s="2" t="s">
        <v>855</v>
      </c>
      <c r="D3378" s="31">
        <f t="shared" si="109"/>
        <v>0.13810085333260794</v>
      </c>
      <c r="F3378" s="2" t="s">
        <v>822</v>
      </c>
      <c r="G3378" s="23" t="s">
        <v>902</v>
      </c>
      <c r="H3378" s="2" t="s">
        <v>822</v>
      </c>
      <c r="J3378" s="31">
        <v>30.048000300000002</v>
      </c>
      <c r="K3378" s="31">
        <v>-29.200000800000002</v>
      </c>
      <c r="L3378" s="31"/>
      <c r="M3378" s="31" t="s">
        <v>854</v>
      </c>
      <c r="N3378" s="6" t="s">
        <v>856</v>
      </c>
    </row>
    <row r="3379" spans="1:14" ht="15" customHeight="1" x14ac:dyDescent="0.2">
      <c r="A3379" s="31">
        <v>0.70448483116198712</v>
      </c>
      <c r="B3379" s="31"/>
      <c r="C3379" s="2" t="s">
        <v>855</v>
      </c>
      <c r="D3379" s="31">
        <f t="shared" si="109"/>
        <v>0.13807902690774948</v>
      </c>
      <c r="F3379" s="2" t="s">
        <v>822</v>
      </c>
      <c r="G3379" s="23" t="s">
        <v>902</v>
      </c>
      <c r="H3379" s="2" t="s">
        <v>822</v>
      </c>
      <c r="J3379" s="31">
        <v>54.305500000000002</v>
      </c>
      <c r="K3379" s="31">
        <v>15.5365</v>
      </c>
      <c r="L3379" s="31"/>
      <c r="M3379" s="31" t="s">
        <v>854</v>
      </c>
      <c r="N3379" s="6" t="s">
        <v>856</v>
      </c>
    </row>
    <row r="3380" spans="1:14" ht="15" customHeight="1" x14ac:dyDescent="0.2">
      <c r="A3380" s="31">
        <v>0.7042613231033451</v>
      </c>
      <c r="B3380" s="31"/>
      <c r="C3380" s="2" t="s">
        <v>855</v>
      </c>
      <c r="D3380" s="31">
        <f t="shared" si="109"/>
        <v>0.13803521932825566</v>
      </c>
      <c r="F3380" s="2" t="s">
        <v>822</v>
      </c>
      <c r="G3380" s="23" t="s">
        <v>902</v>
      </c>
      <c r="H3380" s="2" t="s">
        <v>822</v>
      </c>
      <c r="J3380" s="31">
        <v>35.798301700000003</v>
      </c>
      <c r="K3380" s="31">
        <v>-3.6414900000000001</v>
      </c>
      <c r="L3380" s="31"/>
      <c r="M3380" s="31" t="s">
        <v>854</v>
      </c>
      <c r="N3380" s="6" t="s">
        <v>856</v>
      </c>
    </row>
    <row r="3381" spans="1:14" ht="15" customHeight="1" x14ac:dyDescent="0.2">
      <c r="A3381" s="31">
        <v>0.70424352802696055</v>
      </c>
      <c r="B3381" s="31"/>
      <c r="C3381" s="2" t="s">
        <v>855</v>
      </c>
      <c r="D3381" s="31">
        <f t="shared" si="109"/>
        <v>0.13803173149328427</v>
      </c>
      <c r="F3381" s="2" t="s">
        <v>822</v>
      </c>
      <c r="G3381" s="23" t="s">
        <v>902</v>
      </c>
      <c r="H3381" s="2" t="s">
        <v>822</v>
      </c>
      <c r="J3381" s="31">
        <v>33.108600600000003</v>
      </c>
      <c r="K3381" s="31">
        <v>23.640399899999998</v>
      </c>
      <c r="L3381" s="31"/>
      <c r="M3381" s="31" t="s">
        <v>854</v>
      </c>
      <c r="N3381" s="6" t="s">
        <v>856</v>
      </c>
    </row>
    <row r="3382" spans="1:14" ht="15" customHeight="1" x14ac:dyDescent="0.2">
      <c r="A3382" s="31">
        <v>0.70393863375442733</v>
      </c>
      <c r="B3382" s="31"/>
      <c r="C3382" s="2" t="s">
        <v>855</v>
      </c>
      <c r="D3382" s="31">
        <f t="shared" si="109"/>
        <v>0.13797197221586777</v>
      </c>
      <c r="F3382" s="2" t="s">
        <v>822</v>
      </c>
      <c r="G3382" s="23" t="s">
        <v>902</v>
      </c>
      <c r="H3382" s="2" t="s">
        <v>822</v>
      </c>
      <c r="J3382" s="31">
        <v>46.748001100000003</v>
      </c>
      <c r="K3382" s="31">
        <v>-29.867999999999999</v>
      </c>
      <c r="L3382" s="31"/>
      <c r="M3382" s="31" t="s">
        <v>854</v>
      </c>
      <c r="N3382" s="6" t="s">
        <v>856</v>
      </c>
    </row>
    <row r="3383" spans="1:14" ht="15" customHeight="1" x14ac:dyDescent="0.2">
      <c r="A3383" s="31">
        <v>0.70381157176694586</v>
      </c>
      <c r="B3383" s="31"/>
      <c r="C3383" s="2" t="s">
        <v>855</v>
      </c>
      <c r="D3383" s="31">
        <f t="shared" si="109"/>
        <v>0.1379470680663214</v>
      </c>
      <c r="F3383" s="2" t="s">
        <v>822</v>
      </c>
      <c r="G3383" s="23" t="s">
        <v>902</v>
      </c>
      <c r="H3383" s="2" t="s">
        <v>822</v>
      </c>
      <c r="J3383" s="31">
        <v>44.850898700000002</v>
      </c>
      <c r="K3383" s="31">
        <v>-29.849899300000001</v>
      </c>
      <c r="L3383" s="31"/>
      <c r="M3383" s="31" t="s">
        <v>854</v>
      </c>
      <c r="N3383" s="6" t="s">
        <v>856</v>
      </c>
    </row>
    <row r="3384" spans="1:14" ht="15" customHeight="1" x14ac:dyDescent="0.2">
      <c r="A3384" s="31">
        <v>0.70369043275947962</v>
      </c>
      <c r="B3384" s="31"/>
      <c r="C3384" s="2" t="s">
        <v>855</v>
      </c>
      <c r="D3384" s="31">
        <f t="shared" si="109"/>
        <v>0.13792332482085801</v>
      </c>
      <c r="F3384" s="2" t="s">
        <v>822</v>
      </c>
      <c r="G3384" s="23" t="s">
        <v>902</v>
      </c>
      <c r="H3384" s="2" t="s">
        <v>822</v>
      </c>
      <c r="J3384" s="31">
        <v>54.537498499999998</v>
      </c>
      <c r="K3384" s="31">
        <v>19.499700499999999</v>
      </c>
      <c r="L3384" s="31"/>
      <c r="M3384" s="31" t="s">
        <v>854</v>
      </c>
      <c r="N3384" s="6" t="s">
        <v>856</v>
      </c>
    </row>
    <row r="3385" spans="1:14" ht="15" customHeight="1" x14ac:dyDescent="0.2">
      <c r="A3385" s="31">
        <v>0.70352657590830592</v>
      </c>
      <c r="B3385" s="31"/>
      <c r="C3385" s="2" t="s">
        <v>855</v>
      </c>
      <c r="D3385" s="31">
        <f t="shared" si="109"/>
        <v>0.13789120887802797</v>
      </c>
      <c r="F3385" s="2" t="s">
        <v>822</v>
      </c>
      <c r="G3385" s="23" t="s">
        <v>902</v>
      </c>
      <c r="H3385" s="2" t="s">
        <v>822</v>
      </c>
      <c r="J3385" s="31">
        <v>34.047100100000002</v>
      </c>
      <c r="K3385" s="31">
        <v>27.582899099999999</v>
      </c>
      <c r="L3385" s="31"/>
      <c r="M3385" s="31" t="s">
        <v>854</v>
      </c>
      <c r="N3385" s="6" t="s">
        <v>856</v>
      </c>
    </row>
    <row r="3386" spans="1:14" ht="15" customHeight="1" x14ac:dyDescent="0.2">
      <c r="A3386" s="31">
        <v>0.70331071666293943</v>
      </c>
      <c r="B3386" s="31"/>
      <c r="C3386" s="2" t="s">
        <v>855</v>
      </c>
      <c r="D3386" s="31">
        <f t="shared" si="109"/>
        <v>0.13784890046593612</v>
      </c>
      <c r="F3386" s="2" t="s">
        <v>822</v>
      </c>
      <c r="G3386" s="23" t="s">
        <v>902</v>
      </c>
      <c r="H3386" s="2" t="s">
        <v>822</v>
      </c>
      <c r="J3386" s="31">
        <v>40.402599299999999</v>
      </c>
      <c r="K3386" s="31">
        <v>16.932699199999998</v>
      </c>
      <c r="L3386" s="31"/>
      <c r="M3386" s="31" t="s">
        <v>854</v>
      </c>
      <c r="N3386" s="6" t="s">
        <v>856</v>
      </c>
    </row>
    <row r="3387" spans="1:14" ht="15" customHeight="1" x14ac:dyDescent="0.2">
      <c r="A3387" s="31">
        <v>0.70318161703448179</v>
      </c>
      <c r="B3387" s="31"/>
      <c r="C3387" s="2" t="s">
        <v>855</v>
      </c>
      <c r="D3387" s="31">
        <f t="shared" ref="D3387:D3418" si="110" xml:space="preserve"> A3387 * 0.196</f>
        <v>0.13782359693875842</v>
      </c>
      <c r="F3387" s="2" t="s">
        <v>822</v>
      </c>
      <c r="G3387" s="23" t="s">
        <v>902</v>
      </c>
      <c r="H3387" s="2" t="s">
        <v>822</v>
      </c>
      <c r="J3387" s="31">
        <v>54.574401899999998</v>
      </c>
      <c r="K3387" s="31">
        <v>11.3318005</v>
      </c>
      <c r="L3387" s="31"/>
      <c r="M3387" s="31" t="s">
        <v>854</v>
      </c>
      <c r="N3387" s="6" t="s">
        <v>856</v>
      </c>
    </row>
    <row r="3388" spans="1:14" ht="15" customHeight="1" x14ac:dyDescent="0.2">
      <c r="A3388" s="31">
        <v>0.7029561785513484</v>
      </c>
      <c r="B3388" s="31"/>
      <c r="C3388" s="2" t="s">
        <v>855</v>
      </c>
      <c r="D3388" s="31">
        <f t="shared" si="110"/>
        <v>0.13777941099606428</v>
      </c>
      <c r="F3388" s="2" t="s">
        <v>822</v>
      </c>
      <c r="G3388" s="23" t="s">
        <v>902</v>
      </c>
      <c r="H3388" s="2" t="s">
        <v>822</v>
      </c>
      <c r="J3388" s="31">
        <v>55.102699299999998</v>
      </c>
      <c r="K3388" s="31">
        <v>18.076900500000001</v>
      </c>
      <c r="L3388" s="31"/>
      <c r="M3388" s="31" t="s">
        <v>854</v>
      </c>
      <c r="N3388" s="6" t="s">
        <v>856</v>
      </c>
    </row>
    <row r="3389" spans="1:14" ht="15" customHeight="1" x14ac:dyDescent="0.2">
      <c r="A3389" s="31">
        <v>0.7027688635652054</v>
      </c>
      <c r="B3389" s="31"/>
      <c r="C3389" s="2" t="s">
        <v>855</v>
      </c>
      <c r="D3389" s="31">
        <f t="shared" si="110"/>
        <v>0.13774269725878027</v>
      </c>
      <c r="F3389" s="2" t="s">
        <v>822</v>
      </c>
      <c r="G3389" s="23" t="s">
        <v>902</v>
      </c>
      <c r="H3389" s="2" t="s">
        <v>822</v>
      </c>
      <c r="J3389" s="31">
        <v>54.786300699999998</v>
      </c>
      <c r="K3389" s="31">
        <v>14.0974998</v>
      </c>
      <c r="L3389" s="31"/>
      <c r="M3389" s="31" t="s">
        <v>854</v>
      </c>
      <c r="N3389" s="6" t="s">
        <v>856</v>
      </c>
    </row>
    <row r="3390" spans="1:14" ht="15" customHeight="1" x14ac:dyDescent="0.2">
      <c r="A3390" s="31">
        <v>0.7025577948810473</v>
      </c>
      <c r="B3390" s="31"/>
      <c r="C3390" s="2" t="s">
        <v>855</v>
      </c>
      <c r="D3390" s="31">
        <f t="shared" si="110"/>
        <v>0.13770132779668529</v>
      </c>
      <c r="F3390" s="2" t="s">
        <v>822</v>
      </c>
      <c r="G3390" s="23" t="s">
        <v>902</v>
      </c>
      <c r="H3390" s="2" t="s">
        <v>822</v>
      </c>
      <c r="J3390" s="31">
        <v>46.034301800000001</v>
      </c>
      <c r="K3390" s="31">
        <v>-28.591400100000001</v>
      </c>
      <c r="L3390" s="31"/>
      <c r="M3390" s="31" t="s">
        <v>854</v>
      </c>
      <c r="N3390" s="6" t="s">
        <v>856</v>
      </c>
    </row>
    <row r="3391" spans="1:14" ht="15" customHeight="1" x14ac:dyDescent="0.2">
      <c r="A3391" s="31">
        <v>0.70249020996661593</v>
      </c>
      <c r="B3391" s="31"/>
      <c r="C3391" s="2" t="s">
        <v>855</v>
      </c>
      <c r="D3391" s="31">
        <f t="shared" si="110"/>
        <v>0.13768808115345674</v>
      </c>
      <c r="F3391" s="2" t="s">
        <v>822</v>
      </c>
      <c r="G3391" s="23" t="s">
        <v>902</v>
      </c>
      <c r="H3391" s="2" t="s">
        <v>822</v>
      </c>
      <c r="J3391" s="31">
        <v>57.034999800000001</v>
      </c>
      <c r="K3391" s="31">
        <v>21.312099499999999</v>
      </c>
      <c r="L3391" s="31"/>
      <c r="M3391" s="31" t="s">
        <v>854</v>
      </c>
      <c r="N3391" s="6" t="s">
        <v>856</v>
      </c>
    </row>
    <row r="3392" spans="1:14" ht="15" customHeight="1" x14ac:dyDescent="0.2">
      <c r="A3392" s="31">
        <v>0.70233730103987702</v>
      </c>
      <c r="B3392" s="31"/>
      <c r="C3392" s="2" t="s">
        <v>855</v>
      </c>
      <c r="D3392" s="31">
        <f t="shared" si="110"/>
        <v>0.13765811100381589</v>
      </c>
      <c r="F3392" s="2" t="s">
        <v>822</v>
      </c>
      <c r="G3392" s="23" t="s">
        <v>902</v>
      </c>
      <c r="H3392" s="2" t="s">
        <v>822</v>
      </c>
      <c r="J3392" s="31">
        <v>29.3799992</v>
      </c>
      <c r="K3392" s="31">
        <v>-30.5359993</v>
      </c>
      <c r="L3392" s="31"/>
      <c r="M3392" s="31" t="s">
        <v>854</v>
      </c>
      <c r="N3392" s="6" t="s">
        <v>856</v>
      </c>
    </row>
    <row r="3393" spans="1:14" ht="15" customHeight="1" x14ac:dyDescent="0.2">
      <c r="A3393" s="31">
        <v>0.70206047696047758</v>
      </c>
      <c r="B3393" s="31"/>
      <c r="C3393" s="2" t="s">
        <v>855</v>
      </c>
      <c r="D3393" s="31">
        <f t="shared" si="110"/>
        <v>0.13760385348425361</v>
      </c>
      <c r="F3393" s="2" t="s">
        <v>822</v>
      </c>
      <c r="G3393" s="23" t="s">
        <v>902</v>
      </c>
      <c r="H3393" s="2" t="s">
        <v>822</v>
      </c>
      <c r="J3393" s="31">
        <v>43.408000899999998</v>
      </c>
      <c r="K3393" s="31">
        <v>-14.5039997</v>
      </c>
      <c r="L3393" s="31"/>
      <c r="M3393" s="31" t="s">
        <v>854</v>
      </c>
      <c r="N3393" s="6" t="s">
        <v>856</v>
      </c>
    </row>
    <row r="3394" spans="1:14" ht="15" customHeight="1" x14ac:dyDescent="0.2">
      <c r="A3394" s="31">
        <v>0.70186645243777845</v>
      </c>
      <c r="B3394" s="31"/>
      <c r="C3394" s="2" t="s">
        <v>855</v>
      </c>
      <c r="D3394" s="31">
        <f t="shared" si="110"/>
        <v>0.13756582467780459</v>
      </c>
      <c r="F3394" s="2" t="s">
        <v>822</v>
      </c>
      <c r="G3394" s="23" t="s">
        <v>902</v>
      </c>
      <c r="H3394" s="2" t="s">
        <v>822</v>
      </c>
      <c r="J3394" s="31">
        <v>31.234699200000001</v>
      </c>
      <c r="K3394" s="31">
        <v>-29.889499699999998</v>
      </c>
      <c r="L3394" s="31"/>
      <c r="M3394" s="31" t="s">
        <v>854</v>
      </c>
      <c r="N3394" s="6" t="s">
        <v>856</v>
      </c>
    </row>
    <row r="3395" spans="1:14" ht="15" customHeight="1" x14ac:dyDescent="0.2">
      <c r="A3395" s="31">
        <v>0.70168860766369545</v>
      </c>
      <c r="B3395" s="31"/>
      <c r="C3395" s="2" t="s">
        <v>855</v>
      </c>
      <c r="D3395" s="31">
        <f t="shared" si="110"/>
        <v>0.13753096710208432</v>
      </c>
      <c r="F3395" s="2" t="s">
        <v>822</v>
      </c>
      <c r="G3395" s="23" t="s">
        <v>902</v>
      </c>
      <c r="H3395" s="2" t="s">
        <v>822</v>
      </c>
      <c r="J3395" s="31">
        <v>43.108200099999998</v>
      </c>
      <c r="K3395" s="31">
        <v>6.41432</v>
      </c>
      <c r="L3395" s="31"/>
      <c r="M3395" s="31" t="s">
        <v>854</v>
      </c>
      <c r="N3395" s="6" t="s">
        <v>856</v>
      </c>
    </row>
    <row r="3396" spans="1:14" ht="15" customHeight="1" x14ac:dyDescent="0.2">
      <c r="A3396" s="31">
        <v>0.70135832470293402</v>
      </c>
      <c r="B3396" s="31"/>
      <c r="C3396" s="2" t="s">
        <v>855</v>
      </c>
      <c r="D3396" s="31">
        <f t="shared" si="110"/>
        <v>0.13746623164177507</v>
      </c>
      <c r="F3396" s="2" t="s">
        <v>822</v>
      </c>
      <c r="G3396" s="23" t="s">
        <v>902</v>
      </c>
      <c r="H3396" s="2" t="s">
        <v>822</v>
      </c>
      <c r="J3396" s="31">
        <v>43.368598900000002</v>
      </c>
      <c r="K3396" s="31">
        <v>-31.2115002</v>
      </c>
      <c r="L3396" s="31"/>
      <c r="M3396" s="31" t="s">
        <v>854</v>
      </c>
      <c r="N3396" s="6" t="s">
        <v>856</v>
      </c>
    </row>
    <row r="3397" spans="1:14" ht="15" customHeight="1" x14ac:dyDescent="0.2">
      <c r="A3397" s="31">
        <v>0.7013388541795994</v>
      </c>
      <c r="B3397" s="31"/>
      <c r="C3397" s="2" t="s">
        <v>855</v>
      </c>
      <c r="D3397" s="31">
        <f t="shared" si="110"/>
        <v>0.13746241541920148</v>
      </c>
      <c r="F3397" s="2" t="s">
        <v>822</v>
      </c>
      <c r="G3397" s="23" t="s">
        <v>902</v>
      </c>
      <c r="H3397" s="2" t="s">
        <v>822</v>
      </c>
      <c r="J3397" s="31">
        <v>47.416000400000001</v>
      </c>
      <c r="K3397" s="31">
        <v>-21.851999299999999</v>
      </c>
      <c r="L3397" s="31"/>
      <c r="M3397" s="31" t="s">
        <v>854</v>
      </c>
      <c r="N3397" s="6" t="s">
        <v>856</v>
      </c>
    </row>
    <row r="3398" spans="1:14" ht="15" customHeight="1" x14ac:dyDescent="0.2">
      <c r="A3398" s="31">
        <v>0.701234880219053</v>
      </c>
      <c r="B3398" s="31"/>
      <c r="C3398" s="2" t="s">
        <v>855</v>
      </c>
      <c r="D3398" s="31">
        <f t="shared" si="110"/>
        <v>0.13744203652293441</v>
      </c>
      <c r="F3398" s="2" t="s">
        <v>822</v>
      </c>
      <c r="G3398" s="23" t="s">
        <v>902</v>
      </c>
      <c r="H3398" s="2" t="s">
        <v>822</v>
      </c>
      <c r="J3398" s="31">
        <v>41.8268013</v>
      </c>
      <c r="K3398" s="31">
        <v>12.094499600000001</v>
      </c>
      <c r="L3398" s="31"/>
      <c r="M3398" s="31" t="s">
        <v>854</v>
      </c>
      <c r="N3398" s="6" t="s">
        <v>856</v>
      </c>
    </row>
    <row r="3399" spans="1:14" ht="15" customHeight="1" x14ac:dyDescent="0.2">
      <c r="A3399" s="31">
        <v>0.70112988501526319</v>
      </c>
      <c r="B3399" s="31"/>
      <c r="C3399" s="2" t="s">
        <v>855</v>
      </c>
      <c r="D3399" s="31">
        <f t="shared" si="110"/>
        <v>0.13742145746299159</v>
      </c>
      <c r="F3399" s="2" t="s">
        <v>822</v>
      </c>
      <c r="G3399" s="23" t="s">
        <v>902</v>
      </c>
      <c r="H3399" s="2" t="s">
        <v>822</v>
      </c>
      <c r="J3399" s="31">
        <v>38.903801000000001</v>
      </c>
      <c r="K3399" s="31">
        <v>-16.0741005</v>
      </c>
      <c r="L3399" s="31"/>
      <c r="M3399" s="31" t="s">
        <v>854</v>
      </c>
      <c r="N3399" s="6" t="s">
        <v>856</v>
      </c>
    </row>
    <row r="3400" spans="1:14" ht="15" customHeight="1" x14ac:dyDescent="0.2">
      <c r="A3400" s="31">
        <v>0.70078107094569397</v>
      </c>
      <c r="B3400" s="31"/>
      <c r="C3400" s="2" t="s">
        <v>855</v>
      </c>
      <c r="D3400" s="31">
        <f t="shared" si="110"/>
        <v>0.13735308990535602</v>
      </c>
      <c r="F3400" s="2" t="s">
        <v>822</v>
      </c>
      <c r="G3400" s="23" t="s">
        <v>902</v>
      </c>
      <c r="H3400" s="2" t="s">
        <v>822</v>
      </c>
      <c r="J3400" s="31">
        <v>38.498500800000002</v>
      </c>
      <c r="K3400" s="31">
        <v>8.0528297000000002</v>
      </c>
      <c r="L3400" s="31"/>
      <c r="M3400" s="31" t="s">
        <v>854</v>
      </c>
      <c r="N3400" s="6" t="s">
        <v>856</v>
      </c>
    </row>
    <row r="3401" spans="1:14" ht="15" customHeight="1" x14ac:dyDescent="0.2">
      <c r="A3401" s="31">
        <v>0.70048576434024568</v>
      </c>
      <c r="B3401" s="31"/>
      <c r="C3401" s="2" t="s">
        <v>855</v>
      </c>
      <c r="D3401" s="31">
        <f t="shared" si="110"/>
        <v>0.13729520981068816</v>
      </c>
      <c r="F3401" s="2" t="s">
        <v>822</v>
      </c>
      <c r="G3401" s="23" t="s">
        <v>902</v>
      </c>
      <c r="H3401" s="2" t="s">
        <v>822</v>
      </c>
      <c r="J3401" s="31">
        <v>48.083999599999999</v>
      </c>
      <c r="K3401" s="31">
        <v>-20.516000699999999</v>
      </c>
      <c r="L3401" s="31"/>
      <c r="M3401" s="31" t="s">
        <v>854</v>
      </c>
      <c r="N3401" s="6" t="s">
        <v>856</v>
      </c>
    </row>
    <row r="3402" spans="1:14" ht="15" customHeight="1" x14ac:dyDescent="0.2">
      <c r="A3402" s="31">
        <v>0.70045831637425227</v>
      </c>
      <c r="B3402" s="31"/>
      <c r="C3402" s="2" t="s">
        <v>855</v>
      </c>
      <c r="D3402" s="31">
        <f t="shared" si="110"/>
        <v>0.13728983000935344</v>
      </c>
      <c r="F3402" s="2" t="s">
        <v>822</v>
      </c>
      <c r="G3402" s="23" t="s">
        <v>902</v>
      </c>
      <c r="H3402" s="2" t="s">
        <v>822</v>
      </c>
      <c r="J3402" s="31">
        <v>31.9181995</v>
      </c>
      <c r="K3402" s="31">
        <v>34.641799900000002</v>
      </c>
      <c r="L3402" s="31"/>
      <c r="M3402" s="31" t="s">
        <v>854</v>
      </c>
      <c r="N3402" s="6" t="s">
        <v>856</v>
      </c>
    </row>
    <row r="3403" spans="1:14" ht="15" customHeight="1" x14ac:dyDescent="0.2">
      <c r="A3403" s="31">
        <v>0.70032722846118511</v>
      </c>
      <c r="B3403" s="31"/>
      <c r="C3403" s="2" t="s">
        <v>855</v>
      </c>
      <c r="D3403" s="31">
        <f t="shared" si="110"/>
        <v>0.13726413677839228</v>
      </c>
      <c r="F3403" s="2" t="s">
        <v>822</v>
      </c>
      <c r="G3403" s="23" t="s">
        <v>902</v>
      </c>
      <c r="H3403" s="2" t="s">
        <v>822</v>
      </c>
      <c r="J3403" s="31">
        <v>42.755001100000001</v>
      </c>
      <c r="K3403" s="31">
        <v>-29.812700299999999</v>
      </c>
      <c r="L3403" s="31"/>
      <c r="M3403" s="31" t="s">
        <v>854</v>
      </c>
      <c r="N3403" s="6" t="s">
        <v>856</v>
      </c>
    </row>
    <row r="3404" spans="1:14" ht="15" customHeight="1" x14ac:dyDescent="0.2">
      <c r="A3404" s="31">
        <v>0.70027144701257771</v>
      </c>
      <c r="B3404" s="31"/>
      <c r="C3404" s="2" t="s">
        <v>855</v>
      </c>
      <c r="D3404" s="31">
        <f t="shared" si="110"/>
        <v>0.13725320361446525</v>
      </c>
      <c r="F3404" s="2" t="s">
        <v>822</v>
      </c>
      <c r="G3404" s="23" t="s">
        <v>902</v>
      </c>
      <c r="H3404" s="2" t="s">
        <v>822</v>
      </c>
      <c r="J3404" s="31">
        <v>48.083999599999999</v>
      </c>
      <c r="K3404" s="31">
        <v>-23.856000900000002</v>
      </c>
      <c r="L3404" s="31"/>
      <c r="M3404" s="31" t="s">
        <v>854</v>
      </c>
      <c r="N3404" s="6" t="s">
        <v>856</v>
      </c>
    </row>
    <row r="3405" spans="1:14" ht="15" customHeight="1" x14ac:dyDescent="0.2">
      <c r="A3405" s="31">
        <v>0.70025463529469756</v>
      </c>
      <c r="B3405" s="31"/>
      <c r="C3405" s="2" t="s">
        <v>855</v>
      </c>
      <c r="D3405" s="31">
        <f t="shared" si="110"/>
        <v>0.13724990851776073</v>
      </c>
      <c r="F3405" s="2" t="s">
        <v>822</v>
      </c>
      <c r="G3405" s="23" t="s">
        <v>902</v>
      </c>
      <c r="H3405" s="2" t="s">
        <v>822</v>
      </c>
      <c r="J3405" s="31">
        <v>46.099800100000003</v>
      </c>
      <c r="K3405" s="31">
        <v>-41.943199200000002</v>
      </c>
      <c r="L3405" s="31"/>
      <c r="M3405" s="31" t="s">
        <v>854</v>
      </c>
      <c r="N3405" s="6" t="s">
        <v>856</v>
      </c>
    </row>
    <row r="3406" spans="1:14" ht="15" customHeight="1" x14ac:dyDescent="0.2">
      <c r="A3406" s="31">
        <v>0.70018039310046998</v>
      </c>
      <c r="B3406" s="31"/>
      <c r="C3406" s="2" t="s">
        <v>855</v>
      </c>
      <c r="D3406" s="31">
        <f t="shared" si="110"/>
        <v>0.13723535704769213</v>
      </c>
      <c r="F3406" s="2" t="s">
        <v>822</v>
      </c>
      <c r="G3406" s="23" t="s">
        <v>902</v>
      </c>
      <c r="H3406" s="2" t="s">
        <v>822</v>
      </c>
      <c r="J3406" s="31">
        <v>27.375999499999999</v>
      </c>
      <c r="K3406" s="31">
        <v>-37.883998900000002</v>
      </c>
      <c r="L3406" s="31"/>
      <c r="M3406" s="31" t="s">
        <v>854</v>
      </c>
      <c r="N3406" s="6" t="s">
        <v>856</v>
      </c>
    </row>
    <row r="3407" spans="1:14" ht="15" customHeight="1" x14ac:dyDescent="0.2">
      <c r="A3407" s="31">
        <v>0.69969688102550076</v>
      </c>
      <c r="B3407" s="31"/>
      <c r="C3407" s="2" t="s">
        <v>855</v>
      </c>
      <c r="D3407" s="31">
        <f t="shared" si="110"/>
        <v>0.13714058868099815</v>
      </c>
      <c r="F3407" s="2" t="s">
        <v>822</v>
      </c>
      <c r="G3407" s="23" t="s">
        <v>902</v>
      </c>
      <c r="H3407" s="2" t="s">
        <v>822</v>
      </c>
      <c r="J3407" s="31">
        <v>47.308498399999998</v>
      </c>
      <c r="K3407" s="31">
        <v>-7.0960597999999999</v>
      </c>
      <c r="L3407" s="31"/>
      <c r="M3407" s="31" t="s">
        <v>854</v>
      </c>
      <c r="N3407" s="6" t="s">
        <v>856</v>
      </c>
    </row>
    <row r="3408" spans="1:14" ht="15" customHeight="1" x14ac:dyDescent="0.2">
      <c r="A3408" s="31">
        <v>0.69924465014369142</v>
      </c>
      <c r="B3408" s="31"/>
      <c r="C3408" s="2" t="s">
        <v>855</v>
      </c>
      <c r="D3408" s="31">
        <f t="shared" si="110"/>
        <v>0.13705195142816351</v>
      </c>
      <c r="F3408" s="2" t="s">
        <v>822</v>
      </c>
      <c r="G3408" s="23" t="s">
        <v>902</v>
      </c>
      <c r="H3408" s="2" t="s">
        <v>822</v>
      </c>
      <c r="J3408" s="31">
        <v>30.7159996</v>
      </c>
      <c r="K3408" s="31">
        <v>-24.5240002</v>
      </c>
      <c r="L3408" s="31"/>
      <c r="M3408" s="31" t="s">
        <v>854</v>
      </c>
      <c r="N3408" s="6" t="s">
        <v>856</v>
      </c>
    </row>
    <row r="3409" spans="1:14" ht="15" customHeight="1" x14ac:dyDescent="0.2">
      <c r="A3409" s="31">
        <v>0.69917562424314794</v>
      </c>
      <c r="B3409" s="31"/>
      <c r="C3409" s="2" t="s">
        <v>855</v>
      </c>
      <c r="D3409" s="31">
        <f t="shared" si="110"/>
        <v>0.137038422351657</v>
      </c>
      <c r="F3409" s="2" t="s">
        <v>822</v>
      </c>
      <c r="G3409" s="23" t="s">
        <v>902</v>
      </c>
      <c r="H3409" s="2" t="s">
        <v>822</v>
      </c>
      <c r="J3409" s="31">
        <v>32.955100999999999</v>
      </c>
      <c r="K3409" s="31">
        <v>13.2117004</v>
      </c>
      <c r="L3409" s="31"/>
      <c r="M3409" s="31" t="s">
        <v>854</v>
      </c>
      <c r="N3409" s="6" t="s">
        <v>856</v>
      </c>
    </row>
    <row r="3410" spans="1:14" ht="15" customHeight="1" x14ac:dyDescent="0.2">
      <c r="A3410" s="31">
        <v>0.69891607919070664</v>
      </c>
      <c r="B3410" s="31"/>
      <c r="C3410" s="2" t="s">
        <v>855</v>
      </c>
      <c r="D3410" s="31">
        <f t="shared" si="110"/>
        <v>0.13698755152137851</v>
      </c>
      <c r="F3410" s="2" t="s">
        <v>822</v>
      </c>
      <c r="G3410" s="23" t="s">
        <v>902</v>
      </c>
      <c r="H3410" s="2" t="s">
        <v>822</v>
      </c>
      <c r="J3410" s="31">
        <v>32.991500899999998</v>
      </c>
      <c r="K3410" s="31">
        <v>-26.527999900000001</v>
      </c>
      <c r="L3410" s="31"/>
      <c r="M3410" s="31" t="s">
        <v>854</v>
      </c>
      <c r="N3410" s="6" t="s">
        <v>856</v>
      </c>
    </row>
    <row r="3411" spans="1:14" ht="15" customHeight="1" x14ac:dyDescent="0.2">
      <c r="A3411" s="31">
        <v>0.6987650632356539</v>
      </c>
      <c r="B3411" s="31"/>
      <c r="C3411" s="2" t="s">
        <v>855</v>
      </c>
      <c r="D3411" s="31">
        <f t="shared" si="110"/>
        <v>0.13695795239418818</v>
      </c>
      <c r="F3411" s="2" t="s">
        <v>822</v>
      </c>
      <c r="G3411" s="23" t="s">
        <v>902</v>
      </c>
      <c r="H3411" s="2" t="s">
        <v>822</v>
      </c>
      <c r="J3411" s="31">
        <v>33.449401899999998</v>
      </c>
      <c r="K3411" s="31">
        <v>-34.044998200000002</v>
      </c>
      <c r="L3411" s="31"/>
      <c r="M3411" s="31" t="s">
        <v>854</v>
      </c>
      <c r="N3411" s="6" t="s">
        <v>856</v>
      </c>
    </row>
    <row r="3412" spans="1:14" ht="15" customHeight="1" x14ac:dyDescent="0.2">
      <c r="A3412" s="31">
        <v>0.69866679258498887</v>
      </c>
      <c r="B3412" s="31"/>
      <c r="C3412" s="2" t="s">
        <v>855</v>
      </c>
      <c r="D3412" s="31">
        <f t="shared" si="110"/>
        <v>0.13693869134665781</v>
      </c>
      <c r="F3412" s="2" t="s">
        <v>822</v>
      </c>
      <c r="G3412" s="23" t="s">
        <v>902</v>
      </c>
      <c r="H3412" s="2" t="s">
        <v>822</v>
      </c>
      <c r="J3412" s="31">
        <v>49.251098599999999</v>
      </c>
      <c r="K3412" s="31">
        <v>-2.0786901000000002</v>
      </c>
      <c r="L3412" s="31"/>
      <c r="M3412" s="31" t="s">
        <v>854</v>
      </c>
      <c r="N3412" s="6" t="s">
        <v>856</v>
      </c>
    </row>
    <row r="3413" spans="1:14" ht="15" customHeight="1" x14ac:dyDescent="0.2">
      <c r="A3413" s="31">
        <v>0.69856757345097287</v>
      </c>
      <c r="B3413" s="31"/>
      <c r="C3413" s="2" t="s">
        <v>855</v>
      </c>
      <c r="D3413" s="31">
        <f t="shared" si="110"/>
        <v>0.13691924439639069</v>
      </c>
      <c r="F3413" s="2" t="s">
        <v>822</v>
      </c>
      <c r="G3413" s="23" t="s">
        <v>902</v>
      </c>
      <c r="H3413" s="2" t="s">
        <v>822</v>
      </c>
      <c r="J3413" s="31">
        <v>45.1128006</v>
      </c>
      <c r="K3413" s="31">
        <v>-17.634899099999998</v>
      </c>
      <c r="L3413" s="31"/>
      <c r="M3413" s="31" t="s">
        <v>854</v>
      </c>
      <c r="N3413" s="6" t="s">
        <v>856</v>
      </c>
    </row>
    <row r="3414" spans="1:14" ht="15" customHeight="1" x14ac:dyDescent="0.2">
      <c r="A3414" s="31">
        <v>0.69826544076061403</v>
      </c>
      <c r="B3414" s="31"/>
      <c r="C3414" s="2" t="s">
        <v>855</v>
      </c>
      <c r="D3414" s="31">
        <f t="shared" si="110"/>
        <v>0.13686002638908035</v>
      </c>
      <c r="F3414" s="2" t="s">
        <v>822</v>
      </c>
      <c r="G3414" s="23" t="s">
        <v>902</v>
      </c>
      <c r="H3414" s="2" t="s">
        <v>822</v>
      </c>
      <c r="J3414" s="31">
        <v>44.310798599999998</v>
      </c>
      <c r="K3414" s="31">
        <v>-36.782798800000002</v>
      </c>
      <c r="L3414" s="31"/>
      <c r="M3414" s="31" t="s">
        <v>854</v>
      </c>
      <c r="N3414" s="6" t="s">
        <v>856</v>
      </c>
    </row>
    <row r="3415" spans="1:14" ht="15" customHeight="1" x14ac:dyDescent="0.2">
      <c r="A3415" s="31">
        <v>0.69805161501677271</v>
      </c>
      <c r="B3415" s="31"/>
      <c r="C3415" s="2" t="s">
        <v>855</v>
      </c>
      <c r="D3415" s="31">
        <f t="shared" si="110"/>
        <v>0.13681811654328746</v>
      </c>
      <c r="F3415" s="2" t="s">
        <v>822</v>
      </c>
      <c r="G3415" s="23" t="s">
        <v>902</v>
      </c>
      <c r="H3415" s="2" t="s">
        <v>822</v>
      </c>
      <c r="J3415" s="31">
        <v>38.696998600000001</v>
      </c>
      <c r="K3415" s="31">
        <v>-18.488800000000001</v>
      </c>
      <c r="L3415" s="31"/>
      <c r="M3415" s="31" t="s">
        <v>854</v>
      </c>
      <c r="N3415" s="6" t="s">
        <v>856</v>
      </c>
    </row>
    <row r="3416" spans="1:14" ht="15" customHeight="1" x14ac:dyDescent="0.2">
      <c r="A3416" s="31">
        <v>0.69804357985567023</v>
      </c>
      <c r="B3416" s="31"/>
      <c r="C3416" s="2" t="s">
        <v>855</v>
      </c>
      <c r="D3416" s="31">
        <f t="shared" si="110"/>
        <v>0.13681654165171137</v>
      </c>
      <c r="F3416" s="2" t="s">
        <v>822</v>
      </c>
      <c r="G3416" s="23" t="s">
        <v>902</v>
      </c>
      <c r="H3416" s="2" t="s">
        <v>822</v>
      </c>
      <c r="J3416" s="31">
        <v>59.838600200000002</v>
      </c>
      <c r="K3416" s="31">
        <v>23.696800199999998</v>
      </c>
      <c r="L3416" s="31"/>
      <c r="M3416" s="31" t="s">
        <v>854</v>
      </c>
      <c r="N3416" s="6" t="s">
        <v>856</v>
      </c>
    </row>
    <row r="3417" spans="1:14" ht="15" customHeight="1" x14ac:dyDescent="0.2">
      <c r="A3417" s="31">
        <v>0.69789233442360832</v>
      </c>
      <c r="B3417" s="31"/>
      <c r="C3417" s="2" t="s">
        <v>855</v>
      </c>
      <c r="D3417" s="31">
        <f t="shared" si="110"/>
        <v>0.13678689754702725</v>
      </c>
      <c r="F3417" s="2" t="s">
        <v>822</v>
      </c>
      <c r="G3417" s="23" t="s">
        <v>902</v>
      </c>
      <c r="H3417" s="2" t="s">
        <v>822</v>
      </c>
      <c r="J3417" s="31">
        <v>32.743698100000003</v>
      </c>
      <c r="K3417" s="31">
        <v>23.580099100000002</v>
      </c>
      <c r="L3417" s="31"/>
      <c r="M3417" s="31" t="s">
        <v>854</v>
      </c>
      <c r="N3417" s="6" t="s">
        <v>856</v>
      </c>
    </row>
    <row r="3418" spans="1:14" ht="15" customHeight="1" x14ac:dyDescent="0.2">
      <c r="A3418" s="31">
        <v>0.6978325604996698</v>
      </c>
      <c r="B3418" s="31"/>
      <c r="C3418" s="2" t="s">
        <v>855</v>
      </c>
      <c r="D3418" s="31">
        <f t="shared" si="110"/>
        <v>0.13677518185793527</v>
      </c>
      <c r="F3418" s="2" t="s">
        <v>822</v>
      </c>
      <c r="G3418" s="23" t="s">
        <v>902</v>
      </c>
      <c r="H3418" s="2" t="s">
        <v>822</v>
      </c>
      <c r="J3418" s="31">
        <v>38.9375</v>
      </c>
      <c r="K3418" s="31">
        <v>14.3081999</v>
      </c>
      <c r="L3418" s="31"/>
      <c r="M3418" s="31" t="s">
        <v>854</v>
      </c>
      <c r="N3418" s="6" t="s">
        <v>856</v>
      </c>
    </row>
    <row r="3419" spans="1:14" ht="15" customHeight="1" x14ac:dyDescent="0.2">
      <c r="A3419" s="31">
        <v>0.69780586187215321</v>
      </c>
      <c r="B3419" s="31"/>
      <c r="C3419" s="2" t="s">
        <v>855</v>
      </c>
      <c r="D3419" s="31">
        <f t="shared" ref="D3419:D3450" si="111" xml:space="preserve"> A3419 * 0.196</f>
        <v>0.13676994892694203</v>
      </c>
      <c r="F3419" s="2" t="s">
        <v>822</v>
      </c>
      <c r="G3419" s="23" t="s">
        <v>902</v>
      </c>
      <c r="H3419" s="2" t="s">
        <v>822</v>
      </c>
      <c r="J3419" s="31">
        <v>34.055999800000002</v>
      </c>
      <c r="K3419" s="31">
        <v>-32.540000900000003</v>
      </c>
      <c r="L3419" s="31"/>
      <c r="M3419" s="31" t="s">
        <v>854</v>
      </c>
      <c r="N3419" s="6" t="s">
        <v>856</v>
      </c>
    </row>
    <row r="3420" spans="1:14" ht="15" customHeight="1" x14ac:dyDescent="0.2">
      <c r="A3420" s="31">
        <v>0.6976605299400348</v>
      </c>
      <c r="B3420" s="31"/>
      <c r="C3420" s="2" t="s">
        <v>855</v>
      </c>
      <c r="D3420" s="31">
        <f t="shared" si="111"/>
        <v>0.13674146386824682</v>
      </c>
      <c r="F3420" s="2" t="s">
        <v>822</v>
      </c>
      <c r="G3420" s="23" t="s">
        <v>902</v>
      </c>
      <c r="H3420" s="2" t="s">
        <v>822</v>
      </c>
      <c r="J3420" s="31">
        <v>41.111598999999998</v>
      </c>
      <c r="K3420" s="31">
        <v>5.5359997999999999</v>
      </c>
      <c r="L3420" s="31"/>
      <c r="M3420" s="31" t="s">
        <v>854</v>
      </c>
      <c r="N3420" s="6" t="s">
        <v>856</v>
      </c>
    </row>
    <row r="3421" spans="1:14" ht="15" customHeight="1" x14ac:dyDescent="0.2">
      <c r="A3421" s="31">
        <v>0.69756086078340285</v>
      </c>
      <c r="B3421" s="31"/>
      <c r="C3421" s="2" t="s">
        <v>855</v>
      </c>
      <c r="D3421" s="31">
        <f t="shared" si="111"/>
        <v>0.13672192871354696</v>
      </c>
      <c r="F3421" s="2" t="s">
        <v>822</v>
      </c>
      <c r="G3421" s="23" t="s">
        <v>902</v>
      </c>
      <c r="H3421" s="2" t="s">
        <v>822</v>
      </c>
      <c r="J3421" s="31">
        <v>43.016601600000001</v>
      </c>
      <c r="K3421" s="31">
        <v>-15.1106005</v>
      </c>
      <c r="L3421" s="31"/>
      <c r="M3421" s="31" t="s">
        <v>854</v>
      </c>
      <c r="N3421" s="6" t="s">
        <v>856</v>
      </c>
    </row>
    <row r="3422" spans="1:14" ht="15" customHeight="1" x14ac:dyDescent="0.2">
      <c r="A3422" s="31">
        <v>0.6970719505736539</v>
      </c>
      <c r="B3422" s="31"/>
      <c r="C3422" s="2" t="s">
        <v>855</v>
      </c>
      <c r="D3422" s="31">
        <f t="shared" si="111"/>
        <v>0.13662610231243616</v>
      </c>
      <c r="F3422" s="2" t="s">
        <v>822</v>
      </c>
      <c r="G3422" s="23" t="s">
        <v>902</v>
      </c>
      <c r="H3422" s="2" t="s">
        <v>822</v>
      </c>
      <c r="J3422" s="31">
        <v>49.419998200000002</v>
      </c>
      <c r="K3422" s="31">
        <v>-38.551998099999999</v>
      </c>
      <c r="L3422" s="31"/>
      <c r="M3422" s="31" t="s">
        <v>854</v>
      </c>
      <c r="N3422" s="6" t="s">
        <v>856</v>
      </c>
    </row>
    <row r="3423" spans="1:14" ht="15" customHeight="1" x14ac:dyDescent="0.2">
      <c r="A3423" s="31">
        <v>0.69705109721385927</v>
      </c>
      <c r="B3423" s="31"/>
      <c r="C3423" s="2" t="s">
        <v>855</v>
      </c>
      <c r="D3423" s="31">
        <f t="shared" si="111"/>
        <v>0.13662201505391641</v>
      </c>
      <c r="F3423" s="2" t="s">
        <v>822</v>
      </c>
      <c r="G3423" s="23" t="s">
        <v>902</v>
      </c>
      <c r="H3423" s="2" t="s">
        <v>822</v>
      </c>
      <c r="J3423" s="31">
        <v>42.928199800000002</v>
      </c>
      <c r="K3423" s="31">
        <v>-13.886599500000001</v>
      </c>
      <c r="L3423" s="31"/>
      <c r="M3423" s="31" t="s">
        <v>854</v>
      </c>
      <c r="N3423" s="6" t="s">
        <v>856</v>
      </c>
    </row>
    <row r="3424" spans="1:14" ht="15" customHeight="1" x14ac:dyDescent="0.2">
      <c r="A3424" s="31">
        <v>0.69694403116510395</v>
      </c>
      <c r="B3424" s="31"/>
      <c r="C3424" s="2" t="s">
        <v>855</v>
      </c>
      <c r="D3424" s="31">
        <f t="shared" si="111"/>
        <v>0.13660103010836039</v>
      </c>
      <c r="F3424" s="2" t="s">
        <v>822</v>
      </c>
      <c r="G3424" s="23" t="s">
        <v>902</v>
      </c>
      <c r="H3424" s="2" t="s">
        <v>822</v>
      </c>
      <c r="J3424" s="31">
        <v>38.741901400000003</v>
      </c>
      <c r="K3424" s="31">
        <v>-37.8241005</v>
      </c>
      <c r="L3424" s="31"/>
      <c r="M3424" s="31" t="s">
        <v>854</v>
      </c>
      <c r="N3424" s="6" t="s">
        <v>856</v>
      </c>
    </row>
    <row r="3425" spans="1:14" ht="15" customHeight="1" x14ac:dyDescent="0.2">
      <c r="A3425" s="31">
        <v>0.69683292114738038</v>
      </c>
      <c r="B3425" s="31"/>
      <c r="C3425" s="2" t="s">
        <v>855</v>
      </c>
      <c r="D3425" s="31">
        <f t="shared" si="111"/>
        <v>0.13657925254488656</v>
      </c>
      <c r="F3425" s="2" t="s">
        <v>822</v>
      </c>
      <c r="G3425" s="23" t="s">
        <v>902</v>
      </c>
      <c r="H3425" s="2" t="s">
        <v>822</v>
      </c>
      <c r="J3425" s="31">
        <v>37.298801400000002</v>
      </c>
      <c r="K3425" s="31">
        <v>-0.32491300000000001</v>
      </c>
      <c r="L3425" s="31"/>
      <c r="M3425" s="31" t="s">
        <v>854</v>
      </c>
      <c r="N3425" s="6" t="s">
        <v>856</v>
      </c>
    </row>
    <row r="3426" spans="1:14" ht="15" customHeight="1" x14ac:dyDescent="0.2">
      <c r="A3426" s="31">
        <v>0.69670521394951967</v>
      </c>
      <c r="B3426" s="31"/>
      <c r="C3426" s="2" t="s">
        <v>855</v>
      </c>
      <c r="D3426" s="31">
        <f t="shared" si="111"/>
        <v>0.13655422193410585</v>
      </c>
      <c r="F3426" s="2" t="s">
        <v>822</v>
      </c>
      <c r="G3426" s="23" t="s">
        <v>902</v>
      </c>
      <c r="H3426" s="2" t="s">
        <v>822</v>
      </c>
      <c r="J3426" s="31">
        <v>41.405601500000003</v>
      </c>
      <c r="K3426" s="31">
        <v>-32.529598200000002</v>
      </c>
      <c r="L3426" s="31"/>
      <c r="M3426" s="31" t="s">
        <v>854</v>
      </c>
      <c r="N3426" s="6" t="s">
        <v>856</v>
      </c>
    </row>
    <row r="3427" spans="1:14" ht="15" customHeight="1" x14ac:dyDescent="0.2">
      <c r="A3427" s="31">
        <v>0.69661843824044845</v>
      </c>
      <c r="B3427" s="31"/>
      <c r="C3427" s="2" t="s">
        <v>855</v>
      </c>
      <c r="D3427" s="31">
        <f t="shared" si="111"/>
        <v>0.13653721389512791</v>
      </c>
      <c r="F3427" s="2" t="s">
        <v>822</v>
      </c>
      <c r="G3427" s="23" t="s">
        <v>902</v>
      </c>
      <c r="H3427" s="2" t="s">
        <v>822</v>
      </c>
      <c r="J3427" s="31">
        <v>37.3959999</v>
      </c>
      <c r="K3427" s="31">
        <v>-36.548000299999998</v>
      </c>
      <c r="L3427" s="31"/>
      <c r="M3427" s="31" t="s">
        <v>854</v>
      </c>
      <c r="N3427" s="6" t="s">
        <v>856</v>
      </c>
    </row>
    <row r="3428" spans="1:14" ht="15" customHeight="1" x14ac:dyDescent="0.2">
      <c r="A3428" s="31">
        <v>0.6965281294606136</v>
      </c>
      <c r="B3428" s="31"/>
      <c r="C3428" s="2" t="s">
        <v>855</v>
      </c>
      <c r="D3428" s="31">
        <f t="shared" si="111"/>
        <v>0.13651951337428028</v>
      </c>
      <c r="F3428" s="2" t="s">
        <v>822</v>
      </c>
      <c r="G3428" s="23" t="s">
        <v>902</v>
      </c>
      <c r="H3428" s="2" t="s">
        <v>822</v>
      </c>
      <c r="J3428" s="31">
        <v>36.643001599999998</v>
      </c>
      <c r="K3428" s="31">
        <v>21.449199700000001</v>
      </c>
      <c r="L3428" s="31"/>
      <c r="M3428" s="31" t="s">
        <v>854</v>
      </c>
      <c r="N3428" s="6" t="s">
        <v>856</v>
      </c>
    </row>
    <row r="3429" spans="1:14" ht="15" customHeight="1" x14ac:dyDescent="0.2">
      <c r="A3429" s="31">
        <v>0.69651805760853402</v>
      </c>
      <c r="B3429" s="31"/>
      <c r="C3429" s="2" t="s">
        <v>855</v>
      </c>
      <c r="D3429" s="31">
        <f t="shared" si="111"/>
        <v>0.13651753929127267</v>
      </c>
      <c r="F3429" s="2" t="s">
        <v>822</v>
      </c>
      <c r="G3429" s="23" t="s">
        <v>902</v>
      </c>
      <c r="H3429" s="2" t="s">
        <v>822</v>
      </c>
      <c r="J3429" s="31">
        <v>25.3719997</v>
      </c>
      <c r="K3429" s="31">
        <v>-22.520000499999998</v>
      </c>
      <c r="L3429" s="31"/>
      <c r="M3429" s="31" t="s">
        <v>854</v>
      </c>
      <c r="N3429" s="6" t="s">
        <v>856</v>
      </c>
    </row>
    <row r="3430" spans="1:14" ht="15" customHeight="1" x14ac:dyDescent="0.2">
      <c r="A3430" s="31">
        <v>0.696496864526569</v>
      </c>
      <c r="B3430" s="31"/>
      <c r="C3430" s="2" t="s">
        <v>855</v>
      </c>
      <c r="D3430" s="31">
        <f t="shared" si="111"/>
        <v>0.13651338544720754</v>
      </c>
      <c r="F3430" s="2" t="s">
        <v>822</v>
      </c>
      <c r="G3430" s="23" t="s">
        <v>902</v>
      </c>
      <c r="H3430" s="2" t="s">
        <v>822</v>
      </c>
      <c r="J3430" s="31">
        <v>31.384000799999999</v>
      </c>
      <c r="K3430" s="31">
        <v>-18.511999100000001</v>
      </c>
      <c r="L3430" s="31"/>
      <c r="M3430" s="31" t="s">
        <v>854</v>
      </c>
      <c r="N3430" s="6" t="s">
        <v>856</v>
      </c>
    </row>
    <row r="3431" spans="1:14" ht="15" customHeight="1" x14ac:dyDescent="0.2">
      <c r="A3431" s="31">
        <v>0.69635937501290546</v>
      </c>
      <c r="B3431" s="31"/>
      <c r="C3431" s="2" t="s">
        <v>855</v>
      </c>
      <c r="D3431" s="31">
        <f t="shared" si="111"/>
        <v>0.13648643750252948</v>
      </c>
      <c r="F3431" s="2" t="s">
        <v>822</v>
      </c>
      <c r="G3431" s="23" t="s">
        <v>902</v>
      </c>
      <c r="H3431" s="2" t="s">
        <v>822</v>
      </c>
      <c r="J3431" s="31">
        <v>46.748001100000003</v>
      </c>
      <c r="K3431" s="31">
        <v>-20.516000699999999</v>
      </c>
      <c r="L3431" s="31"/>
      <c r="M3431" s="31" t="s">
        <v>854</v>
      </c>
      <c r="N3431" s="6" t="s">
        <v>856</v>
      </c>
    </row>
    <row r="3432" spans="1:14" ht="15" customHeight="1" x14ac:dyDescent="0.2">
      <c r="A3432" s="31">
        <v>0.6958896955234819</v>
      </c>
      <c r="B3432" s="31"/>
      <c r="C3432" s="2" t="s">
        <v>855</v>
      </c>
      <c r="D3432" s="31">
        <f t="shared" si="111"/>
        <v>0.13639438032260245</v>
      </c>
      <c r="F3432" s="2" t="s">
        <v>822</v>
      </c>
      <c r="G3432" s="23" t="s">
        <v>902</v>
      </c>
      <c r="H3432" s="2" t="s">
        <v>822</v>
      </c>
      <c r="J3432" s="31">
        <v>38.610401199999998</v>
      </c>
      <c r="K3432" s="31">
        <v>3.4854599999999998</v>
      </c>
      <c r="L3432" s="31"/>
      <c r="M3432" s="31" t="s">
        <v>854</v>
      </c>
      <c r="N3432" s="6" t="s">
        <v>856</v>
      </c>
    </row>
    <row r="3433" spans="1:14" ht="15" customHeight="1" x14ac:dyDescent="0.2">
      <c r="A3433" s="31">
        <v>0.69560055419016487</v>
      </c>
      <c r="B3433" s="31"/>
      <c r="C3433" s="2" t="s">
        <v>855</v>
      </c>
      <c r="D3433" s="31">
        <f t="shared" si="111"/>
        <v>0.13633770862127231</v>
      </c>
      <c r="F3433" s="2" t="s">
        <v>822</v>
      </c>
      <c r="G3433" s="23" t="s">
        <v>902</v>
      </c>
      <c r="H3433" s="2" t="s">
        <v>822</v>
      </c>
      <c r="J3433" s="31">
        <v>41.4850998</v>
      </c>
      <c r="K3433" s="31">
        <v>-8.9194098000000004</v>
      </c>
      <c r="L3433" s="31"/>
      <c r="M3433" s="31" t="s">
        <v>854</v>
      </c>
      <c r="N3433" s="6" t="s">
        <v>856</v>
      </c>
    </row>
    <row r="3434" spans="1:14" ht="15" customHeight="1" x14ac:dyDescent="0.2">
      <c r="A3434" s="31">
        <v>0.69549155844268851</v>
      </c>
      <c r="B3434" s="31"/>
      <c r="C3434" s="2" t="s">
        <v>855</v>
      </c>
      <c r="D3434" s="31">
        <f t="shared" si="111"/>
        <v>0.13631634545476695</v>
      </c>
      <c r="F3434" s="2" t="s">
        <v>822</v>
      </c>
      <c r="G3434" s="23" t="s">
        <v>902</v>
      </c>
      <c r="H3434" s="2" t="s">
        <v>822</v>
      </c>
      <c r="J3434" s="31">
        <v>54.950199099999999</v>
      </c>
      <c r="K3434" s="31">
        <v>16.6441002</v>
      </c>
      <c r="L3434" s="31"/>
      <c r="M3434" s="31" t="s">
        <v>854</v>
      </c>
      <c r="N3434" s="6" t="s">
        <v>856</v>
      </c>
    </row>
    <row r="3435" spans="1:14" ht="15" customHeight="1" x14ac:dyDescent="0.2">
      <c r="A3435" s="31">
        <v>0.69529555888041139</v>
      </c>
      <c r="B3435" s="31"/>
      <c r="C3435" s="2" t="s">
        <v>855</v>
      </c>
      <c r="D3435" s="31">
        <f t="shared" si="111"/>
        <v>0.13627792954056064</v>
      </c>
      <c r="F3435" s="2" t="s">
        <v>822</v>
      </c>
      <c r="G3435" s="23" t="s">
        <v>902</v>
      </c>
      <c r="H3435" s="2" t="s">
        <v>822</v>
      </c>
      <c r="J3435" s="31">
        <v>49.419998200000002</v>
      </c>
      <c r="K3435" s="31">
        <v>-33.208000200000001</v>
      </c>
      <c r="L3435" s="31"/>
      <c r="M3435" s="31" t="s">
        <v>854</v>
      </c>
      <c r="N3435" s="6" t="s">
        <v>856</v>
      </c>
    </row>
    <row r="3436" spans="1:14" ht="15" customHeight="1" x14ac:dyDescent="0.2">
      <c r="A3436" s="31">
        <v>0.69512505455825202</v>
      </c>
      <c r="B3436" s="31"/>
      <c r="C3436" s="2" t="s">
        <v>855</v>
      </c>
      <c r="D3436" s="31">
        <f t="shared" si="111"/>
        <v>0.13624451069341739</v>
      </c>
      <c r="F3436" s="2" t="s">
        <v>822</v>
      </c>
      <c r="G3436" s="23" t="s">
        <v>902</v>
      </c>
      <c r="H3436" s="2" t="s">
        <v>822</v>
      </c>
      <c r="J3436" s="31">
        <v>30.7159996</v>
      </c>
      <c r="K3436" s="31">
        <v>-34.543998700000003</v>
      </c>
      <c r="L3436" s="31"/>
      <c r="M3436" s="31" t="s">
        <v>854</v>
      </c>
      <c r="N3436" s="6" t="s">
        <v>856</v>
      </c>
    </row>
    <row r="3437" spans="1:14" ht="15" customHeight="1" x14ac:dyDescent="0.2">
      <c r="A3437" s="31">
        <v>0.69502922527374733</v>
      </c>
      <c r="B3437" s="31"/>
      <c r="C3437" s="2" t="s">
        <v>855</v>
      </c>
      <c r="D3437" s="31">
        <f t="shared" si="111"/>
        <v>0.13622572815365447</v>
      </c>
      <c r="F3437" s="2" t="s">
        <v>822</v>
      </c>
      <c r="G3437" s="23" t="s">
        <v>902</v>
      </c>
      <c r="H3437" s="2" t="s">
        <v>822</v>
      </c>
      <c r="J3437" s="31">
        <v>32.775299099999998</v>
      </c>
      <c r="K3437" s="31">
        <v>28.8581009</v>
      </c>
      <c r="L3437" s="31"/>
      <c r="M3437" s="31" t="s">
        <v>854</v>
      </c>
      <c r="N3437" s="6" t="s">
        <v>856</v>
      </c>
    </row>
    <row r="3438" spans="1:14" ht="15" customHeight="1" x14ac:dyDescent="0.2">
      <c r="A3438" s="31">
        <v>0.69470612919719454</v>
      </c>
      <c r="B3438" s="31"/>
      <c r="C3438" s="2" t="s">
        <v>855</v>
      </c>
      <c r="D3438" s="31">
        <f t="shared" si="111"/>
        <v>0.13616240132265015</v>
      </c>
      <c r="F3438" s="2" t="s">
        <v>822</v>
      </c>
      <c r="G3438" s="23" t="s">
        <v>902</v>
      </c>
      <c r="H3438" s="2" t="s">
        <v>822</v>
      </c>
      <c r="J3438" s="31">
        <v>41.740398399999997</v>
      </c>
      <c r="K3438" s="31">
        <v>-23.508199699999999</v>
      </c>
      <c r="L3438" s="31"/>
      <c r="M3438" s="31" t="s">
        <v>854</v>
      </c>
      <c r="N3438" s="6" t="s">
        <v>856</v>
      </c>
    </row>
    <row r="3439" spans="1:14" ht="15" customHeight="1" x14ac:dyDescent="0.2">
      <c r="A3439" s="31">
        <v>0.69466413841270569</v>
      </c>
      <c r="B3439" s="31"/>
      <c r="C3439" s="2" t="s">
        <v>855</v>
      </c>
      <c r="D3439" s="31">
        <f t="shared" si="111"/>
        <v>0.13615417112889033</v>
      </c>
      <c r="F3439" s="2" t="s">
        <v>822</v>
      </c>
      <c r="G3439" s="23" t="s">
        <v>902</v>
      </c>
      <c r="H3439" s="2" t="s">
        <v>822</v>
      </c>
      <c r="J3439" s="31">
        <v>27.375999499999999</v>
      </c>
      <c r="K3439" s="31">
        <v>-39.888000499999997</v>
      </c>
      <c r="L3439" s="31"/>
      <c r="M3439" s="31" t="s">
        <v>854</v>
      </c>
      <c r="N3439" s="6" t="s">
        <v>856</v>
      </c>
    </row>
    <row r="3440" spans="1:14" ht="15" customHeight="1" x14ac:dyDescent="0.2">
      <c r="A3440" s="31">
        <v>0.69464132564518399</v>
      </c>
      <c r="B3440" s="31"/>
      <c r="C3440" s="2" t="s">
        <v>855</v>
      </c>
      <c r="D3440" s="31">
        <f t="shared" si="111"/>
        <v>0.13614969982645606</v>
      </c>
      <c r="F3440" s="2" t="s">
        <v>822</v>
      </c>
      <c r="G3440" s="23" t="s">
        <v>902</v>
      </c>
      <c r="H3440" s="2" t="s">
        <v>822</v>
      </c>
      <c r="J3440" s="31">
        <v>37.395698500000002</v>
      </c>
      <c r="K3440" s="31">
        <v>-19.576700200000001</v>
      </c>
      <c r="L3440" s="31"/>
      <c r="M3440" s="31" t="s">
        <v>854</v>
      </c>
      <c r="N3440" s="6" t="s">
        <v>856</v>
      </c>
    </row>
    <row r="3441" spans="1:14" ht="15" customHeight="1" x14ac:dyDescent="0.2">
      <c r="A3441" s="31">
        <v>0.6946226214774911</v>
      </c>
      <c r="B3441" s="31"/>
      <c r="C3441" s="2" t="s">
        <v>855</v>
      </c>
      <c r="D3441" s="31">
        <f t="shared" si="111"/>
        <v>0.13614603380958826</v>
      </c>
      <c r="F3441" s="2" t="s">
        <v>822</v>
      </c>
      <c r="G3441" s="23" t="s">
        <v>902</v>
      </c>
      <c r="H3441" s="2" t="s">
        <v>822</v>
      </c>
      <c r="J3441" s="31">
        <v>34.723998999999999</v>
      </c>
      <c r="K3441" s="31">
        <v>-40.555999800000002</v>
      </c>
      <c r="L3441" s="31"/>
      <c r="M3441" s="31" t="s">
        <v>854</v>
      </c>
      <c r="N3441" s="6" t="s">
        <v>856</v>
      </c>
    </row>
    <row r="3442" spans="1:14" ht="15" customHeight="1" x14ac:dyDescent="0.2">
      <c r="A3442" s="31">
        <v>0.69449693571187354</v>
      </c>
      <c r="B3442" s="31"/>
      <c r="C3442" s="2" t="s">
        <v>855</v>
      </c>
      <c r="D3442" s="31">
        <f t="shared" si="111"/>
        <v>0.13612139939952722</v>
      </c>
      <c r="F3442" s="2" t="s">
        <v>822</v>
      </c>
      <c r="G3442" s="23" t="s">
        <v>902</v>
      </c>
      <c r="H3442" s="2" t="s">
        <v>822</v>
      </c>
      <c r="J3442" s="31">
        <v>44.743999500000001</v>
      </c>
      <c r="K3442" s="31">
        <v>-39.888000499999997</v>
      </c>
      <c r="L3442" s="31"/>
      <c r="M3442" s="31" t="s">
        <v>854</v>
      </c>
      <c r="N3442" s="6" t="s">
        <v>856</v>
      </c>
    </row>
    <row r="3443" spans="1:14" ht="15" customHeight="1" x14ac:dyDescent="0.2">
      <c r="A3443" s="31">
        <v>0.69434284689880577</v>
      </c>
      <c r="B3443" s="31"/>
      <c r="C3443" s="2" t="s">
        <v>855</v>
      </c>
      <c r="D3443" s="31">
        <f t="shared" si="111"/>
        <v>0.13609119799216593</v>
      </c>
      <c r="F3443" s="2" t="s">
        <v>822</v>
      </c>
      <c r="G3443" s="23" t="s">
        <v>902</v>
      </c>
      <c r="H3443" s="2" t="s">
        <v>822</v>
      </c>
      <c r="J3443" s="31">
        <v>43.408901200000003</v>
      </c>
      <c r="K3443" s="31">
        <v>-23.898700699999999</v>
      </c>
      <c r="L3443" s="31"/>
      <c r="M3443" s="31" t="s">
        <v>854</v>
      </c>
      <c r="N3443" s="6" t="s">
        <v>856</v>
      </c>
    </row>
    <row r="3444" spans="1:14" ht="15" customHeight="1" x14ac:dyDescent="0.2">
      <c r="A3444" s="31">
        <v>0.69372887534926497</v>
      </c>
      <c r="B3444" s="31"/>
      <c r="C3444" s="2" t="s">
        <v>855</v>
      </c>
      <c r="D3444" s="31">
        <f t="shared" si="111"/>
        <v>0.13597085956845595</v>
      </c>
      <c r="F3444" s="2" t="s">
        <v>822</v>
      </c>
      <c r="G3444" s="23" t="s">
        <v>902</v>
      </c>
      <c r="H3444" s="2" t="s">
        <v>822</v>
      </c>
      <c r="J3444" s="31">
        <v>35.963199600000003</v>
      </c>
      <c r="K3444" s="31">
        <v>-41.898300200000001</v>
      </c>
      <c r="L3444" s="31"/>
      <c r="M3444" s="31" t="s">
        <v>854</v>
      </c>
      <c r="N3444" s="6" t="s">
        <v>856</v>
      </c>
    </row>
    <row r="3445" spans="1:14" ht="15" customHeight="1" x14ac:dyDescent="0.2">
      <c r="A3445" s="31">
        <v>0.69356521820738548</v>
      </c>
      <c r="B3445" s="31"/>
      <c r="C3445" s="2" t="s">
        <v>855</v>
      </c>
      <c r="D3445" s="31">
        <f t="shared" si="111"/>
        <v>0.13593878276864757</v>
      </c>
      <c r="F3445" s="2" t="s">
        <v>822</v>
      </c>
      <c r="G3445" s="23" t="s">
        <v>902</v>
      </c>
      <c r="H3445" s="2" t="s">
        <v>822</v>
      </c>
      <c r="J3445" s="31">
        <v>45.410701799999998</v>
      </c>
      <c r="K3445" s="31">
        <v>-7.1547399</v>
      </c>
      <c r="L3445" s="31"/>
      <c r="M3445" s="31" t="s">
        <v>854</v>
      </c>
      <c r="N3445" s="6" t="s">
        <v>856</v>
      </c>
    </row>
    <row r="3446" spans="1:14" ht="15" customHeight="1" x14ac:dyDescent="0.2">
      <c r="A3446" s="31">
        <v>0.69328369353196895</v>
      </c>
      <c r="B3446" s="31"/>
      <c r="C3446" s="2" t="s">
        <v>855</v>
      </c>
      <c r="D3446" s="31">
        <f t="shared" si="111"/>
        <v>0.13588360393226592</v>
      </c>
      <c r="F3446" s="2" t="s">
        <v>822</v>
      </c>
      <c r="G3446" s="23" t="s">
        <v>902</v>
      </c>
      <c r="H3446" s="2" t="s">
        <v>822</v>
      </c>
      <c r="J3446" s="31">
        <v>54.5110016</v>
      </c>
      <c r="K3446" s="31">
        <v>-5.6083698000000002</v>
      </c>
      <c r="L3446" s="31"/>
      <c r="M3446" s="31" t="s">
        <v>854</v>
      </c>
      <c r="N3446" s="6" t="s">
        <v>856</v>
      </c>
    </row>
    <row r="3447" spans="1:14" ht="15" customHeight="1" x14ac:dyDescent="0.2">
      <c r="A3447" s="31">
        <v>0.69305567706066196</v>
      </c>
      <c r="B3447" s="31"/>
      <c r="C3447" s="2" t="s">
        <v>855</v>
      </c>
      <c r="D3447" s="31">
        <f t="shared" si="111"/>
        <v>0.13583891270388976</v>
      </c>
      <c r="F3447" s="2" t="s">
        <v>822</v>
      </c>
      <c r="G3447" s="23" t="s">
        <v>902</v>
      </c>
      <c r="H3447" s="2" t="s">
        <v>822</v>
      </c>
      <c r="J3447" s="31">
        <v>42.071998600000001</v>
      </c>
      <c r="K3447" s="31">
        <v>-16.507999399999999</v>
      </c>
      <c r="L3447" s="31"/>
      <c r="M3447" s="31" t="s">
        <v>854</v>
      </c>
      <c r="N3447" s="6" t="s">
        <v>856</v>
      </c>
    </row>
    <row r="3448" spans="1:14" ht="15" customHeight="1" x14ac:dyDescent="0.2">
      <c r="A3448" s="31">
        <v>0.69304243094887341</v>
      </c>
      <c r="B3448" s="31"/>
      <c r="C3448" s="2" t="s">
        <v>855</v>
      </c>
      <c r="D3448" s="31">
        <f t="shared" si="111"/>
        <v>0.13583631646597918</v>
      </c>
      <c r="F3448" s="2" t="s">
        <v>822</v>
      </c>
      <c r="G3448" s="23" t="s">
        <v>902</v>
      </c>
      <c r="H3448" s="2" t="s">
        <v>822</v>
      </c>
      <c r="J3448" s="31">
        <v>36.789501199999997</v>
      </c>
      <c r="K3448" s="31">
        <v>-0.195189</v>
      </c>
      <c r="L3448" s="31"/>
      <c r="M3448" s="31" t="s">
        <v>854</v>
      </c>
      <c r="N3448" s="6" t="s">
        <v>856</v>
      </c>
    </row>
    <row r="3449" spans="1:14" ht="15" customHeight="1" x14ac:dyDescent="0.2">
      <c r="A3449" s="31">
        <v>0.69298438926115569</v>
      </c>
      <c r="B3449" s="31"/>
      <c r="C3449" s="2" t="s">
        <v>855</v>
      </c>
      <c r="D3449" s="31">
        <f t="shared" si="111"/>
        <v>0.13582494029518652</v>
      </c>
      <c r="F3449" s="2" t="s">
        <v>822</v>
      </c>
      <c r="G3449" s="23" t="s">
        <v>902</v>
      </c>
      <c r="H3449" s="2" t="s">
        <v>822</v>
      </c>
      <c r="J3449" s="31">
        <v>33.388000499999997</v>
      </c>
      <c r="K3449" s="31">
        <v>-41.223998999999999</v>
      </c>
      <c r="L3449" s="31"/>
      <c r="M3449" s="31" t="s">
        <v>854</v>
      </c>
      <c r="N3449" s="6" t="s">
        <v>856</v>
      </c>
    </row>
    <row r="3450" spans="1:14" ht="15" customHeight="1" x14ac:dyDescent="0.2">
      <c r="A3450" s="31">
        <v>0.69285022013468089</v>
      </c>
      <c r="B3450" s="31"/>
      <c r="C3450" s="2" t="s">
        <v>855</v>
      </c>
      <c r="D3450" s="31">
        <f t="shared" si="111"/>
        <v>0.13579864314639747</v>
      </c>
      <c r="F3450" s="2" t="s">
        <v>822</v>
      </c>
      <c r="G3450" s="23" t="s">
        <v>902</v>
      </c>
      <c r="H3450" s="2" t="s">
        <v>822</v>
      </c>
      <c r="J3450" s="31">
        <v>47.416000400000001</v>
      </c>
      <c r="K3450" s="31">
        <v>-39.888000499999997</v>
      </c>
      <c r="L3450" s="31"/>
      <c r="M3450" s="31" t="s">
        <v>854</v>
      </c>
      <c r="N3450" s="6" t="s">
        <v>856</v>
      </c>
    </row>
    <row r="3451" spans="1:14" ht="15" customHeight="1" x14ac:dyDescent="0.2">
      <c r="A3451" s="31">
        <v>0.69280515012411692</v>
      </c>
      <c r="B3451" s="31"/>
      <c r="C3451" s="2" t="s">
        <v>855</v>
      </c>
      <c r="D3451" s="31">
        <f t="shared" ref="D3451:D3472" si="112" xml:space="preserve"> A3451 * 0.196</f>
        <v>0.13578980942432692</v>
      </c>
      <c r="F3451" s="2" t="s">
        <v>822</v>
      </c>
      <c r="G3451" s="23" t="s">
        <v>902</v>
      </c>
      <c r="H3451" s="2" t="s">
        <v>822</v>
      </c>
      <c r="J3451" s="31">
        <v>46.124599500000002</v>
      </c>
      <c r="K3451" s="31">
        <v>-7.1808399999999999</v>
      </c>
      <c r="L3451" s="31"/>
      <c r="M3451" s="31" t="s">
        <v>854</v>
      </c>
      <c r="N3451" s="6" t="s">
        <v>856</v>
      </c>
    </row>
    <row r="3452" spans="1:14" ht="15" customHeight="1" x14ac:dyDescent="0.2">
      <c r="A3452" s="31">
        <v>0.69277819618877057</v>
      </c>
      <c r="B3452" s="31"/>
      <c r="C3452" s="2" t="s">
        <v>855</v>
      </c>
      <c r="D3452" s="31">
        <f t="shared" si="112"/>
        <v>0.13578452645299904</v>
      </c>
      <c r="F3452" s="2" t="s">
        <v>822</v>
      </c>
      <c r="G3452" s="23" t="s">
        <v>902</v>
      </c>
      <c r="H3452" s="2" t="s">
        <v>822</v>
      </c>
      <c r="J3452" s="31">
        <v>38.063999199999998</v>
      </c>
      <c r="K3452" s="31">
        <v>3.5320000999999999</v>
      </c>
      <c r="L3452" s="31"/>
      <c r="M3452" s="31" t="s">
        <v>854</v>
      </c>
      <c r="N3452" s="6" t="s">
        <v>856</v>
      </c>
    </row>
    <row r="3453" spans="1:14" ht="15" customHeight="1" x14ac:dyDescent="0.2">
      <c r="A3453" s="31">
        <v>0.69276955608538437</v>
      </c>
      <c r="B3453" s="31"/>
      <c r="C3453" s="2" t="s">
        <v>855</v>
      </c>
      <c r="D3453" s="31">
        <f t="shared" si="112"/>
        <v>0.13578283299273533</v>
      </c>
      <c r="F3453" s="2" t="s">
        <v>822</v>
      </c>
      <c r="G3453" s="23" t="s">
        <v>902</v>
      </c>
      <c r="H3453" s="2" t="s">
        <v>822</v>
      </c>
      <c r="J3453" s="31">
        <v>44.076000200000003</v>
      </c>
      <c r="K3453" s="31">
        <v>-34.543998700000003</v>
      </c>
      <c r="L3453" s="31"/>
      <c r="M3453" s="31" t="s">
        <v>854</v>
      </c>
      <c r="N3453" s="6" t="s">
        <v>856</v>
      </c>
    </row>
    <row r="3454" spans="1:14" ht="15" customHeight="1" x14ac:dyDescent="0.2">
      <c r="A3454" s="31">
        <v>0.69247753618461316</v>
      </c>
      <c r="B3454" s="31"/>
      <c r="C3454" s="2" t="s">
        <v>855</v>
      </c>
      <c r="D3454" s="31">
        <f t="shared" si="112"/>
        <v>0.13572559709218418</v>
      </c>
      <c r="F3454" s="2" t="s">
        <v>822</v>
      </c>
      <c r="G3454" s="23" t="s">
        <v>902</v>
      </c>
      <c r="H3454" s="2" t="s">
        <v>822</v>
      </c>
      <c r="J3454" s="31">
        <v>38.240501399999999</v>
      </c>
      <c r="K3454" s="31">
        <v>15.228799800000001</v>
      </c>
      <c r="L3454" s="31"/>
      <c r="M3454" s="31" t="s">
        <v>854</v>
      </c>
      <c r="N3454" s="6" t="s">
        <v>856</v>
      </c>
    </row>
    <row r="3455" spans="1:14" ht="15" customHeight="1" x14ac:dyDescent="0.2">
      <c r="A3455" s="31">
        <v>0.69241412801943703</v>
      </c>
      <c r="B3455" s="31"/>
      <c r="C3455" s="2" t="s">
        <v>855</v>
      </c>
      <c r="D3455" s="31">
        <f t="shared" si="112"/>
        <v>0.13571316909180967</v>
      </c>
      <c r="F3455" s="2" t="s">
        <v>822</v>
      </c>
      <c r="G3455" s="23" t="s">
        <v>902</v>
      </c>
      <c r="H3455" s="2" t="s">
        <v>822</v>
      </c>
      <c r="J3455" s="31">
        <v>48.751998899999997</v>
      </c>
      <c r="K3455" s="31">
        <v>-29.867999999999999</v>
      </c>
      <c r="L3455" s="31"/>
      <c r="M3455" s="31" t="s">
        <v>854</v>
      </c>
      <c r="N3455" s="6" t="s">
        <v>856</v>
      </c>
    </row>
    <row r="3456" spans="1:14" ht="15" customHeight="1" x14ac:dyDescent="0.2">
      <c r="A3456" s="31">
        <v>0.69226325371669706</v>
      </c>
      <c r="B3456" s="31"/>
      <c r="C3456" s="2" t="s">
        <v>855</v>
      </c>
      <c r="D3456" s="31">
        <f t="shared" si="112"/>
        <v>0.13568359772847263</v>
      </c>
      <c r="F3456" s="2" t="s">
        <v>822</v>
      </c>
      <c r="G3456" s="23" t="s">
        <v>902</v>
      </c>
      <c r="H3456" s="2" t="s">
        <v>822</v>
      </c>
      <c r="J3456" s="31">
        <v>38.055198699999998</v>
      </c>
      <c r="K3456" s="31">
        <v>13.6665001</v>
      </c>
      <c r="L3456" s="31"/>
      <c r="M3456" s="31" t="s">
        <v>854</v>
      </c>
      <c r="N3456" s="6" t="s">
        <v>856</v>
      </c>
    </row>
    <row r="3457" spans="1:14" ht="15" customHeight="1" x14ac:dyDescent="0.2">
      <c r="A3457" s="31">
        <v>0.69223406897148265</v>
      </c>
      <c r="B3457" s="31"/>
      <c r="C3457" s="2" t="s">
        <v>855</v>
      </c>
      <c r="D3457" s="31">
        <f t="shared" si="112"/>
        <v>0.13567787751841059</v>
      </c>
      <c r="F3457" s="2" t="s">
        <v>822</v>
      </c>
      <c r="G3457" s="23" t="s">
        <v>902</v>
      </c>
      <c r="H3457" s="2" t="s">
        <v>822</v>
      </c>
      <c r="J3457" s="31">
        <v>27.892200500000001</v>
      </c>
      <c r="K3457" s="31">
        <v>-16.4192009</v>
      </c>
      <c r="L3457" s="31"/>
      <c r="M3457" s="31" t="s">
        <v>854</v>
      </c>
      <c r="N3457" s="6" t="s">
        <v>856</v>
      </c>
    </row>
    <row r="3458" spans="1:14" ht="15" customHeight="1" x14ac:dyDescent="0.2">
      <c r="A3458" s="31">
        <v>0.69216781888584622</v>
      </c>
      <c r="B3458" s="31"/>
      <c r="C3458" s="2" t="s">
        <v>855</v>
      </c>
      <c r="D3458" s="31">
        <f t="shared" si="112"/>
        <v>0.13566489250162586</v>
      </c>
      <c r="F3458" s="2" t="s">
        <v>822</v>
      </c>
      <c r="G3458" s="23" t="s">
        <v>902</v>
      </c>
      <c r="H3458" s="2" t="s">
        <v>822</v>
      </c>
      <c r="J3458" s="31">
        <v>36.7284012</v>
      </c>
      <c r="K3458" s="31">
        <v>-18.5116005</v>
      </c>
      <c r="L3458" s="31"/>
      <c r="M3458" s="31" t="s">
        <v>854</v>
      </c>
      <c r="N3458" s="6" t="s">
        <v>856</v>
      </c>
    </row>
    <row r="3459" spans="1:14" ht="15" customHeight="1" x14ac:dyDescent="0.2">
      <c r="A3459" s="31">
        <v>0.6921283347292001</v>
      </c>
      <c r="B3459" s="31"/>
      <c r="C3459" s="2" t="s">
        <v>855</v>
      </c>
      <c r="D3459" s="31">
        <f t="shared" si="112"/>
        <v>0.13565715360692324</v>
      </c>
      <c r="F3459" s="2" t="s">
        <v>822</v>
      </c>
      <c r="G3459" s="23" t="s">
        <v>902</v>
      </c>
      <c r="H3459" s="2" t="s">
        <v>822</v>
      </c>
      <c r="J3459" s="31">
        <v>35.362999000000002</v>
      </c>
      <c r="K3459" s="31">
        <v>-19.2439003</v>
      </c>
      <c r="L3459" s="31"/>
      <c r="M3459" s="31" t="s">
        <v>854</v>
      </c>
      <c r="N3459" s="6" t="s">
        <v>856</v>
      </c>
    </row>
    <row r="3460" spans="1:14" ht="15" customHeight="1" x14ac:dyDescent="0.2">
      <c r="A3460" s="31">
        <v>0.69207563807340422</v>
      </c>
      <c r="B3460" s="31"/>
      <c r="C3460" s="2" t="s">
        <v>855</v>
      </c>
      <c r="D3460" s="31">
        <f t="shared" si="112"/>
        <v>0.13564682506238723</v>
      </c>
      <c r="F3460" s="2" t="s">
        <v>822</v>
      </c>
      <c r="G3460" s="23" t="s">
        <v>902</v>
      </c>
      <c r="H3460" s="2" t="s">
        <v>822</v>
      </c>
      <c r="J3460" s="31">
        <v>42.740001700000001</v>
      </c>
      <c r="K3460" s="31">
        <v>-39.888000499999997</v>
      </c>
      <c r="L3460" s="31"/>
      <c r="M3460" s="31" t="s">
        <v>854</v>
      </c>
      <c r="N3460" s="6" t="s">
        <v>856</v>
      </c>
    </row>
    <row r="3461" spans="1:14" ht="15" customHeight="1" x14ac:dyDescent="0.2">
      <c r="A3461" s="31">
        <v>0.69205859358136645</v>
      </c>
      <c r="B3461" s="31"/>
      <c r="C3461" s="2" t="s">
        <v>855</v>
      </c>
      <c r="D3461" s="31">
        <f t="shared" si="112"/>
        <v>0.13564348434194784</v>
      </c>
      <c r="F3461" s="2" t="s">
        <v>822</v>
      </c>
      <c r="G3461" s="23" t="s">
        <v>902</v>
      </c>
      <c r="H3461" s="2" t="s">
        <v>822</v>
      </c>
      <c r="J3461" s="31">
        <v>46.444999699999997</v>
      </c>
      <c r="K3461" s="31">
        <v>-4.1810197999999996</v>
      </c>
      <c r="L3461" s="31"/>
      <c r="M3461" s="31" t="s">
        <v>854</v>
      </c>
      <c r="N3461" s="6" t="s">
        <v>856</v>
      </c>
    </row>
    <row r="3462" spans="1:14" ht="15" customHeight="1" x14ac:dyDescent="0.2">
      <c r="A3462" s="31">
        <v>0.69182789755674978</v>
      </c>
      <c r="B3462" s="31"/>
      <c r="C3462" s="2" t="s">
        <v>855</v>
      </c>
      <c r="D3462" s="31">
        <f t="shared" si="112"/>
        <v>0.13559826792112295</v>
      </c>
      <c r="F3462" s="2" t="s">
        <v>822</v>
      </c>
      <c r="G3462" s="23" t="s">
        <v>902</v>
      </c>
      <c r="H3462" s="2" t="s">
        <v>822</v>
      </c>
      <c r="J3462" s="31">
        <v>43.778801000000001</v>
      </c>
      <c r="K3462" s="31">
        <v>-32.386699700000001</v>
      </c>
      <c r="L3462" s="31"/>
      <c r="M3462" s="31" t="s">
        <v>854</v>
      </c>
      <c r="N3462" s="6" t="s">
        <v>856</v>
      </c>
    </row>
    <row r="3463" spans="1:14" ht="15" customHeight="1" x14ac:dyDescent="0.2">
      <c r="A3463" s="31">
        <v>0.69173939011443264</v>
      </c>
      <c r="B3463" s="31"/>
      <c r="C3463" s="2" t="s">
        <v>855</v>
      </c>
      <c r="D3463" s="31">
        <f t="shared" si="112"/>
        <v>0.13558092046242881</v>
      </c>
      <c r="F3463" s="2" t="s">
        <v>822</v>
      </c>
      <c r="G3463" s="23" t="s">
        <v>902</v>
      </c>
      <c r="H3463" s="2" t="s">
        <v>822</v>
      </c>
      <c r="J3463" s="31">
        <v>29.3799992</v>
      </c>
      <c r="K3463" s="31">
        <v>-35.880001100000001</v>
      </c>
      <c r="L3463" s="31"/>
      <c r="M3463" s="31" t="s">
        <v>854</v>
      </c>
      <c r="N3463" s="6" t="s">
        <v>856</v>
      </c>
    </row>
    <row r="3464" spans="1:14" ht="15" customHeight="1" x14ac:dyDescent="0.2">
      <c r="A3464" s="31">
        <v>0.69140869035689767</v>
      </c>
      <c r="B3464" s="31"/>
      <c r="C3464" s="2" t="s">
        <v>855</v>
      </c>
      <c r="D3464" s="31">
        <f t="shared" si="112"/>
        <v>0.13551610330995195</v>
      </c>
      <c r="F3464" s="2" t="s">
        <v>822</v>
      </c>
      <c r="G3464" s="23" t="s">
        <v>902</v>
      </c>
      <c r="H3464" s="2" t="s">
        <v>822</v>
      </c>
      <c r="J3464" s="31">
        <v>45.489398999999999</v>
      </c>
      <c r="K3464" s="31">
        <v>-26.498100300000001</v>
      </c>
      <c r="L3464" s="31"/>
      <c r="M3464" s="31" t="s">
        <v>854</v>
      </c>
      <c r="N3464" s="6" t="s">
        <v>856</v>
      </c>
    </row>
    <row r="3465" spans="1:14" ht="15" customHeight="1" x14ac:dyDescent="0.2">
      <c r="A3465" s="31">
        <v>0.69131535560744828</v>
      </c>
      <c r="B3465" s="31"/>
      <c r="C3465" s="2" t="s">
        <v>855</v>
      </c>
      <c r="D3465" s="31">
        <f t="shared" si="112"/>
        <v>0.13549780969905986</v>
      </c>
      <c r="F3465" s="2" t="s">
        <v>822</v>
      </c>
      <c r="G3465" s="23" t="s">
        <v>902</v>
      </c>
      <c r="H3465" s="2" t="s">
        <v>822</v>
      </c>
      <c r="J3465" s="31">
        <v>39.849601700000001</v>
      </c>
      <c r="K3465" s="31">
        <v>2.8767299999999998</v>
      </c>
      <c r="L3465" s="31"/>
      <c r="M3465" s="31" t="s">
        <v>854</v>
      </c>
      <c r="N3465" s="6" t="s">
        <v>856</v>
      </c>
    </row>
    <row r="3466" spans="1:14" ht="15" customHeight="1" x14ac:dyDescent="0.2">
      <c r="A3466" s="31">
        <v>0.69099714756544883</v>
      </c>
      <c r="B3466" s="31"/>
      <c r="C3466" s="2" t="s">
        <v>855</v>
      </c>
      <c r="D3466" s="31">
        <f t="shared" si="112"/>
        <v>0.13543544092282797</v>
      </c>
      <c r="F3466" s="2" t="s">
        <v>822</v>
      </c>
      <c r="G3466" s="23" t="s">
        <v>902</v>
      </c>
      <c r="H3466" s="2" t="s">
        <v>822</v>
      </c>
      <c r="J3466" s="31">
        <v>46.080001799999998</v>
      </c>
      <c r="K3466" s="31">
        <v>-17.176000599999998</v>
      </c>
      <c r="L3466" s="31"/>
      <c r="M3466" s="31" t="s">
        <v>854</v>
      </c>
      <c r="N3466" s="6" t="s">
        <v>856</v>
      </c>
    </row>
    <row r="3467" spans="1:14" ht="15" customHeight="1" x14ac:dyDescent="0.2">
      <c r="A3467" s="31">
        <v>0.69093434174451629</v>
      </c>
      <c r="B3467" s="31"/>
      <c r="C3467" s="2" t="s">
        <v>855</v>
      </c>
      <c r="D3467" s="31">
        <f t="shared" si="112"/>
        <v>0.13542313098192521</v>
      </c>
      <c r="F3467" s="2" t="s">
        <v>822</v>
      </c>
      <c r="G3467" s="23" t="s">
        <v>902</v>
      </c>
      <c r="H3467" s="2" t="s">
        <v>822</v>
      </c>
      <c r="J3467" s="31">
        <v>32.700801800000001</v>
      </c>
      <c r="K3467" s="31">
        <v>-39.8805008</v>
      </c>
      <c r="L3467" s="31"/>
      <c r="M3467" s="31" t="s">
        <v>854</v>
      </c>
      <c r="N3467" s="6" t="s">
        <v>856</v>
      </c>
    </row>
    <row r="3468" spans="1:14" ht="15" customHeight="1" x14ac:dyDescent="0.2">
      <c r="A3468" s="31">
        <v>0.69078382264020211</v>
      </c>
      <c r="B3468" s="31"/>
      <c r="C3468" s="2" t="s">
        <v>855</v>
      </c>
      <c r="D3468" s="31">
        <f t="shared" si="112"/>
        <v>0.13539362923747961</v>
      </c>
      <c r="F3468" s="2" t="s">
        <v>822</v>
      </c>
      <c r="G3468" s="23" t="s">
        <v>902</v>
      </c>
      <c r="H3468" s="2" t="s">
        <v>822</v>
      </c>
      <c r="J3468" s="31">
        <v>53.4557991</v>
      </c>
      <c r="K3468" s="31">
        <v>-4.9131698999999998</v>
      </c>
      <c r="L3468" s="31"/>
      <c r="M3468" s="31" t="s">
        <v>854</v>
      </c>
      <c r="N3468" s="6" t="s">
        <v>856</v>
      </c>
    </row>
    <row r="3469" spans="1:14" ht="15" customHeight="1" x14ac:dyDescent="0.2">
      <c r="A3469" s="31">
        <v>0.69073516838847693</v>
      </c>
      <c r="B3469" s="31"/>
      <c r="C3469" s="2" t="s">
        <v>855</v>
      </c>
      <c r="D3469" s="31">
        <f t="shared" si="112"/>
        <v>0.13538409300414148</v>
      </c>
      <c r="F3469" s="2" t="s">
        <v>822</v>
      </c>
      <c r="G3469" s="23" t="s">
        <v>902</v>
      </c>
      <c r="H3469" s="2" t="s">
        <v>822</v>
      </c>
      <c r="J3469" s="31">
        <v>33.534999800000001</v>
      </c>
      <c r="K3469" s="31">
        <v>-29.148199099999999</v>
      </c>
      <c r="L3469" s="31"/>
      <c r="M3469" s="31" t="s">
        <v>854</v>
      </c>
      <c r="N3469" s="6" t="s">
        <v>856</v>
      </c>
    </row>
    <row r="3470" spans="1:14" ht="15" customHeight="1" x14ac:dyDescent="0.2">
      <c r="A3470" s="31">
        <v>0.69063819645192959</v>
      </c>
      <c r="B3470" s="31"/>
      <c r="C3470" s="2" t="s">
        <v>855</v>
      </c>
      <c r="D3470" s="31">
        <f t="shared" si="112"/>
        <v>0.13536508650457821</v>
      </c>
      <c r="F3470" s="2" t="s">
        <v>822</v>
      </c>
      <c r="G3470" s="23" t="s">
        <v>902</v>
      </c>
      <c r="H3470" s="2" t="s">
        <v>822</v>
      </c>
      <c r="J3470" s="31">
        <v>33.076698299999997</v>
      </c>
      <c r="K3470" s="31">
        <v>29.871500000000001</v>
      </c>
      <c r="L3470" s="31"/>
      <c r="M3470" s="31" t="s">
        <v>854</v>
      </c>
      <c r="N3470" s="6" t="s">
        <v>856</v>
      </c>
    </row>
    <row r="3471" spans="1:14" ht="15" customHeight="1" x14ac:dyDescent="0.2">
      <c r="A3471" s="31">
        <v>0.69045789353474374</v>
      </c>
      <c r="B3471" s="31"/>
      <c r="C3471" s="2" t="s">
        <v>855</v>
      </c>
      <c r="D3471" s="31">
        <f t="shared" si="112"/>
        <v>0.13532974713280979</v>
      </c>
      <c r="F3471" s="2" t="s">
        <v>822</v>
      </c>
      <c r="G3471" s="23" t="s">
        <v>902</v>
      </c>
      <c r="H3471" s="2" t="s">
        <v>822</v>
      </c>
      <c r="J3471" s="31">
        <v>48.751998899999997</v>
      </c>
      <c r="K3471" s="31">
        <v>-17.176000599999998</v>
      </c>
      <c r="L3471" s="31"/>
      <c r="M3471" s="31" t="s">
        <v>854</v>
      </c>
      <c r="N3471" s="6" t="s">
        <v>856</v>
      </c>
    </row>
    <row r="3472" spans="1:14" ht="15" customHeight="1" x14ac:dyDescent="0.2">
      <c r="A3472" s="31">
        <v>0.69042159947276693</v>
      </c>
      <c r="B3472" s="31"/>
      <c r="C3472" s="2" t="s">
        <v>855</v>
      </c>
      <c r="D3472" s="31">
        <f t="shared" si="112"/>
        <v>0.13532263349666232</v>
      </c>
      <c r="F3472" s="2" t="s">
        <v>822</v>
      </c>
      <c r="G3472" s="23" t="s">
        <v>902</v>
      </c>
      <c r="H3472" s="2" t="s">
        <v>822</v>
      </c>
      <c r="J3472" s="31">
        <v>36.722198499999998</v>
      </c>
      <c r="K3472" s="31">
        <v>17.566499700000001</v>
      </c>
      <c r="L3472" s="31"/>
      <c r="M3472" s="31" t="s">
        <v>854</v>
      </c>
      <c r="N3472" s="6" t="s">
        <v>856</v>
      </c>
    </row>
    <row r="3473" spans="1:14" ht="15" customHeight="1" x14ac:dyDescent="0.2">
      <c r="A3473" s="22">
        <v>0.13531646644183154</v>
      </c>
      <c r="B3473" s="22"/>
      <c r="C3473" s="2" t="s">
        <v>891</v>
      </c>
      <c r="D3473" s="2">
        <f>A3473</f>
        <v>0.13531646644183154</v>
      </c>
      <c r="F3473" s="2">
        <v>2023</v>
      </c>
      <c r="G3473" s="23" t="s">
        <v>902</v>
      </c>
      <c r="H3473" s="2" t="s">
        <v>771</v>
      </c>
      <c r="I3473" s="23" t="s">
        <v>189</v>
      </c>
      <c r="J3473" s="23">
        <v>58078734</v>
      </c>
      <c r="K3473" s="23">
        <v>11792536</v>
      </c>
      <c r="L3473" s="23" t="s">
        <v>819</v>
      </c>
      <c r="M3473" s="2" t="s">
        <v>825</v>
      </c>
      <c r="N3473" s="6" t="s">
        <v>828</v>
      </c>
    </row>
    <row r="3474" spans="1:14" ht="15" customHeight="1" x14ac:dyDescent="0.2">
      <c r="A3474" s="31">
        <v>0.69034354493023142</v>
      </c>
      <c r="B3474" s="31"/>
      <c r="C3474" s="2" t="s">
        <v>855</v>
      </c>
      <c r="D3474" s="31">
        <f t="shared" ref="D3474:D3505" si="113" xml:space="preserve"> A3474 * 0.196</f>
        <v>0.13530733480632537</v>
      </c>
      <c r="F3474" s="2" t="s">
        <v>822</v>
      </c>
      <c r="G3474" s="23" t="s">
        <v>902</v>
      </c>
      <c r="H3474" s="2" t="s">
        <v>822</v>
      </c>
      <c r="J3474" s="31">
        <v>35.704200700000001</v>
      </c>
      <c r="K3474" s="31">
        <v>-30.150899899999999</v>
      </c>
      <c r="L3474" s="31"/>
      <c r="M3474" s="31" t="s">
        <v>854</v>
      </c>
      <c r="N3474" s="6" t="s">
        <v>856</v>
      </c>
    </row>
    <row r="3475" spans="1:14" ht="15" customHeight="1" x14ac:dyDescent="0.2">
      <c r="A3475" s="31">
        <v>0.69015157640153035</v>
      </c>
      <c r="B3475" s="31"/>
      <c r="C3475" s="2" t="s">
        <v>855</v>
      </c>
      <c r="D3475" s="31">
        <f t="shared" si="113"/>
        <v>0.13526970897469995</v>
      </c>
      <c r="F3475" s="2" t="s">
        <v>822</v>
      </c>
      <c r="G3475" s="23" t="s">
        <v>902</v>
      </c>
      <c r="H3475" s="2" t="s">
        <v>822</v>
      </c>
      <c r="J3475" s="31">
        <v>37.3959999</v>
      </c>
      <c r="K3475" s="31">
        <v>-17.176000599999998</v>
      </c>
      <c r="L3475" s="31"/>
      <c r="M3475" s="31" t="s">
        <v>854</v>
      </c>
      <c r="N3475" s="6" t="s">
        <v>856</v>
      </c>
    </row>
    <row r="3476" spans="1:14" ht="15" customHeight="1" x14ac:dyDescent="0.2">
      <c r="A3476" s="31">
        <v>0.69014019758588674</v>
      </c>
      <c r="B3476" s="31"/>
      <c r="C3476" s="2" t="s">
        <v>855</v>
      </c>
      <c r="D3476" s="31">
        <f t="shared" si="113"/>
        <v>0.13526747872683381</v>
      </c>
      <c r="F3476" s="2" t="s">
        <v>822</v>
      </c>
      <c r="G3476" s="23" t="s">
        <v>902</v>
      </c>
      <c r="H3476" s="2" t="s">
        <v>822</v>
      </c>
      <c r="J3476" s="31">
        <v>55.007701900000001</v>
      </c>
      <c r="K3476" s="31">
        <v>20.916900600000002</v>
      </c>
      <c r="L3476" s="31"/>
      <c r="M3476" s="31" t="s">
        <v>854</v>
      </c>
      <c r="N3476" s="6" t="s">
        <v>856</v>
      </c>
    </row>
    <row r="3477" spans="1:14" ht="15" customHeight="1" x14ac:dyDescent="0.2">
      <c r="A3477" s="31">
        <v>0.69001328651861504</v>
      </c>
      <c r="B3477" s="31"/>
      <c r="C3477" s="2" t="s">
        <v>855</v>
      </c>
      <c r="D3477" s="31">
        <f t="shared" si="113"/>
        <v>0.13524260415764855</v>
      </c>
      <c r="F3477" s="2" t="s">
        <v>822</v>
      </c>
      <c r="G3477" s="23" t="s">
        <v>902</v>
      </c>
      <c r="H3477" s="2" t="s">
        <v>822</v>
      </c>
      <c r="J3477" s="31">
        <v>32.110401199999998</v>
      </c>
      <c r="K3477" s="31">
        <v>26.926500300000001</v>
      </c>
      <c r="L3477" s="31"/>
      <c r="M3477" s="31" t="s">
        <v>854</v>
      </c>
      <c r="N3477" s="6" t="s">
        <v>856</v>
      </c>
    </row>
    <row r="3478" spans="1:14" ht="15" customHeight="1" x14ac:dyDescent="0.2">
      <c r="A3478" s="31">
        <v>0.68996176838966494</v>
      </c>
      <c r="B3478" s="31"/>
      <c r="C3478" s="2" t="s">
        <v>855</v>
      </c>
      <c r="D3478" s="31">
        <f t="shared" si="113"/>
        <v>0.13523250660437433</v>
      </c>
      <c r="F3478" s="2" t="s">
        <v>822</v>
      </c>
      <c r="G3478" s="23" t="s">
        <v>902</v>
      </c>
      <c r="H3478" s="2" t="s">
        <v>822</v>
      </c>
      <c r="J3478" s="31">
        <v>39.546501200000002</v>
      </c>
      <c r="K3478" s="31">
        <v>-21.811899199999999</v>
      </c>
      <c r="L3478" s="31"/>
      <c r="M3478" s="31" t="s">
        <v>854</v>
      </c>
      <c r="N3478" s="6" t="s">
        <v>856</v>
      </c>
    </row>
    <row r="3479" spans="1:14" ht="15" customHeight="1" x14ac:dyDescent="0.2">
      <c r="A3479" s="31">
        <v>0.68967699057529086</v>
      </c>
      <c r="B3479" s="31"/>
      <c r="C3479" s="2" t="s">
        <v>855</v>
      </c>
      <c r="D3479" s="31">
        <f t="shared" si="113"/>
        <v>0.13517669015275702</v>
      </c>
      <c r="F3479" s="2" t="s">
        <v>822</v>
      </c>
      <c r="G3479" s="23" t="s">
        <v>902</v>
      </c>
      <c r="H3479" s="2" t="s">
        <v>822</v>
      </c>
      <c r="J3479" s="31">
        <v>46.911998699999998</v>
      </c>
      <c r="K3479" s="31">
        <v>-12.4742002</v>
      </c>
      <c r="L3479" s="31"/>
      <c r="M3479" s="31" t="s">
        <v>854</v>
      </c>
      <c r="N3479" s="6" t="s">
        <v>856</v>
      </c>
    </row>
    <row r="3480" spans="1:14" ht="15" customHeight="1" x14ac:dyDescent="0.2">
      <c r="A3480" s="31">
        <v>0.68966878430324252</v>
      </c>
      <c r="B3480" s="31"/>
      <c r="C3480" s="2" t="s">
        <v>855</v>
      </c>
      <c r="D3480" s="31">
        <f t="shared" si="113"/>
        <v>0.13517508172343554</v>
      </c>
      <c r="F3480" s="2" t="s">
        <v>822</v>
      </c>
      <c r="G3480" s="23" t="s">
        <v>902</v>
      </c>
      <c r="H3480" s="2" t="s">
        <v>822</v>
      </c>
      <c r="J3480" s="31">
        <v>40.6581993</v>
      </c>
      <c r="K3480" s="31">
        <v>6.9200602</v>
      </c>
      <c r="L3480" s="31"/>
      <c r="M3480" s="31" t="s">
        <v>854</v>
      </c>
      <c r="N3480" s="6" t="s">
        <v>856</v>
      </c>
    </row>
    <row r="3481" spans="1:14" ht="15" customHeight="1" x14ac:dyDescent="0.2">
      <c r="A3481" s="31">
        <v>0.68952566982579355</v>
      </c>
      <c r="B3481" s="31"/>
      <c r="C3481" s="2" t="s">
        <v>855</v>
      </c>
      <c r="D3481" s="31">
        <f t="shared" si="113"/>
        <v>0.13514703128585553</v>
      </c>
      <c r="F3481" s="2" t="s">
        <v>822</v>
      </c>
      <c r="G3481" s="23" t="s">
        <v>902</v>
      </c>
      <c r="H3481" s="2" t="s">
        <v>822</v>
      </c>
      <c r="J3481" s="31">
        <v>33.597000100000002</v>
      </c>
      <c r="K3481" s="31">
        <v>20.112400099999999</v>
      </c>
      <c r="L3481" s="31"/>
      <c r="M3481" s="31" t="s">
        <v>854</v>
      </c>
      <c r="N3481" s="6" t="s">
        <v>856</v>
      </c>
    </row>
    <row r="3482" spans="1:14" ht="15" customHeight="1" x14ac:dyDescent="0.2">
      <c r="A3482" s="31">
        <v>0.68938781802867599</v>
      </c>
      <c r="B3482" s="31"/>
      <c r="C3482" s="2" t="s">
        <v>855</v>
      </c>
      <c r="D3482" s="31">
        <f t="shared" si="113"/>
        <v>0.1351200123336205</v>
      </c>
      <c r="F3482" s="2" t="s">
        <v>822</v>
      </c>
      <c r="G3482" s="23" t="s">
        <v>902</v>
      </c>
      <c r="H3482" s="2" t="s">
        <v>822</v>
      </c>
      <c r="J3482" s="31">
        <v>34.069999699999997</v>
      </c>
      <c r="K3482" s="31">
        <v>20.2154007</v>
      </c>
      <c r="L3482" s="31"/>
      <c r="M3482" s="31" t="s">
        <v>854</v>
      </c>
      <c r="N3482" s="6" t="s">
        <v>856</v>
      </c>
    </row>
    <row r="3483" spans="1:14" ht="15" customHeight="1" x14ac:dyDescent="0.2">
      <c r="A3483" s="31">
        <v>0.68932370351495298</v>
      </c>
      <c r="B3483" s="31"/>
      <c r="C3483" s="2" t="s">
        <v>855</v>
      </c>
      <c r="D3483" s="31">
        <f t="shared" si="113"/>
        <v>0.13510744588893078</v>
      </c>
      <c r="F3483" s="2" t="s">
        <v>822</v>
      </c>
      <c r="G3483" s="23" t="s">
        <v>902</v>
      </c>
      <c r="H3483" s="2" t="s">
        <v>822</v>
      </c>
      <c r="J3483" s="31">
        <v>36.7284012</v>
      </c>
      <c r="K3483" s="31">
        <v>-17.844400400000001</v>
      </c>
      <c r="L3483" s="31"/>
      <c r="M3483" s="31" t="s">
        <v>854</v>
      </c>
      <c r="N3483" s="6" t="s">
        <v>856</v>
      </c>
    </row>
    <row r="3484" spans="1:14" ht="15" customHeight="1" x14ac:dyDescent="0.2">
      <c r="A3484" s="31">
        <v>0.68927202590486936</v>
      </c>
      <c r="B3484" s="31"/>
      <c r="C3484" s="2" t="s">
        <v>855</v>
      </c>
      <c r="D3484" s="31">
        <f t="shared" si="113"/>
        <v>0.1350973170773544</v>
      </c>
      <c r="F3484" s="2" t="s">
        <v>822</v>
      </c>
      <c r="G3484" s="23" t="s">
        <v>902</v>
      </c>
      <c r="H3484" s="2" t="s">
        <v>822</v>
      </c>
      <c r="J3484" s="31">
        <v>45.043399800000003</v>
      </c>
      <c r="K3484" s="31">
        <v>-21.338100399999998</v>
      </c>
      <c r="L3484" s="31"/>
      <c r="M3484" s="31" t="s">
        <v>854</v>
      </c>
      <c r="N3484" s="6" t="s">
        <v>856</v>
      </c>
    </row>
    <row r="3485" spans="1:14" ht="15" customHeight="1" x14ac:dyDescent="0.2">
      <c r="A3485" s="31">
        <v>0.68907960836993776</v>
      </c>
      <c r="B3485" s="31"/>
      <c r="C3485" s="2" t="s">
        <v>855</v>
      </c>
      <c r="D3485" s="31">
        <f t="shared" si="113"/>
        <v>0.13505960324050781</v>
      </c>
      <c r="F3485" s="2" t="s">
        <v>822</v>
      </c>
      <c r="G3485" s="23" t="s">
        <v>902</v>
      </c>
      <c r="H3485" s="2" t="s">
        <v>822</v>
      </c>
      <c r="J3485" s="31">
        <v>35.140598300000001</v>
      </c>
      <c r="K3485" s="31">
        <v>-16.198</v>
      </c>
      <c r="L3485" s="31"/>
      <c r="M3485" s="31" t="s">
        <v>854</v>
      </c>
      <c r="N3485" s="6" t="s">
        <v>856</v>
      </c>
    </row>
    <row r="3486" spans="1:14" ht="15" customHeight="1" x14ac:dyDescent="0.2">
      <c r="A3486" s="31">
        <v>0.68907484540391351</v>
      </c>
      <c r="B3486" s="31"/>
      <c r="C3486" s="2" t="s">
        <v>855</v>
      </c>
      <c r="D3486" s="31">
        <f t="shared" si="113"/>
        <v>0.13505866969916705</v>
      </c>
      <c r="F3486" s="2" t="s">
        <v>822</v>
      </c>
      <c r="G3486" s="23" t="s">
        <v>902</v>
      </c>
      <c r="H3486" s="2" t="s">
        <v>822</v>
      </c>
      <c r="J3486" s="31">
        <v>40.402599299999999</v>
      </c>
      <c r="K3486" s="31">
        <v>-35.654399900000001</v>
      </c>
      <c r="L3486" s="31"/>
      <c r="M3486" s="31" t="s">
        <v>854</v>
      </c>
      <c r="N3486" s="6" t="s">
        <v>856</v>
      </c>
    </row>
    <row r="3487" spans="1:14" ht="15" customHeight="1" x14ac:dyDescent="0.2">
      <c r="A3487" s="31">
        <v>0.68892035625972403</v>
      </c>
      <c r="B3487" s="31"/>
      <c r="C3487" s="2" t="s">
        <v>855</v>
      </c>
      <c r="D3487" s="31">
        <f t="shared" si="113"/>
        <v>0.1350283898269059</v>
      </c>
      <c r="F3487" s="2" t="s">
        <v>822</v>
      </c>
      <c r="G3487" s="23" t="s">
        <v>902</v>
      </c>
      <c r="H3487" s="2" t="s">
        <v>822</v>
      </c>
      <c r="J3487" s="31">
        <v>36.393699599999998</v>
      </c>
      <c r="K3487" s="31">
        <v>15.0562</v>
      </c>
      <c r="L3487" s="31"/>
      <c r="M3487" s="31" t="s">
        <v>854</v>
      </c>
      <c r="N3487" s="6" t="s">
        <v>856</v>
      </c>
    </row>
    <row r="3488" spans="1:14" ht="15" customHeight="1" x14ac:dyDescent="0.2">
      <c r="A3488" s="31">
        <v>0.68871322161020831</v>
      </c>
      <c r="B3488" s="31"/>
      <c r="C3488" s="2" t="s">
        <v>855</v>
      </c>
      <c r="D3488" s="31">
        <f t="shared" si="113"/>
        <v>0.13498779143560083</v>
      </c>
      <c r="F3488" s="2" t="s">
        <v>822</v>
      </c>
      <c r="G3488" s="23" t="s">
        <v>902</v>
      </c>
      <c r="H3488" s="2" t="s">
        <v>822</v>
      </c>
      <c r="J3488" s="31">
        <v>49.737300900000001</v>
      </c>
      <c r="K3488" s="31">
        <v>-6.1383400000000004</v>
      </c>
      <c r="L3488" s="31"/>
      <c r="M3488" s="31" t="s">
        <v>854</v>
      </c>
      <c r="N3488" s="6" t="s">
        <v>856</v>
      </c>
    </row>
    <row r="3489" spans="1:14" ht="15" customHeight="1" x14ac:dyDescent="0.2">
      <c r="A3489" s="31">
        <v>0.6885899793776088</v>
      </c>
      <c r="B3489" s="31"/>
      <c r="C3489" s="2" t="s">
        <v>855</v>
      </c>
      <c r="D3489" s="31">
        <f t="shared" si="113"/>
        <v>0.13496363595801134</v>
      </c>
      <c r="F3489" s="2" t="s">
        <v>822</v>
      </c>
      <c r="G3489" s="23" t="s">
        <v>902</v>
      </c>
      <c r="H3489" s="2" t="s">
        <v>822</v>
      </c>
      <c r="J3489" s="31">
        <v>43.021801000000004</v>
      </c>
      <c r="K3489" s="31">
        <v>-27.137300499999998</v>
      </c>
      <c r="L3489" s="31"/>
      <c r="M3489" s="31" t="s">
        <v>854</v>
      </c>
      <c r="N3489" s="6" t="s">
        <v>856</v>
      </c>
    </row>
    <row r="3490" spans="1:14" ht="15" customHeight="1" x14ac:dyDescent="0.2">
      <c r="A3490" s="31">
        <v>0.68858497498206483</v>
      </c>
      <c r="B3490" s="31"/>
      <c r="C3490" s="2" t="s">
        <v>855</v>
      </c>
      <c r="D3490" s="31">
        <f t="shared" si="113"/>
        <v>0.13496265509648472</v>
      </c>
      <c r="F3490" s="2" t="s">
        <v>822</v>
      </c>
      <c r="G3490" s="23" t="s">
        <v>902</v>
      </c>
      <c r="H3490" s="2" t="s">
        <v>822</v>
      </c>
      <c r="J3490" s="31">
        <v>33.388000499999997</v>
      </c>
      <c r="K3490" s="31">
        <v>-33.208000200000001</v>
      </c>
      <c r="L3490" s="31"/>
      <c r="M3490" s="31" t="s">
        <v>854</v>
      </c>
      <c r="N3490" s="6" t="s">
        <v>856</v>
      </c>
    </row>
    <row r="3491" spans="1:14" ht="15" customHeight="1" x14ac:dyDescent="0.2">
      <c r="A3491" s="31">
        <v>0.68848790203275656</v>
      </c>
      <c r="B3491" s="31"/>
      <c r="C3491" s="2" t="s">
        <v>855</v>
      </c>
      <c r="D3491" s="31">
        <f t="shared" si="113"/>
        <v>0.13494362879842028</v>
      </c>
      <c r="F3491" s="2" t="s">
        <v>822</v>
      </c>
      <c r="G3491" s="23" t="s">
        <v>902</v>
      </c>
      <c r="H3491" s="2" t="s">
        <v>822</v>
      </c>
      <c r="J3491" s="31">
        <v>36.601299300000001</v>
      </c>
      <c r="K3491" s="31">
        <v>27.8789005</v>
      </c>
      <c r="L3491" s="31"/>
      <c r="M3491" s="31" t="s">
        <v>854</v>
      </c>
      <c r="N3491" s="6" t="s">
        <v>856</v>
      </c>
    </row>
    <row r="3492" spans="1:14" ht="15" customHeight="1" x14ac:dyDescent="0.2">
      <c r="A3492" s="31">
        <v>0.68837240818544354</v>
      </c>
      <c r="B3492" s="31"/>
      <c r="C3492" s="2" t="s">
        <v>855</v>
      </c>
      <c r="D3492" s="31">
        <f t="shared" si="113"/>
        <v>0.13492099200434693</v>
      </c>
      <c r="F3492" s="2" t="s">
        <v>822</v>
      </c>
      <c r="G3492" s="23" t="s">
        <v>902</v>
      </c>
      <c r="H3492" s="2" t="s">
        <v>822</v>
      </c>
      <c r="J3492" s="31">
        <v>50.756000499999999</v>
      </c>
      <c r="K3492" s="31">
        <v>-19.847999600000001</v>
      </c>
      <c r="L3492" s="31"/>
      <c r="M3492" s="31" t="s">
        <v>854</v>
      </c>
      <c r="N3492" s="6" t="s">
        <v>856</v>
      </c>
    </row>
    <row r="3493" spans="1:14" ht="15" customHeight="1" x14ac:dyDescent="0.2">
      <c r="A3493" s="31">
        <v>0.68829464972859011</v>
      </c>
      <c r="B3493" s="31"/>
      <c r="C3493" s="2" t="s">
        <v>855</v>
      </c>
      <c r="D3493" s="31">
        <f t="shared" si="113"/>
        <v>0.13490575134680366</v>
      </c>
      <c r="F3493" s="2" t="s">
        <v>822</v>
      </c>
      <c r="G3493" s="23" t="s">
        <v>902</v>
      </c>
      <c r="H3493" s="2" t="s">
        <v>822</v>
      </c>
      <c r="J3493" s="31">
        <v>39.816299399999998</v>
      </c>
      <c r="K3493" s="31">
        <v>25.280899000000002</v>
      </c>
      <c r="L3493" s="31"/>
      <c r="M3493" s="31" t="s">
        <v>854</v>
      </c>
      <c r="N3493" s="6" t="s">
        <v>856</v>
      </c>
    </row>
    <row r="3494" spans="1:14" ht="15" customHeight="1" x14ac:dyDescent="0.2">
      <c r="A3494" s="31">
        <v>0.68819428908910452</v>
      </c>
      <c r="B3494" s="31"/>
      <c r="C3494" s="2" t="s">
        <v>855</v>
      </c>
      <c r="D3494" s="31">
        <f t="shared" si="113"/>
        <v>0.13488608066146449</v>
      </c>
      <c r="F3494" s="2" t="s">
        <v>822</v>
      </c>
      <c r="G3494" s="23" t="s">
        <v>902</v>
      </c>
      <c r="H3494" s="2" t="s">
        <v>822</v>
      </c>
      <c r="J3494" s="31">
        <v>36.728000600000001</v>
      </c>
      <c r="K3494" s="31">
        <v>-41.223998999999999</v>
      </c>
      <c r="L3494" s="31"/>
      <c r="M3494" s="31" t="s">
        <v>854</v>
      </c>
      <c r="N3494" s="6" t="s">
        <v>856</v>
      </c>
    </row>
    <row r="3495" spans="1:14" ht="15" customHeight="1" x14ac:dyDescent="0.2">
      <c r="A3495" s="31">
        <v>0.6880666295581358</v>
      </c>
      <c r="B3495" s="31"/>
      <c r="C3495" s="2" t="s">
        <v>855</v>
      </c>
      <c r="D3495" s="31">
        <f t="shared" si="113"/>
        <v>0.13486105939339463</v>
      </c>
      <c r="F3495" s="2" t="s">
        <v>822</v>
      </c>
      <c r="G3495" s="23" t="s">
        <v>902</v>
      </c>
      <c r="H3495" s="2" t="s">
        <v>822</v>
      </c>
      <c r="J3495" s="31">
        <v>52.863201099999998</v>
      </c>
      <c r="K3495" s="31">
        <v>-17.1550999</v>
      </c>
      <c r="L3495" s="31"/>
      <c r="M3495" s="31" t="s">
        <v>854</v>
      </c>
      <c r="N3495" s="6" t="s">
        <v>856</v>
      </c>
    </row>
    <row r="3496" spans="1:14" ht="15" customHeight="1" x14ac:dyDescent="0.2">
      <c r="A3496" s="31">
        <v>0.68803642448908675</v>
      </c>
      <c r="B3496" s="31"/>
      <c r="C3496" s="2" t="s">
        <v>855</v>
      </c>
      <c r="D3496" s="31">
        <f t="shared" si="113"/>
        <v>0.134855139199861</v>
      </c>
      <c r="F3496" s="2" t="s">
        <v>822</v>
      </c>
      <c r="G3496" s="23" t="s">
        <v>902</v>
      </c>
      <c r="H3496" s="2" t="s">
        <v>822</v>
      </c>
      <c r="J3496" s="31">
        <v>44.743999500000001</v>
      </c>
      <c r="K3496" s="31">
        <v>-31.8719997</v>
      </c>
      <c r="L3496" s="31"/>
      <c r="M3496" s="31" t="s">
        <v>854</v>
      </c>
      <c r="N3496" s="6" t="s">
        <v>856</v>
      </c>
    </row>
    <row r="3497" spans="1:14" ht="15" customHeight="1" x14ac:dyDescent="0.2">
      <c r="A3497" s="31">
        <v>0.68797701034569236</v>
      </c>
      <c r="B3497" s="31"/>
      <c r="C3497" s="2" t="s">
        <v>855</v>
      </c>
      <c r="D3497" s="31">
        <f t="shared" si="113"/>
        <v>0.13484349402775569</v>
      </c>
      <c r="F3497" s="2" t="s">
        <v>822</v>
      </c>
      <c r="G3497" s="23" t="s">
        <v>902</v>
      </c>
      <c r="H3497" s="2" t="s">
        <v>822</v>
      </c>
      <c r="J3497" s="31">
        <v>41.110199000000001</v>
      </c>
      <c r="K3497" s="31">
        <v>-30.655700700000001</v>
      </c>
      <c r="L3497" s="31"/>
      <c r="M3497" s="31" t="s">
        <v>854</v>
      </c>
      <c r="N3497" s="6" t="s">
        <v>856</v>
      </c>
    </row>
    <row r="3498" spans="1:14" ht="15" customHeight="1" x14ac:dyDescent="0.2">
      <c r="A3498" s="31">
        <v>0.68778369342504797</v>
      </c>
      <c r="B3498" s="31"/>
      <c r="C3498" s="2" t="s">
        <v>855</v>
      </c>
      <c r="D3498" s="31">
        <f t="shared" si="113"/>
        <v>0.13480560391130941</v>
      </c>
      <c r="F3498" s="2" t="s">
        <v>822</v>
      </c>
      <c r="G3498" s="23" t="s">
        <v>902</v>
      </c>
      <c r="H3498" s="2" t="s">
        <v>822</v>
      </c>
      <c r="J3498" s="31">
        <v>29.3799992</v>
      </c>
      <c r="K3498" s="31">
        <v>-34.543998700000003</v>
      </c>
      <c r="L3498" s="31"/>
      <c r="M3498" s="31" t="s">
        <v>854</v>
      </c>
      <c r="N3498" s="6" t="s">
        <v>856</v>
      </c>
    </row>
    <row r="3499" spans="1:14" ht="15" customHeight="1" x14ac:dyDescent="0.2">
      <c r="A3499" s="31">
        <v>0.68767297892444068</v>
      </c>
      <c r="B3499" s="31"/>
      <c r="C3499" s="2" t="s">
        <v>855</v>
      </c>
      <c r="D3499" s="31">
        <f t="shared" si="113"/>
        <v>0.13478390386919037</v>
      </c>
      <c r="F3499" s="2" t="s">
        <v>822</v>
      </c>
      <c r="G3499" s="23" t="s">
        <v>902</v>
      </c>
      <c r="H3499" s="2" t="s">
        <v>822</v>
      </c>
      <c r="J3499" s="31">
        <v>45.186500500000001</v>
      </c>
      <c r="K3499" s="31">
        <v>-19.071800199999998</v>
      </c>
      <c r="L3499" s="31"/>
      <c r="M3499" s="31" t="s">
        <v>854</v>
      </c>
      <c r="N3499" s="6" t="s">
        <v>856</v>
      </c>
    </row>
    <row r="3500" spans="1:14" ht="15" customHeight="1" x14ac:dyDescent="0.2">
      <c r="A3500" s="31">
        <v>0.68754738810302796</v>
      </c>
      <c r="B3500" s="31"/>
      <c r="C3500" s="2" t="s">
        <v>855</v>
      </c>
      <c r="D3500" s="31">
        <f t="shared" si="113"/>
        <v>0.13475928806819348</v>
      </c>
      <c r="F3500" s="2" t="s">
        <v>822</v>
      </c>
      <c r="G3500" s="23" t="s">
        <v>902</v>
      </c>
      <c r="H3500" s="2" t="s">
        <v>822</v>
      </c>
      <c r="J3500" s="31">
        <v>44.813301099999997</v>
      </c>
      <c r="K3500" s="31">
        <v>-42.631801600000003</v>
      </c>
      <c r="L3500" s="31"/>
      <c r="M3500" s="31" t="s">
        <v>854</v>
      </c>
      <c r="N3500" s="6" t="s">
        <v>856</v>
      </c>
    </row>
    <row r="3501" spans="1:14" ht="15" customHeight="1" x14ac:dyDescent="0.2">
      <c r="A3501" s="31">
        <v>0.68745782138478917</v>
      </c>
      <c r="B3501" s="31"/>
      <c r="C3501" s="2" t="s">
        <v>855</v>
      </c>
      <c r="D3501" s="31">
        <f t="shared" si="113"/>
        <v>0.13474173299141867</v>
      </c>
      <c r="F3501" s="2" t="s">
        <v>822</v>
      </c>
      <c r="G3501" s="23" t="s">
        <v>902</v>
      </c>
      <c r="H3501" s="2" t="s">
        <v>822</v>
      </c>
      <c r="J3501" s="31">
        <v>36.857601199999998</v>
      </c>
      <c r="K3501" s="31">
        <v>0.192</v>
      </c>
      <c r="L3501" s="31"/>
      <c r="M3501" s="31" t="s">
        <v>854</v>
      </c>
      <c r="N3501" s="6" t="s">
        <v>856</v>
      </c>
    </row>
    <row r="3502" spans="1:14" ht="15" customHeight="1" x14ac:dyDescent="0.2">
      <c r="A3502" s="31">
        <v>0.68732411404035787</v>
      </c>
      <c r="B3502" s="31"/>
      <c r="C3502" s="2" t="s">
        <v>855</v>
      </c>
      <c r="D3502" s="31">
        <f t="shared" si="113"/>
        <v>0.13471552635191014</v>
      </c>
      <c r="F3502" s="2" t="s">
        <v>822</v>
      </c>
      <c r="G3502" s="23" t="s">
        <v>902</v>
      </c>
      <c r="H3502" s="2" t="s">
        <v>822</v>
      </c>
      <c r="J3502" s="31">
        <v>34.462600700000003</v>
      </c>
      <c r="K3502" s="31">
        <v>-23.3379993</v>
      </c>
      <c r="L3502" s="31"/>
      <c r="M3502" s="31" t="s">
        <v>854</v>
      </c>
      <c r="N3502" s="6" t="s">
        <v>856</v>
      </c>
    </row>
    <row r="3503" spans="1:14" ht="15" customHeight="1" x14ac:dyDescent="0.2">
      <c r="A3503" s="31">
        <v>0.6870356771334668</v>
      </c>
      <c r="B3503" s="31"/>
      <c r="C3503" s="2" t="s">
        <v>855</v>
      </c>
      <c r="D3503" s="31">
        <f t="shared" si="113"/>
        <v>0.13465899271815951</v>
      </c>
      <c r="F3503" s="2" t="s">
        <v>822</v>
      </c>
      <c r="G3503" s="23" t="s">
        <v>902</v>
      </c>
      <c r="H3503" s="2" t="s">
        <v>822</v>
      </c>
      <c r="J3503" s="31">
        <v>42.071998600000001</v>
      </c>
      <c r="K3503" s="31">
        <v>-38.551998099999999</v>
      </c>
      <c r="L3503" s="31"/>
      <c r="M3503" s="31" t="s">
        <v>854</v>
      </c>
      <c r="N3503" s="6" t="s">
        <v>856</v>
      </c>
    </row>
    <row r="3504" spans="1:14" ht="15" customHeight="1" x14ac:dyDescent="0.2">
      <c r="A3504" s="31">
        <v>0.68684277107493341</v>
      </c>
      <c r="B3504" s="31"/>
      <c r="C3504" s="2" t="s">
        <v>855</v>
      </c>
      <c r="D3504" s="31">
        <f t="shared" si="113"/>
        <v>0.13462118313068697</v>
      </c>
      <c r="F3504" s="2" t="s">
        <v>822</v>
      </c>
      <c r="G3504" s="23" t="s">
        <v>902</v>
      </c>
      <c r="H3504" s="2" t="s">
        <v>822</v>
      </c>
      <c r="J3504" s="31">
        <v>34.055999800000002</v>
      </c>
      <c r="K3504" s="31">
        <v>-20.516000699999999</v>
      </c>
      <c r="L3504" s="31"/>
      <c r="M3504" s="31" t="s">
        <v>854</v>
      </c>
      <c r="N3504" s="6" t="s">
        <v>856</v>
      </c>
    </row>
    <row r="3505" spans="1:14" ht="15" customHeight="1" x14ac:dyDescent="0.2">
      <c r="A3505" s="31">
        <v>0.6868012555853753</v>
      </c>
      <c r="B3505" s="31"/>
      <c r="C3505" s="2" t="s">
        <v>855</v>
      </c>
      <c r="D3505" s="31">
        <f t="shared" si="113"/>
        <v>0.13461304609473357</v>
      </c>
      <c r="F3505" s="2" t="s">
        <v>822</v>
      </c>
      <c r="G3505" s="23" t="s">
        <v>902</v>
      </c>
      <c r="H3505" s="2" t="s">
        <v>822</v>
      </c>
      <c r="J3505" s="31">
        <v>32.099300399999997</v>
      </c>
      <c r="K3505" s="31">
        <v>-27.083599100000001</v>
      </c>
      <c r="L3505" s="31"/>
      <c r="M3505" s="31" t="s">
        <v>854</v>
      </c>
      <c r="N3505" s="6" t="s">
        <v>856</v>
      </c>
    </row>
    <row r="3506" spans="1:14" ht="15" customHeight="1" x14ac:dyDescent="0.2">
      <c r="A3506" s="31">
        <v>0.68672613422117623</v>
      </c>
      <c r="B3506" s="31"/>
      <c r="C3506" s="2" t="s">
        <v>855</v>
      </c>
      <c r="D3506" s="31">
        <f t="shared" ref="D3506:D3537" si="114" xml:space="preserve"> A3506 * 0.196</f>
        <v>0.13459832230735055</v>
      </c>
      <c r="F3506" s="2" t="s">
        <v>822</v>
      </c>
      <c r="G3506" s="23" t="s">
        <v>902</v>
      </c>
      <c r="H3506" s="2" t="s">
        <v>822</v>
      </c>
      <c r="J3506" s="31">
        <v>47.416000400000001</v>
      </c>
      <c r="K3506" s="31">
        <v>-18.511999100000001</v>
      </c>
      <c r="L3506" s="31"/>
      <c r="M3506" s="31" t="s">
        <v>854</v>
      </c>
      <c r="N3506" s="6" t="s">
        <v>856</v>
      </c>
    </row>
    <row r="3507" spans="1:14" ht="15" customHeight="1" x14ac:dyDescent="0.2">
      <c r="A3507" s="31">
        <v>0.68664832108981022</v>
      </c>
      <c r="B3507" s="31"/>
      <c r="C3507" s="2" t="s">
        <v>855</v>
      </c>
      <c r="D3507" s="31">
        <f t="shared" si="114"/>
        <v>0.13458307093360281</v>
      </c>
      <c r="F3507" s="2" t="s">
        <v>822</v>
      </c>
      <c r="G3507" s="23" t="s">
        <v>902</v>
      </c>
      <c r="H3507" s="2" t="s">
        <v>822</v>
      </c>
      <c r="J3507" s="31">
        <v>44.446800199999998</v>
      </c>
      <c r="K3507" s="31">
        <v>-29.444200500000001</v>
      </c>
      <c r="L3507" s="31"/>
      <c r="M3507" s="31" t="s">
        <v>854</v>
      </c>
      <c r="N3507" s="6" t="s">
        <v>856</v>
      </c>
    </row>
    <row r="3508" spans="1:14" ht="15" customHeight="1" x14ac:dyDescent="0.2">
      <c r="A3508" s="31">
        <v>0.68613983376638144</v>
      </c>
      <c r="B3508" s="31"/>
      <c r="C3508" s="2" t="s">
        <v>855</v>
      </c>
      <c r="D3508" s="31">
        <f t="shared" si="114"/>
        <v>0.13448340741821077</v>
      </c>
      <c r="F3508" s="2" t="s">
        <v>822</v>
      </c>
      <c r="G3508" s="23" t="s">
        <v>902</v>
      </c>
      <c r="H3508" s="2" t="s">
        <v>822</v>
      </c>
      <c r="J3508" s="31">
        <v>30.599700899999998</v>
      </c>
      <c r="K3508" s="31">
        <v>-38.5713005</v>
      </c>
      <c r="L3508" s="31"/>
      <c r="M3508" s="31" t="s">
        <v>854</v>
      </c>
      <c r="N3508" s="6" t="s">
        <v>856</v>
      </c>
    </row>
    <row r="3509" spans="1:14" ht="15" customHeight="1" x14ac:dyDescent="0.2">
      <c r="A3509" s="31">
        <v>0.68612914131123559</v>
      </c>
      <c r="B3509" s="31"/>
      <c r="C3509" s="2" t="s">
        <v>855</v>
      </c>
      <c r="D3509" s="31">
        <f t="shared" si="114"/>
        <v>0.13448131169700217</v>
      </c>
      <c r="F3509" s="2" t="s">
        <v>822</v>
      </c>
      <c r="G3509" s="23" t="s">
        <v>902</v>
      </c>
      <c r="H3509" s="2" t="s">
        <v>822</v>
      </c>
      <c r="J3509" s="31">
        <v>35.741401699999997</v>
      </c>
      <c r="K3509" s="31">
        <v>26.888399100000001</v>
      </c>
      <c r="L3509" s="31"/>
      <c r="M3509" s="31" t="s">
        <v>854</v>
      </c>
      <c r="N3509" s="6" t="s">
        <v>856</v>
      </c>
    </row>
    <row r="3510" spans="1:14" ht="15" customHeight="1" x14ac:dyDescent="0.2">
      <c r="A3510" s="31">
        <v>0.68604247865487833</v>
      </c>
      <c r="B3510" s="31"/>
      <c r="C3510" s="2" t="s">
        <v>855</v>
      </c>
      <c r="D3510" s="31">
        <f t="shared" si="114"/>
        <v>0.13446432581635615</v>
      </c>
      <c r="F3510" s="2" t="s">
        <v>822</v>
      </c>
      <c r="G3510" s="23" t="s">
        <v>902</v>
      </c>
      <c r="H3510" s="2" t="s">
        <v>822</v>
      </c>
      <c r="J3510" s="31">
        <v>36.774501800000003</v>
      </c>
      <c r="K3510" s="31">
        <v>-34.654701199999998</v>
      </c>
      <c r="L3510" s="31"/>
      <c r="M3510" s="31" t="s">
        <v>854</v>
      </c>
      <c r="N3510" s="6" t="s">
        <v>856</v>
      </c>
    </row>
    <row r="3511" spans="1:14" ht="15" customHeight="1" x14ac:dyDescent="0.2">
      <c r="A3511" s="31">
        <v>0.68600509243944774</v>
      </c>
      <c r="B3511" s="31"/>
      <c r="C3511" s="2" t="s">
        <v>855</v>
      </c>
      <c r="D3511" s="31">
        <f t="shared" si="114"/>
        <v>0.13445699811813175</v>
      </c>
      <c r="F3511" s="2" t="s">
        <v>822</v>
      </c>
      <c r="G3511" s="23" t="s">
        <v>902</v>
      </c>
      <c r="H3511" s="2" t="s">
        <v>822</v>
      </c>
      <c r="J3511" s="31">
        <v>35.102901500000002</v>
      </c>
      <c r="K3511" s="31">
        <v>-42.938899999999997</v>
      </c>
      <c r="L3511" s="31"/>
      <c r="M3511" s="31" t="s">
        <v>854</v>
      </c>
      <c r="N3511" s="6" t="s">
        <v>856</v>
      </c>
    </row>
    <row r="3512" spans="1:14" ht="15" customHeight="1" x14ac:dyDescent="0.2">
      <c r="A3512" s="31">
        <v>0.68597466336788204</v>
      </c>
      <c r="B3512" s="31"/>
      <c r="C3512" s="2" t="s">
        <v>855</v>
      </c>
      <c r="D3512" s="31">
        <f t="shared" si="114"/>
        <v>0.13445103402010489</v>
      </c>
      <c r="F3512" s="2" t="s">
        <v>822</v>
      </c>
      <c r="G3512" s="23" t="s">
        <v>902</v>
      </c>
      <c r="H3512" s="2" t="s">
        <v>822</v>
      </c>
      <c r="J3512" s="31">
        <v>37.566600800000003</v>
      </c>
      <c r="K3512" s="31">
        <v>-10.2122002</v>
      </c>
      <c r="L3512" s="31"/>
      <c r="M3512" s="31" t="s">
        <v>854</v>
      </c>
      <c r="N3512" s="6" t="s">
        <v>856</v>
      </c>
    </row>
    <row r="3513" spans="1:14" ht="15" customHeight="1" x14ac:dyDescent="0.2">
      <c r="A3513" s="31">
        <v>0.68590652285316633</v>
      </c>
      <c r="B3513" s="31"/>
      <c r="C3513" s="2" t="s">
        <v>855</v>
      </c>
      <c r="D3513" s="31">
        <f t="shared" si="114"/>
        <v>0.13443767847922061</v>
      </c>
      <c r="F3513" s="2" t="s">
        <v>822</v>
      </c>
      <c r="G3513" s="23" t="s">
        <v>902</v>
      </c>
      <c r="H3513" s="2" t="s">
        <v>822</v>
      </c>
      <c r="J3513" s="31">
        <v>34.719398499999997</v>
      </c>
      <c r="K3513" s="31">
        <v>17.559000000000001</v>
      </c>
      <c r="L3513" s="31"/>
      <c r="M3513" s="31" t="s">
        <v>854</v>
      </c>
      <c r="N3513" s="6" t="s">
        <v>856</v>
      </c>
    </row>
    <row r="3514" spans="1:14" ht="15" customHeight="1" x14ac:dyDescent="0.2">
      <c r="A3514" s="31">
        <v>0.68577782405544518</v>
      </c>
      <c r="B3514" s="31"/>
      <c r="C3514" s="2" t="s">
        <v>855</v>
      </c>
      <c r="D3514" s="31">
        <f t="shared" si="114"/>
        <v>0.13441245351486727</v>
      </c>
      <c r="F3514" s="2" t="s">
        <v>822</v>
      </c>
      <c r="G3514" s="23" t="s">
        <v>902</v>
      </c>
      <c r="H3514" s="2" t="s">
        <v>822</v>
      </c>
      <c r="J3514" s="31">
        <v>44.927501700000001</v>
      </c>
      <c r="K3514" s="31">
        <v>-22.544099800000001</v>
      </c>
      <c r="L3514" s="31"/>
      <c r="M3514" s="31" t="s">
        <v>854</v>
      </c>
      <c r="N3514" s="6" t="s">
        <v>856</v>
      </c>
    </row>
    <row r="3515" spans="1:14" ht="15" customHeight="1" x14ac:dyDescent="0.2">
      <c r="A3515" s="31">
        <v>0.68567555993266893</v>
      </c>
      <c r="B3515" s="31"/>
      <c r="C3515" s="2" t="s">
        <v>855</v>
      </c>
      <c r="D3515" s="31">
        <f t="shared" si="114"/>
        <v>0.13439240974680311</v>
      </c>
      <c r="F3515" s="2" t="s">
        <v>822</v>
      </c>
      <c r="G3515" s="23" t="s">
        <v>902</v>
      </c>
      <c r="H3515" s="2" t="s">
        <v>822</v>
      </c>
      <c r="J3515" s="31">
        <v>35.3207016</v>
      </c>
      <c r="K3515" s="31">
        <v>-18.511999100000001</v>
      </c>
      <c r="L3515" s="31"/>
      <c r="M3515" s="31" t="s">
        <v>854</v>
      </c>
      <c r="N3515" s="6" t="s">
        <v>856</v>
      </c>
    </row>
    <row r="3516" spans="1:14" ht="15" customHeight="1" x14ac:dyDescent="0.2">
      <c r="A3516" s="31">
        <v>0.6855529321812649</v>
      </c>
      <c r="B3516" s="31"/>
      <c r="C3516" s="2" t="s">
        <v>855</v>
      </c>
      <c r="D3516" s="31">
        <f t="shared" si="114"/>
        <v>0.13436837470752794</v>
      </c>
      <c r="F3516" s="2" t="s">
        <v>822</v>
      </c>
      <c r="G3516" s="23" t="s">
        <v>902</v>
      </c>
      <c r="H3516" s="2" t="s">
        <v>822</v>
      </c>
      <c r="J3516" s="31">
        <v>46.748001100000003</v>
      </c>
      <c r="K3516" s="31">
        <v>-8.4919995999999998</v>
      </c>
      <c r="L3516" s="31"/>
      <c r="M3516" s="31" t="s">
        <v>854</v>
      </c>
      <c r="N3516" s="6" t="s">
        <v>856</v>
      </c>
    </row>
    <row r="3517" spans="1:14" ht="15" customHeight="1" x14ac:dyDescent="0.2">
      <c r="A3517" s="31">
        <v>0.68550444942126165</v>
      </c>
      <c r="B3517" s="31"/>
      <c r="C3517" s="2" t="s">
        <v>855</v>
      </c>
      <c r="D3517" s="31">
        <f t="shared" si="114"/>
        <v>0.1343588720865673</v>
      </c>
      <c r="F3517" s="2" t="s">
        <v>822</v>
      </c>
      <c r="G3517" s="23" t="s">
        <v>902</v>
      </c>
      <c r="H3517" s="2" t="s">
        <v>822</v>
      </c>
      <c r="J3517" s="31">
        <v>27.375999499999999</v>
      </c>
      <c r="K3517" s="31">
        <v>-33.208000200000001</v>
      </c>
      <c r="L3517" s="31"/>
      <c r="M3517" s="31" t="s">
        <v>854</v>
      </c>
      <c r="N3517" s="6" t="s">
        <v>856</v>
      </c>
    </row>
    <row r="3518" spans="1:14" ht="15" customHeight="1" x14ac:dyDescent="0.2">
      <c r="A3518" s="31">
        <v>0.68518525272010344</v>
      </c>
      <c r="B3518" s="31"/>
      <c r="C3518" s="2" t="s">
        <v>855</v>
      </c>
      <c r="D3518" s="31">
        <f t="shared" si="114"/>
        <v>0.13429630953314028</v>
      </c>
      <c r="F3518" s="2" t="s">
        <v>822</v>
      </c>
      <c r="G3518" s="23" t="s">
        <v>902</v>
      </c>
      <c r="H3518" s="2" t="s">
        <v>822</v>
      </c>
      <c r="J3518" s="31">
        <v>44.811199199999997</v>
      </c>
      <c r="K3518" s="31">
        <v>-12.391200100000001</v>
      </c>
      <c r="L3518" s="31"/>
      <c r="M3518" s="31" t="s">
        <v>854</v>
      </c>
      <c r="N3518" s="6" t="s">
        <v>856</v>
      </c>
    </row>
    <row r="3519" spans="1:14" ht="15" customHeight="1" x14ac:dyDescent="0.2">
      <c r="A3519" s="31">
        <v>0.68509585068728851</v>
      </c>
      <c r="B3519" s="31"/>
      <c r="C3519" s="2" t="s">
        <v>855</v>
      </c>
      <c r="D3519" s="31">
        <f t="shared" si="114"/>
        <v>0.13427878673470856</v>
      </c>
      <c r="F3519" s="2" t="s">
        <v>822</v>
      </c>
      <c r="G3519" s="23" t="s">
        <v>902</v>
      </c>
      <c r="H3519" s="2" t="s">
        <v>822</v>
      </c>
      <c r="J3519" s="31">
        <v>50.088001300000002</v>
      </c>
      <c r="K3519" s="31">
        <v>-31.8719997</v>
      </c>
      <c r="L3519" s="31"/>
      <c r="M3519" s="31" t="s">
        <v>854</v>
      </c>
      <c r="N3519" s="6" t="s">
        <v>856</v>
      </c>
    </row>
    <row r="3520" spans="1:14" ht="15" customHeight="1" x14ac:dyDescent="0.2">
      <c r="A3520" s="31">
        <v>0.68504977529558775</v>
      </c>
      <c r="B3520" s="31"/>
      <c r="C3520" s="2" t="s">
        <v>855</v>
      </c>
      <c r="D3520" s="31">
        <f t="shared" si="114"/>
        <v>0.13426975595793519</v>
      </c>
      <c r="F3520" s="2" t="s">
        <v>822</v>
      </c>
      <c r="G3520" s="23" t="s">
        <v>902</v>
      </c>
      <c r="H3520" s="2" t="s">
        <v>822</v>
      </c>
      <c r="J3520" s="31">
        <v>45.411998699999998</v>
      </c>
      <c r="K3520" s="31">
        <v>-41.891998299999997</v>
      </c>
      <c r="L3520" s="31"/>
      <c r="M3520" s="31" t="s">
        <v>854</v>
      </c>
      <c r="N3520" s="6" t="s">
        <v>856</v>
      </c>
    </row>
    <row r="3521" spans="1:14" ht="15" customHeight="1" x14ac:dyDescent="0.2">
      <c r="A3521" s="31">
        <v>0.68463001681875335</v>
      </c>
      <c r="B3521" s="31"/>
      <c r="C3521" s="2" t="s">
        <v>855</v>
      </c>
      <c r="D3521" s="31">
        <f t="shared" si="114"/>
        <v>0.13418748329647567</v>
      </c>
      <c r="F3521" s="2" t="s">
        <v>822</v>
      </c>
      <c r="G3521" s="23" t="s">
        <v>902</v>
      </c>
      <c r="H3521" s="2" t="s">
        <v>822</v>
      </c>
      <c r="J3521" s="31">
        <v>46.116001099999998</v>
      </c>
      <c r="K3521" s="31">
        <v>-15.8617001</v>
      </c>
      <c r="L3521" s="31"/>
      <c r="M3521" s="31" t="s">
        <v>854</v>
      </c>
      <c r="N3521" s="6" t="s">
        <v>856</v>
      </c>
    </row>
    <row r="3522" spans="1:14" ht="15" customHeight="1" x14ac:dyDescent="0.2">
      <c r="A3522" s="31">
        <v>0.68455414371722534</v>
      </c>
      <c r="B3522" s="31"/>
      <c r="C3522" s="2" t="s">
        <v>855</v>
      </c>
      <c r="D3522" s="31">
        <f t="shared" si="114"/>
        <v>0.13417261216857618</v>
      </c>
      <c r="F3522" s="2" t="s">
        <v>822</v>
      </c>
      <c r="G3522" s="23" t="s">
        <v>902</v>
      </c>
      <c r="H3522" s="2" t="s">
        <v>822</v>
      </c>
      <c r="J3522" s="31">
        <v>27.375999499999999</v>
      </c>
      <c r="K3522" s="31">
        <v>-31.204000499999999</v>
      </c>
      <c r="L3522" s="31"/>
      <c r="M3522" s="31" t="s">
        <v>854</v>
      </c>
      <c r="N3522" s="6" t="s">
        <v>856</v>
      </c>
    </row>
    <row r="3523" spans="1:14" ht="15" customHeight="1" x14ac:dyDescent="0.2">
      <c r="A3523" s="31">
        <v>0.68432961570985718</v>
      </c>
      <c r="B3523" s="31"/>
      <c r="C3523" s="2" t="s">
        <v>855</v>
      </c>
      <c r="D3523" s="31">
        <f t="shared" si="114"/>
        <v>0.13412860467913201</v>
      </c>
      <c r="F3523" s="2" t="s">
        <v>822</v>
      </c>
      <c r="G3523" s="23" t="s">
        <v>902</v>
      </c>
      <c r="H3523" s="2" t="s">
        <v>822</v>
      </c>
      <c r="J3523" s="31">
        <v>39.125499699999999</v>
      </c>
      <c r="K3523" s="31">
        <v>-20.1523991</v>
      </c>
      <c r="L3523" s="31"/>
      <c r="M3523" s="31" t="s">
        <v>854</v>
      </c>
      <c r="N3523" s="6" t="s">
        <v>856</v>
      </c>
    </row>
    <row r="3524" spans="1:14" ht="15" customHeight="1" x14ac:dyDescent="0.2">
      <c r="A3524" s="31">
        <v>0.68431721048860783</v>
      </c>
      <c r="B3524" s="31"/>
      <c r="C3524" s="2" t="s">
        <v>855</v>
      </c>
      <c r="D3524" s="31">
        <f t="shared" si="114"/>
        <v>0.13412617325576714</v>
      </c>
      <c r="F3524" s="2" t="s">
        <v>822</v>
      </c>
      <c r="G3524" s="23" t="s">
        <v>902</v>
      </c>
      <c r="H3524" s="2" t="s">
        <v>822</v>
      </c>
      <c r="J3524" s="31">
        <v>44.749298099999997</v>
      </c>
      <c r="K3524" s="31">
        <v>-30.5415001</v>
      </c>
      <c r="L3524" s="31"/>
      <c r="M3524" s="31" t="s">
        <v>854</v>
      </c>
      <c r="N3524" s="6" t="s">
        <v>856</v>
      </c>
    </row>
    <row r="3525" spans="1:14" ht="15" customHeight="1" x14ac:dyDescent="0.2">
      <c r="A3525" s="31">
        <v>0.68430445519298166</v>
      </c>
      <c r="B3525" s="31"/>
      <c r="C3525" s="2" t="s">
        <v>855</v>
      </c>
      <c r="D3525" s="31">
        <f t="shared" si="114"/>
        <v>0.13412367321782442</v>
      </c>
      <c r="F3525" s="2" t="s">
        <v>822</v>
      </c>
      <c r="G3525" s="23" t="s">
        <v>902</v>
      </c>
      <c r="H3525" s="2" t="s">
        <v>822</v>
      </c>
      <c r="J3525" s="31">
        <v>32.720001199999999</v>
      </c>
      <c r="K3525" s="31">
        <v>-15.171999899999999</v>
      </c>
      <c r="L3525" s="31"/>
      <c r="M3525" s="31" t="s">
        <v>854</v>
      </c>
      <c r="N3525" s="6" t="s">
        <v>856</v>
      </c>
    </row>
    <row r="3526" spans="1:14" ht="15" customHeight="1" x14ac:dyDescent="0.2">
      <c r="A3526" s="31">
        <v>0.68424953558550261</v>
      </c>
      <c r="B3526" s="31"/>
      <c r="C3526" s="2" t="s">
        <v>855</v>
      </c>
      <c r="D3526" s="31">
        <f t="shared" si="114"/>
        <v>0.13411290897475853</v>
      </c>
      <c r="F3526" s="2" t="s">
        <v>822</v>
      </c>
      <c r="G3526" s="23" t="s">
        <v>902</v>
      </c>
      <c r="H3526" s="2" t="s">
        <v>822</v>
      </c>
      <c r="J3526" s="31">
        <v>41.403999300000002</v>
      </c>
      <c r="K3526" s="31">
        <v>-24.5240002</v>
      </c>
      <c r="L3526" s="31"/>
      <c r="M3526" s="31" t="s">
        <v>854</v>
      </c>
      <c r="N3526" s="6" t="s">
        <v>856</v>
      </c>
    </row>
    <row r="3527" spans="1:14" ht="15" customHeight="1" x14ac:dyDescent="0.2">
      <c r="A3527" s="31">
        <v>0.68423093617037967</v>
      </c>
      <c r="B3527" s="31"/>
      <c r="C3527" s="2" t="s">
        <v>855</v>
      </c>
      <c r="D3527" s="31">
        <f t="shared" si="114"/>
        <v>0.13410926348939442</v>
      </c>
      <c r="F3527" s="2" t="s">
        <v>822</v>
      </c>
      <c r="G3527" s="23" t="s">
        <v>902</v>
      </c>
      <c r="H3527" s="2" t="s">
        <v>822</v>
      </c>
      <c r="J3527" s="31">
        <v>34.282100700000001</v>
      </c>
      <c r="K3527" s="31">
        <v>-24.737899800000001</v>
      </c>
      <c r="L3527" s="31"/>
      <c r="M3527" s="31" t="s">
        <v>854</v>
      </c>
      <c r="N3527" s="6" t="s">
        <v>856</v>
      </c>
    </row>
    <row r="3528" spans="1:14" ht="15" customHeight="1" x14ac:dyDescent="0.2">
      <c r="A3528" s="31">
        <v>0.6839626445831235</v>
      </c>
      <c r="B3528" s="31"/>
      <c r="C3528" s="2" t="s">
        <v>855</v>
      </c>
      <c r="D3528" s="31">
        <f t="shared" si="114"/>
        <v>0.13405667833829221</v>
      </c>
      <c r="F3528" s="2" t="s">
        <v>822</v>
      </c>
      <c r="G3528" s="23" t="s">
        <v>902</v>
      </c>
      <c r="H3528" s="2" t="s">
        <v>822</v>
      </c>
      <c r="J3528" s="31">
        <v>44.076000200000003</v>
      </c>
      <c r="K3528" s="31">
        <v>-31.204000499999999</v>
      </c>
      <c r="L3528" s="31"/>
      <c r="M3528" s="31" t="s">
        <v>854</v>
      </c>
      <c r="N3528" s="6" t="s">
        <v>856</v>
      </c>
    </row>
    <row r="3529" spans="1:14" ht="15" customHeight="1" x14ac:dyDescent="0.2">
      <c r="A3529" s="31">
        <v>0.68347564032444164</v>
      </c>
      <c r="B3529" s="31"/>
      <c r="C3529" s="2" t="s">
        <v>855</v>
      </c>
      <c r="D3529" s="31">
        <f t="shared" si="114"/>
        <v>0.13396122550359058</v>
      </c>
      <c r="F3529" s="2" t="s">
        <v>822</v>
      </c>
      <c r="G3529" s="23" t="s">
        <v>902</v>
      </c>
      <c r="H3529" s="2" t="s">
        <v>822</v>
      </c>
      <c r="J3529" s="31">
        <v>25.525800700000001</v>
      </c>
      <c r="K3529" s="31">
        <v>-28.582300199999999</v>
      </c>
      <c r="L3529" s="31"/>
      <c r="M3529" s="31" t="s">
        <v>854</v>
      </c>
      <c r="N3529" s="6" t="s">
        <v>856</v>
      </c>
    </row>
    <row r="3530" spans="1:14" ht="15" customHeight="1" x14ac:dyDescent="0.2">
      <c r="A3530" s="31">
        <v>0.68313023557327868</v>
      </c>
      <c r="B3530" s="31"/>
      <c r="C3530" s="2" t="s">
        <v>855</v>
      </c>
      <c r="D3530" s="31">
        <f t="shared" si="114"/>
        <v>0.13389352617236264</v>
      </c>
      <c r="F3530" s="2" t="s">
        <v>822</v>
      </c>
      <c r="G3530" s="23" t="s">
        <v>902</v>
      </c>
      <c r="H3530" s="2" t="s">
        <v>822</v>
      </c>
      <c r="J3530" s="31">
        <v>37.499298099999997</v>
      </c>
      <c r="K3530" s="31">
        <v>15.1684999</v>
      </c>
      <c r="L3530" s="31"/>
      <c r="M3530" s="31" t="s">
        <v>854</v>
      </c>
      <c r="N3530" s="6" t="s">
        <v>856</v>
      </c>
    </row>
    <row r="3531" spans="1:14" ht="15" customHeight="1" x14ac:dyDescent="0.2">
      <c r="A3531" s="31">
        <v>0.68311551560329975</v>
      </c>
      <c r="B3531" s="31"/>
      <c r="C3531" s="2" t="s">
        <v>855</v>
      </c>
      <c r="D3531" s="31">
        <f t="shared" si="114"/>
        <v>0.13389064105824675</v>
      </c>
      <c r="F3531" s="2" t="s">
        <v>822</v>
      </c>
      <c r="G3531" s="23" t="s">
        <v>902</v>
      </c>
      <c r="H3531" s="2" t="s">
        <v>822</v>
      </c>
      <c r="J3531" s="31">
        <v>40.689201400000002</v>
      </c>
      <c r="K3531" s="31">
        <v>4.8140201999999999</v>
      </c>
      <c r="L3531" s="31"/>
      <c r="M3531" s="31" t="s">
        <v>854</v>
      </c>
      <c r="N3531" s="6" t="s">
        <v>856</v>
      </c>
    </row>
    <row r="3532" spans="1:14" ht="15" customHeight="1" x14ac:dyDescent="0.2">
      <c r="A3532" s="31">
        <v>0.68307898976716208</v>
      </c>
      <c r="B3532" s="31"/>
      <c r="C3532" s="2" t="s">
        <v>855</v>
      </c>
      <c r="D3532" s="31">
        <f t="shared" si="114"/>
        <v>0.13388348199436378</v>
      </c>
      <c r="F3532" s="2" t="s">
        <v>822</v>
      </c>
      <c r="G3532" s="23" t="s">
        <v>902</v>
      </c>
      <c r="H3532" s="2" t="s">
        <v>822</v>
      </c>
      <c r="J3532" s="31">
        <v>48.095401799999998</v>
      </c>
      <c r="K3532" s="31">
        <v>-27.853099799999999</v>
      </c>
      <c r="L3532" s="31"/>
      <c r="M3532" s="31" t="s">
        <v>854</v>
      </c>
      <c r="N3532" s="6" t="s">
        <v>856</v>
      </c>
    </row>
    <row r="3533" spans="1:14" ht="15" customHeight="1" x14ac:dyDescent="0.2">
      <c r="A3533" s="31">
        <v>0.68302146612850134</v>
      </c>
      <c r="B3533" s="31"/>
      <c r="C3533" s="2" t="s">
        <v>855</v>
      </c>
      <c r="D3533" s="31">
        <f t="shared" si="114"/>
        <v>0.13387220736118627</v>
      </c>
      <c r="F3533" s="2" t="s">
        <v>822</v>
      </c>
      <c r="G3533" s="23" t="s">
        <v>902</v>
      </c>
      <c r="H3533" s="2" t="s">
        <v>822</v>
      </c>
      <c r="J3533" s="31">
        <v>54.469200100000002</v>
      </c>
      <c r="K3533" s="31">
        <v>-9.1599997999999996</v>
      </c>
      <c r="L3533" s="31"/>
      <c r="M3533" s="31" t="s">
        <v>854</v>
      </c>
      <c r="N3533" s="6" t="s">
        <v>856</v>
      </c>
    </row>
    <row r="3534" spans="1:14" ht="15" customHeight="1" x14ac:dyDescent="0.2">
      <c r="A3534" s="31">
        <v>0.6829265407326589</v>
      </c>
      <c r="B3534" s="31"/>
      <c r="C3534" s="2" t="s">
        <v>855</v>
      </c>
      <c r="D3534" s="31">
        <f t="shared" si="114"/>
        <v>0.13385360198360116</v>
      </c>
      <c r="F3534" s="2" t="s">
        <v>822</v>
      </c>
      <c r="G3534" s="23" t="s">
        <v>902</v>
      </c>
      <c r="H3534" s="2" t="s">
        <v>822</v>
      </c>
      <c r="J3534" s="31">
        <v>31.095800400000002</v>
      </c>
      <c r="K3534" s="31">
        <v>-40.017799400000001</v>
      </c>
      <c r="L3534" s="31"/>
      <c r="M3534" s="31" t="s">
        <v>854</v>
      </c>
      <c r="N3534" s="6" t="s">
        <v>856</v>
      </c>
    </row>
    <row r="3535" spans="1:14" ht="15" customHeight="1" x14ac:dyDescent="0.2">
      <c r="A3535" s="31">
        <v>0.68220316807867543</v>
      </c>
      <c r="B3535" s="31"/>
      <c r="C3535" s="2" t="s">
        <v>855</v>
      </c>
      <c r="D3535" s="31">
        <f t="shared" si="114"/>
        <v>0.13371182094342038</v>
      </c>
      <c r="F3535" s="2" t="s">
        <v>822</v>
      </c>
      <c r="G3535" s="23" t="s">
        <v>902</v>
      </c>
      <c r="H3535" s="2" t="s">
        <v>822</v>
      </c>
      <c r="J3535" s="31">
        <v>43.335498800000003</v>
      </c>
      <c r="K3535" s="31">
        <v>4.6262999000000002</v>
      </c>
      <c r="L3535" s="31"/>
      <c r="M3535" s="31" t="s">
        <v>854</v>
      </c>
      <c r="N3535" s="6" t="s">
        <v>856</v>
      </c>
    </row>
    <row r="3536" spans="1:14" ht="15" customHeight="1" x14ac:dyDescent="0.2">
      <c r="A3536" s="31">
        <v>0.68210107653351548</v>
      </c>
      <c r="B3536" s="31"/>
      <c r="C3536" s="2" t="s">
        <v>855</v>
      </c>
      <c r="D3536" s="31">
        <f t="shared" si="114"/>
        <v>0.13369181100056904</v>
      </c>
      <c r="F3536" s="2" t="s">
        <v>822</v>
      </c>
      <c r="G3536" s="23" t="s">
        <v>902</v>
      </c>
      <c r="H3536" s="2" t="s">
        <v>822</v>
      </c>
      <c r="J3536" s="31">
        <v>38.976100899999999</v>
      </c>
      <c r="K3536" s="31">
        <v>-20.115299199999999</v>
      </c>
      <c r="L3536" s="31"/>
      <c r="M3536" s="31" t="s">
        <v>854</v>
      </c>
      <c r="N3536" s="6" t="s">
        <v>856</v>
      </c>
    </row>
    <row r="3537" spans="1:14" ht="15" customHeight="1" x14ac:dyDescent="0.2">
      <c r="A3537" s="31">
        <v>0.68200841325511619</v>
      </c>
      <c r="B3537" s="31"/>
      <c r="C3537" s="2" t="s">
        <v>855</v>
      </c>
      <c r="D3537" s="31">
        <f t="shared" si="114"/>
        <v>0.13367364899800277</v>
      </c>
      <c r="F3537" s="2" t="s">
        <v>822</v>
      </c>
      <c r="G3537" s="23" t="s">
        <v>902</v>
      </c>
      <c r="H3537" s="2" t="s">
        <v>822</v>
      </c>
      <c r="J3537" s="31">
        <v>33.632400500000003</v>
      </c>
      <c r="K3537" s="31">
        <v>30.7845993</v>
      </c>
      <c r="L3537" s="31"/>
      <c r="M3537" s="31" t="s">
        <v>854</v>
      </c>
      <c r="N3537" s="6" t="s">
        <v>856</v>
      </c>
    </row>
    <row r="3538" spans="1:14" ht="15" customHeight="1" x14ac:dyDescent="0.2">
      <c r="A3538" s="31">
        <v>0.68172926932598743</v>
      </c>
      <c r="B3538" s="31"/>
      <c r="C3538" s="2" t="s">
        <v>855</v>
      </c>
      <c r="D3538" s="31">
        <f t="shared" ref="D3538:D3569" si="115" xml:space="preserve"> A3538 * 0.196</f>
        <v>0.13361893678789355</v>
      </c>
      <c r="F3538" s="2" t="s">
        <v>822</v>
      </c>
      <c r="G3538" s="23" t="s">
        <v>902</v>
      </c>
      <c r="H3538" s="2" t="s">
        <v>822</v>
      </c>
      <c r="J3538" s="31">
        <v>41.078498799999998</v>
      </c>
      <c r="K3538" s="31">
        <v>7.1924600999999999</v>
      </c>
      <c r="L3538" s="31"/>
      <c r="M3538" s="31" t="s">
        <v>854</v>
      </c>
      <c r="N3538" s="6" t="s">
        <v>856</v>
      </c>
    </row>
    <row r="3539" spans="1:14" ht="15" customHeight="1" x14ac:dyDescent="0.2">
      <c r="A3539" s="31">
        <v>0.68144015612380726</v>
      </c>
      <c r="B3539" s="31"/>
      <c r="C3539" s="2" t="s">
        <v>855</v>
      </c>
      <c r="D3539" s="31">
        <f t="shared" si="115"/>
        <v>0.13356227060026624</v>
      </c>
      <c r="F3539" s="2" t="s">
        <v>822</v>
      </c>
      <c r="G3539" s="23" t="s">
        <v>902</v>
      </c>
      <c r="H3539" s="2" t="s">
        <v>822</v>
      </c>
      <c r="J3539" s="31">
        <v>55.431701699999998</v>
      </c>
      <c r="K3539" s="31">
        <v>-15.8406</v>
      </c>
      <c r="L3539" s="31"/>
      <c r="M3539" s="31" t="s">
        <v>854</v>
      </c>
      <c r="N3539" s="6" t="s">
        <v>856</v>
      </c>
    </row>
    <row r="3540" spans="1:14" ht="15" customHeight="1" x14ac:dyDescent="0.2">
      <c r="A3540" s="31">
        <v>0.68132323955233198</v>
      </c>
      <c r="B3540" s="31"/>
      <c r="C3540" s="2" t="s">
        <v>855</v>
      </c>
      <c r="D3540" s="31">
        <f t="shared" si="115"/>
        <v>0.13353935495225708</v>
      </c>
      <c r="F3540" s="2" t="s">
        <v>822</v>
      </c>
      <c r="G3540" s="23" t="s">
        <v>902</v>
      </c>
      <c r="H3540" s="2" t="s">
        <v>822</v>
      </c>
      <c r="J3540" s="31">
        <v>44.138000499999997</v>
      </c>
      <c r="K3540" s="31">
        <v>-3.8096198999999999</v>
      </c>
      <c r="L3540" s="31"/>
      <c r="M3540" s="31" t="s">
        <v>854</v>
      </c>
      <c r="N3540" s="6" t="s">
        <v>856</v>
      </c>
    </row>
    <row r="3541" spans="1:14" ht="15" customHeight="1" x14ac:dyDescent="0.2">
      <c r="A3541" s="31">
        <v>0.68104060072669115</v>
      </c>
      <c r="B3541" s="31"/>
      <c r="C3541" s="2" t="s">
        <v>855</v>
      </c>
      <c r="D3541" s="31">
        <f t="shared" si="115"/>
        <v>0.13348395774243146</v>
      </c>
      <c r="F3541" s="2" t="s">
        <v>822</v>
      </c>
      <c r="G3541" s="23" t="s">
        <v>902</v>
      </c>
      <c r="H3541" s="2" t="s">
        <v>822</v>
      </c>
      <c r="J3541" s="31">
        <v>38.606601699999999</v>
      </c>
      <c r="K3541" s="31">
        <v>15.5485001</v>
      </c>
      <c r="L3541" s="31"/>
      <c r="M3541" s="31" t="s">
        <v>854</v>
      </c>
      <c r="N3541" s="6" t="s">
        <v>856</v>
      </c>
    </row>
    <row r="3542" spans="1:14" ht="15" customHeight="1" x14ac:dyDescent="0.2">
      <c r="A3542" s="31">
        <v>0.68058069214754546</v>
      </c>
      <c r="B3542" s="31"/>
      <c r="C3542" s="2" t="s">
        <v>855</v>
      </c>
      <c r="D3542" s="31">
        <f t="shared" si="115"/>
        <v>0.13339381566091893</v>
      </c>
      <c r="F3542" s="2" t="s">
        <v>822</v>
      </c>
      <c r="G3542" s="23" t="s">
        <v>902</v>
      </c>
      <c r="H3542" s="2" t="s">
        <v>822</v>
      </c>
      <c r="J3542" s="31">
        <v>35.512401599999997</v>
      </c>
      <c r="K3542" s="31">
        <v>-17.197599400000001</v>
      </c>
      <c r="L3542" s="31"/>
      <c r="M3542" s="31" t="s">
        <v>854</v>
      </c>
      <c r="N3542" s="6" t="s">
        <v>856</v>
      </c>
    </row>
    <row r="3543" spans="1:14" ht="15" customHeight="1" x14ac:dyDescent="0.2">
      <c r="A3543" s="31">
        <v>0.68055894635920211</v>
      </c>
      <c r="B3543" s="31"/>
      <c r="C3543" s="2" t="s">
        <v>855</v>
      </c>
      <c r="D3543" s="31">
        <f t="shared" si="115"/>
        <v>0.13338955348640361</v>
      </c>
      <c r="F3543" s="2" t="s">
        <v>822</v>
      </c>
      <c r="G3543" s="23" t="s">
        <v>902</v>
      </c>
      <c r="H3543" s="2" t="s">
        <v>822</v>
      </c>
      <c r="J3543" s="31">
        <v>34.723998999999999</v>
      </c>
      <c r="K3543" s="31">
        <v>-13.8360004</v>
      </c>
      <c r="L3543" s="31"/>
      <c r="M3543" s="31" t="s">
        <v>854</v>
      </c>
      <c r="N3543" s="6" t="s">
        <v>856</v>
      </c>
    </row>
    <row r="3544" spans="1:14" ht="15" customHeight="1" x14ac:dyDescent="0.2">
      <c r="A3544" s="31">
        <v>0.6805283341684808</v>
      </c>
      <c r="B3544" s="31"/>
      <c r="C3544" s="2" t="s">
        <v>855</v>
      </c>
      <c r="D3544" s="31">
        <f t="shared" si="115"/>
        <v>0.13338355349702224</v>
      </c>
      <c r="F3544" s="2" t="s">
        <v>822</v>
      </c>
      <c r="G3544" s="23" t="s">
        <v>902</v>
      </c>
      <c r="H3544" s="2" t="s">
        <v>822</v>
      </c>
      <c r="J3544" s="31">
        <v>47.117599499999997</v>
      </c>
      <c r="K3544" s="31">
        <v>-2.7881600999999998</v>
      </c>
      <c r="L3544" s="31"/>
      <c r="M3544" s="31" t="s">
        <v>854</v>
      </c>
      <c r="N3544" s="6" t="s">
        <v>856</v>
      </c>
    </row>
    <row r="3545" spans="1:14" ht="15" customHeight="1" x14ac:dyDescent="0.2">
      <c r="A3545" s="31">
        <v>0.68042349968901483</v>
      </c>
      <c r="B3545" s="31"/>
      <c r="C3545" s="2" t="s">
        <v>855</v>
      </c>
      <c r="D3545" s="31">
        <f t="shared" si="115"/>
        <v>0.1333630059390469</v>
      </c>
      <c r="F3545" s="2" t="s">
        <v>822</v>
      </c>
      <c r="G3545" s="23" t="s">
        <v>902</v>
      </c>
      <c r="H3545" s="2" t="s">
        <v>822</v>
      </c>
      <c r="J3545" s="31">
        <v>36.060001399999997</v>
      </c>
      <c r="K3545" s="31">
        <v>-25.1919994</v>
      </c>
      <c r="L3545" s="31"/>
      <c r="M3545" s="31" t="s">
        <v>854</v>
      </c>
      <c r="N3545" s="6" t="s">
        <v>856</v>
      </c>
    </row>
    <row r="3546" spans="1:14" ht="15" customHeight="1" x14ac:dyDescent="0.2">
      <c r="A3546" s="31">
        <v>0.68012308328138071</v>
      </c>
      <c r="B3546" s="31"/>
      <c r="C3546" s="2" t="s">
        <v>855</v>
      </c>
      <c r="D3546" s="31">
        <f t="shared" si="115"/>
        <v>0.13330412432315061</v>
      </c>
      <c r="F3546" s="2" t="s">
        <v>822</v>
      </c>
      <c r="G3546" s="23" t="s">
        <v>902</v>
      </c>
      <c r="H3546" s="2" t="s">
        <v>822</v>
      </c>
      <c r="J3546" s="31">
        <v>38.560199699999998</v>
      </c>
      <c r="K3546" s="31">
        <v>2.9697399</v>
      </c>
      <c r="L3546" s="31"/>
      <c r="M3546" s="31" t="s">
        <v>854</v>
      </c>
      <c r="N3546" s="6" t="s">
        <v>856</v>
      </c>
    </row>
    <row r="3547" spans="1:14" ht="15" customHeight="1" x14ac:dyDescent="0.2">
      <c r="A3547" s="31">
        <v>0.67995908082497136</v>
      </c>
      <c r="B3547" s="31"/>
      <c r="C3547" s="2" t="s">
        <v>855</v>
      </c>
      <c r="D3547" s="31">
        <f t="shared" si="115"/>
        <v>0.13327197984169439</v>
      </c>
      <c r="F3547" s="2" t="s">
        <v>822</v>
      </c>
      <c r="G3547" s="23" t="s">
        <v>902</v>
      </c>
      <c r="H3547" s="2" t="s">
        <v>822</v>
      </c>
      <c r="J3547" s="31">
        <v>40.731601699999999</v>
      </c>
      <c r="K3547" s="31">
        <v>-21.185400000000001</v>
      </c>
      <c r="L3547" s="31"/>
      <c r="M3547" s="31" t="s">
        <v>854</v>
      </c>
      <c r="N3547" s="6" t="s">
        <v>856</v>
      </c>
    </row>
    <row r="3548" spans="1:14" ht="15" customHeight="1" x14ac:dyDescent="0.2">
      <c r="A3548" s="31">
        <v>0.67986644207440394</v>
      </c>
      <c r="B3548" s="31"/>
      <c r="C3548" s="2" t="s">
        <v>855</v>
      </c>
      <c r="D3548" s="31">
        <f t="shared" si="115"/>
        <v>0.13325382264658317</v>
      </c>
      <c r="F3548" s="2" t="s">
        <v>822</v>
      </c>
      <c r="G3548" s="23" t="s">
        <v>902</v>
      </c>
      <c r="H3548" s="2" t="s">
        <v>822</v>
      </c>
      <c r="J3548" s="31">
        <v>38.3639984</v>
      </c>
      <c r="K3548" s="31">
        <v>25.9092007</v>
      </c>
      <c r="L3548" s="31"/>
      <c r="M3548" s="31" t="s">
        <v>854</v>
      </c>
      <c r="N3548" s="6" t="s">
        <v>856</v>
      </c>
    </row>
    <row r="3549" spans="1:14" ht="15" customHeight="1" x14ac:dyDescent="0.2">
      <c r="A3549" s="31">
        <v>0.67983600338830596</v>
      </c>
      <c r="B3549" s="31"/>
      <c r="C3549" s="2" t="s">
        <v>855</v>
      </c>
      <c r="D3549" s="31">
        <f t="shared" si="115"/>
        <v>0.13324785666410796</v>
      </c>
      <c r="F3549" s="2" t="s">
        <v>822</v>
      </c>
      <c r="G3549" s="23" t="s">
        <v>902</v>
      </c>
      <c r="H3549" s="2" t="s">
        <v>822</v>
      </c>
      <c r="J3549" s="31">
        <v>46.710998500000002</v>
      </c>
      <c r="K3549" s="31">
        <v>-26.457899099999999</v>
      </c>
      <c r="L3549" s="31"/>
      <c r="M3549" s="31" t="s">
        <v>854</v>
      </c>
      <c r="N3549" s="6" t="s">
        <v>856</v>
      </c>
    </row>
    <row r="3550" spans="1:14" ht="15" customHeight="1" x14ac:dyDescent="0.2">
      <c r="A3550" s="31">
        <v>0.67965584100057852</v>
      </c>
      <c r="B3550" s="31"/>
      <c r="C3550" s="2" t="s">
        <v>855</v>
      </c>
      <c r="D3550" s="31">
        <f t="shared" si="115"/>
        <v>0.13321254483611339</v>
      </c>
      <c r="F3550" s="2" t="s">
        <v>822</v>
      </c>
      <c r="G3550" s="23" t="s">
        <v>902</v>
      </c>
      <c r="H3550" s="2" t="s">
        <v>822</v>
      </c>
      <c r="J3550" s="31">
        <v>45.411998699999998</v>
      </c>
      <c r="K3550" s="31">
        <v>-40.555999800000002</v>
      </c>
      <c r="L3550" s="31"/>
      <c r="M3550" s="31" t="s">
        <v>854</v>
      </c>
      <c r="N3550" s="6" t="s">
        <v>856</v>
      </c>
    </row>
    <row r="3551" spans="1:14" ht="15" customHeight="1" x14ac:dyDescent="0.2">
      <c r="A3551" s="31">
        <v>0.67943478843033489</v>
      </c>
      <c r="B3551" s="31"/>
      <c r="C3551" s="2" t="s">
        <v>855</v>
      </c>
      <c r="D3551" s="31">
        <f t="shared" si="115"/>
        <v>0.13316921853234565</v>
      </c>
      <c r="F3551" s="2" t="s">
        <v>822</v>
      </c>
      <c r="G3551" s="23" t="s">
        <v>902</v>
      </c>
      <c r="H3551" s="2" t="s">
        <v>822</v>
      </c>
      <c r="J3551" s="31">
        <v>36.145000500000002</v>
      </c>
      <c r="K3551" s="31">
        <v>19.352899600000001</v>
      </c>
      <c r="L3551" s="31"/>
      <c r="M3551" s="31" t="s">
        <v>854</v>
      </c>
      <c r="N3551" s="6" t="s">
        <v>856</v>
      </c>
    </row>
    <row r="3552" spans="1:14" ht="15" customHeight="1" x14ac:dyDescent="0.2">
      <c r="A3552" s="31">
        <v>0.67925465148539932</v>
      </c>
      <c r="B3552" s="31"/>
      <c r="C3552" s="2" t="s">
        <v>855</v>
      </c>
      <c r="D3552" s="31">
        <f t="shared" si="115"/>
        <v>0.13313391169113828</v>
      </c>
      <c r="F3552" s="2" t="s">
        <v>822</v>
      </c>
      <c r="G3552" s="23" t="s">
        <v>902</v>
      </c>
      <c r="H3552" s="2" t="s">
        <v>822</v>
      </c>
      <c r="J3552" s="31">
        <v>28.0440006</v>
      </c>
      <c r="K3552" s="31">
        <v>-39.888000499999997</v>
      </c>
      <c r="L3552" s="31"/>
      <c r="M3552" s="31" t="s">
        <v>854</v>
      </c>
      <c r="N3552" s="6" t="s">
        <v>856</v>
      </c>
    </row>
    <row r="3553" spans="1:14" ht="15" customHeight="1" x14ac:dyDescent="0.2">
      <c r="A3553" s="31">
        <v>0.67907591247887544</v>
      </c>
      <c r="B3553" s="31"/>
      <c r="C3553" s="2" t="s">
        <v>855</v>
      </c>
      <c r="D3553" s="31">
        <f t="shared" si="115"/>
        <v>0.13309887884585958</v>
      </c>
      <c r="F3553" s="2" t="s">
        <v>822</v>
      </c>
      <c r="G3553" s="23" t="s">
        <v>902</v>
      </c>
      <c r="H3553" s="2" t="s">
        <v>822</v>
      </c>
      <c r="J3553" s="31">
        <v>34.047699000000001</v>
      </c>
      <c r="K3553" s="31">
        <v>18.216699599999998</v>
      </c>
      <c r="L3553" s="31"/>
      <c r="M3553" s="31" t="s">
        <v>854</v>
      </c>
      <c r="N3553" s="6" t="s">
        <v>856</v>
      </c>
    </row>
    <row r="3554" spans="1:14" ht="15" customHeight="1" x14ac:dyDescent="0.2">
      <c r="A3554" s="31">
        <v>0.67896901917653707</v>
      </c>
      <c r="B3554" s="31"/>
      <c r="C3554" s="2" t="s">
        <v>855</v>
      </c>
      <c r="D3554" s="31">
        <f t="shared" si="115"/>
        <v>0.13307792775860128</v>
      </c>
      <c r="F3554" s="2" t="s">
        <v>822</v>
      </c>
      <c r="G3554" s="23" t="s">
        <v>902</v>
      </c>
      <c r="H3554" s="2" t="s">
        <v>822</v>
      </c>
      <c r="J3554" s="31">
        <v>53.029098500000003</v>
      </c>
      <c r="K3554" s="31">
        <v>0.87260800000000005</v>
      </c>
      <c r="L3554" s="31"/>
      <c r="M3554" s="31" t="s">
        <v>854</v>
      </c>
      <c r="N3554" s="6" t="s">
        <v>856</v>
      </c>
    </row>
    <row r="3555" spans="1:14" ht="15" customHeight="1" x14ac:dyDescent="0.2">
      <c r="A3555" s="31">
        <v>0.67892788953152894</v>
      </c>
      <c r="B3555" s="31"/>
      <c r="C3555" s="2" t="s">
        <v>855</v>
      </c>
      <c r="D3555" s="31">
        <f t="shared" si="115"/>
        <v>0.13306986634817969</v>
      </c>
      <c r="F3555" s="2" t="s">
        <v>822</v>
      </c>
      <c r="G3555" s="23" t="s">
        <v>902</v>
      </c>
      <c r="H3555" s="2" t="s">
        <v>822</v>
      </c>
      <c r="J3555" s="31">
        <v>42.194099399999999</v>
      </c>
      <c r="K3555" s="31">
        <v>-33.282798800000002</v>
      </c>
      <c r="L3555" s="31"/>
      <c r="M3555" s="31" t="s">
        <v>854</v>
      </c>
      <c r="N3555" s="6" t="s">
        <v>856</v>
      </c>
    </row>
    <row r="3556" spans="1:14" ht="15" customHeight="1" x14ac:dyDescent="0.2">
      <c r="A3556" s="31">
        <v>0.67866250220073909</v>
      </c>
      <c r="B3556" s="31"/>
      <c r="C3556" s="2" t="s">
        <v>855</v>
      </c>
      <c r="D3556" s="31">
        <f t="shared" si="115"/>
        <v>0.13301785043134487</v>
      </c>
      <c r="F3556" s="2" t="s">
        <v>822</v>
      </c>
      <c r="G3556" s="23" t="s">
        <v>902</v>
      </c>
      <c r="H3556" s="2" t="s">
        <v>822</v>
      </c>
      <c r="J3556" s="31">
        <v>42.154598200000002</v>
      </c>
      <c r="K3556" s="31">
        <v>-42.369201699999998</v>
      </c>
      <c r="L3556" s="31"/>
      <c r="M3556" s="31" t="s">
        <v>854</v>
      </c>
      <c r="N3556" s="6" t="s">
        <v>856</v>
      </c>
    </row>
    <row r="3557" spans="1:14" ht="15" customHeight="1" x14ac:dyDescent="0.2">
      <c r="A3557" s="31">
        <v>0.67830705001485225</v>
      </c>
      <c r="B3557" s="31"/>
      <c r="C3557" s="2" t="s">
        <v>855</v>
      </c>
      <c r="D3557" s="31">
        <f t="shared" si="115"/>
        <v>0.13294818180291104</v>
      </c>
      <c r="F3557" s="2" t="s">
        <v>822</v>
      </c>
      <c r="G3557" s="23" t="s">
        <v>902</v>
      </c>
      <c r="H3557" s="2" t="s">
        <v>822</v>
      </c>
      <c r="J3557" s="31">
        <v>45.007400500000003</v>
      </c>
      <c r="K3557" s="31">
        <v>-37.405898999999998</v>
      </c>
      <c r="L3557" s="31"/>
      <c r="M3557" s="31" t="s">
        <v>854</v>
      </c>
      <c r="N3557" s="6" t="s">
        <v>856</v>
      </c>
    </row>
    <row r="3558" spans="1:14" ht="15" customHeight="1" x14ac:dyDescent="0.2">
      <c r="A3558" s="31">
        <v>0.67814716729283175</v>
      </c>
      <c r="B3558" s="31"/>
      <c r="C3558" s="2" t="s">
        <v>855</v>
      </c>
      <c r="D3558" s="31">
        <f t="shared" si="115"/>
        <v>0.13291684478939503</v>
      </c>
      <c r="F3558" s="2" t="s">
        <v>822</v>
      </c>
      <c r="G3558" s="23" t="s">
        <v>902</v>
      </c>
      <c r="H3558" s="2" t="s">
        <v>822</v>
      </c>
      <c r="J3558" s="31">
        <v>43.958900499999999</v>
      </c>
      <c r="K3558" s="31">
        <v>-1.49457</v>
      </c>
      <c r="L3558" s="31"/>
      <c r="M3558" s="31" t="s">
        <v>854</v>
      </c>
      <c r="N3558" s="6" t="s">
        <v>856</v>
      </c>
    </row>
    <row r="3559" spans="1:14" ht="15" customHeight="1" x14ac:dyDescent="0.2">
      <c r="A3559" s="31">
        <v>0.67806853721186211</v>
      </c>
      <c r="B3559" s="31"/>
      <c r="C3559" s="2" t="s">
        <v>855</v>
      </c>
      <c r="D3559" s="31">
        <f t="shared" si="115"/>
        <v>0.13290143329352497</v>
      </c>
      <c r="F3559" s="2" t="s">
        <v>822</v>
      </c>
      <c r="G3559" s="23" t="s">
        <v>902</v>
      </c>
      <c r="H3559" s="2" t="s">
        <v>822</v>
      </c>
      <c r="J3559" s="31">
        <v>42.140300799999999</v>
      </c>
      <c r="K3559" s="31">
        <v>-20.6219997</v>
      </c>
      <c r="L3559" s="31"/>
      <c r="M3559" s="31" t="s">
        <v>854</v>
      </c>
      <c r="N3559" s="6" t="s">
        <v>856</v>
      </c>
    </row>
    <row r="3560" spans="1:14" ht="15" customHeight="1" x14ac:dyDescent="0.2">
      <c r="A3560" s="31">
        <v>0.67806841036084875</v>
      </c>
      <c r="B3560" s="31"/>
      <c r="C3560" s="2" t="s">
        <v>855</v>
      </c>
      <c r="D3560" s="31">
        <f t="shared" si="115"/>
        <v>0.13290140843072637</v>
      </c>
      <c r="F3560" s="2" t="s">
        <v>822</v>
      </c>
      <c r="G3560" s="23" t="s">
        <v>902</v>
      </c>
      <c r="H3560" s="2" t="s">
        <v>822</v>
      </c>
      <c r="J3560" s="31">
        <v>39.693901099999998</v>
      </c>
      <c r="K3560" s="31">
        <v>-15.509200099999999</v>
      </c>
      <c r="L3560" s="31"/>
      <c r="M3560" s="31" t="s">
        <v>854</v>
      </c>
      <c r="N3560" s="6" t="s">
        <v>856</v>
      </c>
    </row>
    <row r="3561" spans="1:14" ht="15" customHeight="1" x14ac:dyDescent="0.2">
      <c r="A3561" s="31">
        <v>0.67800437362531141</v>
      </c>
      <c r="B3561" s="31"/>
      <c r="C3561" s="2" t="s">
        <v>855</v>
      </c>
      <c r="D3561" s="31">
        <f t="shared" si="115"/>
        <v>0.13288885723056104</v>
      </c>
      <c r="F3561" s="2" t="s">
        <v>822</v>
      </c>
      <c r="G3561" s="23" t="s">
        <v>902</v>
      </c>
      <c r="H3561" s="2" t="s">
        <v>822</v>
      </c>
      <c r="J3561" s="31">
        <v>26.708000200000001</v>
      </c>
      <c r="K3561" s="31">
        <v>-23.187999699999999</v>
      </c>
      <c r="L3561" s="31"/>
      <c r="M3561" s="31" t="s">
        <v>854</v>
      </c>
      <c r="N3561" s="6" t="s">
        <v>856</v>
      </c>
    </row>
    <row r="3562" spans="1:14" ht="15" customHeight="1" x14ac:dyDescent="0.2">
      <c r="A3562" s="31">
        <v>0.67775533093790497</v>
      </c>
      <c r="B3562" s="31"/>
      <c r="C3562" s="2" t="s">
        <v>855</v>
      </c>
      <c r="D3562" s="31">
        <f t="shared" si="115"/>
        <v>0.13284004486382939</v>
      </c>
      <c r="F3562" s="2" t="s">
        <v>822</v>
      </c>
      <c r="G3562" s="23" t="s">
        <v>902</v>
      </c>
      <c r="H3562" s="2" t="s">
        <v>822</v>
      </c>
      <c r="J3562" s="31">
        <v>32.720001199999999</v>
      </c>
      <c r="K3562" s="31">
        <v>27.579999900000001</v>
      </c>
      <c r="L3562" s="31"/>
      <c r="M3562" s="31" t="s">
        <v>854</v>
      </c>
      <c r="N3562" s="6" t="s">
        <v>856</v>
      </c>
    </row>
    <row r="3563" spans="1:14" ht="15" customHeight="1" x14ac:dyDescent="0.2">
      <c r="A3563" s="31">
        <v>0.67770304764857192</v>
      </c>
      <c r="B3563" s="31"/>
      <c r="C3563" s="2" t="s">
        <v>855</v>
      </c>
      <c r="D3563" s="31">
        <f t="shared" si="115"/>
        <v>0.13282979733912009</v>
      </c>
      <c r="F3563" s="2" t="s">
        <v>822</v>
      </c>
      <c r="G3563" s="23" t="s">
        <v>902</v>
      </c>
      <c r="H3563" s="2" t="s">
        <v>822</v>
      </c>
      <c r="J3563" s="31">
        <v>38.847400700000001</v>
      </c>
      <c r="K3563" s="31">
        <v>14.6843004</v>
      </c>
      <c r="L3563" s="31"/>
      <c r="M3563" s="31" t="s">
        <v>854</v>
      </c>
      <c r="N3563" s="6" t="s">
        <v>856</v>
      </c>
    </row>
    <row r="3564" spans="1:14" ht="15" customHeight="1" x14ac:dyDescent="0.2">
      <c r="A3564" s="31">
        <v>0.67702247525388182</v>
      </c>
      <c r="B3564" s="31"/>
      <c r="C3564" s="2" t="s">
        <v>855</v>
      </c>
      <c r="D3564" s="31">
        <f t="shared" si="115"/>
        <v>0.13269640514976083</v>
      </c>
      <c r="F3564" s="2" t="s">
        <v>822</v>
      </c>
      <c r="G3564" s="23" t="s">
        <v>902</v>
      </c>
      <c r="H3564" s="2" t="s">
        <v>822</v>
      </c>
      <c r="J3564" s="31">
        <v>26.040000899999999</v>
      </c>
      <c r="K3564" s="31">
        <v>-38.551998099999999</v>
      </c>
      <c r="L3564" s="31"/>
      <c r="M3564" s="31" t="s">
        <v>854</v>
      </c>
      <c r="N3564" s="6" t="s">
        <v>856</v>
      </c>
    </row>
    <row r="3565" spans="1:14" ht="15" customHeight="1" x14ac:dyDescent="0.2">
      <c r="A3565" s="31">
        <v>0.6770206977481884</v>
      </c>
      <c r="B3565" s="31"/>
      <c r="C3565" s="2" t="s">
        <v>855</v>
      </c>
      <c r="D3565" s="31">
        <f t="shared" si="115"/>
        <v>0.13269605675864493</v>
      </c>
      <c r="F3565" s="2" t="s">
        <v>822</v>
      </c>
      <c r="G3565" s="23" t="s">
        <v>902</v>
      </c>
      <c r="H3565" s="2" t="s">
        <v>822</v>
      </c>
      <c r="J3565" s="31">
        <v>28.0440006</v>
      </c>
      <c r="K3565" s="31">
        <v>-33.208000200000001</v>
      </c>
      <c r="L3565" s="31"/>
      <c r="M3565" s="31" t="s">
        <v>854</v>
      </c>
      <c r="N3565" s="6" t="s">
        <v>856</v>
      </c>
    </row>
    <row r="3566" spans="1:14" ht="15" customHeight="1" x14ac:dyDescent="0.2">
      <c r="A3566" s="31">
        <v>0.67697593277819668</v>
      </c>
      <c r="B3566" s="31"/>
      <c r="C3566" s="2" t="s">
        <v>855</v>
      </c>
      <c r="D3566" s="31">
        <f t="shared" si="115"/>
        <v>0.13268728282452655</v>
      </c>
      <c r="F3566" s="2" t="s">
        <v>822</v>
      </c>
      <c r="G3566" s="23" t="s">
        <v>902</v>
      </c>
      <c r="H3566" s="2" t="s">
        <v>822</v>
      </c>
      <c r="J3566" s="31">
        <v>40.196098300000003</v>
      </c>
      <c r="K3566" s="31">
        <v>23.524499899999999</v>
      </c>
      <c r="L3566" s="31"/>
      <c r="M3566" s="31" t="s">
        <v>854</v>
      </c>
      <c r="N3566" s="6" t="s">
        <v>856</v>
      </c>
    </row>
    <row r="3567" spans="1:14" ht="15" customHeight="1" x14ac:dyDescent="0.2">
      <c r="A3567" s="31">
        <v>0.6768929295332855</v>
      </c>
      <c r="B3567" s="31"/>
      <c r="C3567" s="2" t="s">
        <v>855</v>
      </c>
      <c r="D3567" s="31">
        <f t="shared" si="115"/>
        <v>0.13267101418852395</v>
      </c>
      <c r="F3567" s="2" t="s">
        <v>822</v>
      </c>
      <c r="G3567" s="23" t="s">
        <v>902</v>
      </c>
      <c r="H3567" s="2" t="s">
        <v>822</v>
      </c>
      <c r="J3567" s="31">
        <v>35.056301099999999</v>
      </c>
      <c r="K3567" s="31">
        <v>-18.8467007</v>
      </c>
      <c r="L3567" s="31"/>
      <c r="M3567" s="31" t="s">
        <v>854</v>
      </c>
      <c r="N3567" s="6" t="s">
        <v>856</v>
      </c>
    </row>
    <row r="3568" spans="1:14" ht="15" customHeight="1" x14ac:dyDescent="0.2">
      <c r="A3568" s="31">
        <v>0.6765286031815434</v>
      </c>
      <c r="B3568" s="31"/>
      <c r="C3568" s="2" t="s">
        <v>855</v>
      </c>
      <c r="D3568" s="31">
        <f t="shared" si="115"/>
        <v>0.13259960622358252</v>
      </c>
      <c r="F3568" s="2" t="s">
        <v>822</v>
      </c>
      <c r="G3568" s="23" t="s">
        <v>902</v>
      </c>
      <c r="H3568" s="2" t="s">
        <v>822</v>
      </c>
      <c r="J3568" s="31">
        <v>39.882598899999998</v>
      </c>
      <c r="K3568" s="31">
        <v>11.477499999999999</v>
      </c>
      <c r="L3568" s="31"/>
      <c r="M3568" s="31" t="s">
        <v>854</v>
      </c>
      <c r="N3568" s="6" t="s">
        <v>856</v>
      </c>
    </row>
    <row r="3569" spans="1:14" ht="15" customHeight="1" x14ac:dyDescent="0.2">
      <c r="A3569" s="31">
        <v>0.67647788599773107</v>
      </c>
      <c r="B3569" s="31"/>
      <c r="C3569" s="2" t="s">
        <v>855</v>
      </c>
      <c r="D3569" s="31">
        <f t="shared" si="115"/>
        <v>0.1325896656555553</v>
      </c>
      <c r="F3569" s="2" t="s">
        <v>822</v>
      </c>
      <c r="G3569" s="23" t="s">
        <v>902</v>
      </c>
      <c r="H3569" s="2" t="s">
        <v>822</v>
      </c>
      <c r="J3569" s="31">
        <v>32.051998099999999</v>
      </c>
      <c r="K3569" s="31">
        <v>-34.543998700000003</v>
      </c>
      <c r="L3569" s="31"/>
      <c r="M3569" s="31" t="s">
        <v>854</v>
      </c>
      <c r="N3569" s="6" t="s">
        <v>856</v>
      </c>
    </row>
    <row r="3570" spans="1:14" ht="15" customHeight="1" x14ac:dyDescent="0.2">
      <c r="A3570" s="31">
        <v>0.67637277641894644</v>
      </c>
      <c r="B3570" s="31"/>
      <c r="C3570" s="2" t="s">
        <v>855</v>
      </c>
      <c r="D3570" s="31">
        <f t="shared" ref="D3570:D3601" si="116" xml:space="preserve"> A3570 * 0.196</f>
        <v>0.13256906417811351</v>
      </c>
      <c r="F3570" s="2" t="s">
        <v>822</v>
      </c>
      <c r="G3570" s="23" t="s">
        <v>902</v>
      </c>
      <c r="H3570" s="2" t="s">
        <v>822</v>
      </c>
      <c r="J3570" s="31">
        <v>26.708000200000001</v>
      </c>
      <c r="K3570" s="31">
        <v>-24.5240002</v>
      </c>
      <c r="L3570" s="31"/>
      <c r="M3570" s="31" t="s">
        <v>854</v>
      </c>
      <c r="N3570" s="6" t="s">
        <v>856</v>
      </c>
    </row>
    <row r="3571" spans="1:14" ht="15" customHeight="1" x14ac:dyDescent="0.2">
      <c r="A3571" s="31">
        <v>0.67632266703988642</v>
      </c>
      <c r="B3571" s="31"/>
      <c r="C3571" s="2" t="s">
        <v>855</v>
      </c>
      <c r="D3571" s="31">
        <f t="shared" si="116"/>
        <v>0.13255924273981776</v>
      </c>
      <c r="F3571" s="2" t="s">
        <v>822</v>
      </c>
      <c r="G3571" s="23" t="s">
        <v>902</v>
      </c>
      <c r="H3571" s="2" t="s">
        <v>822</v>
      </c>
      <c r="J3571" s="31">
        <v>32.051998099999999</v>
      </c>
      <c r="K3571" s="31">
        <v>-39.220001199999999</v>
      </c>
      <c r="L3571" s="31"/>
      <c r="M3571" s="31" t="s">
        <v>854</v>
      </c>
      <c r="N3571" s="6" t="s">
        <v>856</v>
      </c>
    </row>
    <row r="3572" spans="1:14" ht="15" customHeight="1" x14ac:dyDescent="0.2">
      <c r="A3572" s="31">
        <v>0.67622680023771709</v>
      </c>
      <c r="B3572" s="31"/>
      <c r="C3572" s="2" t="s">
        <v>855</v>
      </c>
      <c r="D3572" s="31">
        <f t="shared" si="116"/>
        <v>0.13254045284659255</v>
      </c>
      <c r="F3572" s="2" t="s">
        <v>822</v>
      </c>
      <c r="G3572" s="23" t="s">
        <v>902</v>
      </c>
      <c r="H3572" s="2" t="s">
        <v>822</v>
      </c>
      <c r="J3572" s="31">
        <v>31.7353992</v>
      </c>
      <c r="K3572" s="31">
        <v>32.0243988</v>
      </c>
      <c r="L3572" s="31"/>
      <c r="M3572" s="31" t="s">
        <v>854</v>
      </c>
      <c r="N3572" s="6" t="s">
        <v>856</v>
      </c>
    </row>
    <row r="3573" spans="1:14" ht="15" customHeight="1" x14ac:dyDescent="0.2">
      <c r="A3573" s="31">
        <v>0.67618456958108886</v>
      </c>
      <c r="B3573" s="31"/>
      <c r="C3573" s="2" t="s">
        <v>855</v>
      </c>
      <c r="D3573" s="31">
        <f t="shared" si="116"/>
        <v>0.13253217563789343</v>
      </c>
      <c r="F3573" s="2" t="s">
        <v>822</v>
      </c>
      <c r="G3573" s="23" t="s">
        <v>902</v>
      </c>
      <c r="H3573" s="2" t="s">
        <v>822</v>
      </c>
      <c r="J3573" s="31">
        <v>40.0680008</v>
      </c>
      <c r="K3573" s="31">
        <v>-23.187999699999999</v>
      </c>
      <c r="L3573" s="31"/>
      <c r="M3573" s="31" t="s">
        <v>854</v>
      </c>
      <c r="N3573" s="6" t="s">
        <v>856</v>
      </c>
    </row>
    <row r="3574" spans="1:14" ht="15" customHeight="1" x14ac:dyDescent="0.2">
      <c r="A3574" s="31">
        <v>0.67607030387171152</v>
      </c>
      <c r="B3574" s="31"/>
      <c r="C3574" s="2" t="s">
        <v>855</v>
      </c>
      <c r="D3574" s="31">
        <f t="shared" si="116"/>
        <v>0.13250977955885546</v>
      </c>
      <c r="F3574" s="2" t="s">
        <v>822</v>
      </c>
      <c r="G3574" s="23" t="s">
        <v>902</v>
      </c>
      <c r="H3574" s="2" t="s">
        <v>822</v>
      </c>
      <c r="J3574" s="31">
        <v>37.3307991</v>
      </c>
      <c r="K3574" s="31">
        <v>20.653799100000001</v>
      </c>
      <c r="L3574" s="31"/>
      <c r="M3574" s="31" t="s">
        <v>854</v>
      </c>
      <c r="N3574" s="6" t="s">
        <v>856</v>
      </c>
    </row>
    <row r="3575" spans="1:14" ht="15" customHeight="1" x14ac:dyDescent="0.2">
      <c r="A3575" s="31">
        <v>0.67595315165813508</v>
      </c>
      <c r="B3575" s="31"/>
      <c r="C3575" s="2" t="s">
        <v>855</v>
      </c>
      <c r="D3575" s="31">
        <f t="shared" si="116"/>
        <v>0.13248681772499449</v>
      </c>
      <c r="F3575" s="2" t="s">
        <v>822</v>
      </c>
      <c r="G3575" s="23" t="s">
        <v>902</v>
      </c>
      <c r="H3575" s="2" t="s">
        <v>822</v>
      </c>
      <c r="J3575" s="31">
        <v>41.217300399999999</v>
      </c>
      <c r="K3575" s="31">
        <v>-27.595500900000001</v>
      </c>
      <c r="L3575" s="31"/>
      <c r="M3575" s="31" t="s">
        <v>854</v>
      </c>
      <c r="N3575" s="6" t="s">
        <v>856</v>
      </c>
    </row>
    <row r="3576" spans="1:14" ht="15" customHeight="1" x14ac:dyDescent="0.2">
      <c r="A3576" s="31">
        <v>0.67552440199346209</v>
      </c>
      <c r="B3576" s="31"/>
      <c r="C3576" s="2" t="s">
        <v>855</v>
      </c>
      <c r="D3576" s="31">
        <f t="shared" si="116"/>
        <v>0.13240278279071857</v>
      </c>
      <c r="F3576" s="2" t="s">
        <v>822</v>
      </c>
      <c r="G3576" s="23" t="s">
        <v>902</v>
      </c>
      <c r="H3576" s="2" t="s">
        <v>822</v>
      </c>
      <c r="J3576" s="31">
        <v>34.705001799999998</v>
      </c>
      <c r="K3576" s="31">
        <v>-12.709099800000001</v>
      </c>
      <c r="L3576" s="31"/>
      <c r="M3576" s="31" t="s">
        <v>854</v>
      </c>
      <c r="N3576" s="6" t="s">
        <v>856</v>
      </c>
    </row>
    <row r="3577" spans="1:14" ht="15" customHeight="1" x14ac:dyDescent="0.2">
      <c r="A3577" s="31">
        <v>0.67546048290377902</v>
      </c>
      <c r="B3577" s="31"/>
      <c r="C3577" s="2" t="s">
        <v>855</v>
      </c>
      <c r="D3577" s="31">
        <f t="shared" si="116"/>
        <v>0.1323902546491407</v>
      </c>
      <c r="F3577" s="2" t="s">
        <v>822</v>
      </c>
      <c r="G3577" s="23" t="s">
        <v>902</v>
      </c>
      <c r="H3577" s="2" t="s">
        <v>822</v>
      </c>
      <c r="J3577" s="31">
        <v>29.3799992</v>
      </c>
      <c r="K3577" s="31">
        <v>-14.5039997</v>
      </c>
      <c r="L3577" s="31"/>
      <c r="M3577" s="31" t="s">
        <v>854</v>
      </c>
      <c r="N3577" s="6" t="s">
        <v>856</v>
      </c>
    </row>
    <row r="3578" spans="1:14" ht="15" customHeight="1" x14ac:dyDescent="0.2">
      <c r="A3578" s="31">
        <v>0.67519395596857901</v>
      </c>
      <c r="B3578" s="31"/>
      <c r="C3578" s="2" t="s">
        <v>855</v>
      </c>
      <c r="D3578" s="31">
        <f t="shared" si="116"/>
        <v>0.13233801536984149</v>
      </c>
      <c r="F3578" s="2" t="s">
        <v>822</v>
      </c>
      <c r="G3578" s="23" t="s">
        <v>902</v>
      </c>
      <c r="H3578" s="2" t="s">
        <v>822</v>
      </c>
      <c r="J3578" s="31">
        <v>34.0680008</v>
      </c>
      <c r="K3578" s="31">
        <v>18.8819008</v>
      </c>
      <c r="L3578" s="31"/>
      <c r="M3578" s="31" t="s">
        <v>854</v>
      </c>
      <c r="N3578" s="6" t="s">
        <v>856</v>
      </c>
    </row>
    <row r="3579" spans="1:14" ht="15" customHeight="1" x14ac:dyDescent="0.2">
      <c r="A3579" s="31">
        <v>0.67476291184010917</v>
      </c>
      <c r="B3579" s="31"/>
      <c r="C3579" s="2" t="s">
        <v>855</v>
      </c>
      <c r="D3579" s="31">
        <f t="shared" si="116"/>
        <v>0.1322535307206614</v>
      </c>
      <c r="F3579" s="2" t="s">
        <v>822</v>
      </c>
      <c r="G3579" s="23" t="s">
        <v>902</v>
      </c>
      <c r="H3579" s="2" t="s">
        <v>822</v>
      </c>
      <c r="J3579" s="31">
        <v>33.058700600000002</v>
      </c>
      <c r="K3579" s="31">
        <v>-17.272100399999999</v>
      </c>
      <c r="L3579" s="31"/>
      <c r="M3579" s="31" t="s">
        <v>854</v>
      </c>
      <c r="N3579" s="6" t="s">
        <v>856</v>
      </c>
    </row>
    <row r="3580" spans="1:14" ht="15" customHeight="1" x14ac:dyDescent="0.2">
      <c r="A3580" s="31">
        <v>0.67452516612713342</v>
      </c>
      <c r="B3580" s="31"/>
      <c r="C3580" s="2" t="s">
        <v>855</v>
      </c>
      <c r="D3580" s="31">
        <f t="shared" si="116"/>
        <v>0.13220693256091814</v>
      </c>
      <c r="F3580" s="2" t="s">
        <v>822</v>
      </c>
      <c r="G3580" s="23" t="s">
        <v>902</v>
      </c>
      <c r="H3580" s="2" t="s">
        <v>822</v>
      </c>
      <c r="J3580" s="31">
        <v>43.663299600000002</v>
      </c>
      <c r="K3580" s="31">
        <v>-13.685999900000001</v>
      </c>
      <c r="L3580" s="31"/>
      <c r="M3580" s="31" t="s">
        <v>854</v>
      </c>
      <c r="N3580" s="6" t="s">
        <v>856</v>
      </c>
    </row>
    <row r="3581" spans="1:14" ht="15" customHeight="1" x14ac:dyDescent="0.2">
      <c r="A3581" s="31">
        <v>0.67443797472050127</v>
      </c>
      <c r="B3581" s="31"/>
      <c r="C3581" s="2" t="s">
        <v>855</v>
      </c>
      <c r="D3581" s="31">
        <f t="shared" si="116"/>
        <v>0.13218984304521825</v>
      </c>
      <c r="F3581" s="2" t="s">
        <v>822</v>
      </c>
      <c r="G3581" s="23" t="s">
        <v>902</v>
      </c>
      <c r="H3581" s="2" t="s">
        <v>822</v>
      </c>
      <c r="J3581" s="31">
        <v>42.740001700000001</v>
      </c>
      <c r="K3581" s="31">
        <v>-33.208000200000001</v>
      </c>
      <c r="L3581" s="31"/>
      <c r="M3581" s="31" t="s">
        <v>854</v>
      </c>
      <c r="N3581" s="6" t="s">
        <v>856</v>
      </c>
    </row>
    <row r="3582" spans="1:14" ht="15" customHeight="1" x14ac:dyDescent="0.2">
      <c r="A3582" s="31">
        <v>0.67441852200441155</v>
      </c>
      <c r="B3582" s="31"/>
      <c r="C3582" s="2" t="s">
        <v>855</v>
      </c>
      <c r="D3582" s="31">
        <f t="shared" si="116"/>
        <v>0.13218603031286466</v>
      </c>
      <c r="F3582" s="2" t="s">
        <v>822</v>
      </c>
      <c r="G3582" s="23" t="s">
        <v>902</v>
      </c>
      <c r="H3582" s="2" t="s">
        <v>822</v>
      </c>
      <c r="J3582" s="31">
        <v>47.2057991</v>
      </c>
      <c r="K3582" s="31">
        <v>-6.6651702000000004</v>
      </c>
      <c r="L3582" s="31"/>
      <c r="M3582" s="31" t="s">
        <v>854</v>
      </c>
      <c r="N3582" s="6" t="s">
        <v>856</v>
      </c>
    </row>
    <row r="3583" spans="1:14" ht="15" customHeight="1" x14ac:dyDescent="0.2">
      <c r="A3583" s="31">
        <v>0.67440506984238091</v>
      </c>
      <c r="B3583" s="31"/>
      <c r="C3583" s="2" t="s">
        <v>855</v>
      </c>
      <c r="D3583" s="31">
        <f t="shared" si="116"/>
        <v>0.13218339368910667</v>
      </c>
      <c r="F3583" s="2" t="s">
        <v>822</v>
      </c>
      <c r="G3583" s="23" t="s">
        <v>902</v>
      </c>
      <c r="H3583" s="2" t="s">
        <v>822</v>
      </c>
      <c r="J3583" s="31">
        <v>28.711999899999999</v>
      </c>
      <c r="K3583" s="31">
        <v>-38.551998099999999</v>
      </c>
      <c r="L3583" s="31"/>
      <c r="M3583" s="31" t="s">
        <v>854</v>
      </c>
      <c r="N3583" s="6" t="s">
        <v>856</v>
      </c>
    </row>
    <row r="3584" spans="1:14" ht="15" customHeight="1" x14ac:dyDescent="0.2">
      <c r="A3584" s="31">
        <v>0.6743521170679293</v>
      </c>
      <c r="B3584" s="31"/>
      <c r="C3584" s="2" t="s">
        <v>855</v>
      </c>
      <c r="D3584" s="31">
        <f t="shared" si="116"/>
        <v>0.13217301494531414</v>
      </c>
      <c r="F3584" s="2" t="s">
        <v>822</v>
      </c>
      <c r="G3584" s="23" t="s">
        <v>902</v>
      </c>
      <c r="H3584" s="2" t="s">
        <v>822</v>
      </c>
      <c r="J3584" s="31">
        <v>46.080001799999998</v>
      </c>
      <c r="K3584" s="31">
        <v>-38.551998099999999</v>
      </c>
      <c r="L3584" s="31"/>
      <c r="M3584" s="31" t="s">
        <v>854</v>
      </c>
      <c r="N3584" s="6" t="s">
        <v>856</v>
      </c>
    </row>
    <row r="3585" spans="1:14" ht="15" customHeight="1" x14ac:dyDescent="0.2">
      <c r="A3585" s="31">
        <v>0.67428180961467743</v>
      </c>
      <c r="B3585" s="31"/>
      <c r="C3585" s="2" t="s">
        <v>855</v>
      </c>
      <c r="D3585" s="31">
        <f t="shared" si="116"/>
        <v>0.1321592346844768</v>
      </c>
      <c r="F3585" s="2" t="s">
        <v>822</v>
      </c>
      <c r="G3585" s="23" t="s">
        <v>902</v>
      </c>
      <c r="H3585" s="2" t="s">
        <v>822</v>
      </c>
      <c r="J3585" s="31">
        <v>36.471900900000001</v>
      </c>
      <c r="K3585" s="31">
        <v>-15.563500400000001</v>
      </c>
      <c r="L3585" s="31"/>
      <c r="M3585" s="31" t="s">
        <v>854</v>
      </c>
      <c r="N3585" s="6" t="s">
        <v>856</v>
      </c>
    </row>
    <row r="3586" spans="1:14" ht="15" customHeight="1" x14ac:dyDescent="0.2">
      <c r="A3586" s="31">
        <v>0.67421333890649726</v>
      </c>
      <c r="B3586" s="31"/>
      <c r="C3586" s="2" t="s">
        <v>855</v>
      </c>
      <c r="D3586" s="31">
        <f t="shared" si="116"/>
        <v>0.13214581442567347</v>
      </c>
      <c r="F3586" s="2" t="s">
        <v>822</v>
      </c>
      <c r="G3586" s="23" t="s">
        <v>902</v>
      </c>
      <c r="H3586" s="2" t="s">
        <v>822</v>
      </c>
      <c r="J3586" s="31">
        <v>39.655300099999998</v>
      </c>
      <c r="K3586" s="31">
        <v>12.3916998</v>
      </c>
      <c r="L3586" s="31"/>
      <c r="M3586" s="31" t="s">
        <v>854</v>
      </c>
      <c r="N3586" s="6" t="s">
        <v>856</v>
      </c>
    </row>
    <row r="3587" spans="1:14" ht="15" customHeight="1" x14ac:dyDescent="0.2">
      <c r="A3587" s="31">
        <v>0.67371897570641259</v>
      </c>
      <c r="B3587" s="31"/>
      <c r="C3587" s="2" t="s">
        <v>855</v>
      </c>
      <c r="D3587" s="31">
        <f t="shared" si="116"/>
        <v>0.13204891923845688</v>
      </c>
      <c r="F3587" s="2" t="s">
        <v>822</v>
      </c>
      <c r="G3587" s="23" t="s">
        <v>902</v>
      </c>
      <c r="H3587" s="2" t="s">
        <v>822</v>
      </c>
      <c r="J3587" s="31">
        <v>26.708000200000001</v>
      </c>
      <c r="K3587" s="31">
        <v>-19.1800003</v>
      </c>
      <c r="L3587" s="31"/>
      <c r="M3587" s="31" t="s">
        <v>854</v>
      </c>
      <c r="N3587" s="6" t="s">
        <v>856</v>
      </c>
    </row>
    <row r="3588" spans="1:14" ht="15" customHeight="1" x14ac:dyDescent="0.2">
      <c r="A3588" s="31">
        <v>0.67318045249009706</v>
      </c>
      <c r="B3588" s="31"/>
      <c r="C3588" s="2" t="s">
        <v>855</v>
      </c>
      <c r="D3588" s="31">
        <f t="shared" si="116"/>
        <v>0.13194336868805903</v>
      </c>
      <c r="F3588" s="2" t="s">
        <v>822</v>
      </c>
      <c r="G3588" s="23" t="s">
        <v>902</v>
      </c>
      <c r="H3588" s="2" t="s">
        <v>822</v>
      </c>
      <c r="J3588" s="31">
        <v>28.0440006</v>
      </c>
      <c r="K3588" s="31">
        <v>-34.543998700000003</v>
      </c>
      <c r="L3588" s="31"/>
      <c r="M3588" s="31" t="s">
        <v>854</v>
      </c>
      <c r="N3588" s="6" t="s">
        <v>856</v>
      </c>
    </row>
    <row r="3589" spans="1:14" ht="15" customHeight="1" x14ac:dyDescent="0.2">
      <c r="A3589" s="31">
        <v>0.67289726968388641</v>
      </c>
      <c r="B3589" s="31"/>
      <c r="C3589" s="2" t="s">
        <v>855</v>
      </c>
      <c r="D3589" s="31">
        <f t="shared" si="116"/>
        <v>0.13188786485804174</v>
      </c>
      <c r="F3589" s="2" t="s">
        <v>822</v>
      </c>
      <c r="G3589" s="23" t="s">
        <v>902</v>
      </c>
      <c r="H3589" s="2" t="s">
        <v>822</v>
      </c>
      <c r="J3589" s="31">
        <v>54.194698299999999</v>
      </c>
      <c r="K3589" s="31">
        <v>3.5419900000000002</v>
      </c>
      <c r="L3589" s="31"/>
      <c r="M3589" s="31" t="s">
        <v>854</v>
      </c>
      <c r="N3589" s="6" t="s">
        <v>856</v>
      </c>
    </row>
    <row r="3590" spans="1:14" ht="15" customHeight="1" x14ac:dyDescent="0.2">
      <c r="A3590" s="31">
        <v>0.67278037661107037</v>
      </c>
      <c r="B3590" s="31"/>
      <c r="C3590" s="2" t="s">
        <v>855</v>
      </c>
      <c r="D3590" s="31">
        <f t="shared" si="116"/>
        <v>0.13186495381576979</v>
      </c>
      <c r="F3590" s="2" t="s">
        <v>822</v>
      </c>
      <c r="G3590" s="23" t="s">
        <v>902</v>
      </c>
      <c r="H3590" s="2" t="s">
        <v>822</v>
      </c>
      <c r="J3590" s="31">
        <v>37.3959999</v>
      </c>
      <c r="K3590" s="31">
        <v>-41.223998999999999</v>
      </c>
      <c r="L3590" s="31"/>
      <c r="M3590" s="31" t="s">
        <v>854</v>
      </c>
      <c r="N3590" s="6" t="s">
        <v>856</v>
      </c>
    </row>
    <row r="3591" spans="1:14" ht="15" customHeight="1" x14ac:dyDescent="0.2">
      <c r="A3591" s="31">
        <v>0.67248489309491344</v>
      </c>
      <c r="B3591" s="31"/>
      <c r="C3591" s="2" t="s">
        <v>855</v>
      </c>
      <c r="D3591" s="31">
        <f t="shared" si="116"/>
        <v>0.13180703904660304</v>
      </c>
      <c r="F3591" s="2" t="s">
        <v>822</v>
      </c>
      <c r="G3591" s="23" t="s">
        <v>902</v>
      </c>
      <c r="H3591" s="2" t="s">
        <v>822</v>
      </c>
      <c r="J3591" s="31">
        <v>32.959999099999997</v>
      </c>
      <c r="K3591" s="31">
        <v>-32.280700699999997</v>
      </c>
      <c r="L3591" s="31"/>
      <c r="M3591" s="31" t="s">
        <v>854</v>
      </c>
      <c r="N3591" s="6" t="s">
        <v>856</v>
      </c>
    </row>
    <row r="3592" spans="1:14" ht="15" customHeight="1" x14ac:dyDescent="0.2">
      <c r="A3592" s="31">
        <v>0.6723990767345972</v>
      </c>
      <c r="B3592" s="31"/>
      <c r="C3592" s="2" t="s">
        <v>855</v>
      </c>
      <c r="D3592" s="31">
        <f t="shared" si="116"/>
        <v>0.13179021903998106</v>
      </c>
      <c r="F3592" s="2" t="s">
        <v>822</v>
      </c>
      <c r="G3592" s="23" t="s">
        <v>902</v>
      </c>
      <c r="H3592" s="2" t="s">
        <v>822</v>
      </c>
      <c r="J3592" s="31">
        <v>35.404399900000001</v>
      </c>
      <c r="K3592" s="31">
        <v>-27.683200800000002</v>
      </c>
      <c r="L3592" s="31"/>
      <c r="M3592" s="31" t="s">
        <v>854</v>
      </c>
      <c r="N3592" s="6" t="s">
        <v>856</v>
      </c>
    </row>
    <row r="3593" spans="1:14" ht="15" customHeight="1" x14ac:dyDescent="0.2">
      <c r="A3593" s="31">
        <v>0.67216656557129584</v>
      </c>
      <c r="B3593" s="31"/>
      <c r="C3593" s="2" t="s">
        <v>855</v>
      </c>
      <c r="D3593" s="31">
        <f t="shared" si="116"/>
        <v>0.13174464685197398</v>
      </c>
      <c r="F3593" s="2" t="s">
        <v>822</v>
      </c>
      <c r="G3593" s="23" t="s">
        <v>902</v>
      </c>
      <c r="H3593" s="2" t="s">
        <v>822</v>
      </c>
      <c r="J3593" s="31">
        <v>54.433799700000002</v>
      </c>
      <c r="K3593" s="31">
        <v>15.2305002</v>
      </c>
      <c r="L3593" s="31"/>
      <c r="M3593" s="31" t="s">
        <v>854</v>
      </c>
      <c r="N3593" s="6" t="s">
        <v>856</v>
      </c>
    </row>
    <row r="3594" spans="1:14" ht="15" customHeight="1" x14ac:dyDescent="0.2">
      <c r="A3594" s="31">
        <v>0.6720790095710556</v>
      </c>
      <c r="B3594" s="31"/>
      <c r="C3594" s="2" t="s">
        <v>855</v>
      </c>
      <c r="D3594" s="31">
        <f t="shared" si="116"/>
        <v>0.13172748587592689</v>
      </c>
      <c r="F3594" s="2" t="s">
        <v>822</v>
      </c>
      <c r="G3594" s="23" t="s">
        <v>902</v>
      </c>
      <c r="H3594" s="2" t="s">
        <v>822</v>
      </c>
      <c r="J3594" s="31">
        <v>50.5646019</v>
      </c>
      <c r="K3594" s="31">
        <v>-6.1836500000000001</v>
      </c>
      <c r="L3594" s="31"/>
      <c r="M3594" s="31" t="s">
        <v>854</v>
      </c>
      <c r="N3594" s="6" t="s">
        <v>856</v>
      </c>
    </row>
    <row r="3595" spans="1:14" ht="15" customHeight="1" x14ac:dyDescent="0.2">
      <c r="A3595" s="31">
        <v>0.67136850538625337</v>
      </c>
      <c r="B3595" s="31"/>
      <c r="C3595" s="2" t="s">
        <v>855</v>
      </c>
      <c r="D3595" s="31">
        <f t="shared" si="116"/>
        <v>0.13158822705570566</v>
      </c>
      <c r="F3595" s="2" t="s">
        <v>822</v>
      </c>
      <c r="G3595" s="23" t="s">
        <v>902</v>
      </c>
      <c r="H3595" s="2" t="s">
        <v>822</v>
      </c>
      <c r="J3595" s="31">
        <v>36.1072998</v>
      </c>
      <c r="K3595" s="31">
        <v>0.193216</v>
      </c>
      <c r="L3595" s="31"/>
      <c r="M3595" s="31" t="s">
        <v>854</v>
      </c>
      <c r="N3595" s="6" t="s">
        <v>856</v>
      </c>
    </row>
    <row r="3596" spans="1:14" ht="15" customHeight="1" x14ac:dyDescent="0.2">
      <c r="A3596" s="31">
        <v>0.67135043628361701</v>
      </c>
      <c r="B3596" s="31"/>
      <c r="C3596" s="2" t="s">
        <v>855</v>
      </c>
      <c r="D3596" s="31">
        <f t="shared" si="116"/>
        <v>0.13158468551158894</v>
      </c>
      <c r="F3596" s="2" t="s">
        <v>822</v>
      </c>
      <c r="G3596" s="23" t="s">
        <v>902</v>
      </c>
      <c r="H3596" s="2" t="s">
        <v>822</v>
      </c>
      <c r="J3596" s="31">
        <v>56.994201699999998</v>
      </c>
      <c r="K3596" s="31">
        <v>10.4083004</v>
      </c>
      <c r="L3596" s="31"/>
      <c r="M3596" s="31" t="s">
        <v>854</v>
      </c>
      <c r="N3596" s="6" t="s">
        <v>856</v>
      </c>
    </row>
    <row r="3597" spans="1:14" ht="15" customHeight="1" x14ac:dyDescent="0.2">
      <c r="A3597" s="31">
        <v>0.67127794303281951</v>
      </c>
      <c r="B3597" s="31"/>
      <c r="C3597" s="2" t="s">
        <v>855</v>
      </c>
      <c r="D3597" s="31">
        <f t="shared" si="116"/>
        <v>0.13157047683443263</v>
      </c>
      <c r="F3597" s="2" t="s">
        <v>822</v>
      </c>
      <c r="G3597" s="23" t="s">
        <v>902</v>
      </c>
      <c r="H3597" s="2" t="s">
        <v>822</v>
      </c>
      <c r="J3597" s="31">
        <v>34.673999799999997</v>
      </c>
      <c r="K3597" s="31">
        <v>-31.844600700000001</v>
      </c>
      <c r="L3597" s="31"/>
      <c r="M3597" s="31" t="s">
        <v>854</v>
      </c>
      <c r="N3597" s="6" t="s">
        <v>856</v>
      </c>
    </row>
    <row r="3598" spans="1:14" ht="15" customHeight="1" x14ac:dyDescent="0.2">
      <c r="A3598" s="31">
        <v>0.67089368440274888</v>
      </c>
      <c r="B3598" s="31"/>
      <c r="C3598" s="2" t="s">
        <v>855</v>
      </c>
      <c r="D3598" s="31">
        <f t="shared" si="116"/>
        <v>0.1314951621429388</v>
      </c>
      <c r="F3598" s="2" t="s">
        <v>822</v>
      </c>
      <c r="G3598" s="23" t="s">
        <v>902</v>
      </c>
      <c r="H3598" s="2" t="s">
        <v>822</v>
      </c>
      <c r="J3598" s="31">
        <v>39.977100399999998</v>
      </c>
      <c r="K3598" s="31">
        <v>13.499899900000001</v>
      </c>
      <c r="L3598" s="31"/>
      <c r="M3598" s="31" t="s">
        <v>854</v>
      </c>
      <c r="N3598" s="6" t="s">
        <v>856</v>
      </c>
    </row>
    <row r="3599" spans="1:14" ht="15" customHeight="1" x14ac:dyDescent="0.2">
      <c r="A3599" s="31">
        <v>0.67060422296356892</v>
      </c>
      <c r="B3599" s="31"/>
      <c r="C3599" s="2" t="s">
        <v>855</v>
      </c>
      <c r="D3599" s="31">
        <f t="shared" si="116"/>
        <v>0.13143842770085951</v>
      </c>
      <c r="F3599" s="2" t="s">
        <v>822</v>
      </c>
      <c r="G3599" s="23" t="s">
        <v>902</v>
      </c>
      <c r="H3599" s="2" t="s">
        <v>822</v>
      </c>
      <c r="J3599" s="31">
        <v>35.164901700000001</v>
      </c>
      <c r="K3599" s="31">
        <v>-31.113599799999999</v>
      </c>
      <c r="L3599" s="31"/>
      <c r="M3599" s="31" t="s">
        <v>854</v>
      </c>
      <c r="N3599" s="6" t="s">
        <v>856</v>
      </c>
    </row>
    <row r="3600" spans="1:14" ht="15" customHeight="1" x14ac:dyDescent="0.2">
      <c r="A3600" s="31">
        <v>0.67055564576041071</v>
      </c>
      <c r="B3600" s="31"/>
      <c r="C3600" s="2" t="s">
        <v>855</v>
      </c>
      <c r="D3600" s="31">
        <f t="shared" si="116"/>
        <v>0.13142890656904049</v>
      </c>
      <c r="F3600" s="2" t="s">
        <v>822</v>
      </c>
      <c r="G3600" s="23" t="s">
        <v>902</v>
      </c>
      <c r="H3600" s="2" t="s">
        <v>822</v>
      </c>
      <c r="J3600" s="31">
        <v>39.6935997</v>
      </c>
      <c r="K3600" s="31">
        <v>-23.187999699999999</v>
      </c>
      <c r="L3600" s="31"/>
      <c r="M3600" s="31" t="s">
        <v>854</v>
      </c>
      <c r="N3600" s="6" t="s">
        <v>856</v>
      </c>
    </row>
    <row r="3601" spans="1:14" ht="15" customHeight="1" x14ac:dyDescent="0.2">
      <c r="A3601" s="31">
        <v>0.67032983797424817</v>
      </c>
      <c r="B3601" s="31"/>
      <c r="C3601" s="2" t="s">
        <v>855</v>
      </c>
      <c r="D3601" s="31">
        <f t="shared" si="116"/>
        <v>0.13138464824295265</v>
      </c>
      <c r="F3601" s="2" t="s">
        <v>822</v>
      </c>
      <c r="G3601" s="23" t="s">
        <v>902</v>
      </c>
      <c r="H3601" s="2" t="s">
        <v>822</v>
      </c>
      <c r="J3601" s="31">
        <v>52.070301100000002</v>
      </c>
      <c r="K3601" s="31">
        <v>-10.211099600000001</v>
      </c>
      <c r="L3601" s="31"/>
      <c r="M3601" s="31" t="s">
        <v>854</v>
      </c>
      <c r="N3601" s="6" t="s">
        <v>856</v>
      </c>
    </row>
    <row r="3602" spans="1:14" ht="15" customHeight="1" x14ac:dyDescent="0.2">
      <c r="A3602" s="31">
        <v>0.67015820721699493</v>
      </c>
      <c r="B3602" s="31"/>
      <c r="C3602" s="2" t="s">
        <v>855</v>
      </c>
      <c r="D3602" s="31">
        <f t="shared" ref="D3602:D3620" si="117" xml:space="preserve"> A3602 * 0.196</f>
        <v>0.131351008614531</v>
      </c>
      <c r="F3602" s="2" t="s">
        <v>822</v>
      </c>
      <c r="G3602" s="23" t="s">
        <v>902</v>
      </c>
      <c r="H3602" s="2" t="s">
        <v>822</v>
      </c>
      <c r="J3602" s="31">
        <v>36.731300400000002</v>
      </c>
      <c r="K3602" s="31">
        <v>10.8598003</v>
      </c>
      <c r="L3602" s="31"/>
      <c r="M3602" s="31" t="s">
        <v>854</v>
      </c>
      <c r="N3602" s="6" t="s">
        <v>856</v>
      </c>
    </row>
    <row r="3603" spans="1:14" ht="15" customHeight="1" x14ac:dyDescent="0.2">
      <c r="A3603" s="31">
        <v>0.67015582482129965</v>
      </c>
      <c r="B3603" s="31"/>
      <c r="C3603" s="2" t="s">
        <v>855</v>
      </c>
      <c r="D3603" s="31">
        <f t="shared" si="117"/>
        <v>0.13135054166497473</v>
      </c>
      <c r="F3603" s="2" t="s">
        <v>822</v>
      </c>
      <c r="G3603" s="23" t="s">
        <v>902</v>
      </c>
      <c r="H3603" s="2" t="s">
        <v>822</v>
      </c>
      <c r="J3603" s="31">
        <v>26.040000899999999</v>
      </c>
      <c r="K3603" s="31">
        <v>-37.883998900000002</v>
      </c>
      <c r="L3603" s="31"/>
      <c r="M3603" s="31" t="s">
        <v>854</v>
      </c>
      <c r="N3603" s="6" t="s">
        <v>856</v>
      </c>
    </row>
    <row r="3604" spans="1:14" ht="15" customHeight="1" x14ac:dyDescent="0.2">
      <c r="A3604" s="31">
        <v>0.67012780988681875</v>
      </c>
      <c r="B3604" s="31"/>
      <c r="C3604" s="2" t="s">
        <v>855</v>
      </c>
      <c r="D3604" s="31">
        <f t="shared" si="117"/>
        <v>0.13134505073781649</v>
      </c>
      <c r="F3604" s="2" t="s">
        <v>822</v>
      </c>
      <c r="G3604" s="23" t="s">
        <v>902</v>
      </c>
      <c r="H3604" s="2" t="s">
        <v>822</v>
      </c>
      <c r="J3604" s="31">
        <v>34.723998999999999</v>
      </c>
      <c r="K3604" s="31">
        <v>-19.1800003</v>
      </c>
      <c r="L3604" s="31"/>
      <c r="M3604" s="31" t="s">
        <v>854</v>
      </c>
      <c r="N3604" s="6" t="s">
        <v>856</v>
      </c>
    </row>
    <row r="3605" spans="1:14" ht="15" customHeight="1" x14ac:dyDescent="0.2">
      <c r="A3605" s="31">
        <v>0.670094010343675</v>
      </c>
      <c r="B3605" s="31"/>
      <c r="C3605" s="2" t="s">
        <v>855</v>
      </c>
      <c r="D3605" s="31">
        <f t="shared" si="117"/>
        <v>0.13133842602736032</v>
      </c>
      <c r="F3605" s="2" t="s">
        <v>822</v>
      </c>
      <c r="G3605" s="23" t="s">
        <v>902</v>
      </c>
      <c r="H3605" s="2" t="s">
        <v>822</v>
      </c>
      <c r="J3605" s="31">
        <v>37.262298600000001</v>
      </c>
      <c r="K3605" s="31">
        <v>-26.606300399999999</v>
      </c>
      <c r="L3605" s="31"/>
      <c r="M3605" s="31" t="s">
        <v>854</v>
      </c>
      <c r="N3605" s="6" t="s">
        <v>856</v>
      </c>
    </row>
    <row r="3606" spans="1:14" ht="15" customHeight="1" x14ac:dyDescent="0.2">
      <c r="A3606" s="31">
        <v>0.66976395198139771</v>
      </c>
      <c r="B3606" s="31"/>
      <c r="C3606" s="2" t="s">
        <v>855</v>
      </c>
      <c r="D3606" s="31">
        <f t="shared" si="117"/>
        <v>0.13127373458835395</v>
      </c>
      <c r="F3606" s="2" t="s">
        <v>822</v>
      </c>
      <c r="G3606" s="23" t="s">
        <v>902</v>
      </c>
      <c r="H3606" s="2" t="s">
        <v>822</v>
      </c>
      <c r="J3606" s="31">
        <v>55.209201800000002</v>
      </c>
      <c r="K3606" s="31">
        <v>-8.0929804000000001</v>
      </c>
      <c r="L3606" s="31"/>
      <c r="M3606" s="31" t="s">
        <v>854</v>
      </c>
      <c r="N3606" s="6" t="s">
        <v>856</v>
      </c>
    </row>
    <row r="3607" spans="1:14" ht="15" customHeight="1" x14ac:dyDescent="0.2">
      <c r="A3607" s="31">
        <v>0.66953320488034329</v>
      </c>
      <c r="B3607" s="31"/>
      <c r="C3607" s="2" t="s">
        <v>855</v>
      </c>
      <c r="D3607" s="31">
        <f t="shared" si="117"/>
        <v>0.1312285081565473</v>
      </c>
      <c r="F3607" s="2" t="s">
        <v>822</v>
      </c>
      <c r="G3607" s="23" t="s">
        <v>902</v>
      </c>
      <c r="H3607" s="2" t="s">
        <v>822</v>
      </c>
      <c r="J3607" s="31">
        <v>36.060001399999997</v>
      </c>
      <c r="K3607" s="31">
        <v>-26.527999900000001</v>
      </c>
      <c r="L3607" s="31"/>
      <c r="M3607" s="31" t="s">
        <v>854</v>
      </c>
      <c r="N3607" s="6" t="s">
        <v>856</v>
      </c>
    </row>
    <row r="3608" spans="1:14" ht="15" customHeight="1" x14ac:dyDescent="0.2">
      <c r="A3608" s="31">
        <v>0.66941582757784912</v>
      </c>
      <c r="B3608" s="31"/>
      <c r="C3608" s="2" t="s">
        <v>855</v>
      </c>
      <c r="D3608" s="31">
        <f t="shared" si="117"/>
        <v>0.13120550220525842</v>
      </c>
      <c r="F3608" s="2" t="s">
        <v>822</v>
      </c>
      <c r="G3608" s="23" t="s">
        <v>902</v>
      </c>
      <c r="H3608" s="2" t="s">
        <v>822</v>
      </c>
      <c r="J3608" s="31">
        <v>34.723998999999999</v>
      </c>
      <c r="K3608" s="31">
        <v>-29.200000800000002</v>
      </c>
      <c r="L3608" s="31"/>
      <c r="M3608" s="31" t="s">
        <v>854</v>
      </c>
      <c r="N3608" s="6" t="s">
        <v>856</v>
      </c>
    </row>
    <row r="3609" spans="1:14" ht="15" customHeight="1" x14ac:dyDescent="0.2">
      <c r="A3609" s="31">
        <v>0.6690886416480788</v>
      </c>
      <c r="B3609" s="31"/>
      <c r="C3609" s="2" t="s">
        <v>855</v>
      </c>
      <c r="D3609" s="31">
        <f t="shared" si="117"/>
        <v>0.13114137376302346</v>
      </c>
      <c r="F3609" s="2" t="s">
        <v>822</v>
      </c>
      <c r="G3609" s="23" t="s">
        <v>902</v>
      </c>
      <c r="H3609" s="2" t="s">
        <v>822</v>
      </c>
      <c r="J3609" s="31">
        <v>39.097000100000002</v>
      </c>
      <c r="K3609" s="31">
        <v>13.457300200000001</v>
      </c>
      <c r="L3609" s="31"/>
      <c r="M3609" s="31" t="s">
        <v>854</v>
      </c>
      <c r="N3609" s="6" t="s">
        <v>856</v>
      </c>
    </row>
    <row r="3610" spans="1:14" ht="15" customHeight="1" x14ac:dyDescent="0.2">
      <c r="A3610" s="31">
        <v>0.66900058879772017</v>
      </c>
      <c r="B3610" s="31"/>
      <c r="C3610" s="2" t="s">
        <v>855</v>
      </c>
      <c r="D3610" s="31">
        <f t="shared" si="117"/>
        <v>0.13112411540435315</v>
      </c>
      <c r="F3610" s="2" t="s">
        <v>822</v>
      </c>
      <c r="G3610" s="23" t="s">
        <v>902</v>
      </c>
      <c r="H3610" s="2" t="s">
        <v>822</v>
      </c>
      <c r="J3610" s="31">
        <v>37.3667984</v>
      </c>
      <c r="K3610" s="31">
        <v>25.110599499999999</v>
      </c>
      <c r="L3610" s="31"/>
      <c r="M3610" s="31" t="s">
        <v>854</v>
      </c>
      <c r="N3610" s="6" t="s">
        <v>856</v>
      </c>
    </row>
    <row r="3611" spans="1:14" ht="15" customHeight="1" x14ac:dyDescent="0.2">
      <c r="A3611" s="31">
        <v>0.66895436620350202</v>
      </c>
      <c r="B3611" s="31"/>
      <c r="C3611" s="2" t="s">
        <v>855</v>
      </c>
      <c r="D3611" s="31">
        <f t="shared" si="117"/>
        <v>0.13111505577588639</v>
      </c>
      <c r="F3611" s="2" t="s">
        <v>822</v>
      </c>
      <c r="G3611" s="23" t="s">
        <v>902</v>
      </c>
      <c r="H3611" s="2" t="s">
        <v>822</v>
      </c>
      <c r="J3611" s="31">
        <v>55.509300199999998</v>
      </c>
      <c r="K3611" s="31">
        <v>5.3146199999999997</v>
      </c>
      <c r="L3611" s="31"/>
      <c r="M3611" s="31" t="s">
        <v>854</v>
      </c>
      <c r="N3611" s="6" t="s">
        <v>856</v>
      </c>
    </row>
    <row r="3612" spans="1:14" ht="15" customHeight="1" x14ac:dyDescent="0.2">
      <c r="A3612" s="31">
        <v>0.6688605939366562</v>
      </c>
      <c r="B3612" s="31"/>
      <c r="C3612" s="2" t="s">
        <v>855</v>
      </c>
      <c r="D3612" s="31">
        <f t="shared" si="117"/>
        <v>0.13109667641158462</v>
      </c>
      <c r="F3612" s="2" t="s">
        <v>822</v>
      </c>
      <c r="G3612" s="23" t="s">
        <v>902</v>
      </c>
      <c r="H3612" s="2" t="s">
        <v>822</v>
      </c>
      <c r="J3612" s="31">
        <v>34.055999800000002</v>
      </c>
      <c r="K3612" s="31">
        <v>-27.195999100000002</v>
      </c>
      <c r="L3612" s="31"/>
      <c r="M3612" s="31" t="s">
        <v>854</v>
      </c>
      <c r="N3612" s="6" t="s">
        <v>856</v>
      </c>
    </row>
    <row r="3613" spans="1:14" ht="15" customHeight="1" x14ac:dyDescent="0.2">
      <c r="A3613" s="31">
        <v>0.66883865862255731</v>
      </c>
      <c r="B3613" s="31"/>
      <c r="C3613" s="2" t="s">
        <v>855</v>
      </c>
      <c r="D3613" s="31">
        <f t="shared" si="117"/>
        <v>0.13109237709002125</v>
      </c>
      <c r="F3613" s="2" t="s">
        <v>822</v>
      </c>
      <c r="G3613" s="23" t="s">
        <v>902</v>
      </c>
      <c r="H3613" s="2" t="s">
        <v>822</v>
      </c>
      <c r="J3613" s="31">
        <v>35.605800600000002</v>
      </c>
      <c r="K3613" s="31">
        <v>-30.612300900000001</v>
      </c>
      <c r="L3613" s="31"/>
      <c r="M3613" s="31" t="s">
        <v>854</v>
      </c>
      <c r="N3613" s="6" t="s">
        <v>856</v>
      </c>
    </row>
    <row r="3614" spans="1:14" ht="15" customHeight="1" x14ac:dyDescent="0.2">
      <c r="A3614" s="31">
        <v>0.66869351730856896</v>
      </c>
      <c r="B3614" s="31"/>
      <c r="C3614" s="2" t="s">
        <v>855</v>
      </c>
      <c r="D3614" s="31">
        <f t="shared" si="117"/>
        <v>0.13106392939247952</v>
      </c>
      <c r="F3614" s="2" t="s">
        <v>822</v>
      </c>
      <c r="G3614" s="23" t="s">
        <v>902</v>
      </c>
      <c r="H3614" s="2" t="s">
        <v>822</v>
      </c>
      <c r="J3614" s="31">
        <v>34.723998999999999</v>
      </c>
      <c r="K3614" s="31">
        <v>-15.8400002</v>
      </c>
      <c r="L3614" s="31"/>
      <c r="M3614" s="31" t="s">
        <v>854</v>
      </c>
      <c r="N3614" s="6" t="s">
        <v>856</v>
      </c>
    </row>
    <row r="3615" spans="1:14" ht="15" customHeight="1" x14ac:dyDescent="0.2">
      <c r="A3615" s="31">
        <v>0.66856754268564167</v>
      </c>
      <c r="B3615" s="31"/>
      <c r="C3615" s="2" t="s">
        <v>855</v>
      </c>
      <c r="D3615" s="31">
        <f t="shared" si="117"/>
        <v>0.13103923836638579</v>
      </c>
      <c r="F3615" s="2" t="s">
        <v>822</v>
      </c>
      <c r="G3615" s="23" t="s">
        <v>902</v>
      </c>
      <c r="H3615" s="2" t="s">
        <v>822</v>
      </c>
      <c r="J3615" s="31">
        <v>33.0503006</v>
      </c>
      <c r="K3615" s="31">
        <v>-24.523700699999999</v>
      </c>
      <c r="L3615" s="31"/>
      <c r="M3615" s="31" t="s">
        <v>854</v>
      </c>
      <c r="N3615" s="6" t="s">
        <v>856</v>
      </c>
    </row>
    <row r="3616" spans="1:14" ht="15" customHeight="1" x14ac:dyDescent="0.2">
      <c r="A3616" s="31">
        <v>0.66835767927807532</v>
      </c>
      <c r="B3616" s="31"/>
      <c r="C3616" s="2" t="s">
        <v>855</v>
      </c>
      <c r="D3616" s="31">
        <f t="shared" si="117"/>
        <v>0.13099810513850277</v>
      </c>
      <c r="F3616" s="2" t="s">
        <v>822</v>
      </c>
      <c r="G3616" s="23" t="s">
        <v>902</v>
      </c>
      <c r="H3616" s="2" t="s">
        <v>822</v>
      </c>
      <c r="J3616" s="31">
        <v>42.6366005</v>
      </c>
      <c r="K3616" s="31">
        <v>-17.198900200000001</v>
      </c>
      <c r="L3616" s="31"/>
      <c r="M3616" s="31" t="s">
        <v>854</v>
      </c>
      <c r="N3616" s="6" t="s">
        <v>856</v>
      </c>
    </row>
    <row r="3617" spans="1:14" ht="15" customHeight="1" x14ac:dyDescent="0.2">
      <c r="A3617" s="31">
        <v>0.66831950483114677</v>
      </c>
      <c r="B3617" s="31"/>
      <c r="C3617" s="2" t="s">
        <v>855</v>
      </c>
      <c r="D3617" s="31">
        <f t="shared" si="117"/>
        <v>0.13099062294690478</v>
      </c>
      <c r="F3617" s="2" t="s">
        <v>822</v>
      </c>
      <c r="G3617" s="23" t="s">
        <v>902</v>
      </c>
      <c r="H3617" s="2" t="s">
        <v>822</v>
      </c>
      <c r="J3617" s="31">
        <v>33.388000499999997</v>
      </c>
      <c r="K3617" s="31">
        <v>-12.5</v>
      </c>
      <c r="L3617" s="31"/>
      <c r="M3617" s="31" t="s">
        <v>854</v>
      </c>
      <c r="N3617" s="6" t="s">
        <v>856</v>
      </c>
    </row>
    <row r="3618" spans="1:14" ht="15" customHeight="1" x14ac:dyDescent="0.2">
      <c r="A3618" s="31">
        <v>0.66823499923206708</v>
      </c>
      <c r="B3618" s="31"/>
      <c r="C3618" s="2" t="s">
        <v>855</v>
      </c>
      <c r="D3618" s="31">
        <f t="shared" si="117"/>
        <v>0.13097405984948515</v>
      </c>
      <c r="F3618" s="2" t="s">
        <v>822</v>
      </c>
      <c r="G3618" s="23" t="s">
        <v>902</v>
      </c>
      <c r="H3618" s="2" t="s">
        <v>822</v>
      </c>
      <c r="J3618" s="31">
        <v>34.322498299999999</v>
      </c>
      <c r="K3618" s="31">
        <v>24.556699800000001</v>
      </c>
      <c r="L3618" s="31"/>
      <c r="M3618" s="31" t="s">
        <v>854</v>
      </c>
      <c r="N3618" s="6" t="s">
        <v>856</v>
      </c>
    </row>
    <row r="3619" spans="1:14" ht="15" customHeight="1" x14ac:dyDescent="0.2">
      <c r="A3619" s="31">
        <v>0.66819463109562904</v>
      </c>
      <c r="B3619" s="31"/>
      <c r="C3619" s="2" t="s">
        <v>855</v>
      </c>
      <c r="D3619" s="31">
        <f t="shared" si="117"/>
        <v>0.1309661476947433</v>
      </c>
      <c r="F3619" s="2" t="s">
        <v>822</v>
      </c>
      <c r="G3619" s="23" t="s">
        <v>902</v>
      </c>
      <c r="H3619" s="2" t="s">
        <v>822</v>
      </c>
      <c r="J3619" s="31">
        <v>42.071998600000001</v>
      </c>
      <c r="K3619" s="31">
        <v>-36.548000299999998</v>
      </c>
      <c r="L3619" s="31"/>
      <c r="M3619" s="31" t="s">
        <v>854</v>
      </c>
      <c r="N3619" s="6" t="s">
        <v>856</v>
      </c>
    </row>
    <row r="3620" spans="1:14" ht="15" customHeight="1" x14ac:dyDescent="0.2">
      <c r="A3620" s="31">
        <v>0.66814002351772739</v>
      </c>
      <c r="B3620" s="31"/>
      <c r="C3620" s="2" t="s">
        <v>855</v>
      </c>
      <c r="D3620" s="31">
        <f t="shared" si="117"/>
        <v>0.13095544460947459</v>
      </c>
      <c r="F3620" s="2" t="s">
        <v>822</v>
      </c>
      <c r="G3620" s="23" t="s">
        <v>902</v>
      </c>
      <c r="H3620" s="2" t="s">
        <v>822</v>
      </c>
      <c r="J3620" s="31">
        <v>37.755699200000002</v>
      </c>
      <c r="K3620" s="31">
        <v>-23.068300199999999</v>
      </c>
      <c r="L3620" s="31"/>
      <c r="M3620" s="31" t="s">
        <v>854</v>
      </c>
      <c r="N3620" s="6" t="s">
        <v>856</v>
      </c>
    </row>
    <row r="3621" spans="1:14" ht="15" customHeight="1" x14ac:dyDescent="0.2">
      <c r="A3621" s="22">
        <v>0.13092362788395379</v>
      </c>
      <c r="B3621" s="22"/>
      <c r="C3621" s="2" t="s">
        <v>891</v>
      </c>
      <c r="D3621" s="2">
        <f>A3621</f>
        <v>0.13092362788395379</v>
      </c>
      <c r="F3621" s="2">
        <v>2023</v>
      </c>
      <c r="G3621" s="23" t="s">
        <v>902</v>
      </c>
      <c r="H3621" s="2" t="s">
        <v>771</v>
      </c>
      <c r="I3621" s="23" t="s">
        <v>189</v>
      </c>
      <c r="J3621" s="23">
        <v>58077387</v>
      </c>
      <c r="K3621" s="23">
        <v>11813527</v>
      </c>
      <c r="L3621" s="23" t="s">
        <v>819</v>
      </c>
      <c r="M3621" s="2" t="s">
        <v>825</v>
      </c>
      <c r="N3621" s="6" t="s">
        <v>828</v>
      </c>
    </row>
    <row r="3622" spans="1:14" ht="15" customHeight="1" x14ac:dyDescent="0.2">
      <c r="A3622" s="31">
        <v>0.66797155897220173</v>
      </c>
      <c r="B3622" s="31"/>
      <c r="C3622" s="2" t="s">
        <v>855</v>
      </c>
      <c r="D3622" s="31">
        <f t="shared" ref="D3622:D3654" si="118" xml:space="preserve"> A3622 * 0.196</f>
        <v>0.13092242555855155</v>
      </c>
      <c r="F3622" s="2" t="s">
        <v>822</v>
      </c>
      <c r="G3622" s="23" t="s">
        <v>902</v>
      </c>
      <c r="H3622" s="2" t="s">
        <v>822</v>
      </c>
      <c r="J3622" s="31">
        <v>49.419998200000002</v>
      </c>
      <c r="K3622" s="31">
        <v>-13.8360004</v>
      </c>
      <c r="L3622" s="31"/>
      <c r="M3622" s="31" t="s">
        <v>854</v>
      </c>
      <c r="N3622" s="6" t="s">
        <v>856</v>
      </c>
    </row>
    <row r="3623" spans="1:14" ht="15" customHeight="1" x14ac:dyDescent="0.2">
      <c r="A3623" s="31">
        <v>0.66796542887731514</v>
      </c>
      <c r="B3623" s="31"/>
      <c r="C3623" s="2" t="s">
        <v>855</v>
      </c>
      <c r="D3623" s="31">
        <f t="shared" si="118"/>
        <v>0.13092122405995377</v>
      </c>
      <c r="F3623" s="2" t="s">
        <v>822</v>
      </c>
      <c r="G3623" s="23" t="s">
        <v>902</v>
      </c>
      <c r="H3623" s="2" t="s">
        <v>822</v>
      </c>
      <c r="J3623" s="31">
        <v>31.513999900000002</v>
      </c>
      <c r="K3623" s="31">
        <v>16.120799999999999</v>
      </c>
      <c r="L3623" s="31"/>
      <c r="M3623" s="31" t="s">
        <v>854</v>
      </c>
      <c r="N3623" s="6" t="s">
        <v>856</v>
      </c>
    </row>
    <row r="3624" spans="1:14" ht="15" customHeight="1" x14ac:dyDescent="0.2">
      <c r="A3624" s="31">
        <v>0.66789981222627615</v>
      </c>
      <c r="B3624" s="31"/>
      <c r="C3624" s="2" t="s">
        <v>855</v>
      </c>
      <c r="D3624" s="31">
        <f t="shared" si="118"/>
        <v>0.13090836319635013</v>
      </c>
      <c r="F3624" s="2" t="s">
        <v>822</v>
      </c>
      <c r="G3624" s="23" t="s">
        <v>902</v>
      </c>
      <c r="H3624" s="2" t="s">
        <v>822</v>
      </c>
      <c r="J3624" s="31">
        <v>46.4651985</v>
      </c>
      <c r="K3624" s="31">
        <v>-41.305900600000001</v>
      </c>
      <c r="L3624" s="31"/>
      <c r="M3624" s="31" t="s">
        <v>854</v>
      </c>
      <c r="N3624" s="6" t="s">
        <v>856</v>
      </c>
    </row>
    <row r="3625" spans="1:14" ht="15" customHeight="1" x14ac:dyDescent="0.2">
      <c r="A3625" s="31">
        <v>0.66781548021997061</v>
      </c>
      <c r="B3625" s="31"/>
      <c r="C3625" s="2" t="s">
        <v>855</v>
      </c>
      <c r="D3625" s="31">
        <f t="shared" si="118"/>
        <v>0.13089183412311425</v>
      </c>
      <c r="F3625" s="2" t="s">
        <v>822</v>
      </c>
      <c r="G3625" s="23" t="s">
        <v>902</v>
      </c>
      <c r="H3625" s="2" t="s">
        <v>822</v>
      </c>
      <c r="J3625" s="31">
        <v>56.591499300000002</v>
      </c>
      <c r="K3625" s="31">
        <v>-5.3434200000000001</v>
      </c>
      <c r="L3625" s="31"/>
      <c r="M3625" s="31" t="s">
        <v>854</v>
      </c>
      <c r="N3625" s="6" t="s">
        <v>856</v>
      </c>
    </row>
    <row r="3626" spans="1:14" ht="15" customHeight="1" x14ac:dyDescent="0.2">
      <c r="A3626" s="31">
        <v>0.66768876796647647</v>
      </c>
      <c r="B3626" s="31"/>
      <c r="C3626" s="2" t="s">
        <v>855</v>
      </c>
      <c r="D3626" s="31">
        <f t="shared" si="118"/>
        <v>0.13086699852142938</v>
      </c>
      <c r="F3626" s="2" t="s">
        <v>822</v>
      </c>
      <c r="G3626" s="23" t="s">
        <v>902</v>
      </c>
      <c r="H3626" s="2" t="s">
        <v>822</v>
      </c>
      <c r="J3626" s="31">
        <v>45.050800299999999</v>
      </c>
      <c r="K3626" s="31">
        <v>-18.080299400000001</v>
      </c>
      <c r="L3626" s="31"/>
      <c r="M3626" s="31" t="s">
        <v>854</v>
      </c>
      <c r="N3626" s="6" t="s">
        <v>856</v>
      </c>
    </row>
    <row r="3627" spans="1:14" ht="15" customHeight="1" x14ac:dyDescent="0.2">
      <c r="A3627" s="31">
        <v>0.66726350217943209</v>
      </c>
      <c r="B3627" s="31"/>
      <c r="C3627" s="2" t="s">
        <v>855</v>
      </c>
      <c r="D3627" s="31">
        <f t="shared" si="118"/>
        <v>0.13078364642716869</v>
      </c>
      <c r="F3627" s="2" t="s">
        <v>822</v>
      </c>
      <c r="G3627" s="23" t="s">
        <v>902</v>
      </c>
      <c r="H3627" s="2" t="s">
        <v>822</v>
      </c>
      <c r="J3627" s="31">
        <v>36.173301700000003</v>
      </c>
      <c r="K3627" s="31">
        <v>-23.289199799999999</v>
      </c>
      <c r="L3627" s="31"/>
      <c r="M3627" s="31" t="s">
        <v>854</v>
      </c>
      <c r="N3627" s="6" t="s">
        <v>856</v>
      </c>
    </row>
    <row r="3628" spans="1:14" ht="15" customHeight="1" x14ac:dyDescent="0.2">
      <c r="A3628" s="31">
        <v>0.66723213692955174</v>
      </c>
      <c r="B3628" s="31"/>
      <c r="C3628" s="2" t="s">
        <v>855</v>
      </c>
      <c r="D3628" s="31">
        <f t="shared" si="118"/>
        <v>0.13077749883819215</v>
      </c>
      <c r="F3628" s="2" t="s">
        <v>822</v>
      </c>
      <c r="G3628" s="23" t="s">
        <v>902</v>
      </c>
      <c r="H3628" s="2" t="s">
        <v>822</v>
      </c>
      <c r="J3628" s="31">
        <v>54.880798300000002</v>
      </c>
      <c r="K3628" s="31">
        <v>-8.9117098000000006</v>
      </c>
      <c r="L3628" s="31"/>
      <c r="M3628" s="31" t="s">
        <v>854</v>
      </c>
      <c r="N3628" s="6" t="s">
        <v>856</v>
      </c>
    </row>
    <row r="3629" spans="1:14" ht="15" customHeight="1" x14ac:dyDescent="0.2">
      <c r="A3629" s="31">
        <v>0.66708594643812558</v>
      </c>
      <c r="B3629" s="31"/>
      <c r="C3629" s="2" t="s">
        <v>855</v>
      </c>
      <c r="D3629" s="31">
        <f t="shared" si="118"/>
        <v>0.13074884550187263</v>
      </c>
      <c r="F3629" s="2" t="s">
        <v>822</v>
      </c>
      <c r="G3629" s="23" t="s">
        <v>902</v>
      </c>
      <c r="H3629" s="2" t="s">
        <v>822</v>
      </c>
      <c r="J3629" s="31">
        <v>36.728000600000001</v>
      </c>
      <c r="K3629" s="31">
        <v>-36.548000299999998</v>
      </c>
      <c r="L3629" s="31"/>
      <c r="M3629" s="31" t="s">
        <v>854</v>
      </c>
      <c r="N3629" s="6" t="s">
        <v>856</v>
      </c>
    </row>
    <row r="3630" spans="1:14" ht="15" customHeight="1" x14ac:dyDescent="0.2">
      <c r="A3630" s="31">
        <v>0.66700778320311682</v>
      </c>
      <c r="B3630" s="31"/>
      <c r="C3630" s="2" t="s">
        <v>855</v>
      </c>
      <c r="D3630" s="31">
        <f t="shared" si="118"/>
        <v>0.13073352550781089</v>
      </c>
      <c r="F3630" s="2" t="s">
        <v>822</v>
      </c>
      <c r="G3630" s="23" t="s">
        <v>902</v>
      </c>
      <c r="H3630" s="2" t="s">
        <v>822</v>
      </c>
      <c r="J3630" s="31">
        <v>35.334499399999999</v>
      </c>
      <c r="K3630" s="31">
        <v>32.087200199999998</v>
      </c>
      <c r="L3630" s="31"/>
      <c r="M3630" s="31" t="s">
        <v>854</v>
      </c>
      <c r="N3630" s="6" t="s">
        <v>856</v>
      </c>
    </row>
    <row r="3631" spans="1:14" ht="15" customHeight="1" x14ac:dyDescent="0.2">
      <c r="A3631" s="31">
        <v>0.66700474526249776</v>
      </c>
      <c r="B3631" s="31"/>
      <c r="C3631" s="2" t="s">
        <v>855</v>
      </c>
      <c r="D3631" s="31">
        <f t="shared" si="118"/>
        <v>0.13073293007144957</v>
      </c>
      <c r="F3631" s="2" t="s">
        <v>822</v>
      </c>
      <c r="G3631" s="23" t="s">
        <v>902</v>
      </c>
      <c r="H3631" s="2" t="s">
        <v>822</v>
      </c>
      <c r="J3631" s="31">
        <v>29.3799992</v>
      </c>
      <c r="K3631" s="31">
        <v>-31.204000499999999</v>
      </c>
      <c r="L3631" s="31"/>
      <c r="M3631" s="31" t="s">
        <v>854</v>
      </c>
      <c r="N3631" s="6" t="s">
        <v>856</v>
      </c>
    </row>
    <row r="3632" spans="1:14" ht="15" customHeight="1" x14ac:dyDescent="0.2">
      <c r="A3632" s="31">
        <v>0.66699375105012659</v>
      </c>
      <c r="B3632" s="31"/>
      <c r="C3632" s="2" t="s">
        <v>855</v>
      </c>
      <c r="D3632" s="31">
        <f t="shared" si="118"/>
        <v>0.13073077520582482</v>
      </c>
      <c r="F3632" s="2" t="s">
        <v>822</v>
      </c>
      <c r="G3632" s="23" t="s">
        <v>902</v>
      </c>
      <c r="H3632" s="2" t="s">
        <v>822</v>
      </c>
      <c r="J3632" s="31">
        <v>42.412399299999997</v>
      </c>
      <c r="K3632" s="31">
        <v>-20.186800000000002</v>
      </c>
      <c r="L3632" s="31"/>
      <c r="M3632" s="31" t="s">
        <v>854</v>
      </c>
      <c r="N3632" s="6" t="s">
        <v>856</v>
      </c>
    </row>
    <row r="3633" spans="1:14" ht="15" customHeight="1" x14ac:dyDescent="0.2">
      <c r="A3633" s="31">
        <v>0.66688666428125798</v>
      </c>
      <c r="B3633" s="31"/>
      <c r="C3633" s="2" t="s">
        <v>855</v>
      </c>
      <c r="D3633" s="31">
        <f t="shared" si="118"/>
        <v>0.13070978619912657</v>
      </c>
      <c r="F3633" s="2" t="s">
        <v>822</v>
      </c>
      <c r="G3633" s="23" t="s">
        <v>902</v>
      </c>
      <c r="H3633" s="2" t="s">
        <v>822</v>
      </c>
      <c r="J3633" s="31">
        <v>31.528900100000001</v>
      </c>
      <c r="K3633" s="31">
        <v>15.9378004</v>
      </c>
      <c r="L3633" s="31"/>
      <c r="M3633" s="31" t="s">
        <v>854</v>
      </c>
      <c r="N3633" s="6" t="s">
        <v>856</v>
      </c>
    </row>
    <row r="3634" spans="1:14" ht="15" customHeight="1" x14ac:dyDescent="0.2">
      <c r="A3634" s="31">
        <v>0.66678496297124201</v>
      </c>
      <c r="B3634" s="31"/>
      <c r="C3634" s="2" t="s">
        <v>855</v>
      </c>
      <c r="D3634" s="31">
        <f t="shared" si="118"/>
        <v>0.13068985274236344</v>
      </c>
      <c r="F3634" s="2" t="s">
        <v>822</v>
      </c>
      <c r="G3634" s="23" t="s">
        <v>902</v>
      </c>
      <c r="H3634" s="2" t="s">
        <v>822</v>
      </c>
      <c r="J3634" s="31">
        <v>53.123600000000003</v>
      </c>
      <c r="K3634" s="31">
        <v>-4.9151601999999999</v>
      </c>
      <c r="L3634" s="31"/>
      <c r="M3634" s="31" t="s">
        <v>854</v>
      </c>
      <c r="N3634" s="6" t="s">
        <v>856</v>
      </c>
    </row>
    <row r="3635" spans="1:14" ht="15" customHeight="1" x14ac:dyDescent="0.2">
      <c r="A3635" s="31">
        <v>0.6666423382144312</v>
      </c>
      <c r="B3635" s="31"/>
      <c r="C3635" s="2" t="s">
        <v>855</v>
      </c>
      <c r="D3635" s="31">
        <f t="shared" si="118"/>
        <v>0.13066189829002853</v>
      </c>
      <c r="F3635" s="2" t="s">
        <v>822</v>
      </c>
      <c r="G3635" s="23" t="s">
        <v>902</v>
      </c>
      <c r="H3635" s="2" t="s">
        <v>822</v>
      </c>
      <c r="J3635" s="31">
        <v>36.740501399999999</v>
      </c>
      <c r="K3635" s="31">
        <v>-20.483499500000001</v>
      </c>
      <c r="L3635" s="31"/>
      <c r="M3635" s="31" t="s">
        <v>854</v>
      </c>
      <c r="N3635" s="6" t="s">
        <v>856</v>
      </c>
    </row>
    <row r="3636" spans="1:14" ht="15" customHeight="1" x14ac:dyDescent="0.2">
      <c r="A3636" s="31">
        <v>0.66574386949589703</v>
      </c>
      <c r="B3636" s="31"/>
      <c r="C3636" s="2" t="s">
        <v>855</v>
      </c>
      <c r="D3636" s="31">
        <f t="shared" si="118"/>
        <v>0.13048579842119581</v>
      </c>
      <c r="F3636" s="2" t="s">
        <v>822</v>
      </c>
      <c r="G3636" s="23" t="s">
        <v>902</v>
      </c>
      <c r="H3636" s="2" t="s">
        <v>822</v>
      </c>
      <c r="J3636" s="31">
        <v>40.006401099999998</v>
      </c>
      <c r="K3636" s="31">
        <v>5.5046301</v>
      </c>
      <c r="L3636" s="31"/>
      <c r="M3636" s="31" t="s">
        <v>854</v>
      </c>
      <c r="N3636" s="6" t="s">
        <v>856</v>
      </c>
    </row>
    <row r="3637" spans="1:14" ht="15" customHeight="1" x14ac:dyDescent="0.2">
      <c r="A3637" s="31">
        <v>0.66571917745654852</v>
      </c>
      <c r="B3637" s="31"/>
      <c r="C3637" s="2" t="s">
        <v>855</v>
      </c>
      <c r="D3637" s="31">
        <f t="shared" si="118"/>
        <v>0.13048095878148352</v>
      </c>
      <c r="F3637" s="2" t="s">
        <v>822</v>
      </c>
      <c r="G3637" s="23" t="s">
        <v>902</v>
      </c>
      <c r="H3637" s="2" t="s">
        <v>822</v>
      </c>
      <c r="J3637" s="31">
        <v>42.154598200000002</v>
      </c>
      <c r="K3637" s="31">
        <v>6.0538401999999998</v>
      </c>
      <c r="L3637" s="31"/>
      <c r="M3637" s="31" t="s">
        <v>854</v>
      </c>
      <c r="N3637" s="6" t="s">
        <v>856</v>
      </c>
    </row>
    <row r="3638" spans="1:14" ht="15" customHeight="1" x14ac:dyDescent="0.2">
      <c r="A3638" s="31">
        <v>0.66542106984390581</v>
      </c>
      <c r="B3638" s="31"/>
      <c r="C3638" s="2" t="s">
        <v>855</v>
      </c>
      <c r="D3638" s="31">
        <f t="shared" si="118"/>
        <v>0.13042252968940554</v>
      </c>
      <c r="F3638" s="2" t="s">
        <v>822</v>
      </c>
      <c r="G3638" s="23" t="s">
        <v>902</v>
      </c>
      <c r="H3638" s="2" t="s">
        <v>822</v>
      </c>
      <c r="J3638" s="31">
        <v>37.4762001</v>
      </c>
      <c r="K3638" s="31">
        <v>-8.8622799000000008</v>
      </c>
      <c r="L3638" s="31"/>
      <c r="M3638" s="31" t="s">
        <v>854</v>
      </c>
      <c r="N3638" s="6" t="s">
        <v>856</v>
      </c>
    </row>
    <row r="3639" spans="1:14" ht="15" customHeight="1" x14ac:dyDescent="0.2">
      <c r="A3639" s="31">
        <v>0.66539481226339103</v>
      </c>
      <c r="B3639" s="31"/>
      <c r="C3639" s="2" t="s">
        <v>855</v>
      </c>
      <c r="D3639" s="31">
        <f t="shared" si="118"/>
        <v>0.13041738320362464</v>
      </c>
      <c r="F3639" s="2" t="s">
        <v>822</v>
      </c>
      <c r="G3639" s="23" t="s">
        <v>902</v>
      </c>
      <c r="H3639" s="2" t="s">
        <v>822</v>
      </c>
      <c r="J3639" s="31">
        <v>41.820598599999997</v>
      </c>
      <c r="K3639" s="31">
        <v>-10.2122002</v>
      </c>
      <c r="L3639" s="31"/>
      <c r="M3639" s="31" t="s">
        <v>854</v>
      </c>
      <c r="N3639" s="6" t="s">
        <v>856</v>
      </c>
    </row>
    <row r="3640" spans="1:14" ht="15" customHeight="1" x14ac:dyDescent="0.2">
      <c r="A3640" s="31">
        <v>0.66519727392180616</v>
      </c>
      <c r="B3640" s="31"/>
      <c r="C3640" s="2" t="s">
        <v>855</v>
      </c>
      <c r="D3640" s="31">
        <f t="shared" si="118"/>
        <v>0.13037866568867401</v>
      </c>
      <c r="F3640" s="2" t="s">
        <v>822</v>
      </c>
      <c r="G3640" s="23" t="s">
        <v>902</v>
      </c>
      <c r="H3640" s="2" t="s">
        <v>822</v>
      </c>
      <c r="J3640" s="31">
        <v>30.048000300000002</v>
      </c>
      <c r="K3640" s="31">
        <v>-31.204000499999999</v>
      </c>
      <c r="L3640" s="31"/>
      <c r="M3640" s="31" t="s">
        <v>854</v>
      </c>
      <c r="N3640" s="6" t="s">
        <v>856</v>
      </c>
    </row>
    <row r="3641" spans="1:14" ht="15" customHeight="1" x14ac:dyDescent="0.2">
      <c r="A3641" s="31">
        <v>0.66497854974882886</v>
      </c>
      <c r="B3641" s="31"/>
      <c r="C3641" s="2" t="s">
        <v>855</v>
      </c>
      <c r="D3641" s="31">
        <f t="shared" si="118"/>
        <v>0.13033579575077045</v>
      </c>
      <c r="F3641" s="2" t="s">
        <v>822</v>
      </c>
      <c r="G3641" s="23" t="s">
        <v>902</v>
      </c>
      <c r="H3641" s="2" t="s">
        <v>822</v>
      </c>
      <c r="J3641" s="31">
        <v>42.8567009</v>
      </c>
      <c r="K3641" s="31">
        <v>6.8800001000000002</v>
      </c>
      <c r="L3641" s="31"/>
      <c r="M3641" s="31" t="s">
        <v>854</v>
      </c>
      <c r="N3641" s="6" t="s">
        <v>856</v>
      </c>
    </row>
    <row r="3642" spans="1:14" ht="15" customHeight="1" x14ac:dyDescent="0.2">
      <c r="A3642" s="31">
        <v>0.66478982491990724</v>
      </c>
      <c r="B3642" s="31"/>
      <c r="C3642" s="2" t="s">
        <v>855</v>
      </c>
      <c r="D3642" s="31">
        <f t="shared" si="118"/>
        <v>0.13029880568430183</v>
      </c>
      <c r="F3642" s="2" t="s">
        <v>822</v>
      </c>
      <c r="G3642" s="23" t="s">
        <v>902</v>
      </c>
      <c r="H3642" s="2" t="s">
        <v>822</v>
      </c>
      <c r="J3642" s="31">
        <v>41.507801100000002</v>
      </c>
      <c r="K3642" s="31">
        <v>11.8456001</v>
      </c>
      <c r="L3642" s="31"/>
      <c r="M3642" s="31" t="s">
        <v>854</v>
      </c>
      <c r="N3642" s="6" t="s">
        <v>856</v>
      </c>
    </row>
    <row r="3643" spans="1:14" ht="15" customHeight="1" x14ac:dyDescent="0.2">
      <c r="A3643" s="31">
        <v>0.66453751372423842</v>
      </c>
      <c r="B3643" s="31"/>
      <c r="C3643" s="2" t="s">
        <v>855</v>
      </c>
      <c r="D3643" s="31">
        <f t="shared" si="118"/>
        <v>0.13024935268995075</v>
      </c>
      <c r="F3643" s="2" t="s">
        <v>822</v>
      </c>
      <c r="G3643" s="23" t="s">
        <v>902</v>
      </c>
      <c r="H3643" s="2" t="s">
        <v>822</v>
      </c>
      <c r="J3643" s="31">
        <v>31.384000799999999</v>
      </c>
      <c r="K3643" s="31">
        <v>-39.220001199999999</v>
      </c>
      <c r="L3643" s="31"/>
      <c r="M3643" s="31" t="s">
        <v>854</v>
      </c>
      <c r="N3643" s="6" t="s">
        <v>856</v>
      </c>
    </row>
    <row r="3644" spans="1:14" ht="15" customHeight="1" x14ac:dyDescent="0.2">
      <c r="A3644" s="31">
        <v>0.66442452193518331</v>
      </c>
      <c r="B3644" s="31"/>
      <c r="C3644" s="2" t="s">
        <v>855</v>
      </c>
      <c r="D3644" s="31">
        <f t="shared" si="118"/>
        <v>0.13022720629929593</v>
      </c>
      <c r="F3644" s="2" t="s">
        <v>822</v>
      </c>
      <c r="G3644" s="23" t="s">
        <v>902</v>
      </c>
      <c r="H3644" s="2" t="s">
        <v>822</v>
      </c>
      <c r="J3644" s="31">
        <v>44.770698500000002</v>
      </c>
      <c r="K3644" s="31">
        <v>-24.537200899999998</v>
      </c>
      <c r="L3644" s="31"/>
      <c r="M3644" s="31" t="s">
        <v>854</v>
      </c>
      <c r="N3644" s="6" t="s">
        <v>856</v>
      </c>
    </row>
    <row r="3645" spans="1:14" ht="15" customHeight="1" x14ac:dyDescent="0.2">
      <c r="A3645" s="31">
        <v>0.66436018931732488</v>
      </c>
      <c r="B3645" s="31"/>
      <c r="C3645" s="2" t="s">
        <v>855</v>
      </c>
      <c r="D3645" s="31">
        <f t="shared" si="118"/>
        <v>0.13021459710619568</v>
      </c>
      <c r="F3645" s="2" t="s">
        <v>822</v>
      </c>
      <c r="G3645" s="23" t="s">
        <v>902</v>
      </c>
      <c r="H3645" s="2" t="s">
        <v>822</v>
      </c>
      <c r="J3645" s="31">
        <v>44.645500200000001</v>
      </c>
      <c r="K3645" s="31">
        <v>-37.044899000000001</v>
      </c>
      <c r="L3645" s="31"/>
      <c r="M3645" s="31" t="s">
        <v>854</v>
      </c>
      <c r="N3645" s="6" t="s">
        <v>856</v>
      </c>
    </row>
    <row r="3646" spans="1:14" ht="15" customHeight="1" x14ac:dyDescent="0.2">
      <c r="A3646" s="31">
        <v>0.66431371063617484</v>
      </c>
      <c r="B3646" s="31"/>
      <c r="C3646" s="2" t="s">
        <v>855</v>
      </c>
      <c r="D3646" s="31">
        <f t="shared" si="118"/>
        <v>0.13020548728469028</v>
      </c>
      <c r="F3646" s="2" t="s">
        <v>822</v>
      </c>
      <c r="G3646" s="23" t="s">
        <v>902</v>
      </c>
      <c r="H3646" s="2" t="s">
        <v>822</v>
      </c>
      <c r="J3646" s="31">
        <v>34.617698699999998</v>
      </c>
      <c r="K3646" s="31">
        <v>-36.247001599999997</v>
      </c>
      <c r="L3646" s="31"/>
      <c r="M3646" s="31" t="s">
        <v>854</v>
      </c>
      <c r="N3646" s="6" t="s">
        <v>856</v>
      </c>
    </row>
    <row r="3647" spans="1:14" ht="15" customHeight="1" x14ac:dyDescent="0.2">
      <c r="A3647" s="31">
        <v>0.66415380666193047</v>
      </c>
      <c r="B3647" s="31"/>
      <c r="C3647" s="2" t="s">
        <v>855</v>
      </c>
      <c r="D3647" s="31">
        <f t="shared" si="118"/>
        <v>0.13017414610573838</v>
      </c>
      <c r="F3647" s="2" t="s">
        <v>822</v>
      </c>
      <c r="G3647" s="23" t="s">
        <v>902</v>
      </c>
      <c r="H3647" s="2" t="s">
        <v>822</v>
      </c>
      <c r="J3647" s="31">
        <v>47.416000400000001</v>
      </c>
      <c r="K3647" s="31">
        <v>-37.883998900000002</v>
      </c>
      <c r="L3647" s="31"/>
      <c r="M3647" s="31" t="s">
        <v>854</v>
      </c>
      <c r="N3647" s="6" t="s">
        <v>856</v>
      </c>
    </row>
    <row r="3648" spans="1:14" ht="15" customHeight="1" x14ac:dyDescent="0.2">
      <c r="A3648" s="31">
        <v>0.66413704134400697</v>
      </c>
      <c r="B3648" s="31"/>
      <c r="C3648" s="2" t="s">
        <v>855</v>
      </c>
      <c r="D3648" s="31">
        <f t="shared" si="118"/>
        <v>0.13017086010342538</v>
      </c>
      <c r="F3648" s="2" t="s">
        <v>822</v>
      </c>
      <c r="G3648" s="23" t="s">
        <v>902</v>
      </c>
      <c r="H3648" s="2" t="s">
        <v>822</v>
      </c>
      <c r="J3648" s="31">
        <v>32.7240982</v>
      </c>
      <c r="K3648" s="31">
        <v>24.3719997</v>
      </c>
      <c r="L3648" s="31"/>
      <c r="M3648" s="31" t="s">
        <v>854</v>
      </c>
      <c r="N3648" s="6" t="s">
        <v>856</v>
      </c>
    </row>
    <row r="3649" spans="1:14" ht="15" customHeight="1" x14ac:dyDescent="0.2">
      <c r="A3649" s="31">
        <v>0.66405511151667118</v>
      </c>
      <c r="B3649" s="31"/>
      <c r="C3649" s="2" t="s">
        <v>855</v>
      </c>
      <c r="D3649" s="31">
        <f t="shared" si="118"/>
        <v>0.13015480185726755</v>
      </c>
      <c r="F3649" s="2" t="s">
        <v>822</v>
      </c>
      <c r="G3649" s="23" t="s">
        <v>902</v>
      </c>
      <c r="H3649" s="2" t="s">
        <v>822</v>
      </c>
      <c r="J3649" s="31">
        <v>44.078998599999998</v>
      </c>
      <c r="K3649" s="31">
        <v>-25.836900700000001</v>
      </c>
      <c r="L3649" s="31"/>
      <c r="M3649" s="31" t="s">
        <v>854</v>
      </c>
      <c r="N3649" s="6" t="s">
        <v>856</v>
      </c>
    </row>
    <row r="3650" spans="1:14" ht="15" customHeight="1" x14ac:dyDescent="0.2">
      <c r="A3650" s="31">
        <v>0.6639729010401817</v>
      </c>
      <c r="B3650" s="31"/>
      <c r="C3650" s="2" t="s">
        <v>855</v>
      </c>
      <c r="D3650" s="31">
        <f t="shared" si="118"/>
        <v>0.13013868860387562</v>
      </c>
      <c r="F3650" s="2" t="s">
        <v>822</v>
      </c>
      <c r="G3650" s="23" t="s">
        <v>902</v>
      </c>
      <c r="H3650" s="2" t="s">
        <v>822</v>
      </c>
      <c r="J3650" s="31">
        <v>32.720001199999999</v>
      </c>
      <c r="K3650" s="31">
        <v>-20.516000699999999</v>
      </c>
      <c r="L3650" s="31"/>
      <c r="M3650" s="31" t="s">
        <v>854</v>
      </c>
      <c r="N3650" s="6" t="s">
        <v>856</v>
      </c>
    </row>
    <row r="3651" spans="1:14" ht="15" customHeight="1" x14ac:dyDescent="0.2">
      <c r="A3651" s="31">
        <v>0.6639541541134103</v>
      </c>
      <c r="B3651" s="31"/>
      <c r="C3651" s="2" t="s">
        <v>855</v>
      </c>
      <c r="D3651" s="31">
        <f t="shared" si="118"/>
        <v>0.13013501420622842</v>
      </c>
      <c r="F3651" s="2" t="s">
        <v>822</v>
      </c>
      <c r="G3651" s="23" t="s">
        <v>902</v>
      </c>
      <c r="H3651" s="2" t="s">
        <v>822</v>
      </c>
      <c r="J3651" s="31">
        <v>31.8645</v>
      </c>
      <c r="K3651" s="31">
        <v>-27.345500900000001</v>
      </c>
      <c r="L3651" s="31"/>
      <c r="M3651" s="31" t="s">
        <v>854</v>
      </c>
      <c r="N3651" s="6" t="s">
        <v>856</v>
      </c>
    </row>
    <row r="3652" spans="1:14" ht="15" customHeight="1" x14ac:dyDescent="0.2">
      <c r="A3652" s="31">
        <v>0.66392362582130315</v>
      </c>
      <c r="B3652" s="31"/>
      <c r="C3652" s="2" t="s">
        <v>855</v>
      </c>
      <c r="D3652" s="31">
        <f t="shared" si="118"/>
        <v>0.13012903066097542</v>
      </c>
      <c r="F3652" s="2" t="s">
        <v>822</v>
      </c>
      <c r="G3652" s="23" t="s">
        <v>902</v>
      </c>
      <c r="H3652" s="2" t="s">
        <v>822</v>
      </c>
      <c r="J3652" s="31">
        <v>26.040000899999999</v>
      </c>
      <c r="K3652" s="31">
        <v>-41.891998299999997</v>
      </c>
      <c r="L3652" s="31"/>
      <c r="M3652" s="31" t="s">
        <v>854</v>
      </c>
      <c r="N3652" s="6" t="s">
        <v>856</v>
      </c>
    </row>
    <row r="3653" spans="1:14" ht="15" customHeight="1" x14ac:dyDescent="0.2">
      <c r="A3653" s="31">
        <v>0.66373068234521693</v>
      </c>
      <c r="B3653" s="31"/>
      <c r="C3653" s="2" t="s">
        <v>855</v>
      </c>
      <c r="D3653" s="31">
        <f t="shared" si="118"/>
        <v>0.13009121373966251</v>
      </c>
      <c r="F3653" s="2" t="s">
        <v>822</v>
      </c>
      <c r="G3653" s="23" t="s">
        <v>902</v>
      </c>
      <c r="H3653" s="2" t="s">
        <v>822</v>
      </c>
      <c r="J3653" s="31">
        <v>36.505001100000001</v>
      </c>
      <c r="K3653" s="31">
        <v>28.0716</v>
      </c>
      <c r="L3653" s="31"/>
      <c r="M3653" s="31" t="s">
        <v>854</v>
      </c>
      <c r="N3653" s="6" t="s">
        <v>856</v>
      </c>
    </row>
    <row r="3654" spans="1:14" ht="15" customHeight="1" x14ac:dyDescent="0.2">
      <c r="A3654" s="31">
        <v>0.66347313564484434</v>
      </c>
      <c r="B3654" s="31"/>
      <c r="C3654" s="2" t="s">
        <v>855</v>
      </c>
      <c r="D3654" s="31">
        <f t="shared" si="118"/>
        <v>0.13004073458638948</v>
      </c>
      <c r="F3654" s="2" t="s">
        <v>822</v>
      </c>
      <c r="G3654" s="23" t="s">
        <v>902</v>
      </c>
      <c r="H3654" s="2" t="s">
        <v>822</v>
      </c>
      <c r="J3654" s="31">
        <v>32.051998099999999</v>
      </c>
      <c r="K3654" s="31">
        <v>-30.5359993</v>
      </c>
      <c r="L3654" s="31"/>
      <c r="M3654" s="31" t="s">
        <v>854</v>
      </c>
      <c r="N3654" s="6" t="s">
        <v>856</v>
      </c>
    </row>
    <row r="3655" spans="1:14" ht="15" customHeight="1" x14ac:dyDescent="0.2">
      <c r="A3655" s="22">
        <v>0.13003449942698922</v>
      </c>
      <c r="B3655" s="22"/>
      <c r="C3655" s="2" t="s">
        <v>891</v>
      </c>
      <c r="D3655" s="2">
        <f>A3655</f>
        <v>0.13003449942698922</v>
      </c>
      <c r="F3655" s="2">
        <v>2023</v>
      </c>
      <c r="G3655" s="23" t="s">
        <v>902</v>
      </c>
      <c r="H3655" s="2" t="s">
        <v>771</v>
      </c>
      <c r="I3655" s="23" t="s">
        <v>189</v>
      </c>
      <c r="J3655" s="23">
        <v>58077392</v>
      </c>
      <c r="K3655" s="23">
        <v>11813540</v>
      </c>
      <c r="L3655" s="23" t="s">
        <v>819</v>
      </c>
      <c r="M3655" s="2" t="s">
        <v>825</v>
      </c>
      <c r="N3655" s="6" t="s">
        <v>828</v>
      </c>
    </row>
    <row r="3656" spans="1:14" ht="15" customHeight="1" x14ac:dyDescent="0.2">
      <c r="A3656" s="2">
        <v>0.13</v>
      </c>
      <c r="B3656" s="2">
        <v>0.4</v>
      </c>
      <c r="C3656" s="2" t="s">
        <v>891</v>
      </c>
      <c r="D3656" s="2">
        <f>A3656</f>
        <v>0.13</v>
      </c>
      <c r="E3656" s="2">
        <f>B3656</f>
        <v>0.4</v>
      </c>
      <c r="F3656" s="2">
        <v>2013</v>
      </c>
      <c r="G3656" s="2" t="s">
        <v>902</v>
      </c>
      <c r="H3656" s="2" t="s">
        <v>39</v>
      </c>
      <c r="I3656" s="2" t="s">
        <v>69</v>
      </c>
      <c r="J3656" s="2">
        <v>35.941650000000003</v>
      </c>
      <c r="K3656" s="2">
        <v>-5.6569900000000004</v>
      </c>
      <c r="L3656" s="2" t="s">
        <v>82</v>
      </c>
      <c r="M3656" s="2" t="s">
        <v>70</v>
      </c>
      <c r="N3656" s="6" t="s">
        <v>194</v>
      </c>
    </row>
    <row r="3657" spans="1:14" ht="15" customHeight="1" x14ac:dyDescent="0.2">
      <c r="A3657" s="31">
        <v>0.66309664402230128</v>
      </c>
      <c r="B3657" s="31"/>
      <c r="C3657" s="2" t="s">
        <v>855</v>
      </c>
      <c r="D3657" s="31">
        <f t="shared" ref="D3657:D3688" si="119" xml:space="preserve"> A3657 * 0.196</f>
        <v>0.12996694222837105</v>
      </c>
      <c r="F3657" s="2" t="s">
        <v>822</v>
      </c>
      <c r="G3657" s="23" t="s">
        <v>902</v>
      </c>
      <c r="H3657" s="2" t="s">
        <v>822</v>
      </c>
      <c r="J3657" s="31">
        <v>34.725101500000001</v>
      </c>
      <c r="K3657" s="31">
        <v>-27.191700000000001</v>
      </c>
      <c r="L3657" s="31"/>
      <c r="M3657" s="31" t="s">
        <v>854</v>
      </c>
      <c r="N3657" s="6" t="s">
        <v>856</v>
      </c>
    </row>
    <row r="3658" spans="1:14" ht="15" customHeight="1" x14ac:dyDescent="0.2">
      <c r="A3658" s="31">
        <v>0.66305685440610806</v>
      </c>
      <c r="B3658" s="31"/>
      <c r="C3658" s="2" t="s">
        <v>855</v>
      </c>
      <c r="D3658" s="31">
        <f t="shared" si="119"/>
        <v>0.12995914346359719</v>
      </c>
      <c r="F3658" s="2" t="s">
        <v>822</v>
      </c>
      <c r="G3658" s="23" t="s">
        <v>902</v>
      </c>
      <c r="H3658" s="2" t="s">
        <v>822</v>
      </c>
      <c r="J3658" s="31">
        <v>48.083999599999999</v>
      </c>
      <c r="K3658" s="31">
        <v>-17.176000599999998</v>
      </c>
      <c r="L3658" s="31"/>
      <c r="M3658" s="31" t="s">
        <v>854</v>
      </c>
      <c r="N3658" s="6" t="s">
        <v>856</v>
      </c>
    </row>
    <row r="3659" spans="1:14" ht="15" customHeight="1" x14ac:dyDescent="0.2">
      <c r="A3659" s="31">
        <v>0.66299267064741618</v>
      </c>
      <c r="B3659" s="31"/>
      <c r="C3659" s="2" t="s">
        <v>855</v>
      </c>
      <c r="D3659" s="31">
        <f t="shared" si="119"/>
        <v>0.12994656344689356</v>
      </c>
      <c r="F3659" s="2" t="s">
        <v>822</v>
      </c>
      <c r="G3659" s="23" t="s">
        <v>902</v>
      </c>
      <c r="H3659" s="2" t="s">
        <v>822</v>
      </c>
      <c r="J3659" s="31">
        <v>30.843000400000001</v>
      </c>
      <c r="K3659" s="31">
        <v>-42.582401300000001</v>
      </c>
      <c r="L3659" s="31"/>
      <c r="M3659" s="31" t="s">
        <v>854</v>
      </c>
      <c r="N3659" s="6" t="s">
        <v>856</v>
      </c>
    </row>
    <row r="3660" spans="1:14" ht="15" customHeight="1" x14ac:dyDescent="0.2">
      <c r="A3660" s="31">
        <v>0.66294535504584795</v>
      </c>
      <c r="B3660" s="31"/>
      <c r="C3660" s="2" t="s">
        <v>855</v>
      </c>
      <c r="D3660" s="31">
        <f t="shared" si="119"/>
        <v>0.1299372895889862</v>
      </c>
      <c r="F3660" s="2" t="s">
        <v>822</v>
      </c>
      <c r="G3660" s="23" t="s">
        <v>902</v>
      </c>
      <c r="H3660" s="2" t="s">
        <v>822</v>
      </c>
      <c r="J3660" s="31">
        <v>26.2931995</v>
      </c>
      <c r="K3660" s="31">
        <v>-26.6849995</v>
      </c>
      <c r="L3660" s="31"/>
      <c r="M3660" s="31" t="s">
        <v>854</v>
      </c>
      <c r="N3660" s="6" t="s">
        <v>856</v>
      </c>
    </row>
    <row r="3661" spans="1:14" ht="15" customHeight="1" x14ac:dyDescent="0.2">
      <c r="A3661" s="31">
        <v>0.66259068661822529</v>
      </c>
      <c r="B3661" s="31"/>
      <c r="C3661" s="2" t="s">
        <v>855</v>
      </c>
      <c r="D3661" s="31">
        <f t="shared" si="119"/>
        <v>0.12986777457717216</v>
      </c>
      <c r="F3661" s="2" t="s">
        <v>822</v>
      </c>
      <c r="G3661" s="23" t="s">
        <v>902</v>
      </c>
      <c r="H3661" s="2" t="s">
        <v>822</v>
      </c>
      <c r="J3661" s="31">
        <v>45.519100199999997</v>
      </c>
      <c r="K3661" s="31">
        <v>-19.863899199999999</v>
      </c>
      <c r="L3661" s="31"/>
      <c r="M3661" s="31" t="s">
        <v>854</v>
      </c>
      <c r="N3661" s="6" t="s">
        <v>856</v>
      </c>
    </row>
    <row r="3662" spans="1:14" ht="15" customHeight="1" x14ac:dyDescent="0.2">
      <c r="A3662" s="31">
        <v>0.66255988514789355</v>
      </c>
      <c r="B3662" s="31"/>
      <c r="C3662" s="2" t="s">
        <v>855</v>
      </c>
      <c r="D3662" s="31">
        <f t="shared" si="119"/>
        <v>0.12986173748898713</v>
      </c>
      <c r="F3662" s="2" t="s">
        <v>822</v>
      </c>
      <c r="G3662" s="23" t="s">
        <v>902</v>
      </c>
      <c r="H3662" s="2" t="s">
        <v>822</v>
      </c>
      <c r="J3662" s="31">
        <v>46.748001100000003</v>
      </c>
      <c r="K3662" s="31">
        <v>-38.551998099999999</v>
      </c>
      <c r="L3662" s="31"/>
      <c r="M3662" s="31" t="s">
        <v>854</v>
      </c>
      <c r="N3662" s="6" t="s">
        <v>856</v>
      </c>
    </row>
    <row r="3663" spans="1:14" ht="15" customHeight="1" x14ac:dyDescent="0.2">
      <c r="A3663" s="31">
        <v>0.66234387616069912</v>
      </c>
      <c r="B3663" s="31"/>
      <c r="C3663" s="2" t="s">
        <v>855</v>
      </c>
      <c r="D3663" s="31">
        <f t="shared" si="119"/>
        <v>0.12981939972749704</v>
      </c>
      <c r="F3663" s="2" t="s">
        <v>822</v>
      </c>
      <c r="G3663" s="23" t="s">
        <v>902</v>
      </c>
      <c r="H3663" s="2" t="s">
        <v>822</v>
      </c>
      <c r="J3663" s="31">
        <v>44.632701900000001</v>
      </c>
      <c r="K3663" s="31">
        <v>-12.2529001</v>
      </c>
      <c r="L3663" s="31"/>
      <c r="M3663" s="31" t="s">
        <v>854</v>
      </c>
      <c r="N3663" s="6" t="s">
        <v>856</v>
      </c>
    </row>
    <row r="3664" spans="1:14" ht="15" customHeight="1" x14ac:dyDescent="0.2">
      <c r="A3664" s="31">
        <v>0.66170040124071439</v>
      </c>
      <c r="B3664" s="31"/>
      <c r="C3664" s="2" t="s">
        <v>855</v>
      </c>
      <c r="D3664" s="31">
        <f t="shared" si="119"/>
        <v>0.12969327864318003</v>
      </c>
      <c r="F3664" s="2" t="s">
        <v>822</v>
      </c>
      <c r="G3664" s="23" t="s">
        <v>902</v>
      </c>
      <c r="H3664" s="2" t="s">
        <v>822</v>
      </c>
      <c r="J3664" s="31">
        <v>25.3719997</v>
      </c>
      <c r="K3664" s="31">
        <v>-35.880001100000001</v>
      </c>
      <c r="L3664" s="31"/>
      <c r="M3664" s="31" t="s">
        <v>854</v>
      </c>
      <c r="N3664" s="6" t="s">
        <v>856</v>
      </c>
    </row>
    <row r="3665" spans="1:14" ht="15" customHeight="1" x14ac:dyDescent="0.2">
      <c r="A3665" s="31">
        <v>0.66169300402574283</v>
      </c>
      <c r="B3665" s="31"/>
      <c r="C3665" s="2" t="s">
        <v>855</v>
      </c>
      <c r="D3665" s="31">
        <f t="shared" si="119"/>
        <v>0.12969182878904559</v>
      </c>
      <c r="F3665" s="2" t="s">
        <v>822</v>
      </c>
      <c r="G3665" s="23" t="s">
        <v>902</v>
      </c>
      <c r="H3665" s="2" t="s">
        <v>822</v>
      </c>
      <c r="J3665" s="31">
        <v>33.337200199999998</v>
      </c>
      <c r="K3665" s="31">
        <v>-28.500999499999999</v>
      </c>
      <c r="L3665" s="31"/>
      <c r="M3665" s="31" t="s">
        <v>854</v>
      </c>
      <c r="N3665" s="6" t="s">
        <v>856</v>
      </c>
    </row>
    <row r="3666" spans="1:14" ht="15" customHeight="1" x14ac:dyDescent="0.2">
      <c r="A3666" s="31">
        <v>0.66168853749060885</v>
      </c>
      <c r="B3666" s="31"/>
      <c r="C3666" s="2" t="s">
        <v>855</v>
      </c>
      <c r="D3666" s="31">
        <f t="shared" si="119"/>
        <v>0.12969095334815933</v>
      </c>
      <c r="F3666" s="2" t="s">
        <v>822</v>
      </c>
      <c r="G3666" s="23" t="s">
        <v>902</v>
      </c>
      <c r="H3666" s="2" t="s">
        <v>822</v>
      </c>
      <c r="J3666" s="31">
        <v>31.514299399999999</v>
      </c>
      <c r="K3666" s="31">
        <v>-35.457698800000003</v>
      </c>
      <c r="L3666" s="31"/>
      <c r="M3666" s="31" t="s">
        <v>854</v>
      </c>
      <c r="N3666" s="6" t="s">
        <v>856</v>
      </c>
    </row>
    <row r="3667" spans="1:14" ht="15" customHeight="1" x14ac:dyDescent="0.2">
      <c r="A3667" s="31">
        <v>0.66157291219906156</v>
      </c>
      <c r="B3667" s="31"/>
      <c r="C3667" s="2" t="s">
        <v>855</v>
      </c>
      <c r="D3667" s="31">
        <f t="shared" si="119"/>
        <v>0.12966829079101608</v>
      </c>
      <c r="F3667" s="2" t="s">
        <v>822</v>
      </c>
      <c r="G3667" s="23" t="s">
        <v>902</v>
      </c>
      <c r="H3667" s="2" t="s">
        <v>822</v>
      </c>
      <c r="J3667" s="31">
        <v>55.033599899999999</v>
      </c>
      <c r="K3667" s="31">
        <v>8.1684398999999992</v>
      </c>
      <c r="L3667" s="31"/>
      <c r="M3667" s="31" t="s">
        <v>854</v>
      </c>
      <c r="N3667" s="6" t="s">
        <v>856</v>
      </c>
    </row>
    <row r="3668" spans="1:14" ht="15" customHeight="1" x14ac:dyDescent="0.2">
      <c r="A3668" s="31">
        <v>0.66149364635559804</v>
      </c>
      <c r="B3668" s="31"/>
      <c r="C3668" s="2" t="s">
        <v>855</v>
      </c>
      <c r="D3668" s="31">
        <f t="shared" si="119"/>
        <v>0.12965275468569723</v>
      </c>
      <c r="F3668" s="2" t="s">
        <v>822</v>
      </c>
      <c r="G3668" s="23" t="s">
        <v>902</v>
      </c>
      <c r="H3668" s="2" t="s">
        <v>822</v>
      </c>
      <c r="J3668" s="31">
        <v>28.711999899999999</v>
      </c>
      <c r="K3668" s="31">
        <v>-35.212001800000003</v>
      </c>
      <c r="L3668" s="31"/>
      <c r="M3668" s="31" t="s">
        <v>854</v>
      </c>
      <c r="N3668" s="6" t="s">
        <v>856</v>
      </c>
    </row>
    <row r="3669" spans="1:14" ht="15" customHeight="1" x14ac:dyDescent="0.2">
      <c r="A3669" s="31">
        <v>0.66145833563680456</v>
      </c>
      <c r="B3669" s="31"/>
      <c r="C3669" s="2" t="s">
        <v>855</v>
      </c>
      <c r="D3669" s="31">
        <f t="shared" si="119"/>
        <v>0.1296458337848137</v>
      </c>
      <c r="F3669" s="2" t="s">
        <v>822</v>
      </c>
      <c r="G3669" s="23" t="s">
        <v>902</v>
      </c>
      <c r="H3669" s="2" t="s">
        <v>822</v>
      </c>
      <c r="J3669" s="31">
        <v>57.111698199999999</v>
      </c>
      <c r="K3669" s="31">
        <v>10.4462004</v>
      </c>
      <c r="L3669" s="31"/>
      <c r="M3669" s="31" t="s">
        <v>854</v>
      </c>
      <c r="N3669" s="6" t="s">
        <v>856</v>
      </c>
    </row>
    <row r="3670" spans="1:14" ht="15" customHeight="1" x14ac:dyDescent="0.2">
      <c r="A3670" s="31">
        <v>0.66131651960622895</v>
      </c>
      <c r="B3670" s="31"/>
      <c r="C3670" s="2" t="s">
        <v>855</v>
      </c>
      <c r="D3670" s="31">
        <f t="shared" si="119"/>
        <v>0.12961803784282089</v>
      </c>
      <c r="F3670" s="2" t="s">
        <v>822</v>
      </c>
      <c r="G3670" s="23" t="s">
        <v>902</v>
      </c>
      <c r="H3670" s="2" t="s">
        <v>822</v>
      </c>
      <c r="J3670" s="31">
        <v>46.051799799999998</v>
      </c>
      <c r="K3670" s="31">
        <v>-41.332298299999998</v>
      </c>
      <c r="L3670" s="31"/>
      <c r="M3670" s="31" t="s">
        <v>854</v>
      </c>
      <c r="N3670" s="6" t="s">
        <v>856</v>
      </c>
    </row>
    <row r="3671" spans="1:14" ht="15" customHeight="1" x14ac:dyDescent="0.2">
      <c r="A3671" s="31">
        <v>0.66131290963914147</v>
      </c>
      <c r="B3671" s="31"/>
      <c r="C3671" s="2" t="s">
        <v>855</v>
      </c>
      <c r="D3671" s="31">
        <f t="shared" si="119"/>
        <v>0.12961733028927172</v>
      </c>
      <c r="F3671" s="2" t="s">
        <v>822</v>
      </c>
      <c r="G3671" s="23" t="s">
        <v>902</v>
      </c>
      <c r="H3671" s="2" t="s">
        <v>822</v>
      </c>
      <c r="J3671" s="31">
        <v>43.757499699999997</v>
      </c>
      <c r="K3671" s="31">
        <v>-19.855199800000001</v>
      </c>
      <c r="L3671" s="31"/>
      <c r="M3671" s="31" t="s">
        <v>854</v>
      </c>
      <c r="N3671" s="6" t="s">
        <v>856</v>
      </c>
    </row>
    <row r="3672" spans="1:14" ht="15" customHeight="1" x14ac:dyDescent="0.2">
      <c r="A3672" s="31">
        <v>0.66118601710172198</v>
      </c>
      <c r="B3672" s="31"/>
      <c r="C3672" s="2" t="s">
        <v>855</v>
      </c>
      <c r="D3672" s="31">
        <f t="shared" si="119"/>
        <v>0.1295924593519375</v>
      </c>
      <c r="F3672" s="2" t="s">
        <v>822</v>
      </c>
      <c r="G3672" s="23" t="s">
        <v>902</v>
      </c>
      <c r="H3672" s="2" t="s">
        <v>822</v>
      </c>
      <c r="J3672" s="31">
        <v>30.048000300000002</v>
      </c>
      <c r="K3672" s="31">
        <v>-39.220001199999999</v>
      </c>
      <c r="L3672" s="31"/>
      <c r="M3672" s="31" t="s">
        <v>854</v>
      </c>
      <c r="N3672" s="6" t="s">
        <v>856</v>
      </c>
    </row>
    <row r="3673" spans="1:14" ht="15" customHeight="1" x14ac:dyDescent="0.2">
      <c r="A3673" s="31">
        <v>0.66116797718899212</v>
      </c>
      <c r="B3673" s="31"/>
      <c r="C3673" s="2" t="s">
        <v>855</v>
      </c>
      <c r="D3673" s="31">
        <f t="shared" si="119"/>
        <v>0.12958892352904247</v>
      </c>
      <c r="F3673" s="2" t="s">
        <v>822</v>
      </c>
      <c r="G3673" s="23" t="s">
        <v>902</v>
      </c>
      <c r="H3673" s="2" t="s">
        <v>822</v>
      </c>
      <c r="J3673" s="31">
        <v>47.416000400000001</v>
      </c>
      <c r="K3673" s="31">
        <v>-31.8719997</v>
      </c>
      <c r="L3673" s="31"/>
      <c r="M3673" s="31" t="s">
        <v>854</v>
      </c>
      <c r="N3673" s="6" t="s">
        <v>856</v>
      </c>
    </row>
    <row r="3674" spans="1:14" ht="15" customHeight="1" x14ac:dyDescent="0.2">
      <c r="A3674" s="31">
        <v>0.66103628057938646</v>
      </c>
      <c r="B3674" s="31"/>
      <c r="C3674" s="2" t="s">
        <v>855</v>
      </c>
      <c r="D3674" s="31">
        <f t="shared" si="119"/>
        <v>0.12956311099355974</v>
      </c>
      <c r="F3674" s="2" t="s">
        <v>822</v>
      </c>
      <c r="G3674" s="23" t="s">
        <v>902</v>
      </c>
      <c r="H3674" s="2" t="s">
        <v>822</v>
      </c>
      <c r="J3674" s="31">
        <v>44.743999500000001</v>
      </c>
      <c r="K3674" s="31">
        <v>-38.551998099999999</v>
      </c>
      <c r="L3674" s="31"/>
      <c r="M3674" s="31" t="s">
        <v>854</v>
      </c>
      <c r="N3674" s="6" t="s">
        <v>856</v>
      </c>
    </row>
    <row r="3675" spans="1:14" ht="15" customHeight="1" x14ac:dyDescent="0.2">
      <c r="A3675" s="31">
        <v>0.6609645554138861</v>
      </c>
      <c r="B3675" s="31"/>
      <c r="C3675" s="2" t="s">
        <v>855</v>
      </c>
      <c r="D3675" s="31">
        <f t="shared" si="119"/>
        <v>0.12954905286112167</v>
      </c>
      <c r="F3675" s="2" t="s">
        <v>822</v>
      </c>
      <c r="G3675" s="23" t="s">
        <v>902</v>
      </c>
      <c r="H3675" s="2" t="s">
        <v>822</v>
      </c>
      <c r="J3675" s="31">
        <v>46.743598900000002</v>
      </c>
      <c r="K3675" s="31">
        <v>-9.8245497000000004</v>
      </c>
      <c r="L3675" s="31"/>
      <c r="M3675" s="31" t="s">
        <v>854</v>
      </c>
      <c r="N3675" s="6" t="s">
        <v>856</v>
      </c>
    </row>
    <row r="3676" spans="1:14" ht="15" customHeight="1" x14ac:dyDescent="0.2">
      <c r="A3676" s="31">
        <v>0.66075265797632343</v>
      </c>
      <c r="B3676" s="31"/>
      <c r="C3676" s="2" t="s">
        <v>855</v>
      </c>
      <c r="D3676" s="31">
        <f t="shared" si="119"/>
        <v>0.12950752096335941</v>
      </c>
      <c r="F3676" s="2" t="s">
        <v>822</v>
      </c>
      <c r="G3676" s="23" t="s">
        <v>902</v>
      </c>
      <c r="H3676" s="2" t="s">
        <v>822</v>
      </c>
      <c r="J3676" s="31">
        <v>27.375999499999999</v>
      </c>
      <c r="K3676" s="31">
        <v>-27.195999100000002</v>
      </c>
      <c r="L3676" s="31"/>
      <c r="M3676" s="31" t="s">
        <v>854</v>
      </c>
      <c r="N3676" s="6" t="s">
        <v>856</v>
      </c>
    </row>
    <row r="3677" spans="1:14" ht="15" customHeight="1" x14ac:dyDescent="0.2">
      <c r="A3677" s="31">
        <v>0.66068036910187355</v>
      </c>
      <c r="B3677" s="31"/>
      <c r="C3677" s="2" t="s">
        <v>855</v>
      </c>
      <c r="D3677" s="31">
        <f t="shared" si="119"/>
        <v>0.12949335234396722</v>
      </c>
      <c r="F3677" s="2" t="s">
        <v>822</v>
      </c>
      <c r="G3677" s="23" t="s">
        <v>902</v>
      </c>
      <c r="H3677" s="2" t="s">
        <v>822</v>
      </c>
      <c r="J3677" s="31">
        <v>38.517398800000002</v>
      </c>
      <c r="K3677" s="31">
        <v>15.8388004</v>
      </c>
      <c r="L3677" s="31"/>
      <c r="M3677" s="31" t="s">
        <v>854</v>
      </c>
      <c r="N3677" s="6" t="s">
        <v>856</v>
      </c>
    </row>
    <row r="3678" spans="1:14" ht="15" customHeight="1" x14ac:dyDescent="0.2">
      <c r="A3678" s="31">
        <v>0.66057517672093247</v>
      </c>
      <c r="B3678" s="31"/>
      <c r="C3678" s="2" t="s">
        <v>855</v>
      </c>
      <c r="D3678" s="31">
        <f t="shared" si="119"/>
        <v>0.12947273463730277</v>
      </c>
      <c r="F3678" s="2" t="s">
        <v>822</v>
      </c>
      <c r="G3678" s="23" t="s">
        <v>902</v>
      </c>
      <c r="H3678" s="2" t="s">
        <v>822</v>
      </c>
      <c r="J3678" s="31">
        <v>54.544300100000001</v>
      </c>
      <c r="K3678" s="31">
        <v>13.096599599999999</v>
      </c>
      <c r="L3678" s="31"/>
      <c r="M3678" s="31" t="s">
        <v>854</v>
      </c>
      <c r="N3678" s="6" t="s">
        <v>856</v>
      </c>
    </row>
    <row r="3679" spans="1:14" ht="15" customHeight="1" x14ac:dyDescent="0.2">
      <c r="A3679" s="31">
        <v>0.66033748046279217</v>
      </c>
      <c r="B3679" s="31"/>
      <c r="C3679" s="2" t="s">
        <v>855</v>
      </c>
      <c r="D3679" s="31">
        <f t="shared" si="119"/>
        <v>0.12942614617070727</v>
      </c>
      <c r="F3679" s="2" t="s">
        <v>822</v>
      </c>
      <c r="G3679" s="23" t="s">
        <v>902</v>
      </c>
      <c r="H3679" s="2" t="s">
        <v>822</v>
      </c>
      <c r="J3679" s="31">
        <v>45.429401400000003</v>
      </c>
      <c r="K3679" s="31">
        <v>-42.415500600000001</v>
      </c>
      <c r="L3679" s="31"/>
      <c r="M3679" s="31" t="s">
        <v>854</v>
      </c>
      <c r="N3679" s="6" t="s">
        <v>856</v>
      </c>
    </row>
    <row r="3680" spans="1:14" ht="15" customHeight="1" x14ac:dyDescent="0.2">
      <c r="A3680" s="31">
        <v>0.66030185770561756</v>
      </c>
      <c r="B3680" s="31"/>
      <c r="C3680" s="2" t="s">
        <v>855</v>
      </c>
      <c r="D3680" s="31">
        <f t="shared" si="119"/>
        <v>0.12941916411030105</v>
      </c>
      <c r="F3680" s="2" t="s">
        <v>822</v>
      </c>
      <c r="G3680" s="23" t="s">
        <v>902</v>
      </c>
      <c r="H3680" s="2" t="s">
        <v>822</v>
      </c>
      <c r="J3680" s="31">
        <v>53.5862999</v>
      </c>
      <c r="K3680" s="31">
        <v>6.0496201999999997</v>
      </c>
      <c r="L3680" s="31"/>
      <c r="M3680" s="31" t="s">
        <v>854</v>
      </c>
      <c r="N3680" s="6" t="s">
        <v>856</v>
      </c>
    </row>
    <row r="3681" spans="1:14" ht="15" customHeight="1" x14ac:dyDescent="0.2">
      <c r="A3681" s="31">
        <v>0.66025969676197016</v>
      </c>
      <c r="B3681" s="31"/>
      <c r="C3681" s="2" t="s">
        <v>855</v>
      </c>
      <c r="D3681" s="31">
        <f t="shared" si="119"/>
        <v>0.12941090056534615</v>
      </c>
      <c r="F3681" s="2" t="s">
        <v>822</v>
      </c>
      <c r="G3681" s="23" t="s">
        <v>902</v>
      </c>
      <c r="H3681" s="2" t="s">
        <v>822</v>
      </c>
      <c r="J3681" s="31">
        <v>50.756000499999999</v>
      </c>
      <c r="K3681" s="31">
        <v>-28.531999599999999</v>
      </c>
      <c r="L3681" s="31"/>
      <c r="M3681" s="31" t="s">
        <v>854</v>
      </c>
      <c r="N3681" s="6" t="s">
        <v>856</v>
      </c>
    </row>
    <row r="3682" spans="1:14" ht="15" customHeight="1" x14ac:dyDescent="0.2">
      <c r="A3682" s="31">
        <v>0.66023453377313868</v>
      </c>
      <c r="B3682" s="31"/>
      <c r="C3682" s="2" t="s">
        <v>855</v>
      </c>
      <c r="D3682" s="31">
        <f t="shared" si="119"/>
        <v>0.12940596861953518</v>
      </c>
      <c r="F3682" s="2" t="s">
        <v>822</v>
      </c>
      <c r="G3682" s="23" t="s">
        <v>902</v>
      </c>
      <c r="H3682" s="2" t="s">
        <v>822</v>
      </c>
      <c r="J3682" s="31">
        <v>32.623600000000003</v>
      </c>
      <c r="K3682" s="31">
        <v>-34.980499299999998</v>
      </c>
      <c r="L3682" s="31"/>
      <c r="M3682" s="31" t="s">
        <v>854</v>
      </c>
      <c r="N3682" s="6" t="s">
        <v>856</v>
      </c>
    </row>
    <row r="3683" spans="1:14" ht="15" customHeight="1" x14ac:dyDescent="0.2">
      <c r="A3683" s="31">
        <v>0.66021640327577247</v>
      </c>
      <c r="B3683" s="31"/>
      <c r="C3683" s="2" t="s">
        <v>855</v>
      </c>
      <c r="D3683" s="31">
        <f t="shared" si="119"/>
        <v>0.12940241504205141</v>
      </c>
      <c r="F3683" s="2" t="s">
        <v>822</v>
      </c>
      <c r="G3683" s="23" t="s">
        <v>902</v>
      </c>
      <c r="H3683" s="2" t="s">
        <v>822</v>
      </c>
      <c r="J3683" s="31">
        <v>38.536098500000001</v>
      </c>
      <c r="K3683" s="31">
        <v>20.0702</v>
      </c>
      <c r="L3683" s="31"/>
      <c r="M3683" s="31" t="s">
        <v>854</v>
      </c>
      <c r="N3683" s="6" t="s">
        <v>856</v>
      </c>
    </row>
    <row r="3684" spans="1:14" ht="15" customHeight="1" x14ac:dyDescent="0.2">
      <c r="A3684" s="31">
        <v>0.66006860078584573</v>
      </c>
      <c r="B3684" s="31"/>
      <c r="C3684" s="2" t="s">
        <v>855</v>
      </c>
      <c r="D3684" s="31">
        <f t="shared" si="119"/>
        <v>0.12937344575402576</v>
      </c>
      <c r="F3684" s="2" t="s">
        <v>822</v>
      </c>
      <c r="G3684" s="23" t="s">
        <v>902</v>
      </c>
      <c r="H3684" s="2" t="s">
        <v>822</v>
      </c>
      <c r="J3684" s="31">
        <v>45.411998699999998</v>
      </c>
      <c r="K3684" s="31">
        <v>-39.220001199999999</v>
      </c>
      <c r="L3684" s="31"/>
      <c r="M3684" s="31" t="s">
        <v>854</v>
      </c>
      <c r="N3684" s="6" t="s">
        <v>856</v>
      </c>
    </row>
    <row r="3685" spans="1:14" ht="15" customHeight="1" x14ac:dyDescent="0.2">
      <c r="A3685" s="31">
        <v>0.65969554471846892</v>
      </c>
      <c r="B3685" s="31"/>
      <c r="C3685" s="2" t="s">
        <v>855</v>
      </c>
      <c r="D3685" s="31">
        <f t="shared" si="119"/>
        <v>0.12930032676481992</v>
      </c>
      <c r="F3685" s="2" t="s">
        <v>822</v>
      </c>
      <c r="G3685" s="23" t="s">
        <v>902</v>
      </c>
      <c r="H3685" s="2" t="s">
        <v>822</v>
      </c>
      <c r="J3685" s="31">
        <v>37.518100699999998</v>
      </c>
      <c r="K3685" s="31">
        <v>9.6007499999999997</v>
      </c>
      <c r="L3685" s="31"/>
      <c r="M3685" s="31" t="s">
        <v>854</v>
      </c>
      <c r="N3685" s="6" t="s">
        <v>856</v>
      </c>
    </row>
    <row r="3686" spans="1:14" ht="15" customHeight="1" x14ac:dyDescent="0.2">
      <c r="A3686" s="31">
        <v>0.65967596384290406</v>
      </c>
      <c r="B3686" s="31"/>
      <c r="C3686" s="2" t="s">
        <v>855</v>
      </c>
      <c r="D3686" s="31">
        <f t="shared" si="119"/>
        <v>0.12929648891320919</v>
      </c>
      <c r="F3686" s="2" t="s">
        <v>822</v>
      </c>
      <c r="G3686" s="23" t="s">
        <v>902</v>
      </c>
      <c r="H3686" s="2" t="s">
        <v>822</v>
      </c>
      <c r="J3686" s="31">
        <v>47.416000400000001</v>
      </c>
      <c r="K3686" s="31">
        <v>-41.891998299999997</v>
      </c>
      <c r="L3686" s="31"/>
      <c r="M3686" s="31" t="s">
        <v>854</v>
      </c>
      <c r="N3686" s="6" t="s">
        <v>856</v>
      </c>
    </row>
    <row r="3687" spans="1:14" ht="15" customHeight="1" x14ac:dyDescent="0.2">
      <c r="A3687" s="31">
        <v>0.65962062825926482</v>
      </c>
      <c r="B3687" s="31"/>
      <c r="C3687" s="2" t="s">
        <v>855</v>
      </c>
      <c r="D3687" s="31">
        <f t="shared" si="119"/>
        <v>0.12928564313881591</v>
      </c>
      <c r="F3687" s="2" t="s">
        <v>822</v>
      </c>
      <c r="G3687" s="23" t="s">
        <v>902</v>
      </c>
      <c r="H3687" s="2" t="s">
        <v>822</v>
      </c>
      <c r="J3687" s="31">
        <v>56.130401599999999</v>
      </c>
      <c r="K3687" s="31">
        <v>-3.0910101000000001</v>
      </c>
      <c r="L3687" s="31"/>
      <c r="M3687" s="31" t="s">
        <v>854</v>
      </c>
      <c r="N3687" s="6" t="s">
        <v>856</v>
      </c>
    </row>
    <row r="3688" spans="1:14" ht="15" customHeight="1" x14ac:dyDescent="0.2">
      <c r="A3688" s="31">
        <v>0.65943683670213737</v>
      </c>
      <c r="B3688" s="31"/>
      <c r="C3688" s="2" t="s">
        <v>855</v>
      </c>
      <c r="D3688" s="31">
        <f t="shared" si="119"/>
        <v>0.12924961999361892</v>
      </c>
      <c r="F3688" s="2" t="s">
        <v>822</v>
      </c>
      <c r="G3688" s="23" t="s">
        <v>902</v>
      </c>
      <c r="H3688" s="2" t="s">
        <v>822</v>
      </c>
      <c r="J3688" s="31">
        <v>40.402599299999999</v>
      </c>
      <c r="K3688" s="31">
        <v>-23.856000900000002</v>
      </c>
      <c r="L3688" s="31"/>
      <c r="M3688" s="31" t="s">
        <v>854</v>
      </c>
      <c r="N3688" s="6" t="s">
        <v>856</v>
      </c>
    </row>
    <row r="3689" spans="1:14" ht="15" customHeight="1" x14ac:dyDescent="0.2">
      <c r="A3689" s="31">
        <v>0.65934598502556052</v>
      </c>
      <c r="B3689" s="31"/>
      <c r="C3689" s="2" t="s">
        <v>855</v>
      </c>
      <c r="D3689" s="31">
        <f t="shared" ref="D3689:D3720" si="120" xml:space="preserve"> A3689 * 0.196</f>
        <v>0.12923181306500986</v>
      </c>
      <c r="F3689" s="2" t="s">
        <v>822</v>
      </c>
      <c r="G3689" s="23" t="s">
        <v>902</v>
      </c>
      <c r="H3689" s="2" t="s">
        <v>822</v>
      </c>
      <c r="J3689" s="31">
        <v>38.729301499999998</v>
      </c>
      <c r="K3689" s="31">
        <v>4.8709201999999996</v>
      </c>
      <c r="L3689" s="31"/>
      <c r="M3689" s="31" t="s">
        <v>854</v>
      </c>
      <c r="N3689" s="6" t="s">
        <v>856</v>
      </c>
    </row>
    <row r="3690" spans="1:14" ht="15" customHeight="1" x14ac:dyDescent="0.2">
      <c r="A3690" s="31">
        <v>0.6592697860651644</v>
      </c>
      <c r="B3690" s="31"/>
      <c r="C3690" s="2" t="s">
        <v>855</v>
      </c>
      <c r="D3690" s="31">
        <f t="shared" si="120"/>
        <v>0.12921687806877222</v>
      </c>
      <c r="F3690" s="2" t="s">
        <v>822</v>
      </c>
      <c r="G3690" s="23" t="s">
        <v>902</v>
      </c>
      <c r="H3690" s="2" t="s">
        <v>822</v>
      </c>
      <c r="J3690" s="31">
        <v>40.753601099999997</v>
      </c>
      <c r="K3690" s="31">
        <v>-27.7745991</v>
      </c>
      <c r="L3690" s="31"/>
      <c r="M3690" s="31" t="s">
        <v>854</v>
      </c>
      <c r="N3690" s="6" t="s">
        <v>856</v>
      </c>
    </row>
    <row r="3691" spans="1:14" ht="15" customHeight="1" x14ac:dyDescent="0.2">
      <c r="A3691" s="31">
        <v>0.65918736564202296</v>
      </c>
      <c r="B3691" s="31"/>
      <c r="C3691" s="2" t="s">
        <v>855</v>
      </c>
      <c r="D3691" s="31">
        <f t="shared" si="120"/>
        <v>0.12920072366583651</v>
      </c>
      <c r="F3691" s="2" t="s">
        <v>822</v>
      </c>
      <c r="G3691" s="23" t="s">
        <v>902</v>
      </c>
      <c r="H3691" s="2" t="s">
        <v>822</v>
      </c>
      <c r="J3691" s="31">
        <v>40.9087982</v>
      </c>
      <c r="K3691" s="31">
        <v>3.8554599000000001</v>
      </c>
      <c r="L3691" s="31"/>
      <c r="M3691" s="31" t="s">
        <v>854</v>
      </c>
      <c r="N3691" s="6" t="s">
        <v>856</v>
      </c>
    </row>
    <row r="3692" spans="1:14" ht="15" customHeight="1" x14ac:dyDescent="0.2">
      <c r="A3692" s="31">
        <v>0.65907495224178947</v>
      </c>
      <c r="B3692" s="31"/>
      <c r="C3692" s="2" t="s">
        <v>855</v>
      </c>
      <c r="D3692" s="31">
        <f t="shared" si="120"/>
        <v>0.12917869063939075</v>
      </c>
      <c r="F3692" s="2" t="s">
        <v>822</v>
      </c>
      <c r="G3692" s="23" t="s">
        <v>902</v>
      </c>
      <c r="H3692" s="2" t="s">
        <v>822</v>
      </c>
      <c r="J3692" s="31">
        <v>36.098800699999998</v>
      </c>
      <c r="K3692" s="31">
        <v>15.776</v>
      </c>
      <c r="L3692" s="31"/>
      <c r="M3692" s="31" t="s">
        <v>854</v>
      </c>
      <c r="N3692" s="6" t="s">
        <v>856</v>
      </c>
    </row>
    <row r="3693" spans="1:14" ht="15" customHeight="1" x14ac:dyDescent="0.2">
      <c r="A3693" s="31">
        <v>0.65854014317824217</v>
      </c>
      <c r="B3693" s="31"/>
      <c r="C3693" s="2" t="s">
        <v>855</v>
      </c>
      <c r="D3693" s="31">
        <f t="shared" si="120"/>
        <v>0.12907386806293547</v>
      </c>
      <c r="F3693" s="2" t="s">
        <v>822</v>
      </c>
      <c r="G3693" s="23" t="s">
        <v>902</v>
      </c>
      <c r="H3693" s="2" t="s">
        <v>822</v>
      </c>
      <c r="J3693" s="31">
        <v>26.040000899999999</v>
      </c>
      <c r="K3693" s="31">
        <v>-21.851999299999999</v>
      </c>
      <c r="L3693" s="31"/>
      <c r="M3693" s="31" t="s">
        <v>854</v>
      </c>
      <c r="N3693" s="6" t="s">
        <v>856</v>
      </c>
    </row>
    <row r="3694" spans="1:14" ht="15" customHeight="1" x14ac:dyDescent="0.2">
      <c r="A3694" s="31">
        <v>0.65851506204202537</v>
      </c>
      <c r="B3694" s="31"/>
      <c r="C3694" s="2" t="s">
        <v>855</v>
      </c>
      <c r="D3694" s="31">
        <f t="shared" si="120"/>
        <v>0.12906895216023698</v>
      </c>
      <c r="F3694" s="2" t="s">
        <v>822</v>
      </c>
      <c r="G3694" s="23" t="s">
        <v>902</v>
      </c>
      <c r="H3694" s="2" t="s">
        <v>822</v>
      </c>
      <c r="J3694" s="31">
        <v>57.605598399999998</v>
      </c>
      <c r="K3694" s="31">
        <v>11.391799900000001</v>
      </c>
      <c r="L3694" s="31"/>
      <c r="M3694" s="31" t="s">
        <v>854</v>
      </c>
      <c r="N3694" s="6" t="s">
        <v>856</v>
      </c>
    </row>
    <row r="3695" spans="1:14" ht="15" customHeight="1" x14ac:dyDescent="0.2">
      <c r="A3695" s="31">
        <v>0.65849762799245259</v>
      </c>
      <c r="B3695" s="31"/>
      <c r="C3695" s="2" t="s">
        <v>855</v>
      </c>
      <c r="D3695" s="31">
        <f t="shared" si="120"/>
        <v>0.12906553508652072</v>
      </c>
      <c r="F3695" s="2" t="s">
        <v>822</v>
      </c>
      <c r="G3695" s="23" t="s">
        <v>902</v>
      </c>
      <c r="H3695" s="2" t="s">
        <v>822</v>
      </c>
      <c r="J3695" s="31">
        <v>40.146499599999999</v>
      </c>
      <c r="K3695" s="31">
        <v>-36.096599599999998</v>
      </c>
      <c r="L3695" s="31"/>
      <c r="M3695" s="31" t="s">
        <v>854</v>
      </c>
      <c r="N3695" s="6" t="s">
        <v>856</v>
      </c>
    </row>
    <row r="3696" spans="1:14" ht="15" customHeight="1" x14ac:dyDescent="0.2">
      <c r="A3696" s="31">
        <v>0.65835658479933279</v>
      </c>
      <c r="B3696" s="31"/>
      <c r="C3696" s="2" t="s">
        <v>855</v>
      </c>
      <c r="D3696" s="31">
        <f t="shared" si="120"/>
        <v>0.12903789062066923</v>
      </c>
      <c r="F3696" s="2" t="s">
        <v>822</v>
      </c>
      <c r="G3696" s="23" t="s">
        <v>902</v>
      </c>
      <c r="H3696" s="2" t="s">
        <v>822</v>
      </c>
      <c r="J3696" s="31">
        <v>33.3965988</v>
      </c>
      <c r="K3696" s="31">
        <v>-34.550701099999998</v>
      </c>
      <c r="L3696" s="31"/>
      <c r="M3696" s="31" t="s">
        <v>854</v>
      </c>
      <c r="N3696" s="6" t="s">
        <v>856</v>
      </c>
    </row>
    <row r="3697" spans="1:14" ht="15" customHeight="1" x14ac:dyDescent="0.2">
      <c r="A3697" s="31">
        <v>0.65817938314880342</v>
      </c>
      <c r="B3697" s="31"/>
      <c r="C3697" s="2" t="s">
        <v>855</v>
      </c>
      <c r="D3697" s="31">
        <f t="shared" si="120"/>
        <v>0.12900315909716548</v>
      </c>
      <c r="F3697" s="2" t="s">
        <v>822</v>
      </c>
      <c r="G3697" s="23" t="s">
        <v>902</v>
      </c>
      <c r="H3697" s="2" t="s">
        <v>822</v>
      </c>
      <c r="J3697" s="31">
        <v>47.416000400000001</v>
      </c>
      <c r="K3697" s="31">
        <v>-29.867999999999999</v>
      </c>
      <c r="L3697" s="31"/>
      <c r="M3697" s="31" t="s">
        <v>854</v>
      </c>
      <c r="N3697" s="6" t="s">
        <v>856</v>
      </c>
    </row>
    <row r="3698" spans="1:14" ht="15" customHeight="1" x14ac:dyDescent="0.2">
      <c r="A3698" s="31">
        <v>0.65807079039483374</v>
      </c>
      <c r="B3698" s="31"/>
      <c r="C3698" s="2" t="s">
        <v>855</v>
      </c>
      <c r="D3698" s="31">
        <f t="shared" si="120"/>
        <v>0.12898187491738741</v>
      </c>
      <c r="F3698" s="2" t="s">
        <v>822</v>
      </c>
      <c r="G3698" s="23" t="s">
        <v>902</v>
      </c>
      <c r="H3698" s="2" t="s">
        <v>822</v>
      </c>
      <c r="J3698" s="31">
        <v>46.748001100000003</v>
      </c>
      <c r="K3698" s="31">
        <v>-33.875999499999999</v>
      </c>
      <c r="L3698" s="31"/>
      <c r="M3698" s="31" t="s">
        <v>854</v>
      </c>
      <c r="N3698" s="6" t="s">
        <v>856</v>
      </c>
    </row>
    <row r="3699" spans="1:14" ht="15" customHeight="1" x14ac:dyDescent="0.2">
      <c r="A3699" s="31">
        <v>0.6579899783443296</v>
      </c>
      <c r="B3699" s="31"/>
      <c r="C3699" s="2" t="s">
        <v>855</v>
      </c>
      <c r="D3699" s="31">
        <f t="shared" si="120"/>
        <v>0.12896603575548859</v>
      </c>
      <c r="F3699" s="2" t="s">
        <v>822</v>
      </c>
      <c r="G3699" s="23" t="s">
        <v>902</v>
      </c>
      <c r="H3699" s="2" t="s">
        <v>822</v>
      </c>
      <c r="J3699" s="31">
        <v>45.411998699999998</v>
      </c>
      <c r="K3699" s="31">
        <v>-31.8719997</v>
      </c>
      <c r="L3699" s="31"/>
      <c r="M3699" s="31" t="s">
        <v>854</v>
      </c>
      <c r="N3699" s="6" t="s">
        <v>856</v>
      </c>
    </row>
    <row r="3700" spans="1:14" ht="15" customHeight="1" x14ac:dyDescent="0.2">
      <c r="A3700" s="31">
        <v>0.65798362083827178</v>
      </c>
      <c r="B3700" s="31"/>
      <c r="C3700" s="2" t="s">
        <v>855</v>
      </c>
      <c r="D3700" s="31">
        <f t="shared" si="120"/>
        <v>0.12896478968430128</v>
      </c>
      <c r="F3700" s="2" t="s">
        <v>822</v>
      </c>
      <c r="G3700" s="23" t="s">
        <v>902</v>
      </c>
      <c r="H3700" s="2" t="s">
        <v>822</v>
      </c>
      <c r="J3700" s="31">
        <v>47.416000400000001</v>
      </c>
      <c r="K3700" s="31">
        <v>-20.516000699999999</v>
      </c>
      <c r="L3700" s="31"/>
      <c r="M3700" s="31" t="s">
        <v>854</v>
      </c>
      <c r="N3700" s="6" t="s">
        <v>856</v>
      </c>
    </row>
    <row r="3701" spans="1:14" ht="15" customHeight="1" x14ac:dyDescent="0.2">
      <c r="A3701" s="31">
        <v>0.65797000744049683</v>
      </c>
      <c r="B3701" s="31"/>
      <c r="C3701" s="2" t="s">
        <v>855</v>
      </c>
      <c r="D3701" s="31">
        <f t="shared" si="120"/>
        <v>0.12896212145833738</v>
      </c>
      <c r="F3701" s="2" t="s">
        <v>822</v>
      </c>
      <c r="G3701" s="23" t="s">
        <v>902</v>
      </c>
      <c r="H3701" s="2" t="s">
        <v>822</v>
      </c>
      <c r="J3701" s="31">
        <v>37.263801600000001</v>
      </c>
      <c r="K3701" s="31">
        <v>-15.397600199999999</v>
      </c>
      <c r="L3701" s="31"/>
      <c r="M3701" s="31" t="s">
        <v>854</v>
      </c>
      <c r="N3701" s="6" t="s">
        <v>856</v>
      </c>
    </row>
    <row r="3702" spans="1:14" ht="15" customHeight="1" x14ac:dyDescent="0.2">
      <c r="A3702" s="31">
        <v>0.6579282466048213</v>
      </c>
      <c r="B3702" s="31"/>
      <c r="C3702" s="2" t="s">
        <v>855</v>
      </c>
      <c r="D3702" s="31">
        <f t="shared" si="120"/>
        <v>0.12895393633454497</v>
      </c>
      <c r="F3702" s="2" t="s">
        <v>822</v>
      </c>
      <c r="G3702" s="23" t="s">
        <v>902</v>
      </c>
      <c r="H3702" s="2" t="s">
        <v>822</v>
      </c>
      <c r="J3702" s="31">
        <v>46.625400499999998</v>
      </c>
      <c r="K3702" s="31">
        <v>-13.154299699999999</v>
      </c>
      <c r="L3702" s="31"/>
      <c r="M3702" s="31" t="s">
        <v>854</v>
      </c>
      <c r="N3702" s="6" t="s">
        <v>856</v>
      </c>
    </row>
    <row r="3703" spans="1:14" ht="15" customHeight="1" x14ac:dyDescent="0.2">
      <c r="A3703" s="31">
        <v>0.65772454231827038</v>
      </c>
      <c r="B3703" s="31"/>
      <c r="C3703" s="2" t="s">
        <v>855</v>
      </c>
      <c r="D3703" s="31">
        <f t="shared" si="120"/>
        <v>0.12891401029438099</v>
      </c>
      <c r="F3703" s="2" t="s">
        <v>822</v>
      </c>
      <c r="G3703" s="23" t="s">
        <v>902</v>
      </c>
      <c r="H3703" s="2" t="s">
        <v>822</v>
      </c>
      <c r="J3703" s="31">
        <v>36.481601699999999</v>
      </c>
      <c r="K3703" s="31">
        <v>-28.060600300000001</v>
      </c>
      <c r="L3703" s="31"/>
      <c r="M3703" s="31" t="s">
        <v>854</v>
      </c>
      <c r="N3703" s="6" t="s">
        <v>856</v>
      </c>
    </row>
    <row r="3704" spans="1:14" ht="15" customHeight="1" x14ac:dyDescent="0.2">
      <c r="A3704" s="31">
        <v>0.65734310839020993</v>
      </c>
      <c r="B3704" s="31"/>
      <c r="C3704" s="2" t="s">
        <v>855</v>
      </c>
      <c r="D3704" s="31">
        <f t="shared" si="120"/>
        <v>0.12883924924448115</v>
      </c>
      <c r="F3704" s="2" t="s">
        <v>822</v>
      </c>
      <c r="G3704" s="23" t="s">
        <v>902</v>
      </c>
      <c r="H3704" s="2" t="s">
        <v>822</v>
      </c>
      <c r="J3704" s="31">
        <v>34.7002983</v>
      </c>
      <c r="K3704" s="31">
        <v>-16.4335995</v>
      </c>
      <c r="L3704" s="31"/>
      <c r="M3704" s="31" t="s">
        <v>854</v>
      </c>
      <c r="N3704" s="6" t="s">
        <v>856</v>
      </c>
    </row>
    <row r="3705" spans="1:14" ht="15" customHeight="1" x14ac:dyDescent="0.2">
      <c r="A3705" s="31">
        <v>0.65718963847899692</v>
      </c>
      <c r="B3705" s="31"/>
      <c r="C3705" s="2" t="s">
        <v>855</v>
      </c>
      <c r="D3705" s="31">
        <f t="shared" si="120"/>
        <v>0.1288091691418834</v>
      </c>
      <c r="F3705" s="2" t="s">
        <v>822</v>
      </c>
      <c r="G3705" s="23" t="s">
        <v>902</v>
      </c>
      <c r="H3705" s="2" t="s">
        <v>822</v>
      </c>
      <c r="J3705" s="31">
        <v>43.709201800000002</v>
      </c>
      <c r="K3705" s="31">
        <v>-37.691398599999999</v>
      </c>
      <c r="L3705" s="31"/>
      <c r="M3705" s="31" t="s">
        <v>854</v>
      </c>
      <c r="N3705" s="6" t="s">
        <v>856</v>
      </c>
    </row>
    <row r="3706" spans="1:14" ht="15" customHeight="1" x14ac:dyDescent="0.2">
      <c r="A3706" s="31">
        <v>0.65714211969637737</v>
      </c>
      <c r="B3706" s="31"/>
      <c r="C3706" s="2" t="s">
        <v>855</v>
      </c>
      <c r="D3706" s="31">
        <f t="shared" si="120"/>
        <v>0.12879985546048997</v>
      </c>
      <c r="F3706" s="2" t="s">
        <v>822</v>
      </c>
      <c r="G3706" s="23" t="s">
        <v>902</v>
      </c>
      <c r="H3706" s="2" t="s">
        <v>822</v>
      </c>
      <c r="J3706" s="31">
        <v>31.959999100000001</v>
      </c>
      <c r="K3706" s="31">
        <v>28.219499599999999</v>
      </c>
      <c r="L3706" s="31"/>
      <c r="M3706" s="31" t="s">
        <v>854</v>
      </c>
      <c r="N3706" s="6" t="s">
        <v>856</v>
      </c>
    </row>
    <row r="3707" spans="1:14" ht="15" customHeight="1" x14ac:dyDescent="0.2">
      <c r="A3707" s="31">
        <v>0.65693404545788103</v>
      </c>
      <c r="B3707" s="31"/>
      <c r="C3707" s="2" t="s">
        <v>855</v>
      </c>
      <c r="D3707" s="31">
        <f t="shared" si="120"/>
        <v>0.1287590729097447</v>
      </c>
      <c r="F3707" s="2" t="s">
        <v>822</v>
      </c>
      <c r="G3707" s="23" t="s">
        <v>902</v>
      </c>
      <c r="H3707" s="2" t="s">
        <v>822</v>
      </c>
      <c r="J3707" s="31">
        <v>54.541599300000001</v>
      </c>
      <c r="K3707" s="31">
        <v>6.0538401999999998</v>
      </c>
      <c r="L3707" s="31"/>
      <c r="M3707" s="31" t="s">
        <v>854</v>
      </c>
      <c r="N3707" s="6" t="s">
        <v>856</v>
      </c>
    </row>
    <row r="3708" spans="1:14" ht="15" customHeight="1" x14ac:dyDescent="0.2">
      <c r="A3708" s="31">
        <v>0.65681001615117596</v>
      </c>
      <c r="B3708" s="31"/>
      <c r="C3708" s="2" t="s">
        <v>855</v>
      </c>
      <c r="D3708" s="31">
        <f t="shared" si="120"/>
        <v>0.12873476316563048</v>
      </c>
      <c r="F3708" s="2" t="s">
        <v>822</v>
      </c>
      <c r="G3708" s="23" t="s">
        <v>902</v>
      </c>
      <c r="H3708" s="2" t="s">
        <v>822</v>
      </c>
      <c r="J3708" s="31">
        <v>46.0536995</v>
      </c>
      <c r="K3708" s="31">
        <v>-5.8045998000000001</v>
      </c>
      <c r="L3708" s="31"/>
      <c r="M3708" s="31" t="s">
        <v>854</v>
      </c>
      <c r="N3708" s="6" t="s">
        <v>856</v>
      </c>
    </row>
    <row r="3709" spans="1:14" ht="15" customHeight="1" x14ac:dyDescent="0.2">
      <c r="A3709" s="31">
        <v>0.65674050987145516</v>
      </c>
      <c r="B3709" s="31"/>
      <c r="C3709" s="2" t="s">
        <v>855</v>
      </c>
      <c r="D3709" s="31">
        <f t="shared" si="120"/>
        <v>0.12872113993480522</v>
      </c>
      <c r="F3709" s="2" t="s">
        <v>822</v>
      </c>
      <c r="G3709" s="23" t="s">
        <v>902</v>
      </c>
      <c r="H3709" s="2" t="s">
        <v>822</v>
      </c>
      <c r="J3709" s="31">
        <v>55.997798899999999</v>
      </c>
      <c r="K3709" s="31">
        <v>11.709799800000001</v>
      </c>
      <c r="L3709" s="31"/>
      <c r="M3709" s="31" t="s">
        <v>854</v>
      </c>
      <c r="N3709" s="6" t="s">
        <v>856</v>
      </c>
    </row>
    <row r="3710" spans="1:14" ht="15" customHeight="1" x14ac:dyDescent="0.2">
      <c r="A3710" s="31">
        <v>0.65668195974154919</v>
      </c>
      <c r="B3710" s="31"/>
      <c r="C3710" s="2" t="s">
        <v>855</v>
      </c>
      <c r="D3710" s="31">
        <f t="shared" si="120"/>
        <v>0.12870966410934365</v>
      </c>
      <c r="F3710" s="2" t="s">
        <v>822</v>
      </c>
      <c r="G3710" s="23" t="s">
        <v>902</v>
      </c>
      <c r="H3710" s="2" t="s">
        <v>822</v>
      </c>
      <c r="J3710" s="31">
        <v>40.743698100000003</v>
      </c>
      <c r="K3710" s="31">
        <v>-37.405101799999997</v>
      </c>
      <c r="L3710" s="31"/>
      <c r="M3710" s="31" t="s">
        <v>854</v>
      </c>
      <c r="N3710" s="6" t="s">
        <v>856</v>
      </c>
    </row>
    <row r="3711" spans="1:14" ht="15" customHeight="1" x14ac:dyDescent="0.2">
      <c r="A3711" s="31">
        <v>0.65664993373909242</v>
      </c>
      <c r="B3711" s="31"/>
      <c r="C3711" s="2" t="s">
        <v>855</v>
      </c>
      <c r="D3711" s="31">
        <f t="shared" si="120"/>
        <v>0.12870338701286213</v>
      </c>
      <c r="F3711" s="2" t="s">
        <v>822</v>
      </c>
      <c r="G3711" s="23" t="s">
        <v>902</v>
      </c>
      <c r="H3711" s="2" t="s">
        <v>822</v>
      </c>
      <c r="J3711" s="31">
        <v>32.082298299999998</v>
      </c>
      <c r="K3711" s="31">
        <v>-35.384498600000001</v>
      </c>
      <c r="L3711" s="31"/>
      <c r="M3711" s="31" t="s">
        <v>854</v>
      </c>
      <c r="N3711" s="6" t="s">
        <v>856</v>
      </c>
    </row>
    <row r="3712" spans="1:14" ht="15" customHeight="1" x14ac:dyDescent="0.2">
      <c r="A3712" s="31">
        <v>0.65631305786177585</v>
      </c>
      <c r="B3712" s="31"/>
      <c r="C3712" s="2" t="s">
        <v>855</v>
      </c>
      <c r="D3712" s="31">
        <f t="shared" si="120"/>
        <v>0.12863735934090806</v>
      </c>
      <c r="F3712" s="2" t="s">
        <v>822</v>
      </c>
      <c r="G3712" s="23" t="s">
        <v>902</v>
      </c>
      <c r="H3712" s="2" t="s">
        <v>822</v>
      </c>
      <c r="J3712" s="31">
        <v>31.427700000000002</v>
      </c>
      <c r="K3712" s="31">
        <v>17.467300399999999</v>
      </c>
      <c r="L3712" s="31"/>
      <c r="M3712" s="31" t="s">
        <v>854</v>
      </c>
      <c r="N3712" s="6" t="s">
        <v>856</v>
      </c>
    </row>
    <row r="3713" spans="1:14" ht="15" customHeight="1" x14ac:dyDescent="0.2">
      <c r="A3713" s="31">
        <v>0.65626448913545266</v>
      </c>
      <c r="B3713" s="31"/>
      <c r="C3713" s="2" t="s">
        <v>855</v>
      </c>
      <c r="D3713" s="31">
        <f t="shared" si="120"/>
        <v>0.12862783987054874</v>
      </c>
      <c r="F3713" s="2" t="s">
        <v>822</v>
      </c>
      <c r="G3713" s="23" t="s">
        <v>902</v>
      </c>
      <c r="H3713" s="2" t="s">
        <v>822</v>
      </c>
      <c r="J3713" s="31">
        <v>31.387300499999998</v>
      </c>
      <c r="K3713" s="31">
        <v>-36.550701099999998</v>
      </c>
      <c r="L3713" s="31"/>
      <c r="M3713" s="31" t="s">
        <v>854</v>
      </c>
      <c r="N3713" s="6" t="s">
        <v>856</v>
      </c>
    </row>
    <row r="3714" spans="1:14" ht="15" customHeight="1" x14ac:dyDescent="0.2">
      <c r="A3714" s="31">
        <v>0.65600064449211759</v>
      </c>
      <c r="B3714" s="31"/>
      <c r="C3714" s="2" t="s">
        <v>855</v>
      </c>
      <c r="D3714" s="31">
        <f t="shared" si="120"/>
        <v>0.12857612632045506</v>
      </c>
      <c r="F3714" s="2" t="s">
        <v>822</v>
      </c>
      <c r="G3714" s="23" t="s">
        <v>902</v>
      </c>
      <c r="H3714" s="2" t="s">
        <v>822</v>
      </c>
      <c r="J3714" s="31">
        <v>34.3395996</v>
      </c>
      <c r="K3714" s="31">
        <v>18.6947002</v>
      </c>
      <c r="L3714" s="31"/>
      <c r="M3714" s="31" t="s">
        <v>854</v>
      </c>
      <c r="N3714" s="6" t="s">
        <v>856</v>
      </c>
    </row>
    <row r="3715" spans="1:14" ht="15" customHeight="1" x14ac:dyDescent="0.2">
      <c r="A3715" s="31">
        <v>0.65595762129179724</v>
      </c>
      <c r="B3715" s="31"/>
      <c r="C3715" s="2" t="s">
        <v>855</v>
      </c>
      <c r="D3715" s="31">
        <f t="shared" si="120"/>
        <v>0.12856769377319227</v>
      </c>
      <c r="F3715" s="2" t="s">
        <v>822</v>
      </c>
      <c r="G3715" s="23" t="s">
        <v>902</v>
      </c>
      <c r="H3715" s="2" t="s">
        <v>822</v>
      </c>
      <c r="J3715" s="31">
        <v>34.723998999999999</v>
      </c>
      <c r="K3715" s="31">
        <v>-10.4960003</v>
      </c>
      <c r="L3715" s="31"/>
      <c r="M3715" s="31" t="s">
        <v>854</v>
      </c>
      <c r="N3715" s="6" t="s">
        <v>856</v>
      </c>
    </row>
    <row r="3716" spans="1:14" ht="15" customHeight="1" x14ac:dyDescent="0.2">
      <c r="A3716" s="31">
        <v>0.65569599184088689</v>
      </c>
      <c r="B3716" s="31"/>
      <c r="C3716" s="2" t="s">
        <v>855</v>
      </c>
      <c r="D3716" s="31">
        <f t="shared" si="120"/>
        <v>0.12851641440081385</v>
      </c>
      <c r="F3716" s="2" t="s">
        <v>822</v>
      </c>
      <c r="G3716" s="23" t="s">
        <v>902</v>
      </c>
      <c r="H3716" s="2" t="s">
        <v>822</v>
      </c>
      <c r="J3716" s="31">
        <v>51.865898100000003</v>
      </c>
      <c r="K3716" s="31">
        <v>-7.8489699000000002</v>
      </c>
      <c r="L3716" s="31"/>
      <c r="M3716" s="31" t="s">
        <v>854</v>
      </c>
      <c r="N3716" s="6" t="s">
        <v>856</v>
      </c>
    </row>
    <row r="3717" spans="1:14" ht="15" customHeight="1" x14ac:dyDescent="0.2">
      <c r="A3717" s="31">
        <v>0.6556721406517203</v>
      </c>
      <c r="B3717" s="31"/>
      <c r="C3717" s="2" t="s">
        <v>855</v>
      </c>
      <c r="D3717" s="31">
        <f t="shared" si="120"/>
        <v>0.12851173956773718</v>
      </c>
      <c r="F3717" s="2" t="s">
        <v>822</v>
      </c>
      <c r="G3717" s="23" t="s">
        <v>902</v>
      </c>
      <c r="H3717" s="2" t="s">
        <v>822</v>
      </c>
      <c r="J3717" s="31">
        <v>31.384000799999999</v>
      </c>
      <c r="K3717" s="31">
        <v>-41.892501799999998</v>
      </c>
      <c r="L3717" s="31"/>
      <c r="M3717" s="31" t="s">
        <v>854</v>
      </c>
      <c r="N3717" s="6" t="s">
        <v>856</v>
      </c>
    </row>
    <row r="3718" spans="1:14" ht="15" customHeight="1" x14ac:dyDescent="0.2">
      <c r="A3718" s="31">
        <v>0.65565651582144147</v>
      </c>
      <c r="B3718" s="31"/>
      <c r="C3718" s="2" t="s">
        <v>855</v>
      </c>
      <c r="D3718" s="31">
        <f t="shared" si="120"/>
        <v>0.12850867710100253</v>
      </c>
      <c r="F3718" s="2" t="s">
        <v>822</v>
      </c>
      <c r="G3718" s="23" t="s">
        <v>902</v>
      </c>
      <c r="H3718" s="2" t="s">
        <v>822</v>
      </c>
      <c r="J3718" s="31">
        <v>43.157100700000001</v>
      </c>
      <c r="K3718" s="31">
        <v>-19.5757999</v>
      </c>
      <c r="L3718" s="31"/>
      <c r="M3718" s="31" t="s">
        <v>854</v>
      </c>
      <c r="N3718" s="6" t="s">
        <v>856</v>
      </c>
    </row>
    <row r="3719" spans="1:14" ht="15" customHeight="1" x14ac:dyDescent="0.2">
      <c r="A3719" s="31">
        <v>0.65558440678295504</v>
      </c>
      <c r="B3719" s="31"/>
      <c r="C3719" s="2" t="s">
        <v>855</v>
      </c>
      <c r="D3719" s="31">
        <f t="shared" si="120"/>
        <v>0.1284945437294592</v>
      </c>
      <c r="F3719" s="2" t="s">
        <v>822</v>
      </c>
      <c r="G3719" s="23" t="s">
        <v>902</v>
      </c>
      <c r="H3719" s="2" t="s">
        <v>822</v>
      </c>
      <c r="J3719" s="31">
        <v>39.407100700000001</v>
      </c>
      <c r="K3719" s="31">
        <v>-37.870899199999997</v>
      </c>
      <c r="L3719" s="31"/>
      <c r="M3719" s="31" t="s">
        <v>854</v>
      </c>
      <c r="N3719" s="6" t="s">
        <v>856</v>
      </c>
    </row>
    <row r="3720" spans="1:14" ht="15" customHeight="1" x14ac:dyDescent="0.2">
      <c r="A3720" s="31">
        <v>0.65552730630116374</v>
      </c>
      <c r="B3720" s="31"/>
      <c r="C3720" s="2" t="s">
        <v>855</v>
      </c>
      <c r="D3720" s="31">
        <f t="shared" si="120"/>
        <v>0.12848335203502809</v>
      </c>
      <c r="F3720" s="2" t="s">
        <v>822</v>
      </c>
      <c r="G3720" s="23" t="s">
        <v>902</v>
      </c>
      <c r="H3720" s="2" t="s">
        <v>822</v>
      </c>
      <c r="J3720" s="31">
        <v>32.622199999999999</v>
      </c>
      <c r="K3720" s="31">
        <v>-28.061000799999999</v>
      </c>
      <c r="L3720" s="31"/>
      <c r="M3720" s="31" t="s">
        <v>854</v>
      </c>
      <c r="N3720" s="6" t="s">
        <v>856</v>
      </c>
    </row>
    <row r="3721" spans="1:14" ht="15" customHeight="1" x14ac:dyDescent="0.2">
      <c r="A3721" s="31">
        <v>0.65541094032765079</v>
      </c>
      <c r="B3721" s="31"/>
      <c r="C3721" s="2" t="s">
        <v>855</v>
      </c>
      <c r="D3721" s="31">
        <f t="shared" ref="D3721:D3752" si="121" xml:space="preserve"> A3721 * 0.196</f>
        <v>0.12846054430421955</v>
      </c>
      <c r="F3721" s="2" t="s">
        <v>822</v>
      </c>
      <c r="G3721" s="23" t="s">
        <v>902</v>
      </c>
      <c r="H3721" s="2" t="s">
        <v>822</v>
      </c>
      <c r="J3721" s="31">
        <v>45.326301600000001</v>
      </c>
      <c r="K3721" s="31">
        <v>-37.766101800000001</v>
      </c>
      <c r="L3721" s="31"/>
      <c r="M3721" s="31" t="s">
        <v>854</v>
      </c>
      <c r="N3721" s="6" t="s">
        <v>856</v>
      </c>
    </row>
    <row r="3722" spans="1:14" ht="15" customHeight="1" x14ac:dyDescent="0.2">
      <c r="A3722" s="31">
        <v>0.65533493576875346</v>
      </c>
      <c r="B3722" s="31"/>
      <c r="C3722" s="2" t="s">
        <v>855</v>
      </c>
      <c r="D3722" s="31">
        <f t="shared" si="121"/>
        <v>0.12844564741067568</v>
      </c>
      <c r="F3722" s="2" t="s">
        <v>822</v>
      </c>
      <c r="G3722" s="23" t="s">
        <v>902</v>
      </c>
      <c r="H3722" s="2" t="s">
        <v>822</v>
      </c>
      <c r="J3722" s="31">
        <v>32.249500300000001</v>
      </c>
      <c r="K3722" s="31">
        <v>-41.3993988</v>
      </c>
      <c r="L3722" s="31"/>
      <c r="M3722" s="31" t="s">
        <v>854</v>
      </c>
      <c r="N3722" s="6" t="s">
        <v>856</v>
      </c>
    </row>
    <row r="3723" spans="1:14" ht="15" customHeight="1" x14ac:dyDescent="0.2">
      <c r="A3723" s="31">
        <v>0.65507501301752458</v>
      </c>
      <c r="B3723" s="31"/>
      <c r="C3723" s="2" t="s">
        <v>855</v>
      </c>
      <c r="D3723" s="31">
        <f t="shared" si="121"/>
        <v>0.12839470255143481</v>
      </c>
      <c r="F3723" s="2" t="s">
        <v>822</v>
      </c>
      <c r="G3723" s="23" t="s">
        <v>902</v>
      </c>
      <c r="H3723" s="2" t="s">
        <v>822</v>
      </c>
      <c r="J3723" s="31">
        <v>30.7159996</v>
      </c>
      <c r="K3723" s="31">
        <v>-14.5039997</v>
      </c>
      <c r="L3723" s="31"/>
      <c r="M3723" s="31" t="s">
        <v>854</v>
      </c>
      <c r="N3723" s="6" t="s">
        <v>856</v>
      </c>
    </row>
    <row r="3724" spans="1:14" ht="15" customHeight="1" x14ac:dyDescent="0.2">
      <c r="A3724" s="31">
        <v>0.6548252872710435</v>
      </c>
      <c r="B3724" s="31"/>
      <c r="C3724" s="2" t="s">
        <v>855</v>
      </c>
      <c r="D3724" s="31">
        <f t="shared" si="121"/>
        <v>0.12834575630512454</v>
      </c>
      <c r="F3724" s="2" t="s">
        <v>822</v>
      </c>
      <c r="G3724" s="23" t="s">
        <v>902</v>
      </c>
      <c r="H3724" s="2" t="s">
        <v>822</v>
      </c>
      <c r="J3724" s="31">
        <v>33.084800700000002</v>
      </c>
      <c r="K3724" s="31">
        <v>26.112699500000002</v>
      </c>
      <c r="L3724" s="31"/>
      <c r="M3724" s="31" t="s">
        <v>854</v>
      </c>
      <c r="N3724" s="6" t="s">
        <v>856</v>
      </c>
    </row>
    <row r="3725" spans="1:14" ht="15" customHeight="1" x14ac:dyDescent="0.2">
      <c r="A3725" s="31">
        <v>0.65448702547157156</v>
      </c>
      <c r="B3725" s="31"/>
      <c r="C3725" s="2" t="s">
        <v>855</v>
      </c>
      <c r="D3725" s="31">
        <f t="shared" si="121"/>
        <v>0.12827945699242804</v>
      </c>
      <c r="F3725" s="2" t="s">
        <v>822</v>
      </c>
      <c r="G3725" s="23" t="s">
        <v>902</v>
      </c>
      <c r="H3725" s="2" t="s">
        <v>822</v>
      </c>
      <c r="J3725" s="31">
        <v>28.711999899999999</v>
      </c>
      <c r="K3725" s="31">
        <v>-37.883998900000002</v>
      </c>
      <c r="L3725" s="31"/>
      <c r="M3725" s="31" t="s">
        <v>854</v>
      </c>
      <c r="N3725" s="6" t="s">
        <v>856</v>
      </c>
    </row>
    <row r="3726" spans="1:14" ht="15" customHeight="1" x14ac:dyDescent="0.2">
      <c r="A3726" s="31">
        <v>0.65433184865522609</v>
      </c>
      <c r="B3726" s="31"/>
      <c r="C3726" s="2" t="s">
        <v>855</v>
      </c>
      <c r="D3726" s="31">
        <f t="shared" si="121"/>
        <v>0.12824904233642431</v>
      </c>
      <c r="F3726" s="2" t="s">
        <v>822</v>
      </c>
      <c r="G3726" s="23" t="s">
        <v>902</v>
      </c>
      <c r="H3726" s="2" t="s">
        <v>822</v>
      </c>
      <c r="J3726" s="31">
        <v>50.983699799999997</v>
      </c>
      <c r="K3726" s="31">
        <v>1.0980901000000001</v>
      </c>
      <c r="L3726" s="31"/>
      <c r="M3726" s="31" t="s">
        <v>854</v>
      </c>
      <c r="N3726" s="6" t="s">
        <v>856</v>
      </c>
    </row>
    <row r="3727" spans="1:14" ht="15" customHeight="1" x14ac:dyDescent="0.2">
      <c r="A3727" s="31">
        <v>0.65423596456687749</v>
      </c>
      <c r="B3727" s="31"/>
      <c r="C3727" s="2" t="s">
        <v>855</v>
      </c>
      <c r="D3727" s="31">
        <f t="shared" si="121"/>
        <v>0.12823024905510799</v>
      </c>
      <c r="F3727" s="2" t="s">
        <v>822</v>
      </c>
      <c r="G3727" s="23" t="s">
        <v>902</v>
      </c>
      <c r="H3727" s="2" t="s">
        <v>822</v>
      </c>
      <c r="J3727" s="31">
        <v>44.131900799999997</v>
      </c>
      <c r="K3727" s="31">
        <v>-4.2896900000000002</v>
      </c>
      <c r="L3727" s="31"/>
      <c r="M3727" s="31" t="s">
        <v>854</v>
      </c>
      <c r="N3727" s="6" t="s">
        <v>856</v>
      </c>
    </row>
    <row r="3728" spans="1:14" ht="15" customHeight="1" x14ac:dyDescent="0.2">
      <c r="A3728" s="31">
        <v>0.6542164867066288</v>
      </c>
      <c r="B3728" s="31"/>
      <c r="C3728" s="2" t="s">
        <v>855</v>
      </c>
      <c r="D3728" s="31">
        <f t="shared" si="121"/>
        <v>0.12822643139449924</v>
      </c>
      <c r="F3728" s="2" t="s">
        <v>822</v>
      </c>
      <c r="G3728" s="23" t="s">
        <v>902</v>
      </c>
      <c r="H3728" s="2" t="s">
        <v>822</v>
      </c>
      <c r="J3728" s="31">
        <v>54.8755989</v>
      </c>
      <c r="K3728" s="31">
        <v>3.5518401000000002</v>
      </c>
      <c r="L3728" s="31"/>
      <c r="M3728" s="31" t="s">
        <v>854</v>
      </c>
      <c r="N3728" s="6" t="s">
        <v>856</v>
      </c>
    </row>
    <row r="3729" spans="1:14" ht="15" customHeight="1" x14ac:dyDescent="0.2">
      <c r="A3729" s="31">
        <v>0.65414750486391104</v>
      </c>
      <c r="B3729" s="31"/>
      <c r="C3729" s="2" t="s">
        <v>855</v>
      </c>
      <c r="D3729" s="31">
        <f t="shared" si="121"/>
        <v>0.12821291095332657</v>
      </c>
      <c r="F3729" s="2" t="s">
        <v>822</v>
      </c>
      <c r="G3729" s="23" t="s">
        <v>902</v>
      </c>
      <c r="H3729" s="2" t="s">
        <v>822</v>
      </c>
      <c r="J3729" s="31">
        <v>33.559699999999999</v>
      </c>
      <c r="K3729" s="31">
        <v>19.425399800000001</v>
      </c>
      <c r="L3729" s="31"/>
      <c r="M3729" s="31" t="s">
        <v>854</v>
      </c>
      <c r="N3729" s="6" t="s">
        <v>856</v>
      </c>
    </row>
    <row r="3730" spans="1:14" ht="15" customHeight="1" x14ac:dyDescent="0.2">
      <c r="A3730" s="31">
        <v>0.65401112429265484</v>
      </c>
      <c r="B3730" s="31"/>
      <c r="C3730" s="2" t="s">
        <v>855</v>
      </c>
      <c r="D3730" s="31">
        <f t="shared" si="121"/>
        <v>0.12818618036136034</v>
      </c>
      <c r="F3730" s="2" t="s">
        <v>822</v>
      </c>
      <c r="G3730" s="23" t="s">
        <v>902</v>
      </c>
      <c r="H3730" s="2" t="s">
        <v>822</v>
      </c>
      <c r="J3730" s="31">
        <v>44.071201299999998</v>
      </c>
      <c r="K3730" s="31">
        <v>-42.555599200000003</v>
      </c>
      <c r="L3730" s="31"/>
      <c r="M3730" s="31" t="s">
        <v>854</v>
      </c>
      <c r="N3730" s="6" t="s">
        <v>856</v>
      </c>
    </row>
    <row r="3731" spans="1:14" ht="15" customHeight="1" x14ac:dyDescent="0.2">
      <c r="A3731" s="31">
        <v>0.65393886447065663</v>
      </c>
      <c r="B3731" s="31"/>
      <c r="C3731" s="2" t="s">
        <v>855</v>
      </c>
      <c r="D3731" s="31">
        <f t="shared" si="121"/>
        <v>0.1281720174362487</v>
      </c>
      <c r="F3731" s="2" t="s">
        <v>822</v>
      </c>
      <c r="G3731" s="23" t="s">
        <v>902</v>
      </c>
      <c r="H3731" s="2" t="s">
        <v>822</v>
      </c>
      <c r="J3731" s="31">
        <v>36.047100100000002</v>
      </c>
      <c r="K3731" s="31">
        <v>-28.049999199999998</v>
      </c>
      <c r="L3731" s="31"/>
      <c r="M3731" s="31" t="s">
        <v>854</v>
      </c>
      <c r="N3731" s="6" t="s">
        <v>856</v>
      </c>
    </row>
    <row r="3732" spans="1:14" ht="15" customHeight="1" x14ac:dyDescent="0.2">
      <c r="A3732" s="31">
        <v>0.65389488747690527</v>
      </c>
      <c r="B3732" s="31"/>
      <c r="C3732" s="2" t="s">
        <v>855</v>
      </c>
      <c r="D3732" s="31">
        <f t="shared" si="121"/>
        <v>0.12816339794547343</v>
      </c>
      <c r="F3732" s="2" t="s">
        <v>822</v>
      </c>
      <c r="G3732" s="23" t="s">
        <v>902</v>
      </c>
      <c r="H3732" s="2" t="s">
        <v>822</v>
      </c>
      <c r="J3732" s="31">
        <v>42.740001700000001</v>
      </c>
      <c r="K3732" s="31">
        <v>-24.5240002</v>
      </c>
      <c r="L3732" s="31"/>
      <c r="M3732" s="31" t="s">
        <v>854</v>
      </c>
      <c r="N3732" s="6" t="s">
        <v>856</v>
      </c>
    </row>
    <row r="3733" spans="1:14" ht="15" customHeight="1" x14ac:dyDescent="0.2">
      <c r="A3733" s="31">
        <v>0.65363260118059274</v>
      </c>
      <c r="B3733" s="31"/>
      <c r="C3733" s="2" t="s">
        <v>855</v>
      </c>
      <c r="D3733" s="31">
        <f t="shared" si="121"/>
        <v>0.12811198983139618</v>
      </c>
      <c r="F3733" s="2" t="s">
        <v>822</v>
      </c>
      <c r="G3733" s="23" t="s">
        <v>902</v>
      </c>
      <c r="H3733" s="2" t="s">
        <v>822</v>
      </c>
      <c r="J3733" s="31">
        <v>54.932701100000003</v>
      </c>
      <c r="K3733" s="31">
        <v>-5.46807</v>
      </c>
      <c r="L3733" s="31"/>
      <c r="M3733" s="31" t="s">
        <v>854</v>
      </c>
      <c r="N3733" s="6" t="s">
        <v>856</v>
      </c>
    </row>
    <row r="3734" spans="1:14" ht="15" customHeight="1" x14ac:dyDescent="0.2">
      <c r="A3734" s="31">
        <v>0.65296045430385308</v>
      </c>
      <c r="B3734" s="31"/>
      <c r="C3734" s="2" t="s">
        <v>855</v>
      </c>
      <c r="D3734" s="31">
        <f t="shared" si="121"/>
        <v>0.12798024904355521</v>
      </c>
      <c r="F3734" s="2" t="s">
        <v>822</v>
      </c>
      <c r="G3734" s="23" t="s">
        <v>902</v>
      </c>
      <c r="H3734" s="2" t="s">
        <v>822</v>
      </c>
      <c r="J3734" s="31">
        <v>52.433601400000001</v>
      </c>
      <c r="K3734" s="31">
        <v>-10.1658001</v>
      </c>
      <c r="L3734" s="31"/>
      <c r="M3734" s="31" t="s">
        <v>854</v>
      </c>
      <c r="N3734" s="6" t="s">
        <v>856</v>
      </c>
    </row>
    <row r="3735" spans="1:14" ht="15" customHeight="1" x14ac:dyDescent="0.2">
      <c r="A3735" s="31">
        <v>0.65285901625489107</v>
      </c>
      <c r="B3735" s="31"/>
      <c r="C3735" s="2" t="s">
        <v>855</v>
      </c>
      <c r="D3735" s="31">
        <f t="shared" si="121"/>
        <v>0.12796036718595866</v>
      </c>
      <c r="F3735" s="2" t="s">
        <v>822</v>
      </c>
      <c r="G3735" s="23" t="s">
        <v>902</v>
      </c>
      <c r="H3735" s="2" t="s">
        <v>822</v>
      </c>
      <c r="J3735" s="31">
        <v>28.709299099999999</v>
      </c>
      <c r="K3735" s="31">
        <v>-42.5597992</v>
      </c>
      <c r="L3735" s="31"/>
      <c r="M3735" s="31" t="s">
        <v>854</v>
      </c>
      <c r="N3735" s="6" t="s">
        <v>856</v>
      </c>
    </row>
    <row r="3736" spans="1:14" ht="15" customHeight="1" x14ac:dyDescent="0.2">
      <c r="A3736" s="31">
        <v>0.65265312047579349</v>
      </c>
      <c r="B3736" s="31"/>
      <c r="C3736" s="2" t="s">
        <v>855</v>
      </c>
      <c r="D3736" s="31">
        <f t="shared" si="121"/>
        <v>0.12792001161325553</v>
      </c>
      <c r="F3736" s="2" t="s">
        <v>822</v>
      </c>
      <c r="G3736" s="23" t="s">
        <v>902</v>
      </c>
      <c r="H3736" s="2" t="s">
        <v>822</v>
      </c>
      <c r="J3736" s="31">
        <v>34.108200099999998</v>
      </c>
      <c r="K3736" s="31">
        <v>-9.1878004000000004</v>
      </c>
      <c r="L3736" s="31"/>
      <c r="M3736" s="31" t="s">
        <v>854</v>
      </c>
      <c r="N3736" s="6" t="s">
        <v>856</v>
      </c>
    </row>
    <row r="3737" spans="1:14" ht="15" customHeight="1" x14ac:dyDescent="0.2">
      <c r="A3737" s="31">
        <v>0.65235092964116892</v>
      </c>
      <c r="B3737" s="31"/>
      <c r="C3737" s="2" t="s">
        <v>855</v>
      </c>
      <c r="D3737" s="31">
        <f t="shared" si="121"/>
        <v>0.12786078220966912</v>
      </c>
      <c r="F3737" s="2" t="s">
        <v>822</v>
      </c>
      <c r="G3737" s="23" t="s">
        <v>902</v>
      </c>
      <c r="H3737" s="2" t="s">
        <v>822</v>
      </c>
      <c r="J3737" s="31">
        <v>28.711999899999999</v>
      </c>
      <c r="K3737" s="31">
        <v>-37.215999600000004</v>
      </c>
      <c r="L3737" s="31"/>
      <c r="M3737" s="31" t="s">
        <v>854</v>
      </c>
      <c r="N3737" s="6" t="s">
        <v>856</v>
      </c>
    </row>
    <row r="3738" spans="1:14" ht="15" customHeight="1" x14ac:dyDescent="0.2">
      <c r="A3738" s="31">
        <v>0.65213957349934748</v>
      </c>
      <c r="B3738" s="31"/>
      <c r="C3738" s="2" t="s">
        <v>855</v>
      </c>
      <c r="D3738" s="31">
        <f t="shared" si="121"/>
        <v>0.12781935640587211</v>
      </c>
      <c r="F3738" s="2" t="s">
        <v>822</v>
      </c>
      <c r="G3738" s="23" t="s">
        <v>902</v>
      </c>
      <c r="H3738" s="2" t="s">
        <v>822</v>
      </c>
      <c r="J3738" s="31">
        <v>30.7159996</v>
      </c>
      <c r="K3738" s="31">
        <v>-31.8719997</v>
      </c>
      <c r="L3738" s="31"/>
      <c r="M3738" s="31" t="s">
        <v>854</v>
      </c>
      <c r="N3738" s="6" t="s">
        <v>856</v>
      </c>
    </row>
    <row r="3739" spans="1:14" ht="15" customHeight="1" x14ac:dyDescent="0.2">
      <c r="A3739" s="31">
        <v>0.65211470589127318</v>
      </c>
      <c r="B3739" s="31"/>
      <c r="C3739" s="2" t="s">
        <v>855</v>
      </c>
      <c r="D3739" s="31">
        <f t="shared" si="121"/>
        <v>0.12781448235468956</v>
      </c>
      <c r="F3739" s="2" t="s">
        <v>822</v>
      </c>
      <c r="G3739" s="23" t="s">
        <v>902</v>
      </c>
      <c r="H3739" s="2" t="s">
        <v>822</v>
      </c>
      <c r="J3739" s="31">
        <v>52.673099499999999</v>
      </c>
      <c r="K3739" s="31">
        <v>-8.8022603999999998</v>
      </c>
      <c r="L3739" s="31"/>
      <c r="M3739" s="31" t="s">
        <v>854</v>
      </c>
      <c r="N3739" s="6" t="s">
        <v>856</v>
      </c>
    </row>
    <row r="3740" spans="1:14" ht="15" customHeight="1" x14ac:dyDescent="0.2">
      <c r="A3740" s="31">
        <v>0.65161347712179496</v>
      </c>
      <c r="B3740" s="31"/>
      <c r="C3740" s="2" t="s">
        <v>855</v>
      </c>
      <c r="D3740" s="31">
        <f t="shared" si="121"/>
        <v>0.12771624151587183</v>
      </c>
      <c r="F3740" s="2" t="s">
        <v>822</v>
      </c>
      <c r="G3740" s="23" t="s">
        <v>902</v>
      </c>
      <c r="H3740" s="2" t="s">
        <v>822</v>
      </c>
      <c r="J3740" s="31">
        <v>36.728000600000001</v>
      </c>
      <c r="K3740" s="31">
        <v>-40.555999800000002</v>
      </c>
      <c r="L3740" s="31"/>
      <c r="M3740" s="31" t="s">
        <v>854</v>
      </c>
      <c r="N3740" s="6" t="s">
        <v>856</v>
      </c>
    </row>
    <row r="3741" spans="1:14" ht="15" customHeight="1" x14ac:dyDescent="0.2">
      <c r="A3741" s="31">
        <v>0.65159116383039917</v>
      </c>
      <c r="B3741" s="31"/>
      <c r="C3741" s="2" t="s">
        <v>855</v>
      </c>
      <c r="D3741" s="31">
        <f t="shared" si="121"/>
        <v>0.12771186811075824</v>
      </c>
      <c r="F3741" s="2" t="s">
        <v>822</v>
      </c>
      <c r="G3741" s="23" t="s">
        <v>902</v>
      </c>
      <c r="H3741" s="2" t="s">
        <v>822</v>
      </c>
      <c r="J3741" s="31">
        <v>50.4651985</v>
      </c>
      <c r="K3741" s="31">
        <v>-5.8853302000000003</v>
      </c>
      <c r="L3741" s="31"/>
      <c r="M3741" s="31" t="s">
        <v>854</v>
      </c>
      <c r="N3741" s="6" t="s">
        <v>856</v>
      </c>
    </row>
    <row r="3742" spans="1:14" ht="15" customHeight="1" x14ac:dyDescent="0.2">
      <c r="A3742" s="31">
        <v>0.65146832511673769</v>
      </c>
      <c r="B3742" s="31"/>
      <c r="C3742" s="2" t="s">
        <v>855</v>
      </c>
      <c r="D3742" s="31">
        <f t="shared" si="121"/>
        <v>0.12768779172288058</v>
      </c>
      <c r="F3742" s="2" t="s">
        <v>822</v>
      </c>
      <c r="G3742" s="23" t="s">
        <v>902</v>
      </c>
      <c r="H3742" s="2" t="s">
        <v>822</v>
      </c>
      <c r="J3742" s="31">
        <v>38.063999199999998</v>
      </c>
      <c r="K3742" s="31">
        <v>-19.1800003</v>
      </c>
      <c r="L3742" s="31"/>
      <c r="M3742" s="31" t="s">
        <v>854</v>
      </c>
      <c r="N3742" s="6" t="s">
        <v>856</v>
      </c>
    </row>
    <row r="3743" spans="1:14" ht="15" customHeight="1" x14ac:dyDescent="0.2">
      <c r="A3743" s="31">
        <v>0.65141003656354313</v>
      </c>
      <c r="B3743" s="31"/>
      <c r="C3743" s="2" t="s">
        <v>855</v>
      </c>
      <c r="D3743" s="31">
        <f t="shared" si="121"/>
        <v>0.12767636716645445</v>
      </c>
      <c r="F3743" s="2" t="s">
        <v>822</v>
      </c>
      <c r="G3743" s="23" t="s">
        <v>902</v>
      </c>
      <c r="H3743" s="2" t="s">
        <v>822</v>
      </c>
      <c r="J3743" s="31">
        <v>39.151901199999998</v>
      </c>
      <c r="K3743" s="31">
        <v>18.103300099999998</v>
      </c>
      <c r="L3743" s="31"/>
      <c r="M3743" s="31" t="s">
        <v>854</v>
      </c>
      <c r="N3743" s="6" t="s">
        <v>856</v>
      </c>
    </row>
    <row r="3744" spans="1:14" ht="15" customHeight="1" x14ac:dyDescent="0.2">
      <c r="A3744" s="31">
        <v>0.651318072204216</v>
      </c>
      <c r="B3744" s="31"/>
      <c r="C3744" s="2" t="s">
        <v>855</v>
      </c>
      <c r="D3744" s="31">
        <f t="shared" si="121"/>
        <v>0.12765834215202634</v>
      </c>
      <c r="F3744" s="2" t="s">
        <v>822</v>
      </c>
      <c r="G3744" s="23" t="s">
        <v>902</v>
      </c>
      <c r="H3744" s="2" t="s">
        <v>822</v>
      </c>
      <c r="J3744" s="31">
        <v>33.168598199999998</v>
      </c>
      <c r="K3744" s="31">
        <v>30.284999800000001</v>
      </c>
      <c r="L3744" s="31"/>
      <c r="M3744" s="31" t="s">
        <v>854</v>
      </c>
      <c r="N3744" s="6" t="s">
        <v>856</v>
      </c>
    </row>
    <row r="3745" spans="1:14" ht="15" customHeight="1" x14ac:dyDescent="0.2">
      <c r="A3745" s="31">
        <v>0.65126993669366617</v>
      </c>
      <c r="B3745" s="31"/>
      <c r="C3745" s="2" t="s">
        <v>855</v>
      </c>
      <c r="D3745" s="31">
        <f t="shared" si="121"/>
        <v>0.12764890759195857</v>
      </c>
      <c r="F3745" s="2" t="s">
        <v>822</v>
      </c>
      <c r="G3745" s="23" t="s">
        <v>902</v>
      </c>
      <c r="H3745" s="2" t="s">
        <v>822</v>
      </c>
      <c r="J3745" s="31">
        <v>47.630100300000002</v>
      </c>
      <c r="K3745" s="31">
        <v>-5.8904199999999998</v>
      </c>
      <c r="L3745" s="31"/>
      <c r="M3745" s="31" t="s">
        <v>854</v>
      </c>
      <c r="N3745" s="6" t="s">
        <v>856</v>
      </c>
    </row>
    <row r="3746" spans="1:14" ht="15" customHeight="1" x14ac:dyDescent="0.2">
      <c r="A3746" s="31">
        <v>0.65126652736874346</v>
      </c>
      <c r="B3746" s="31"/>
      <c r="C3746" s="2" t="s">
        <v>855</v>
      </c>
      <c r="D3746" s="31">
        <f t="shared" si="121"/>
        <v>0.12764823936427372</v>
      </c>
      <c r="F3746" s="2" t="s">
        <v>822</v>
      </c>
      <c r="G3746" s="23" t="s">
        <v>902</v>
      </c>
      <c r="H3746" s="2" t="s">
        <v>822</v>
      </c>
      <c r="J3746" s="31">
        <v>47.416000400000001</v>
      </c>
      <c r="K3746" s="31">
        <v>-15.171999899999999</v>
      </c>
      <c r="L3746" s="31"/>
      <c r="M3746" s="31" t="s">
        <v>854</v>
      </c>
      <c r="N3746" s="6" t="s">
        <v>856</v>
      </c>
    </row>
    <row r="3747" spans="1:14" ht="15" customHeight="1" x14ac:dyDescent="0.2">
      <c r="A3747" s="31">
        <v>0.65121706815872915</v>
      </c>
      <c r="B3747" s="31"/>
      <c r="C3747" s="2" t="s">
        <v>855</v>
      </c>
      <c r="D3747" s="31">
        <f t="shared" si="121"/>
        <v>0.12763854535911093</v>
      </c>
      <c r="F3747" s="2" t="s">
        <v>822</v>
      </c>
      <c r="G3747" s="23" t="s">
        <v>902</v>
      </c>
      <c r="H3747" s="2" t="s">
        <v>822</v>
      </c>
      <c r="J3747" s="31">
        <v>49.581001299999997</v>
      </c>
      <c r="K3747" s="31">
        <v>1.30758E-2</v>
      </c>
      <c r="L3747" s="31"/>
      <c r="M3747" s="31" t="s">
        <v>854</v>
      </c>
      <c r="N3747" s="6" t="s">
        <v>856</v>
      </c>
    </row>
    <row r="3748" spans="1:14" ht="15" customHeight="1" x14ac:dyDescent="0.2">
      <c r="A3748" s="31">
        <v>0.65114662852247573</v>
      </c>
      <c r="B3748" s="31"/>
      <c r="C3748" s="2" t="s">
        <v>855</v>
      </c>
      <c r="D3748" s="31">
        <f t="shared" si="121"/>
        <v>0.12762473919040526</v>
      </c>
      <c r="F3748" s="2" t="s">
        <v>822</v>
      </c>
      <c r="G3748" s="23" t="s">
        <v>902</v>
      </c>
      <c r="H3748" s="2" t="s">
        <v>822</v>
      </c>
      <c r="J3748" s="31">
        <v>41.8572998</v>
      </c>
      <c r="K3748" s="31">
        <v>-31.597200399999998</v>
      </c>
      <c r="L3748" s="31"/>
      <c r="M3748" s="31" t="s">
        <v>854</v>
      </c>
      <c r="N3748" s="6" t="s">
        <v>856</v>
      </c>
    </row>
    <row r="3749" spans="1:14" ht="15" customHeight="1" x14ac:dyDescent="0.2">
      <c r="A3749" s="31">
        <v>0.65102036698386279</v>
      </c>
      <c r="B3749" s="31"/>
      <c r="C3749" s="2" t="s">
        <v>855</v>
      </c>
      <c r="D3749" s="31">
        <f t="shared" si="121"/>
        <v>0.12759999192883711</v>
      </c>
      <c r="F3749" s="2" t="s">
        <v>822</v>
      </c>
      <c r="G3749" s="23" t="s">
        <v>902</v>
      </c>
      <c r="H3749" s="2" t="s">
        <v>822</v>
      </c>
      <c r="J3749" s="31">
        <v>31.384000799999999</v>
      </c>
      <c r="K3749" s="31">
        <v>-24.5240002</v>
      </c>
      <c r="L3749" s="31"/>
      <c r="M3749" s="31" t="s">
        <v>854</v>
      </c>
      <c r="N3749" s="6" t="s">
        <v>856</v>
      </c>
    </row>
    <row r="3750" spans="1:14" ht="15" customHeight="1" x14ac:dyDescent="0.2">
      <c r="A3750" s="31">
        <v>0.65065464881202606</v>
      </c>
      <c r="B3750" s="31"/>
      <c r="C3750" s="2" t="s">
        <v>855</v>
      </c>
      <c r="D3750" s="31">
        <f t="shared" si="121"/>
        <v>0.1275283111671571</v>
      </c>
      <c r="F3750" s="2" t="s">
        <v>822</v>
      </c>
      <c r="G3750" s="23" t="s">
        <v>902</v>
      </c>
      <c r="H3750" s="2" t="s">
        <v>822</v>
      </c>
      <c r="J3750" s="31">
        <v>48.083999599999999</v>
      </c>
      <c r="K3750" s="31">
        <v>-18.511999100000001</v>
      </c>
      <c r="L3750" s="31"/>
      <c r="M3750" s="31" t="s">
        <v>854</v>
      </c>
      <c r="N3750" s="6" t="s">
        <v>856</v>
      </c>
    </row>
    <row r="3751" spans="1:14" ht="15" customHeight="1" x14ac:dyDescent="0.2">
      <c r="A3751" s="31">
        <v>0.650641182721999</v>
      </c>
      <c r="B3751" s="31"/>
      <c r="C3751" s="2" t="s">
        <v>855</v>
      </c>
      <c r="D3751" s="31">
        <f t="shared" si="121"/>
        <v>0.12752567181351182</v>
      </c>
      <c r="F3751" s="2" t="s">
        <v>822</v>
      </c>
      <c r="G3751" s="23" t="s">
        <v>902</v>
      </c>
      <c r="H3751" s="2" t="s">
        <v>822</v>
      </c>
      <c r="J3751" s="31">
        <v>36.737400100000002</v>
      </c>
      <c r="K3751" s="31">
        <v>-23.865400300000001</v>
      </c>
      <c r="L3751" s="31"/>
      <c r="M3751" s="31" t="s">
        <v>854</v>
      </c>
      <c r="N3751" s="6" t="s">
        <v>856</v>
      </c>
    </row>
    <row r="3752" spans="1:14" ht="15" customHeight="1" x14ac:dyDescent="0.2">
      <c r="A3752" s="31">
        <v>0.65062127315871798</v>
      </c>
      <c r="B3752" s="31"/>
      <c r="C3752" s="2" t="s">
        <v>855</v>
      </c>
      <c r="D3752" s="31">
        <f t="shared" si="121"/>
        <v>0.12752176953910874</v>
      </c>
      <c r="F3752" s="2" t="s">
        <v>822</v>
      </c>
      <c r="G3752" s="23" t="s">
        <v>902</v>
      </c>
      <c r="H3752" s="2" t="s">
        <v>822</v>
      </c>
      <c r="J3752" s="31">
        <v>43.859600100000002</v>
      </c>
      <c r="K3752" s="31">
        <v>-8.4240397999999992</v>
      </c>
      <c r="L3752" s="31"/>
      <c r="M3752" s="31" t="s">
        <v>854</v>
      </c>
      <c r="N3752" s="6" t="s">
        <v>856</v>
      </c>
    </row>
    <row r="3753" spans="1:14" ht="15" customHeight="1" x14ac:dyDescent="0.2">
      <c r="A3753" s="31">
        <v>0.65061958468544401</v>
      </c>
      <c r="B3753" s="31"/>
      <c r="C3753" s="2" t="s">
        <v>855</v>
      </c>
      <c r="D3753" s="31">
        <f t="shared" ref="D3753:D3784" si="122" xml:space="preserve"> A3753 * 0.196</f>
        <v>0.12752143859834703</v>
      </c>
      <c r="F3753" s="2" t="s">
        <v>822</v>
      </c>
      <c r="G3753" s="23" t="s">
        <v>902</v>
      </c>
      <c r="H3753" s="2" t="s">
        <v>822</v>
      </c>
      <c r="J3753" s="31">
        <v>34.7831993</v>
      </c>
      <c r="K3753" s="31">
        <v>-37.921298999999998</v>
      </c>
      <c r="L3753" s="31"/>
      <c r="M3753" s="31" t="s">
        <v>854</v>
      </c>
      <c r="N3753" s="6" t="s">
        <v>856</v>
      </c>
    </row>
    <row r="3754" spans="1:14" ht="15" customHeight="1" x14ac:dyDescent="0.2">
      <c r="A3754" s="31">
        <v>0.65016505254994494</v>
      </c>
      <c r="B3754" s="31"/>
      <c r="C3754" s="2" t="s">
        <v>855</v>
      </c>
      <c r="D3754" s="31">
        <f t="shared" si="122"/>
        <v>0.12743235029978922</v>
      </c>
      <c r="F3754" s="2" t="s">
        <v>822</v>
      </c>
      <c r="G3754" s="23" t="s">
        <v>902</v>
      </c>
      <c r="H3754" s="2" t="s">
        <v>822</v>
      </c>
      <c r="J3754" s="31">
        <v>31.384000799999999</v>
      </c>
      <c r="K3754" s="31">
        <v>-20.516000699999999</v>
      </c>
      <c r="L3754" s="31"/>
      <c r="M3754" s="31" t="s">
        <v>854</v>
      </c>
      <c r="N3754" s="6" t="s">
        <v>856</v>
      </c>
    </row>
    <row r="3755" spans="1:14" ht="15" customHeight="1" x14ac:dyDescent="0.2">
      <c r="A3755" s="31">
        <v>0.6497384199167896</v>
      </c>
      <c r="B3755" s="31"/>
      <c r="C3755" s="2" t="s">
        <v>855</v>
      </c>
      <c r="D3755" s="31">
        <f t="shared" si="122"/>
        <v>0.12734873030369076</v>
      </c>
      <c r="F3755" s="2" t="s">
        <v>822</v>
      </c>
      <c r="G3755" s="23" t="s">
        <v>902</v>
      </c>
      <c r="H3755" s="2" t="s">
        <v>822</v>
      </c>
      <c r="J3755" s="31">
        <v>36.033599899999999</v>
      </c>
      <c r="K3755" s="31">
        <v>-15.5537004</v>
      </c>
      <c r="L3755" s="31"/>
      <c r="M3755" s="31" t="s">
        <v>854</v>
      </c>
      <c r="N3755" s="6" t="s">
        <v>856</v>
      </c>
    </row>
    <row r="3756" spans="1:14" ht="15" customHeight="1" x14ac:dyDescent="0.2">
      <c r="A3756" s="31">
        <v>0.64966517079609676</v>
      </c>
      <c r="B3756" s="31"/>
      <c r="C3756" s="2" t="s">
        <v>855</v>
      </c>
      <c r="D3756" s="31">
        <f t="shared" si="122"/>
        <v>0.12733437347603496</v>
      </c>
      <c r="F3756" s="2" t="s">
        <v>822</v>
      </c>
      <c r="G3756" s="23" t="s">
        <v>902</v>
      </c>
      <c r="H3756" s="2" t="s">
        <v>822</v>
      </c>
      <c r="J3756" s="31">
        <v>36.952800799999999</v>
      </c>
      <c r="K3756" s="31">
        <v>-16.613500599999998</v>
      </c>
      <c r="L3756" s="31"/>
      <c r="M3756" s="31" t="s">
        <v>854</v>
      </c>
      <c r="N3756" s="6" t="s">
        <v>856</v>
      </c>
    </row>
    <row r="3757" spans="1:14" ht="15" customHeight="1" x14ac:dyDescent="0.2">
      <c r="A3757" s="31">
        <v>0.64963981145579786</v>
      </c>
      <c r="B3757" s="31"/>
      <c r="C3757" s="2" t="s">
        <v>855</v>
      </c>
      <c r="D3757" s="31">
        <f t="shared" si="122"/>
        <v>0.12732940304533638</v>
      </c>
      <c r="F3757" s="2" t="s">
        <v>822</v>
      </c>
      <c r="G3757" s="23" t="s">
        <v>902</v>
      </c>
      <c r="H3757" s="2" t="s">
        <v>822</v>
      </c>
      <c r="J3757" s="31">
        <v>33.982200599999999</v>
      </c>
      <c r="K3757" s="31">
        <v>20.8805008</v>
      </c>
      <c r="L3757" s="31"/>
      <c r="M3757" s="31" t="s">
        <v>854</v>
      </c>
      <c r="N3757" s="6" t="s">
        <v>856</v>
      </c>
    </row>
    <row r="3758" spans="1:14" ht="15" customHeight="1" x14ac:dyDescent="0.2">
      <c r="A3758" s="31">
        <v>0.64944836961194286</v>
      </c>
      <c r="B3758" s="31"/>
      <c r="C3758" s="2" t="s">
        <v>855</v>
      </c>
      <c r="D3758" s="31">
        <f t="shared" si="122"/>
        <v>0.1272918804439408</v>
      </c>
      <c r="F3758" s="2" t="s">
        <v>822</v>
      </c>
      <c r="G3758" s="23" t="s">
        <v>902</v>
      </c>
      <c r="H3758" s="2" t="s">
        <v>822</v>
      </c>
      <c r="J3758" s="31">
        <v>45.936798099999997</v>
      </c>
      <c r="K3758" s="31">
        <v>-6.4469599999999998</v>
      </c>
      <c r="L3758" s="31"/>
      <c r="M3758" s="31" t="s">
        <v>854</v>
      </c>
      <c r="N3758" s="6" t="s">
        <v>856</v>
      </c>
    </row>
    <row r="3759" spans="1:14" ht="15" customHeight="1" x14ac:dyDescent="0.2">
      <c r="A3759" s="31">
        <v>0.64938105199656315</v>
      </c>
      <c r="B3759" s="31"/>
      <c r="C3759" s="2" t="s">
        <v>855</v>
      </c>
      <c r="D3759" s="31">
        <f t="shared" si="122"/>
        <v>0.12727868619132637</v>
      </c>
      <c r="F3759" s="2" t="s">
        <v>822</v>
      </c>
      <c r="G3759" s="23" t="s">
        <v>902</v>
      </c>
      <c r="H3759" s="2" t="s">
        <v>822</v>
      </c>
      <c r="J3759" s="31">
        <v>40.0680008</v>
      </c>
      <c r="K3759" s="31">
        <v>-17.636199999999999</v>
      </c>
      <c r="L3759" s="31"/>
      <c r="M3759" s="31" t="s">
        <v>854</v>
      </c>
      <c r="N3759" s="6" t="s">
        <v>856</v>
      </c>
    </row>
    <row r="3760" spans="1:14" ht="15" customHeight="1" x14ac:dyDescent="0.2">
      <c r="A3760" s="31">
        <v>0.6491212209715862</v>
      </c>
      <c r="B3760" s="31"/>
      <c r="C3760" s="2" t="s">
        <v>855</v>
      </c>
      <c r="D3760" s="31">
        <f t="shared" si="122"/>
        <v>0.1272277593104309</v>
      </c>
      <c r="F3760" s="2" t="s">
        <v>822</v>
      </c>
      <c r="G3760" s="23" t="s">
        <v>902</v>
      </c>
      <c r="H3760" s="2" t="s">
        <v>822</v>
      </c>
      <c r="J3760" s="31">
        <v>28.282800699999999</v>
      </c>
      <c r="K3760" s="31">
        <v>-27.6380005</v>
      </c>
      <c r="L3760" s="31"/>
      <c r="M3760" s="31" t="s">
        <v>854</v>
      </c>
      <c r="N3760" s="6" t="s">
        <v>856</v>
      </c>
    </row>
    <row r="3761" spans="1:14" ht="15" customHeight="1" x14ac:dyDescent="0.2">
      <c r="A3761" s="31">
        <v>0.64894271323144848</v>
      </c>
      <c r="B3761" s="31"/>
      <c r="C3761" s="2" t="s">
        <v>855</v>
      </c>
      <c r="D3761" s="31">
        <f t="shared" si="122"/>
        <v>0.12719277179336391</v>
      </c>
      <c r="F3761" s="2" t="s">
        <v>822</v>
      </c>
      <c r="G3761" s="23" t="s">
        <v>902</v>
      </c>
      <c r="H3761" s="2" t="s">
        <v>822</v>
      </c>
      <c r="J3761" s="31">
        <v>35.089801799999996</v>
      </c>
      <c r="K3761" s="31">
        <v>18.865699800000002</v>
      </c>
      <c r="L3761" s="31"/>
      <c r="M3761" s="31" t="s">
        <v>854</v>
      </c>
      <c r="N3761" s="6" t="s">
        <v>856</v>
      </c>
    </row>
    <row r="3762" spans="1:14" ht="15" customHeight="1" x14ac:dyDescent="0.2">
      <c r="A3762" s="31">
        <v>0.64883118629546188</v>
      </c>
      <c r="B3762" s="31"/>
      <c r="C3762" s="2" t="s">
        <v>855</v>
      </c>
      <c r="D3762" s="31">
        <f t="shared" si="122"/>
        <v>0.12717091251391052</v>
      </c>
      <c r="F3762" s="2" t="s">
        <v>822</v>
      </c>
      <c r="G3762" s="23" t="s">
        <v>902</v>
      </c>
      <c r="H3762" s="2" t="s">
        <v>822</v>
      </c>
      <c r="J3762" s="31">
        <v>50.611900300000002</v>
      </c>
      <c r="K3762" s="31">
        <v>-0.46389200000000003</v>
      </c>
      <c r="L3762" s="31"/>
      <c r="M3762" s="31" t="s">
        <v>854</v>
      </c>
      <c r="N3762" s="6" t="s">
        <v>856</v>
      </c>
    </row>
    <row r="3763" spans="1:14" ht="15" customHeight="1" x14ac:dyDescent="0.2">
      <c r="A3763" s="31">
        <v>0.64881485661981109</v>
      </c>
      <c r="B3763" s="31"/>
      <c r="C3763" s="2" t="s">
        <v>855</v>
      </c>
      <c r="D3763" s="31">
        <f t="shared" si="122"/>
        <v>0.12716771189748297</v>
      </c>
      <c r="F3763" s="2" t="s">
        <v>822</v>
      </c>
      <c r="G3763" s="23" t="s">
        <v>902</v>
      </c>
      <c r="H3763" s="2" t="s">
        <v>822</v>
      </c>
      <c r="J3763" s="31">
        <v>48.065101599999998</v>
      </c>
      <c r="K3763" s="31">
        <v>-35.216899900000001</v>
      </c>
      <c r="L3763" s="31"/>
      <c r="M3763" s="31" t="s">
        <v>854</v>
      </c>
      <c r="N3763" s="6" t="s">
        <v>856</v>
      </c>
    </row>
    <row r="3764" spans="1:14" ht="15" customHeight="1" x14ac:dyDescent="0.2">
      <c r="A3764" s="31">
        <v>0.64875804534307779</v>
      </c>
      <c r="B3764" s="31"/>
      <c r="C3764" s="2" t="s">
        <v>855</v>
      </c>
      <c r="D3764" s="31">
        <f t="shared" si="122"/>
        <v>0.12715657688724324</v>
      </c>
      <c r="F3764" s="2" t="s">
        <v>822</v>
      </c>
      <c r="G3764" s="23" t="s">
        <v>902</v>
      </c>
      <c r="H3764" s="2" t="s">
        <v>822</v>
      </c>
      <c r="J3764" s="31">
        <v>52.534999800000001</v>
      </c>
      <c r="K3764" s="31">
        <v>-6.2033901</v>
      </c>
      <c r="L3764" s="31"/>
      <c r="M3764" s="31" t="s">
        <v>854</v>
      </c>
      <c r="N3764" s="6" t="s">
        <v>856</v>
      </c>
    </row>
    <row r="3765" spans="1:14" ht="15" customHeight="1" x14ac:dyDescent="0.2">
      <c r="A3765" s="31">
        <v>0.64872016339832661</v>
      </c>
      <c r="B3765" s="31"/>
      <c r="C3765" s="2" t="s">
        <v>855</v>
      </c>
      <c r="D3765" s="31">
        <f t="shared" si="122"/>
        <v>0.12714915202607202</v>
      </c>
      <c r="F3765" s="2" t="s">
        <v>822</v>
      </c>
      <c r="G3765" s="23" t="s">
        <v>902</v>
      </c>
      <c r="H3765" s="2" t="s">
        <v>822</v>
      </c>
      <c r="J3765" s="31">
        <v>39.6935997</v>
      </c>
      <c r="K3765" s="31">
        <v>-10.2122002</v>
      </c>
      <c r="L3765" s="31"/>
      <c r="M3765" s="31" t="s">
        <v>854</v>
      </c>
      <c r="N3765" s="6" t="s">
        <v>856</v>
      </c>
    </row>
    <row r="3766" spans="1:14" ht="15" customHeight="1" x14ac:dyDescent="0.2">
      <c r="A3766" s="31">
        <v>0.64863619375639536</v>
      </c>
      <c r="B3766" s="31"/>
      <c r="C3766" s="2" t="s">
        <v>855</v>
      </c>
      <c r="D3766" s="31">
        <f t="shared" si="122"/>
        <v>0.12713269397625349</v>
      </c>
      <c r="F3766" s="2" t="s">
        <v>822</v>
      </c>
      <c r="G3766" s="23" t="s">
        <v>902</v>
      </c>
      <c r="H3766" s="2" t="s">
        <v>822</v>
      </c>
      <c r="J3766" s="31">
        <v>31.384000799999999</v>
      </c>
      <c r="K3766" s="31">
        <v>-33.875999499999999</v>
      </c>
      <c r="L3766" s="31"/>
      <c r="M3766" s="31" t="s">
        <v>854</v>
      </c>
      <c r="N3766" s="6" t="s">
        <v>856</v>
      </c>
    </row>
    <row r="3767" spans="1:14" ht="15" customHeight="1" x14ac:dyDescent="0.2">
      <c r="A3767" s="31">
        <v>0.64819530954057236</v>
      </c>
      <c r="B3767" s="31"/>
      <c r="C3767" s="2" t="s">
        <v>855</v>
      </c>
      <c r="D3767" s="31">
        <f t="shared" si="122"/>
        <v>0.12704628066995219</v>
      </c>
      <c r="F3767" s="2" t="s">
        <v>822</v>
      </c>
      <c r="G3767" s="23" t="s">
        <v>902</v>
      </c>
      <c r="H3767" s="2" t="s">
        <v>822</v>
      </c>
      <c r="J3767" s="31">
        <v>39.795898399999999</v>
      </c>
      <c r="K3767" s="31">
        <v>-14.4405003</v>
      </c>
      <c r="L3767" s="31"/>
      <c r="M3767" s="31" t="s">
        <v>854</v>
      </c>
      <c r="N3767" s="6" t="s">
        <v>856</v>
      </c>
    </row>
    <row r="3768" spans="1:14" ht="15" customHeight="1" x14ac:dyDescent="0.2">
      <c r="A3768" s="31">
        <v>0.64798454527290017</v>
      </c>
      <c r="B3768" s="31"/>
      <c r="C3768" s="2" t="s">
        <v>855</v>
      </c>
      <c r="D3768" s="31">
        <f t="shared" si="122"/>
        <v>0.12700497087348844</v>
      </c>
      <c r="F3768" s="2" t="s">
        <v>822</v>
      </c>
      <c r="G3768" s="23" t="s">
        <v>902</v>
      </c>
      <c r="H3768" s="2" t="s">
        <v>822</v>
      </c>
      <c r="J3768" s="31">
        <v>44.743999500000001</v>
      </c>
      <c r="K3768" s="31">
        <v>-26.527999900000001</v>
      </c>
      <c r="L3768" s="31"/>
      <c r="M3768" s="31" t="s">
        <v>854</v>
      </c>
      <c r="N3768" s="6" t="s">
        <v>856</v>
      </c>
    </row>
    <row r="3769" spans="1:14" ht="15" customHeight="1" x14ac:dyDescent="0.2">
      <c r="A3769" s="31">
        <v>0.64781091802117163</v>
      </c>
      <c r="B3769" s="31"/>
      <c r="C3769" s="2" t="s">
        <v>855</v>
      </c>
      <c r="D3769" s="31">
        <f t="shared" si="122"/>
        <v>0.12697093993214964</v>
      </c>
      <c r="F3769" s="2" t="s">
        <v>822</v>
      </c>
      <c r="G3769" s="23" t="s">
        <v>902</v>
      </c>
      <c r="H3769" s="2" t="s">
        <v>822</v>
      </c>
      <c r="J3769" s="31">
        <v>42.071998600000001</v>
      </c>
      <c r="K3769" s="31">
        <v>-15.8400002</v>
      </c>
      <c r="L3769" s="31"/>
      <c r="M3769" s="31" t="s">
        <v>854</v>
      </c>
      <c r="N3769" s="6" t="s">
        <v>856</v>
      </c>
    </row>
    <row r="3770" spans="1:14" ht="15" customHeight="1" x14ac:dyDescent="0.2">
      <c r="A3770" s="31">
        <v>0.64755808920695734</v>
      </c>
      <c r="B3770" s="31"/>
      <c r="C3770" s="2" t="s">
        <v>855</v>
      </c>
      <c r="D3770" s="31">
        <f t="shared" si="122"/>
        <v>0.12692138548456364</v>
      </c>
      <c r="F3770" s="2" t="s">
        <v>822</v>
      </c>
      <c r="G3770" s="23" t="s">
        <v>902</v>
      </c>
      <c r="H3770" s="2" t="s">
        <v>822</v>
      </c>
      <c r="J3770" s="31">
        <v>28.726400399999999</v>
      </c>
      <c r="K3770" s="31">
        <v>-15.1738005</v>
      </c>
      <c r="L3770" s="31"/>
      <c r="M3770" s="31" t="s">
        <v>854</v>
      </c>
      <c r="N3770" s="6" t="s">
        <v>856</v>
      </c>
    </row>
    <row r="3771" spans="1:14" ht="15" customHeight="1" x14ac:dyDescent="0.2">
      <c r="A3771" s="31">
        <v>0.64724324317255943</v>
      </c>
      <c r="B3771" s="31"/>
      <c r="C3771" s="2" t="s">
        <v>855</v>
      </c>
      <c r="D3771" s="31">
        <f t="shared" si="122"/>
        <v>0.12685967566182166</v>
      </c>
      <c r="F3771" s="2" t="s">
        <v>822</v>
      </c>
      <c r="G3771" s="23" t="s">
        <v>902</v>
      </c>
      <c r="H3771" s="2" t="s">
        <v>822</v>
      </c>
      <c r="J3771" s="31">
        <v>32.051998099999999</v>
      </c>
      <c r="K3771" s="31">
        <v>-29.200000800000002</v>
      </c>
      <c r="L3771" s="31"/>
      <c r="M3771" s="31" t="s">
        <v>854</v>
      </c>
      <c r="N3771" s="6" t="s">
        <v>856</v>
      </c>
    </row>
    <row r="3772" spans="1:14" ht="15" customHeight="1" x14ac:dyDescent="0.2">
      <c r="A3772" s="31">
        <v>0.64674597589312122</v>
      </c>
      <c r="B3772" s="31"/>
      <c r="C3772" s="2" t="s">
        <v>855</v>
      </c>
      <c r="D3772" s="31">
        <f t="shared" si="122"/>
        <v>0.12676221127505177</v>
      </c>
      <c r="F3772" s="2" t="s">
        <v>822</v>
      </c>
      <c r="G3772" s="23" t="s">
        <v>902</v>
      </c>
      <c r="H3772" s="2" t="s">
        <v>822</v>
      </c>
      <c r="J3772" s="31">
        <v>31.617999999999999</v>
      </c>
      <c r="K3772" s="31">
        <v>25.5389996</v>
      </c>
      <c r="L3772" s="31"/>
      <c r="M3772" s="31" t="s">
        <v>854</v>
      </c>
      <c r="N3772" s="6" t="s">
        <v>856</v>
      </c>
    </row>
    <row r="3773" spans="1:14" ht="15" customHeight="1" x14ac:dyDescent="0.2">
      <c r="A3773" s="31">
        <v>0.64668904175863495</v>
      </c>
      <c r="B3773" s="31"/>
      <c r="C3773" s="2" t="s">
        <v>855</v>
      </c>
      <c r="D3773" s="31">
        <f t="shared" si="122"/>
        <v>0.12675105218469246</v>
      </c>
      <c r="F3773" s="2" t="s">
        <v>822</v>
      </c>
      <c r="G3773" s="23" t="s">
        <v>902</v>
      </c>
      <c r="H3773" s="2" t="s">
        <v>822</v>
      </c>
      <c r="J3773" s="31">
        <v>43.4972992</v>
      </c>
      <c r="K3773" s="31">
        <v>-35.8622017</v>
      </c>
      <c r="L3773" s="31"/>
      <c r="M3773" s="31" t="s">
        <v>854</v>
      </c>
      <c r="N3773" s="6" t="s">
        <v>856</v>
      </c>
    </row>
    <row r="3774" spans="1:14" ht="15" customHeight="1" x14ac:dyDescent="0.2">
      <c r="A3774" s="31">
        <v>0.64666413243904286</v>
      </c>
      <c r="B3774" s="31"/>
      <c r="C3774" s="2" t="s">
        <v>855</v>
      </c>
      <c r="D3774" s="31">
        <f t="shared" si="122"/>
        <v>0.12674616995805241</v>
      </c>
      <c r="F3774" s="2" t="s">
        <v>822</v>
      </c>
      <c r="G3774" s="23" t="s">
        <v>902</v>
      </c>
      <c r="H3774" s="2" t="s">
        <v>822</v>
      </c>
      <c r="J3774" s="31">
        <v>54.373199499999998</v>
      </c>
      <c r="K3774" s="31">
        <v>-9.5031996000000003</v>
      </c>
      <c r="L3774" s="31"/>
      <c r="M3774" s="31" t="s">
        <v>854</v>
      </c>
      <c r="N3774" s="6" t="s">
        <v>856</v>
      </c>
    </row>
    <row r="3775" spans="1:14" ht="15" customHeight="1" x14ac:dyDescent="0.2">
      <c r="A3775" s="31">
        <v>0.64665812690146196</v>
      </c>
      <c r="B3775" s="31"/>
      <c r="C3775" s="2" t="s">
        <v>855</v>
      </c>
      <c r="D3775" s="31">
        <f t="shared" si="122"/>
        <v>0.12674499287268656</v>
      </c>
      <c r="F3775" s="2" t="s">
        <v>822</v>
      </c>
      <c r="G3775" s="23" t="s">
        <v>902</v>
      </c>
      <c r="H3775" s="2" t="s">
        <v>822</v>
      </c>
      <c r="J3775" s="31">
        <v>25.3719997</v>
      </c>
      <c r="K3775" s="31">
        <v>-32.540000900000003</v>
      </c>
      <c r="L3775" s="31"/>
      <c r="M3775" s="31" t="s">
        <v>854</v>
      </c>
      <c r="N3775" s="6" t="s">
        <v>856</v>
      </c>
    </row>
    <row r="3776" spans="1:14" ht="15" customHeight="1" x14ac:dyDescent="0.2">
      <c r="A3776" s="31">
        <v>0.64653348016774126</v>
      </c>
      <c r="B3776" s="31"/>
      <c r="C3776" s="2" t="s">
        <v>855</v>
      </c>
      <c r="D3776" s="31">
        <f t="shared" si="122"/>
        <v>0.1267205621128773</v>
      </c>
      <c r="F3776" s="2" t="s">
        <v>822</v>
      </c>
      <c r="G3776" s="23" t="s">
        <v>902</v>
      </c>
      <c r="H3776" s="2" t="s">
        <v>822</v>
      </c>
      <c r="J3776" s="31">
        <v>52.748798399999998</v>
      </c>
      <c r="K3776" s="31">
        <v>-19.012800200000001</v>
      </c>
      <c r="L3776" s="31"/>
      <c r="M3776" s="31" t="s">
        <v>854</v>
      </c>
      <c r="N3776" s="6" t="s">
        <v>856</v>
      </c>
    </row>
    <row r="3777" spans="1:14" ht="15" customHeight="1" x14ac:dyDescent="0.2">
      <c r="A3777" s="31">
        <v>0.64649309840810365</v>
      </c>
      <c r="B3777" s="31"/>
      <c r="C3777" s="2" t="s">
        <v>855</v>
      </c>
      <c r="D3777" s="31">
        <f t="shared" si="122"/>
        <v>0.12671264728798831</v>
      </c>
      <c r="F3777" s="2" t="s">
        <v>822</v>
      </c>
      <c r="G3777" s="23" t="s">
        <v>902</v>
      </c>
      <c r="H3777" s="2" t="s">
        <v>822</v>
      </c>
      <c r="J3777" s="31">
        <v>51.431701699999998</v>
      </c>
      <c r="K3777" s="31">
        <v>2.8297900999999999</v>
      </c>
      <c r="L3777" s="31"/>
      <c r="M3777" s="31" t="s">
        <v>854</v>
      </c>
      <c r="N3777" s="6" t="s">
        <v>856</v>
      </c>
    </row>
    <row r="3778" spans="1:14" ht="15" customHeight="1" x14ac:dyDescent="0.2">
      <c r="A3778" s="31">
        <v>0.64630423366910028</v>
      </c>
      <c r="B3778" s="31"/>
      <c r="C3778" s="2" t="s">
        <v>855</v>
      </c>
      <c r="D3778" s="31">
        <f t="shared" si="122"/>
        <v>0.12667562979914365</v>
      </c>
      <c r="F3778" s="2" t="s">
        <v>822</v>
      </c>
      <c r="G3778" s="23" t="s">
        <v>902</v>
      </c>
      <c r="H3778" s="2" t="s">
        <v>822</v>
      </c>
      <c r="J3778" s="31">
        <v>54.533401499999997</v>
      </c>
      <c r="K3778" s="31">
        <v>11.697400099999999</v>
      </c>
      <c r="L3778" s="31"/>
      <c r="M3778" s="31" t="s">
        <v>854</v>
      </c>
      <c r="N3778" s="6" t="s">
        <v>856</v>
      </c>
    </row>
    <row r="3779" spans="1:14" ht="15" customHeight="1" x14ac:dyDescent="0.2">
      <c r="A3779" s="31">
        <v>0.64627721523745374</v>
      </c>
      <c r="B3779" s="31"/>
      <c r="C3779" s="2" t="s">
        <v>855</v>
      </c>
      <c r="D3779" s="31">
        <f t="shared" si="122"/>
        <v>0.12667033418654094</v>
      </c>
      <c r="F3779" s="2" t="s">
        <v>822</v>
      </c>
      <c r="G3779" s="23" t="s">
        <v>902</v>
      </c>
      <c r="H3779" s="2" t="s">
        <v>822</v>
      </c>
      <c r="J3779" s="31">
        <v>31.831199600000001</v>
      </c>
      <c r="K3779" s="31">
        <v>25.869899700000001</v>
      </c>
      <c r="L3779" s="31"/>
      <c r="M3779" s="31" t="s">
        <v>854</v>
      </c>
      <c r="N3779" s="6" t="s">
        <v>856</v>
      </c>
    </row>
    <row r="3780" spans="1:14" ht="15" customHeight="1" x14ac:dyDescent="0.2">
      <c r="A3780" s="31">
        <v>0.64604298954778361</v>
      </c>
      <c r="B3780" s="31"/>
      <c r="C3780" s="2" t="s">
        <v>855</v>
      </c>
      <c r="D3780" s="31">
        <f t="shared" si="122"/>
        <v>0.12662442595136558</v>
      </c>
      <c r="F3780" s="2" t="s">
        <v>822</v>
      </c>
      <c r="G3780" s="23" t="s">
        <v>902</v>
      </c>
      <c r="H3780" s="2" t="s">
        <v>822</v>
      </c>
      <c r="J3780" s="31">
        <v>52.8451004</v>
      </c>
      <c r="K3780" s="31">
        <v>-5.9811502000000001</v>
      </c>
      <c r="L3780" s="31"/>
      <c r="M3780" s="31" t="s">
        <v>854</v>
      </c>
      <c r="N3780" s="6" t="s">
        <v>856</v>
      </c>
    </row>
    <row r="3781" spans="1:14" ht="15" customHeight="1" x14ac:dyDescent="0.2">
      <c r="A3781" s="31">
        <v>0.64581982641683522</v>
      </c>
      <c r="B3781" s="31"/>
      <c r="C3781" s="2" t="s">
        <v>855</v>
      </c>
      <c r="D3781" s="31">
        <f t="shared" si="122"/>
        <v>0.1265806859776997</v>
      </c>
      <c r="F3781" s="2" t="s">
        <v>822</v>
      </c>
      <c r="G3781" s="23" t="s">
        <v>902</v>
      </c>
      <c r="H3781" s="2" t="s">
        <v>822</v>
      </c>
      <c r="J3781" s="31">
        <v>32.717300399999999</v>
      </c>
      <c r="K3781" s="31">
        <v>-29.243600799999999</v>
      </c>
      <c r="L3781" s="31"/>
      <c r="M3781" s="31" t="s">
        <v>854</v>
      </c>
      <c r="N3781" s="6" t="s">
        <v>856</v>
      </c>
    </row>
    <row r="3782" spans="1:14" ht="15" customHeight="1" x14ac:dyDescent="0.2">
      <c r="A3782" s="31">
        <v>0.64537097670722077</v>
      </c>
      <c r="B3782" s="31"/>
      <c r="C3782" s="2" t="s">
        <v>855</v>
      </c>
      <c r="D3782" s="31">
        <f t="shared" si="122"/>
        <v>0.12649271143461527</v>
      </c>
      <c r="F3782" s="2" t="s">
        <v>822</v>
      </c>
      <c r="G3782" s="23" t="s">
        <v>902</v>
      </c>
      <c r="H3782" s="2" t="s">
        <v>822</v>
      </c>
      <c r="J3782" s="31">
        <v>45.413200400000001</v>
      </c>
      <c r="K3782" s="31">
        <v>-21.1849995</v>
      </c>
      <c r="L3782" s="31"/>
      <c r="M3782" s="31" t="s">
        <v>854</v>
      </c>
      <c r="N3782" s="6" t="s">
        <v>856</v>
      </c>
    </row>
    <row r="3783" spans="1:14" ht="15" customHeight="1" x14ac:dyDescent="0.2">
      <c r="A3783" s="31">
        <v>0.64508112449198596</v>
      </c>
      <c r="B3783" s="31"/>
      <c r="C3783" s="2" t="s">
        <v>855</v>
      </c>
      <c r="D3783" s="31">
        <f t="shared" si="122"/>
        <v>0.12643590040042926</v>
      </c>
      <c r="F3783" s="2" t="s">
        <v>822</v>
      </c>
      <c r="G3783" s="23" t="s">
        <v>902</v>
      </c>
      <c r="H3783" s="2" t="s">
        <v>822</v>
      </c>
      <c r="J3783" s="31">
        <v>60.509700799999997</v>
      </c>
      <c r="K3783" s="31">
        <v>19.5716991</v>
      </c>
      <c r="L3783" s="31"/>
      <c r="M3783" s="31" t="s">
        <v>854</v>
      </c>
      <c r="N3783" s="6" t="s">
        <v>856</v>
      </c>
    </row>
    <row r="3784" spans="1:14" ht="15" customHeight="1" x14ac:dyDescent="0.2">
      <c r="A3784" s="31">
        <v>0.64507441739631488</v>
      </c>
      <c r="B3784" s="31"/>
      <c r="C3784" s="2" t="s">
        <v>855</v>
      </c>
      <c r="D3784" s="31">
        <f t="shared" si="122"/>
        <v>0.12643458580967773</v>
      </c>
      <c r="F3784" s="2" t="s">
        <v>822</v>
      </c>
      <c r="G3784" s="23" t="s">
        <v>902</v>
      </c>
      <c r="H3784" s="2" t="s">
        <v>822</v>
      </c>
      <c r="J3784" s="31">
        <v>39.655399299999999</v>
      </c>
      <c r="K3784" s="31">
        <v>9.7112703000000007</v>
      </c>
      <c r="L3784" s="31"/>
      <c r="M3784" s="31" t="s">
        <v>854</v>
      </c>
      <c r="N3784" s="6" t="s">
        <v>856</v>
      </c>
    </row>
    <row r="3785" spans="1:14" ht="15" customHeight="1" x14ac:dyDescent="0.2">
      <c r="A3785" s="31">
        <v>0.64501708116119094</v>
      </c>
      <c r="B3785" s="31"/>
      <c r="C3785" s="2" t="s">
        <v>855</v>
      </c>
      <c r="D3785" s="31">
        <f t="shared" ref="D3785:D3801" si="123" xml:space="preserve"> A3785 * 0.196</f>
        <v>0.12642334790759344</v>
      </c>
      <c r="F3785" s="2" t="s">
        <v>822</v>
      </c>
      <c r="G3785" s="23" t="s">
        <v>902</v>
      </c>
      <c r="H3785" s="2" t="s">
        <v>822</v>
      </c>
      <c r="J3785" s="31">
        <v>25.3719997</v>
      </c>
      <c r="K3785" s="31">
        <v>-36.548000299999998</v>
      </c>
      <c r="L3785" s="31"/>
      <c r="M3785" s="31" t="s">
        <v>854</v>
      </c>
      <c r="N3785" s="6" t="s">
        <v>856</v>
      </c>
    </row>
    <row r="3786" spans="1:14" ht="15" customHeight="1" x14ac:dyDescent="0.2">
      <c r="A3786" s="31">
        <v>0.64477384626959433</v>
      </c>
      <c r="B3786" s="31"/>
      <c r="C3786" s="2" t="s">
        <v>855</v>
      </c>
      <c r="D3786" s="31">
        <f t="shared" si="123"/>
        <v>0.12637567386884049</v>
      </c>
      <c r="F3786" s="2" t="s">
        <v>822</v>
      </c>
      <c r="G3786" s="23" t="s">
        <v>902</v>
      </c>
      <c r="H3786" s="2" t="s">
        <v>822</v>
      </c>
      <c r="J3786" s="31">
        <v>26.708000200000001</v>
      </c>
      <c r="K3786" s="31">
        <v>-40.555999800000002</v>
      </c>
      <c r="L3786" s="31"/>
      <c r="M3786" s="31" t="s">
        <v>854</v>
      </c>
      <c r="N3786" s="6" t="s">
        <v>856</v>
      </c>
    </row>
    <row r="3787" spans="1:14" ht="15" customHeight="1" x14ac:dyDescent="0.2">
      <c r="A3787" s="31">
        <v>0.64456056582005317</v>
      </c>
      <c r="B3787" s="31"/>
      <c r="C3787" s="2" t="s">
        <v>855</v>
      </c>
      <c r="D3787" s="31">
        <f t="shared" si="123"/>
        <v>0.12633387090073042</v>
      </c>
      <c r="F3787" s="2" t="s">
        <v>822</v>
      </c>
      <c r="G3787" s="23" t="s">
        <v>902</v>
      </c>
      <c r="H3787" s="2" t="s">
        <v>822</v>
      </c>
      <c r="J3787" s="31">
        <v>52.347599000000002</v>
      </c>
      <c r="K3787" s="31">
        <v>-6.1338701000000002</v>
      </c>
      <c r="L3787" s="31"/>
      <c r="M3787" s="31" t="s">
        <v>854</v>
      </c>
      <c r="N3787" s="6" t="s">
        <v>856</v>
      </c>
    </row>
    <row r="3788" spans="1:14" ht="15" customHeight="1" x14ac:dyDescent="0.2">
      <c r="A3788" s="31">
        <v>0.64449666148852824</v>
      </c>
      <c r="B3788" s="31"/>
      <c r="C3788" s="2" t="s">
        <v>855</v>
      </c>
      <c r="D3788" s="31">
        <f t="shared" si="123"/>
        <v>0.12632134565175154</v>
      </c>
      <c r="F3788" s="2" t="s">
        <v>822</v>
      </c>
      <c r="G3788" s="23" t="s">
        <v>902</v>
      </c>
      <c r="H3788" s="2" t="s">
        <v>822</v>
      </c>
      <c r="J3788" s="31">
        <v>57.411300699999998</v>
      </c>
      <c r="K3788" s="31">
        <v>19.979999500000002</v>
      </c>
      <c r="L3788" s="31"/>
      <c r="M3788" s="31" t="s">
        <v>854</v>
      </c>
      <c r="N3788" s="6" t="s">
        <v>856</v>
      </c>
    </row>
    <row r="3789" spans="1:14" ht="15" customHeight="1" x14ac:dyDescent="0.2">
      <c r="A3789" s="31">
        <v>0.6443899720508981</v>
      </c>
      <c r="B3789" s="31"/>
      <c r="C3789" s="2" t="s">
        <v>855</v>
      </c>
      <c r="D3789" s="31">
        <f t="shared" si="123"/>
        <v>0.12630043452197603</v>
      </c>
      <c r="F3789" s="2" t="s">
        <v>822</v>
      </c>
      <c r="G3789" s="23" t="s">
        <v>902</v>
      </c>
      <c r="H3789" s="2" t="s">
        <v>822</v>
      </c>
      <c r="J3789" s="31">
        <v>32.720001199999999</v>
      </c>
      <c r="K3789" s="31">
        <v>-33.875999499999999</v>
      </c>
      <c r="L3789" s="31"/>
      <c r="M3789" s="31" t="s">
        <v>854</v>
      </c>
      <c r="N3789" s="6" t="s">
        <v>856</v>
      </c>
    </row>
    <row r="3790" spans="1:14" ht="15" customHeight="1" x14ac:dyDescent="0.2">
      <c r="A3790" s="31">
        <v>0.64436262469573191</v>
      </c>
      <c r="B3790" s="31"/>
      <c r="C3790" s="2" t="s">
        <v>855</v>
      </c>
      <c r="D3790" s="31">
        <f t="shared" si="123"/>
        <v>0.12629507444036345</v>
      </c>
      <c r="F3790" s="2" t="s">
        <v>822</v>
      </c>
      <c r="G3790" s="23" t="s">
        <v>902</v>
      </c>
      <c r="H3790" s="2" t="s">
        <v>822</v>
      </c>
      <c r="J3790" s="31">
        <v>46.748001100000003</v>
      </c>
      <c r="K3790" s="31">
        <v>-18.511999100000001</v>
      </c>
      <c r="L3790" s="31"/>
      <c r="M3790" s="31" t="s">
        <v>854</v>
      </c>
      <c r="N3790" s="6" t="s">
        <v>856</v>
      </c>
    </row>
    <row r="3791" spans="1:14" ht="15" customHeight="1" x14ac:dyDescent="0.2">
      <c r="A3791" s="31">
        <v>0.64427427732840448</v>
      </c>
      <c r="B3791" s="31"/>
      <c r="C3791" s="2" t="s">
        <v>855</v>
      </c>
      <c r="D3791" s="31">
        <f t="shared" si="123"/>
        <v>0.12627775835636729</v>
      </c>
      <c r="F3791" s="2" t="s">
        <v>822</v>
      </c>
      <c r="G3791" s="23" t="s">
        <v>902</v>
      </c>
      <c r="H3791" s="2" t="s">
        <v>822</v>
      </c>
      <c r="J3791" s="31">
        <v>42.311199199999997</v>
      </c>
      <c r="K3791" s="31">
        <v>14.521599800000001</v>
      </c>
      <c r="L3791" s="31"/>
      <c r="M3791" s="31" t="s">
        <v>854</v>
      </c>
      <c r="N3791" s="6" t="s">
        <v>856</v>
      </c>
    </row>
    <row r="3792" spans="1:14" ht="15" customHeight="1" x14ac:dyDescent="0.2">
      <c r="A3792" s="31">
        <v>0.64403901876978775</v>
      </c>
      <c r="B3792" s="31"/>
      <c r="C3792" s="2" t="s">
        <v>855</v>
      </c>
      <c r="D3792" s="31">
        <f t="shared" si="123"/>
        <v>0.1262316476788784</v>
      </c>
      <c r="F3792" s="2" t="s">
        <v>822</v>
      </c>
      <c r="G3792" s="23" t="s">
        <v>902</v>
      </c>
      <c r="H3792" s="2" t="s">
        <v>822</v>
      </c>
      <c r="J3792" s="31">
        <v>35.529598200000002</v>
      </c>
      <c r="K3792" s="31">
        <v>26.629299199999998</v>
      </c>
      <c r="L3792" s="31"/>
      <c r="M3792" s="31" t="s">
        <v>854</v>
      </c>
      <c r="N3792" s="6" t="s">
        <v>856</v>
      </c>
    </row>
    <row r="3793" spans="1:14" ht="15" customHeight="1" x14ac:dyDescent="0.2">
      <c r="A3793" s="31">
        <v>0.64402224458520108</v>
      </c>
      <c r="B3793" s="31"/>
      <c r="C3793" s="2" t="s">
        <v>855</v>
      </c>
      <c r="D3793" s="31">
        <f t="shared" si="123"/>
        <v>0.12622835993869941</v>
      </c>
      <c r="F3793" s="2" t="s">
        <v>822</v>
      </c>
      <c r="G3793" s="23" t="s">
        <v>902</v>
      </c>
      <c r="H3793" s="2" t="s">
        <v>822</v>
      </c>
      <c r="J3793" s="31">
        <v>28.711999899999999</v>
      </c>
      <c r="K3793" s="31">
        <v>-35.880001100000001</v>
      </c>
      <c r="L3793" s="31"/>
      <c r="M3793" s="31" t="s">
        <v>854</v>
      </c>
      <c r="N3793" s="6" t="s">
        <v>856</v>
      </c>
    </row>
    <row r="3794" spans="1:14" ht="15" customHeight="1" x14ac:dyDescent="0.2">
      <c r="A3794" s="31">
        <v>0.64397634713852303</v>
      </c>
      <c r="B3794" s="31"/>
      <c r="C3794" s="2" t="s">
        <v>855</v>
      </c>
      <c r="D3794" s="31">
        <f t="shared" si="123"/>
        <v>0.12621936403915052</v>
      </c>
      <c r="F3794" s="2" t="s">
        <v>822</v>
      </c>
      <c r="G3794" s="23" t="s">
        <v>902</v>
      </c>
      <c r="H3794" s="2" t="s">
        <v>822</v>
      </c>
      <c r="J3794" s="31">
        <v>46.748001100000003</v>
      </c>
      <c r="K3794" s="31">
        <v>-31.204000499999999</v>
      </c>
      <c r="L3794" s="31"/>
      <c r="M3794" s="31" t="s">
        <v>854</v>
      </c>
      <c r="N3794" s="6" t="s">
        <v>856</v>
      </c>
    </row>
    <row r="3795" spans="1:14" ht="15" customHeight="1" x14ac:dyDescent="0.2">
      <c r="A3795" s="31">
        <v>0.64382819923248069</v>
      </c>
      <c r="B3795" s="31"/>
      <c r="C3795" s="2" t="s">
        <v>855</v>
      </c>
      <c r="D3795" s="31">
        <f t="shared" si="123"/>
        <v>0.12619032704956623</v>
      </c>
      <c r="F3795" s="2" t="s">
        <v>822</v>
      </c>
      <c r="G3795" s="23" t="s">
        <v>902</v>
      </c>
      <c r="H3795" s="2" t="s">
        <v>822</v>
      </c>
      <c r="J3795" s="31">
        <v>28.0440006</v>
      </c>
      <c r="K3795" s="31">
        <v>-41.223998999999999</v>
      </c>
      <c r="L3795" s="31"/>
      <c r="M3795" s="31" t="s">
        <v>854</v>
      </c>
      <c r="N3795" s="6" t="s">
        <v>856</v>
      </c>
    </row>
    <row r="3796" spans="1:14" ht="15" customHeight="1" x14ac:dyDescent="0.2">
      <c r="A3796" s="31">
        <v>0.64375625984540363</v>
      </c>
      <c r="B3796" s="31"/>
      <c r="C3796" s="2" t="s">
        <v>855</v>
      </c>
      <c r="D3796" s="31">
        <f t="shared" si="123"/>
        <v>0.12617622692969913</v>
      </c>
      <c r="F3796" s="2" t="s">
        <v>822</v>
      </c>
      <c r="G3796" s="23" t="s">
        <v>902</v>
      </c>
      <c r="H3796" s="2" t="s">
        <v>822</v>
      </c>
      <c r="J3796" s="31">
        <v>42.740001700000001</v>
      </c>
      <c r="K3796" s="31">
        <v>-33.875999499999999</v>
      </c>
      <c r="L3796" s="31"/>
      <c r="M3796" s="31" t="s">
        <v>854</v>
      </c>
      <c r="N3796" s="6" t="s">
        <v>856</v>
      </c>
    </row>
    <row r="3797" spans="1:14" ht="15" customHeight="1" x14ac:dyDescent="0.2">
      <c r="A3797" s="31">
        <v>0.64369385785031508</v>
      </c>
      <c r="B3797" s="31"/>
      <c r="C3797" s="2" t="s">
        <v>855</v>
      </c>
      <c r="D3797" s="31">
        <f t="shared" si="123"/>
        <v>0.12616399613866175</v>
      </c>
      <c r="F3797" s="2" t="s">
        <v>822</v>
      </c>
      <c r="G3797" s="23" t="s">
        <v>902</v>
      </c>
      <c r="H3797" s="2" t="s">
        <v>822</v>
      </c>
      <c r="J3797" s="31">
        <v>48.083999599999999</v>
      </c>
      <c r="K3797" s="31">
        <v>-11.1639996</v>
      </c>
      <c r="L3797" s="31"/>
      <c r="M3797" s="31" t="s">
        <v>854</v>
      </c>
      <c r="N3797" s="6" t="s">
        <v>856</v>
      </c>
    </row>
    <row r="3798" spans="1:14" ht="15" customHeight="1" x14ac:dyDescent="0.2">
      <c r="A3798" s="31">
        <v>0.64369104898267393</v>
      </c>
      <c r="B3798" s="31"/>
      <c r="C3798" s="2" t="s">
        <v>855</v>
      </c>
      <c r="D3798" s="31">
        <f t="shared" si="123"/>
        <v>0.12616344560060411</v>
      </c>
      <c r="F3798" s="2" t="s">
        <v>822</v>
      </c>
      <c r="G3798" s="23" t="s">
        <v>902</v>
      </c>
      <c r="H3798" s="2" t="s">
        <v>822</v>
      </c>
      <c r="J3798" s="31">
        <v>44.080898300000001</v>
      </c>
      <c r="K3798" s="31">
        <v>-37.880001100000001</v>
      </c>
      <c r="L3798" s="31"/>
      <c r="M3798" s="31" t="s">
        <v>854</v>
      </c>
      <c r="N3798" s="6" t="s">
        <v>856</v>
      </c>
    </row>
    <row r="3799" spans="1:14" ht="15" customHeight="1" x14ac:dyDescent="0.2">
      <c r="A3799" s="31">
        <v>0.64367860937933397</v>
      </c>
      <c r="B3799" s="31"/>
      <c r="C3799" s="2" t="s">
        <v>855</v>
      </c>
      <c r="D3799" s="31">
        <f t="shared" si="123"/>
        <v>0.12616100743834946</v>
      </c>
      <c r="F3799" s="2" t="s">
        <v>822</v>
      </c>
      <c r="G3799" s="23" t="s">
        <v>902</v>
      </c>
      <c r="H3799" s="2" t="s">
        <v>822</v>
      </c>
      <c r="J3799" s="31">
        <v>32.669601399999998</v>
      </c>
      <c r="K3799" s="31">
        <v>-41.9220009</v>
      </c>
      <c r="L3799" s="31"/>
      <c r="M3799" s="31" t="s">
        <v>854</v>
      </c>
      <c r="N3799" s="6" t="s">
        <v>856</v>
      </c>
    </row>
    <row r="3800" spans="1:14" ht="15" customHeight="1" x14ac:dyDescent="0.2">
      <c r="A3800" s="31">
        <v>0.64362475657680351</v>
      </c>
      <c r="B3800" s="31"/>
      <c r="C3800" s="2" t="s">
        <v>855</v>
      </c>
      <c r="D3800" s="31">
        <f t="shared" si="123"/>
        <v>0.1261504522890535</v>
      </c>
      <c r="F3800" s="2" t="s">
        <v>822</v>
      </c>
      <c r="G3800" s="23" t="s">
        <v>902</v>
      </c>
      <c r="H3800" s="2" t="s">
        <v>822</v>
      </c>
      <c r="J3800" s="31">
        <v>45.013000499999997</v>
      </c>
      <c r="K3800" s="31">
        <v>-18.406799299999999</v>
      </c>
      <c r="L3800" s="31"/>
      <c r="M3800" s="31" t="s">
        <v>854</v>
      </c>
      <c r="N3800" s="6" t="s">
        <v>856</v>
      </c>
    </row>
    <row r="3801" spans="1:14" ht="15" customHeight="1" x14ac:dyDescent="0.2">
      <c r="A3801" s="31">
        <v>0.6435284619185262</v>
      </c>
      <c r="B3801" s="31"/>
      <c r="C3801" s="2" t="s">
        <v>855</v>
      </c>
      <c r="D3801" s="31">
        <f t="shared" si="123"/>
        <v>0.12613157853603113</v>
      </c>
      <c r="F3801" s="2" t="s">
        <v>822</v>
      </c>
      <c r="G3801" s="23" t="s">
        <v>902</v>
      </c>
      <c r="H3801" s="2" t="s">
        <v>822</v>
      </c>
      <c r="J3801" s="31">
        <v>49.867298099999999</v>
      </c>
      <c r="K3801" s="31">
        <v>-6.2961102000000002</v>
      </c>
      <c r="L3801" s="31"/>
      <c r="M3801" s="31" t="s">
        <v>854</v>
      </c>
      <c r="N3801" s="6" t="s">
        <v>856</v>
      </c>
    </row>
    <row r="3802" spans="1:14" ht="15" customHeight="1" x14ac:dyDescent="0.2">
      <c r="A3802" s="22">
        <v>0.1261230715250572</v>
      </c>
      <c r="B3802" s="22"/>
      <c r="C3802" s="2" t="s">
        <v>891</v>
      </c>
      <c r="D3802" s="2">
        <f>A3802</f>
        <v>0.1261230715250572</v>
      </c>
      <c r="F3802" s="2">
        <v>2023</v>
      </c>
      <c r="G3802" s="23" t="s">
        <v>902</v>
      </c>
      <c r="H3802" s="2" t="s">
        <v>771</v>
      </c>
      <c r="I3802" s="23" t="s">
        <v>189</v>
      </c>
      <c r="J3802" s="23">
        <v>58012172</v>
      </c>
      <c r="K3802" s="23">
        <v>11773665</v>
      </c>
      <c r="L3802" s="23" t="s">
        <v>819</v>
      </c>
      <c r="M3802" s="2" t="s">
        <v>825</v>
      </c>
      <c r="N3802" s="6" t="s">
        <v>828</v>
      </c>
    </row>
    <row r="3803" spans="1:14" ht="15" customHeight="1" x14ac:dyDescent="0.2">
      <c r="A3803" s="31">
        <v>0.64337891279665915</v>
      </c>
      <c r="B3803" s="31"/>
      <c r="C3803" s="2" t="s">
        <v>855</v>
      </c>
      <c r="D3803" s="31">
        <f t="shared" ref="D3803:D3834" si="124" xml:space="preserve"> A3803 * 0.196</f>
        <v>0.12610226690814519</v>
      </c>
      <c r="F3803" s="2" t="s">
        <v>822</v>
      </c>
      <c r="G3803" s="23" t="s">
        <v>902</v>
      </c>
      <c r="H3803" s="2" t="s">
        <v>822</v>
      </c>
      <c r="J3803" s="31">
        <v>45.411998699999998</v>
      </c>
      <c r="K3803" s="31">
        <v>-5.8200002</v>
      </c>
      <c r="L3803" s="31"/>
      <c r="M3803" s="31" t="s">
        <v>854</v>
      </c>
      <c r="N3803" s="6" t="s">
        <v>856</v>
      </c>
    </row>
    <row r="3804" spans="1:14" ht="15" customHeight="1" x14ac:dyDescent="0.2">
      <c r="A3804" s="31">
        <v>0.64317295130133811</v>
      </c>
      <c r="B3804" s="31"/>
      <c r="C3804" s="2" t="s">
        <v>855</v>
      </c>
      <c r="D3804" s="31">
        <f t="shared" si="124"/>
        <v>0.12606189845506227</v>
      </c>
      <c r="F3804" s="2" t="s">
        <v>822</v>
      </c>
      <c r="G3804" s="23" t="s">
        <v>902</v>
      </c>
      <c r="H3804" s="2" t="s">
        <v>822</v>
      </c>
      <c r="J3804" s="31">
        <v>35.185600299999997</v>
      </c>
      <c r="K3804" s="31">
        <v>-17.138900799999998</v>
      </c>
      <c r="L3804" s="31"/>
      <c r="M3804" s="31" t="s">
        <v>854</v>
      </c>
      <c r="N3804" s="6" t="s">
        <v>856</v>
      </c>
    </row>
    <row r="3805" spans="1:14" ht="15" customHeight="1" x14ac:dyDescent="0.2">
      <c r="A3805" s="31">
        <v>0.64315925960910569</v>
      </c>
      <c r="B3805" s="31"/>
      <c r="C3805" s="2" t="s">
        <v>855</v>
      </c>
      <c r="D3805" s="31">
        <f t="shared" si="124"/>
        <v>0.12605921488338473</v>
      </c>
      <c r="F3805" s="2" t="s">
        <v>822</v>
      </c>
      <c r="G3805" s="23" t="s">
        <v>902</v>
      </c>
      <c r="H3805" s="2" t="s">
        <v>822</v>
      </c>
      <c r="J3805" s="31">
        <v>47.451499900000002</v>
      </c>
      <c r="K3805" s="31">
        <v>-26.5069008</v>
      </c>
      <c r="L3805" s="31"/>
      <c r="M3805" s="31" t="s">
        <v>854</v>
      </c>
      <c r="N3805" s="6" t="s">
        <v>856</v>
      </c>
    </row>
    <row r="3806" spans="1:14" ht="15" customHeight="1" x14ac:dyDescent="0.2">
      <c r="A3806" s="31">
        <v>0.64311777666989967</v>
      </c>
      <c r="B3806" s="31"/>
      <c r="C3806" s="2" t="s">
        <v>855</v>
      </c>
      <c r="D3806" s="31">
        <f t="shared" si="124"/>
        <v>0.12605108422730035</v>
      </c>
      <c r="F3806" s="2" t="s">
        <v>822</v>
      </c>
      <c r="G3806" s="23" t="s">
        <v>902</v>
      </c>
      <c r="H3806" s="2" t="s">
        <v>822</v>
      </c>
      <c r="J3806" s="31">
        <v>40.068698900000001</v>
      </c>
      <c r="K3806" s="31">
        <v>-38.552600900000002</v>
      </c>
      <c r="L3806" s="31"/>
      <c r="M3806" s="31" t="s">
        <v>854</v>
      </c>
      <c r="N3806" s="6" t="s">
        <v>856</v>
      </c>
    </row>
    <row r="3807" spans="1:14" ht="15" customHeight="1" x14ac:dyDescent="0.2">
      <c r="A3807" s="31">
        <v>0.64305304460668677</v>
      </c>
      <c r="B3807" s="31"/>
      <c r="C3807" s="2" t="s">
        <v>855</v>
      </c>
      <c r="D3807" s="31">
        <f t="shared" si="124"/>
        <v>0.12603839674291062</v>
      </c>
      <c r="F3807" s="2" t="s">
        <v>822</v>
      </c>
      <c r="G3807" s="23" t="s">
        <v>902</v>
      </c>
      <c r="H3807" s="2" t="s">
        <v>822</v>
      </c>
      <c r="J3807" s="31">
        <v>45.352199599999999</v>
      </c>
      <c r="K3807" s="31">
        <v>-18.449600199999999</v>
      </c>
      <c r="L3807" s="31"/>
      <c r="M3807" s="31" t="s">
        <v>854</v>
      </c>
      <c r="N3807" s="6" t="s">
        <v>856</v>
      </c>
    </row>
    <row r="3808" spans="1:14" ht="15" customHeight="1" x14ac:dyDescent="0.2">
      <c r="A3808" s="31">
        <v>0.64285702311232795</v>
      </c>
      <c r="B3808" s="31"/>
      <c r="C3808" s="2" t="s">
        <v>855</v>
      </c>
      <c r="D3808" s="31">
        <f t="shared" si="124"/>
        <v>0.12599997653001629</v>
      </c>
      <c r="F3808" s="2" t="s">
        <v>822</v>
      </c>
      <c r="G3808" s="23" t="s">
        <v>902</v>
      </c>
      <c r="H3808" s="2" t="s">
        <v>822</v>
      </c>
      <c r="J3808" s="31">
        <v>56.668598199999998</v>
      </c>
      <c r="K3808" s="31">
        <v>6.0538401999999998</v>
      </c>
      <c r="L3808" s="31"/>
      <c r="M3808" s="31" t="s">
        <v>854</v>
      </c>
      <c r="N3808" s="6" t="s">
        <v>856</v>
      </c>
    </row>
    <row r="3809" spans="1:14" ht="15" customHeight="1" x14ac:dyDescent="0.2">
      <c r="A3809" s="31">
        <v>0.64255188488801918</v>
      </c>
      <c r="B3809" s="31"/>
      <c r="C3809" s="2" t="s">
        <v>855</v>
      </c>
      <c r="D3809" s="31">
        <f t="shared" si="124"/>
        <v>0.12594016943805175</v>
      </c>
      <c r="F3809" s="2" t="s">
        <v>822</v>
      </c>
      <c r="G3809" s="23" t="s">
        <v>902</v>
      </c>
      <c r="H3809" s="2" t="s">
        <v>822</v>
      </c>
      <c r="J3809" s="31">
        <v>52.910701799999998</v>
      </c>
      <c r="K3809" s="31">
        <v>-17.701999699999998</v>
      </c>
      <c r="L3809" s="31"/>
      <c r="M3809" s="31" t="s">
        <v>854</v>
      </c>
      <c r="N3809" s="6" t="s">
        <v>856</v>
      </c>
    </row>
    <row r="3810" spans="1:14" ht="15" customHeight="1" x14ac:dyDescent="0.2">
      <c r="A3810" s="31">
        <v>0.64246402270280545</v>
      </c>
      <c r="B3810" s="31"/>
      <c r="C3810" s="2" t="s">
        <v>855</v>
      </c>
      <c r="D3810" s="31">
        <f t="shared" si="124"/>
        <v>0.12592294844974988</v>
      </c>
      <c r="F3810" s="2" t="s">
        <v>822</v>
      </c>
      <c r="G3810" s="23" t="s">
        <v>902</v>
      </c>
      <c r="H3810" s="2" t="s">
        <v>822</v>
      </c>
      <c r="J3810" s="31">
        <v>43.002800000000001</v>
      </c>
      <c r="K3810" s="31">
        <v>4.3506498000000002</v>
      </c>
      <c r="L3810" s="31"/>
      <c r="M3810" s="31" t="s">
        <v>854</v>
      </c>
      <c r="N3810" s="6" t="s">
        <v>856</v>
      </c>
    </row>
    <row r="3811" spans="1:14" ht="15" customHeight="1" x14ac:dyDescent="0.2">
      <c r="A3811" s="31">
        <v>0.64226296438243624</v>
      </c>
      <c r="B3811" s="31"/>
      <c r="C3811" s="2" t="s">
        <v>855</v>
      </c>
      <c r="D3811" s="31">
        <f t="shared" si="124"/>
        <v>0.12588354101895752</v>
      </c>
      <c r="F3811" s="2" t="s">
        <v>822</v>
      </c>
      <c r="G3811" s="23" t="s">
        <v>902</v>
      </c>
      <c r="H3811" s="2" t="s">
        <v>822</v>
      </c>
      <c r="J3811" s="31">
        <v>50.667701700000002</v>
      </c>
      <c r="K3811" s="31">
        <v>-24.5597992</v>
      </c>
      <c r="L3811" s="31"/>
      <c r="M3811" s="31" t="s">
        <v>854</v>
      </c>
      <c r="N3811" s="6" t="s">
        <v>856</v>
      </c>
    </row>
    <row r="3812" spans="1:14" ht="15" customHeight="1" x14ac:dyDescent="0.2">
      <c r="A3812" s="31">
        <v>0.64219715731962845</v>
      </c>
      <c r="B3812" s="31"/>
      <c r="C3812" s="2" t="s">
        <v>855</v>
      </c>
      <c r="D3812" s="31">
        <f t="shared" si="124"/>
        <v>0.12587064283464719</v>
      </c>
      <c r="F3812" s="2" t="s">
        <v>822</v>
      </c>
      <c r="G3812" s="23" t="s">
        <v>902</v>
      </c>
      <c r="H3812" s="2" t="s">
        <v>822</v>
      </c>
      <c r="J3812" s="31">
        <v>36.256599399999999</v>
      </c>
      <c r="K3812" s="31">
        <v>14.851800000000001</v>
      </c>
      <c r="L3812" s="31"/>
      <c r="M3812" s="31" t="s">
        <v>854</v>
      </c>
      <c r="N3812" s="6" t="s">
        <v>856</v>
      </c>
    </row>
    <row r="3813" spans="1:14" ht="15" customHeight="1" x14ac:dyDescent="0.2">
      <c r="A3813" s="31">
        <v>0.64203864780452014</v>
      </c>
      <c r="B3813" s="31"/>
      <c r="C3813" s="2" t="s">
        <v>855</v>
      </c>
      <c r="D3813" s="31">
        <f t="shared" si="124"/>
        <v>0.12583957496968595</v>
      </c>
      <c r="F3813" s="2" t="s">
        <v>822</v>
      </c>
      <c r="G3813" s="23" t="s">
        <v>902</v>
      </c>
      <c r="H3813" s="2" t="s">
        <v>822</v>
      </c>
      <c r="J3813" s="31">
        <v>42.071998600000001</v>
      </c>
      <c r="K3813" s="31">
        <v>-35.880001100000001</v>
      </c>
      <c r="L3813" s="31"/>
      <c r="M3813" s="31" t="s">
        <v>854</v>
      </c>
      <c r="N3813" s="6" t="s">
        <v>856</v>
      </c>
    </row>
    <row r="3814" spans="1:14" ht="15" customHeight="1" x14ac:dyDescent="0.2">
      <c r="A3814" s="31">
        <v>0.64200430861422875</v>
      </c>
      <c r="B3814" s="31"/>
      <c r="C3814" s="2" t="s">
        <v>855</v>
      </c>
      <c r="D3814" s="31">
        <f t="shared" si="124"/>
        <v>0.12583284448838883</v>
      </c>
      <c r="F3814" s="2" t="s">
        <v>822</v>
      </c>
      <c r="G3814" s="23" t="s">
        <v>902</v>
      </c>
      <c r="H3814" s="2" t="s">
        <v>822</v>
      </c>
      <c r="J3814" s="31">
        <v>35.605098699999999</v>
      </c>
      <c r="K3814" s="31">
        <v>-37.679099999999998</v>
      </c>
      <c r="L3814" s="31"/>
      <c r="M3814" s="31" t="s">
        <v>854</v>
      </c>
      <c r="N3814" s="6" t="s">
        <v>856</v>
      </c>
    </row>
    <row r="3815" spans="1:14" ht="15" customHeight="1" x14ac:dyDescent="0.2">
      <c r="A3815" s="31">
        <v>0.64194989037444727</v>
      </c>
      <c r="B3815" s="31"/>
      <c r="C3815" s="2" t="s">
        <v>855</v>
      </c>
      <c r="D3815" s="31">
        <f t="shared" si="124"/>
        <v>0.12582217851339167</v>
      </c>
      <c r="F3815" s="2" t="s">
        <v>822</v>
      </c>
      <c r="G3815" s="23" t="s">
        <v>902</v>
      </c>
      <c r="H3815" s="2" t="s">
        <v>822</v>
      </c>
      <c r="J3815" s="31">
        <v>28.719499599999999</v>
      </c>
      <c r="K3815" s="31">
        <v>-27.871299700000002</v>
      </c>
      <c r="L3815" s="31"/>
      <c r="M3815" s="31" t="s">
        <v>854</v>
      </c>
      <c r="N3815" s="6" t="s">
        <v>856</v>
      </c>
    </row>
    <row r="3816" spans="1:14" ht="15" customHeight="1" x14ac:dyDescent="0.2">
      <c r="A3816" s="31">
        <v>0.64182870573342832</v>
      </c>
      <c r="B3816" s="31"/>
      <c r="C3816" s="2" t="s">
        <v>855</v>
      </c>
      <c r="D3816" s="31">
        <f t="shared" si="124"/>
        <v>0.12579842632375196</v>
      </c>
      <c r="F3816" s="2" t="s">
        <v>822</v>
      </c>
      <c r="G3816" s="23" t="s">
        <v>902</v>
      </c>
      <c r="H3816" s="2" t="s">
        <v>822</v>
      </c>
      <c r="J3816" s="31">
        <v>54.512599899999998</v>
      </c>
      <c r="K3816" s="31">
        <v>7.0896901999999997</v>
      </c>
      <c r="L3816" s="31"/>
      <c r="M3816" s="31" t="s">
        <v>854</v>
      </c>
      <c r="N3816" s="6" t="s">
        <v>856</v>
      </c>
    </row>
    <row r="3817" spans="1:14" ht="15" customHeight="1" x14ac:dyDescent="0.2">
      <c r="A3817" s="31">
        <v>0.64182064205050549</v>
      </c>
      <c r="B3817" s="31"/>
      <c r="C3817" s="2" t="s">
        <v>855</v>
      </c>
      <c r="D3817" s="31">
        <f t="shared" si="124"/>
        <v>0.12579684584189907</v>
      </c>
      <c r="F3817" s="2" t="s">
        <v>822</v>
      </c>
      <c r="G3817" s="23" t="s">
        <v>902</v>
      </c>
      <c r="H3817" s="2" t="s">
        <v>822</v>
      </c>
      <c r="J3817" s="31">
        <v>48.751998899999997</v>
      </c>
      <c r="K3817" s="31">
        <v>-19.1800003</v>
      </c>
      <c r="L3817" s="31"/>
      <c r="M3817" s="31" t="s">
        <v>854</v>
      </c>
      <c r="N3817" s="6" t="s">
        <v>856</v>
      </c>
    </row>
    <row r="3818" spans="1:14" ht="15" customHeight="1" x14ac:dyDescent="0.2">
      <c r="A3818" s="31">
        <v>0.64177456143019262</v>
      </c>
      <c r="B3818" s="31"/>
      <c r="C3818" s="2" t="s">
        <v>855</v>
      </c>
      <c r="D3818" s="31">
        <f t="shared" si="124"/>
        <v>0.12578781404031775</v>
      </c>
      <c r="F3818" s="2" t="s">
        <v>822</v>
      </c>
      <c r="G3818" s="23" t="s">
        <v>902</v>
      </c>
      <c r="H3818" s="2" t="s">
        <v>822</v>
      </c>
      <c r="J3818" s="31">
        <v>33.944400799999997</v>
      </c>
      <c r="K3818" s="31">
        <v>-33.716098799999997</v>
      </c>
      <c r="L3818" s="31"/>
      <c r="M3818" s="31" t="s">
        <v>854</v>
      </c>
      <c r="N3818" s="6" t="s">
        <v>856</v>
      </c>
    </row>
    <row r="3819" spans="1:14" ht="15" customHeight="1" x14ac:dyDescent="0.2">
      <c r="A3819" s="31">
        <v>0.64176955581134321</v>
      </c>
      <c r="B3819" s="31"/>
      <c r="C3819" s="2" t="s">
        <v>855</v>
      </c>
      <c r="D3819" s="31">
        <f t="shared" si="124"/>
        <v>0.12578683293902326</v>
      </c>
      <c r="F3819" s="2" t="s">
        <v>822</v>
      </c>
      <c r="G3819" s="23" t="s">
        <v>902</v>
      </c>
      <c r="H3819" s="2" t="s">
        <v>822</v>
      </c>
      <c r="J3819" s="31">
        <v>42.661399799999998</v>
      </c>
      <c r="K3819" s="31">
        <v>-31.420999500000001</v>
      </c>
      <c r="L3819" s="31"/>
      <c r="M3819" s="31" t="s">
        <v>854</v>
      </c>
      <c r="N3819" s="6" t="s">
        <v>856</v>
      </c>
    </row>
    <row r="3820" spans="1:14" ht="15" customHeight="1" x14ac:dyDescent="0.2">
      <c r="A3820" s="31">
        <v>0.64153972454943065</v>
      </c>
      <c r="B3820" s="31"/>
      <c r="C3820" s="2" t="s">
        <v>855</v>
      </c>
      <c r="D3820" s="31">
        <f t="shared" si="124"/>
        <v>0.12574178601168842</v>
      </c>
      <c r="F3820" s="2" t="s">
        <v>822</v>
      </c>
      <c r="G3820" s="23" t="s">
        <v>902</v>
      </c>
      <c r="H3820" s="2" t="s">
        <v>822</v>
      </c>
      <c r="J3820" s="31">
        <v>56.023101799999999</v>
      </c>
      <c r="K3820" s="31">
        <v>-2.9779401000000001</v>
      </c>
      <c r="L3820" s="31"/>
      <c r="M3820" s="31" t="s">
        <v>854</v>
      </c>
      <c r="N3820" s="6" t="s">
        <v>856</v>
      </c>
    </row>
    <row r="3821" spans="1:14" ht="15" customHeight="1" x14ac:dyDescent="0.2">
      <c r="A3821" s="31">
        <v>0.64149124102531985</v>
      </c>
      <c r="B3821" s="31"/>
      <c r="C3821" s="2" t="s">
        <v>855</v>
      </c>
      <c r="D3821" s="31">
        <f t="shared" si="124"/>
        <v>0.12573228324096269</v>
      </c>
      <c r="F3821" s="2" t="s">
        <v>822</v>
      </c>
      <c r="G3821" s="23" t="s">
        <v>902</v>
      </c>
      <c r="H3821" s="2" t="s">
        <v>822</v>
      </c>
      <c r="J3821" s="31">
        <v>36.060001399999997</v>
      </c>
      <c r="K3821" s="31">
        <v>-12.5</v>
      </c>
      <c r="L3821" s="31"/>
      <c r="M3821" s="31" t="s">
        <v>854</v>
      </c>
      <c r="N3821" s="6" t="s">
        <v>856</v>
      </c>
    </row>
    <row r="3822" spans="1:14" ht="15" customHeight="1" x14ac:dyDescent="0.2">
      <c r="A3822" s="31">
        <v>0.64142077761159588</v>
      </c>
      <c r="B3822" s="31"/>
      <c r="C3822" s="2" t="s">
        <v>855</v>
      </c>
      <c r="D3822" s="31">
        <f t="shared" si="124"/>
        <v>0.12571847241187281</v>
      </c>
      <c r="F3822" s="2" t="s">
        <v>822</v>
      </c>
      <c r="G3822" s="23" t="s">
        <v>902</v>
      </c>
      <c r="H3822" s="2" t="s">
        <v>822</v>
      </c>
      <c r="J3822" s="31">
        <v>54.829799700000002</v>
      </c>
      <c r="K3822" s="31">
        <v>17.021900200000001</v>
      </c>
      <c r="L3822" s="31"/>
      <c r="M3822" s="31" t="s">
        <v>854</v>
      </c>
      <c r="N3822" s="6" t="s">
        <v>856</v>
      </c>
    </row>
    <row r="3823" spans="1:14" ht="15" customHeight="1" x14ac:dyDescent="0.2">
      <c r="A3823" s="31">
        <v>0.64122937073082364</v>
      </c>
      <c r="B3823" s="31"/>
      <c r="C3823" s="2" t="s">
        <v>855</v>
      </c>
      <c r="D3823" s="31">
        <f t="shared" si="124"/>
        <v>0.12568095666324144</v>
      </c>
      <c r="F3823" s="2" t="s">
        <v>822</v>
      </c>
      <c r="G3823" s="23" t="s">
        <v>902</v>
      </c>
      <c r="H3823" s="2" t="s">
        <v>822</v>
      </c>
      <c r="J3823" s="31">
        <v>41.4817009</v>
      </c>
      <c r="K3823" s="31">
        <v>-42.7854004</v>
      </c>
      <c r="L3823" s="31"/>
      <c r="M3823" s="31" t="s">
        <v>854</v>
      </c>
      <c r="N3823" s="6" t="s">
        <v>856</v>
      </c>
    </row>
    <row r="3824" spans="1:14" ht="15" customHeight="1" x14ac:dyDescent="0.2">
      <c r="A3824" s="31">
        <v>0.64101422782113537</v>
      </c>
      <c r="B3824" s="31"/>
      <c r="C3824" s="2" t="s">
        <v>855</v>
      </c>
      <c r="D3824" s="31">
        <f t="shared" si="124"/>
        <v>0.12563878865294253</v>
      </c>
      <c r="F3824" s="2" t="s">
        <v>822</v>
      </c>
      <c r="G3824" s="23" t="s">
        <v>902</v>
      </c>
      <c r="H3824" s="2" t="s">
        <v>822</v>
      </c>
      <c r="J3824" s="31">
        <v>44.655998199999999</v>
      </c>
      <c r="K3824" s="31">
        <v>-28.6289005</v>
      </c>
      <c r="L3824" s="31"/>
      <c r="M3824" s="31" t="s">
        <v>854</v>
      </c>
      <c r="N3824" s="6" t="s">
        <v>856</v>
      </c>
    </row>
    <row r="3825" spans="1:14" ht="15" customHeight="1" x14ac:dyDescent="0.2">
      <c r="A3825" s="31">
        <v>0.64100864756348841</v>
      </c>
      <c r="B3825" s="31"/>
      <c r="C3825" s="2" t="s">
        <v>855</v>
      </c>
      <c r="D3825" s="31">
        <f t="shared" si="124"/>
        <v>0.12563769492244373</v>
      </c>
      <c r="F3825" s="2" t="s">
        <v>822</v>
      </c>
      <c r="G3825" s="23" t="s">
        <v>902</v>
      </c>
      <c r="H3825" s="2" t="s">
        <v>822</v>
      </c>
      <c r="J3825" s="31">
        <v>36.060001399999997</v>
      </c>
      <c r="K3825" s="31">
        <v>16.2240009</v>
      </c>
      <c r="L3825" s="31"/>
      <c r="M3825" s="31" t="s">
        <v>854</v>
      </c>
      <c r="N3825" s="6" t="s">
        <v>856</v>
      </c>
    </row>
    <row r="3826" spans="1:14" ht="15" customHeight="1" x14ac:dyDescent="0.2">
      <c r="A3826" s="31">
        <v>0.64094067228880369</v>
      </c>
      <c r="B3826" s="31"/>
      <c r="C3826" s="2" t="s">
        <v>855</v>
      </c>
      <c r="D3826" s="31">
        <f t="shared" si="124"/>
        <v>0.12562437176860553</v>
      </c>
      <c r="F3826" s="2" t="s">
        <v>822</v>
      </c>
      <c r="G3826" s="23" t="s">
        <v>902</v>
      </c>
      <c r="H3826" s="2" t="s">
        <v>822</v>
      </c>
      <c r="J3826" s="31">
        <v>46.080001799999998</v>
      </c>
      <c r="K3826" s="31">
        <v>-23.187999699999999</v>
      </c>
      <c r="L3826" s="31"/>
      <c r="M3826" s="31" t="s">
        <v>854</v>
      </c>
      <c r="N3826" s="6" t="s">
        <v>856</v>
      </c>
    </row>
    <row r="3827" spans="1:14" ht="15" customHeight="1" x14ac:dyDescent="0.2">
      <c r="A3827" s="31">
        <v>0.6407461186493445</v>
      </c>
      <c r="B3827" s="31"/>
      <c r="C3827" s="2" t="s">
        <v>855</v>
      </c>
      <c r="D3827" s="31">
        <f t="shared" si="124"/>
        <v>0.12558623925527151</v>
      </c>
      <c r="F3827" s="2" t="s">
        <v>822</v>
      </c>
      <c r="G3827" s="23" t="s">
        <v>902</v>
      </c>
      <c r="H3827" s="2" t="s">
        <v>822</v>
      </c>
      <c r="J3827" s="31">
        <v>49.505100300000002</v>
      </c>
      <c r="K3827" s="31">
        <v>0.31583800000000001</v>
      </c>
      <c r="L3827" s="31"/>
      <c r="M3827" s="31" t="s">
        <v>854</v>
      </c>
      <c r="N3827" s="6" t="s">
        <v>856</v>
      </c>
    </row>
    <row r="3828" spans="1:14" ht="15" customHeight="1" x14ac:dyDescent="0.2">
      <c r="A3828" s="31">
        <v>0.64060256861973919</v>
      </c>
      <c r="B3828" s="31"/>
      <c r="C3828" s="2" t="s">
        <v>855</v>
      </c>
      <c r="D3828" s="31">
        <f t="shared" si="124"/>
        <v>0.12555810344946888</v>
      </c>
      <c r="F3828" s="2" t="s">
        <v>822</v>
      </c>
      <c r="G3828" s="23" t="s">
        <v>902</v>
      </c>
      <c r="H3828" s="2" t="s">
        <v>822</v>
      </c>
      <c r="J3828" s="31">
        <v>55.2505989</v>
      </c>
      <c r="K3828" s="31">
        <v>7.4718399</v>
      </c>
      <c r="L3828" s="31"/>
      <c r="M3828" s="31" t="s">
        <v>854</v>
      </c>
      <c r="N3828" s="6" t="s">
        <v>856</v>
      </c>
    </row>
    <row r="3829" spans="1:14" ht="15" customHeight="1" x14ac:dyDescent="0.2">
      <c r="A3829" s="31">
        <v>0.64059052175788023</v>
      </c>
      <c r="B3829" s="31"/>
      <c r="C3829" s="2" t="s">
        <v>855</v>
      </c>
      <c r="D3829" s="31">
        <f t="shared" si="124"/>
        <v>0.12555574226454452</v>
      </c>
      <c r="F3829" s="2" t="s">
        <v>822</v>
      </c>
      <c r="G3829" s="23" t="s">
        <v>902</v>
      </c>
      <c r="H3829" s="2" t="s">
        <v>822</v>
      </c>
      <c r="J3829" s="31">
        <v>49.239799499999997</v>
      </c>
      <c r="K3829" s="31">
        <v>-2.35337</v>
      </c>
      <c r="L3829" s="31"/>
      <c r="M3829" s="31" t="s">
        <v>854</v>
      </c>
      <c r="N3829" s="6" t="s">
        <v>856</v>
      </c>
    </row>
    <row r="3830" spans="1:14" ht="15" customHeight="1" x14ac:dyDescent="0.2">
      <c r="A3830" s="31">
        <v>0.64024467317607081</v>
      </c>
      <c r="B3830" s="31"/>
      <c r="C3830" s="2" t="s">
        <v>855</v>
      </c>
      <c r="D3830" s="31">
        <f t="shared" si="124"/>
        <v>0.12548795594250989</v>
      </c>
      <c r="F3830" s="2" t="s">
        <v>822</v>
      </c>
      <c r="G3830" s="23" t="s">
        <v>902</v>
      </c>
      <c r="H3830" s="2" t="s">
        <v>822</v>
      </c>
      <c r="J3830" s="31">
        <v>29.3799992</v>
      </c>
      <c r="K3830" s="31">
        <v>-39.888000499999997</v>
      </c>
      <c r="L3830" s="31"/>
      <c r="M3830" s="31" t="s">
        <v>854</v>
      </c>
      <c r="N3830" s="6" t="s">
        <v>856</v>
      </c>
    </row>
    <row r="3831" spans="1:14" ht="15" customHeight="1" x14ac:dyDescent="0.2">
      <c r="A3831" s="31">
        <v>0.64021682338015606</v>
      </c>
      <c r="B3831" s="31"/>
      <c r="C3831" s="2" t="s">
        <v>855</v>
      </c>
      <c r="D3831" s="31">
        <f t="shared" si="124"/>
        <v>0.1254824973825106</v>
      </c>
      <c r="F3831" s="2" t="s">
        <v>822</v>
      </c>
      <c r="G3831" s="23" t="s">
        <v>902</v>
      </c>
      <c r="H3831" s="2" t="s">
        <v>822</v>
      </c>
      <c r="J3831" s="31">
        <v>51.396099100000001</v>
      </c>
      <c r="K3831" s="31">
        <v>-4.2782501999999996</v>
      </c>
      <c r="L3831" s="31"/>
      <c r="M3831" s="31" t="s">
        <v>854</v>
      </c>
      <c r="N3831" s="6" t="s">
        <v>856</v>
      </c>
    </row>
    <row r="3832" spans="1:14" ht="15" customHeight="1" x14ac:dyDescent="0.2">
      <c r="A3832" s="31">
        <v>0.64007652129912518</v>
      </c>
      <c r="B3832" s="31"/>
      <c r="C3832" s="2" t="s">
        <v>855</v>
      </c>
      <c r="D3832" s="31">
        <f t="shared" si="124"/>
        <v>0.12545499817462855</v>
      </c>
      <c r="F3832" s="2" t="s">
        <v>822</v>
      </c>
      <c r="G3832" s="23" t="s">
        <v>902</v>
      </c>
      <c r="H3832" s="2" t="s">
        <v>822</v>
      </c>
      <c r="J3832" s="31">
        <v>35.343398999999998</v>
      </c>
      <c r="K3832" s="31">
        <v>29.478000600000001</v>
      </c>
      <c r="L3832" s="31"/>
      <c r="M3832" s="31" t="s">
        <v>854</v>
      </c>
      <c r="N3832" s="6" t="s">
        <v>856</v>
      </c>
    </row>
    <row r="3833" spans="1:14" ht="15" customHeight="1" x14ac:dyDescent="0.2">
      <c r="A3833" s="31">
        <v>0.63977445057445981</v>
      </c>
      <c r="B3833" s="31"/>
      <c r="C3833" s="2" t="s">
        <v>855</v>
      </c>
      <c r="D3833" s="31">
        <f t="shared" si="124"/>
        <v>0.12539579231259412</v>
      </c>
      <c r="F3833" s="2" t="s">
        <v>822</v>
      </c>
      <c r="G3833" s="23" t="s">
        <v>902</v>
      </c>
      <c r="H3833" s="2" t="s">
        <v>822</v>
      </c>
      <c r="J3833" s="31">
        <v>50.103900899999999</v>
      </c>
      <c r="K3833" s="31">
        <v>-4.5488600999999997</v>
      </c>
      <c r="L3833" s="31"/>
      <c r="M3833" s="31" t="s">
        <v>854</v>
      </c>
      <c r="N3833" s="6" t="s">
        <v>856</v>
      </c>
    </row>
    <row r="3834" spans="1:14" ht="15" customHeight="1" x14ac:dyDescent="0.2">
      <c r="A3834" s="31">
        <v>0.63967088838636921</v>
      </c>
      <c r="B3834" s="31"/>
      <c r="C3834" s="2" t="s">
        <v>855</v>
      </c>
      <c r="D3834" s="31">
        <f t="shared" si="124"/>
        <v>0.12537549412372836</v>
      </c>
      <c r="F3834" s="2" t="s">
        <v>822</v>
      </c>
      <c r="G3834" s="23" t="s">
        <v>902</v>
      </c>
      <c r="H3834" s="2" t="s">
        <v>822</v>
      </c>
      <c r="J3834" s="31">
        <v>35.453399699999999</v>
      </c>
      <c r="K3834" s="31">
        <v>-18.060499199999999</v>
      </c>
      <c r="L3834" s="31"/>
      <c r="M3834" s="31" t="s">
        <v>854</v>
      </c>
      <c r="N3834" s="6" t="s">
        <v>856</v>
      </c>
    </row>
    <row r="3835" spans="1:14" ht="15" customHeight="1" x14ac:dyDescent="0.2">
      <c r="A3835" s="31">
        <v>0.63967061762659561</v>
      </c>
      <c r="B3835" s="31"/>
      <c r="C3835" s="2" t="s">
        <v>855</v>
      </c>
      <c r="D3835" s="31">
        <f t="shared" ref="D3835:D3866" si="125" xml:space="preserve"> A3835 * 0.196</f>
        <v>0.12537544105481274</v>
      </c>
      <c r="F3835" s="2" t="s">
        <v>822</v>
      </c>
      <c r="G3835" s="23" t="s">
        <v>902</v>
      </c>
      <c r="H3835" s="2" t="s">
        <v>822</v>
      </c>
      <c r="J3835" s="31">
        <v>54.8755989</v>
      </c>
      <c r="K3835" s="31">
        <v>13.1028004</v>
      </c>
      <c r="L3835" s="31"/>
      <c r="M3835" s="31" t="s">
        <v>854</v>
      </c>
      <c r="N3835" s="6" t="s">
        <v>856</v>
      </c>
    </row>
    <row r="3836" spans="1:14" ht="15" customHeight="1" x14ac:dyDescent="0.2">
      <c r="A3836" s="31">
        <v>0.6396033275185895</v>
      </c>
      <c r="B3836" s="31"/>
      <c r="C3836" s="2" t="s">
        <v>855</v>
      </c>
      <c r="D3836" s="31">
        <f t="shared" si="125"/>
        <v>0.12536225219364355</v>
      </c>
      <c r="F3836" s="2" t="s">
        <v>822</v>
      </c>
      <c r="G3836" s="23" t="s">
        <v>902</v>
      </c>
      <c r="H3836" s="2" t="s">
        <v>822</v>
      </c>
      <c r="J3836" s="31">
        <v>32.173599199999998</v>
      </c>
      <c r="K3836" s="31">
        <v>26.435199699999998</v>
      </c>
      <c r="L3836" s="31"/>
      <c r="M3836" s="31" t="s">
        <v>854</v>
      </c>
      <c r="N3836" s="6" t="s">
        <v>856</v>
      </c>
    </row>
    <row r="3837" spans="1:14" ht="15" customHeight="1" x14ac:dyDescent="0.2">
      <c r="A3837" s="31">
        <v>0.63951804855771932</v>
      </c>
      <c r="B3837" s="31"/>
      <c r="C3837" s="2" t="s">
        <v>855</v>
      </c>
      <c r="D3837" s="31">
        <f t="shared" si="125"/>
        <v>0.125345537517313</v>
      </c>
      <c r="F3837" s="2" t="s">
        <v>822</v>
      </c>
      <c r="G3837" s="23" t="s">
        <v>902</v>
      </c>
      <c r="H3837" s="2" t="s">
        <v>822</v>
      </c>
      <c r="J3837" s="31">
        <v>26.7110004</v>
      </c>
      <c r="K3837" s="31">
        <v>-26.530799900000002</v>
      </c>
      <c r="L3837" s="31"/>
      <c r="M3837" s="31" t="s">
        <v>854</v>
      </c>
      <c r="N3837" s="6" t="s">
        <v>856</v>
      </c>
    </row>
    <row r="3838" spans="1:14" ht="15" customHeight="1" x14ac:dyDescent="0.2">
      <c r="A3838" s="31">
        <v>0.63948877382933111</v>
      </c>
      <c r="B3838" s="31"/>
      <c r="C3838" s="2" t="s">
        <v>855</v>
      </c>
      <c r="D3838" s="31">
        <f t="shared" si="125"/>
        <v>0.1253397996705489</v>
      </c>
      <c r="F3838" s="2" t="s">
        <v>822</v>
      </c>
      <c r="G3838" s="23" t="s">
        <v>902</v>
      </c>
      <c r="H3838" s="2" t="s">
        <v>822</v>
      </c>
      <c r="J3838" s="31">
        <v>44.413501699999998</v>
      </c>
      <c r="K3838" s="31">
        <v>-41.551101699999997</v>
      </c>
      <c r="L3838" s="31"/>
      <c r="M3838" s="31" t="s">
        <v>854</v>
      </c>
      <c r="N3838" s="6" t="s">
        <v>856</v>
      </c>
    </row>
    <row r="3839" spans="1:14" ht="15" customHeight="1" x14ac:dyDescent="0.2">
      <c r="A3839" s="31">
        <v>0.6394542085701046</v>
      </c>
      <c r="B3839" s="31"/>
      <c r="C3839" s="2" t="s">
        <v>855</v>
      </c>
      <c r="D3839" s="31">
        <f t="shared" si="125"/>
        <v>0.12533302487974052</v>
      </c>
      <c r="F3839" s="2" t="s">
        <v>822</v>
      </c>
      <c r="G3839" s="23" t="s">
        <v>902</v>
      </c>
      <c r="H3839" s="2" t="s">
        <v>822</v>
      </c>
      <c r="J3839" s="31">
        <v>48.083400699999999</v>
      </c>
      <c r="K3839" s="31">
        <v>-28.5326004</v>
      </c>
      <c r="L3839" s="31"/>
      <c r="M3839" s="31" t="s">
        <v>854</v>
      </c>
      <c r="N3839" s="6" t="s">
        <v>856</v>
      </c>
    </row>
    <row r="3840" spans="1:14" ht="15" customHeight="1" x14ac:dyDescent="0.2">
      <c r="A3840" s="31">
        <v>0.63932040386227218</v>
      </c>
      <c r="B3840" s="31"/>
      <c r="C3840" s="2" t="s">
        <v>855</v>
      </c>
      <c r="D3840" s="31">
        <f t="shared" si="125"/>
        <v>0.12530679915700535</v>
      </c>
      <c r="F3840" s="2" t="s">
        <v>822</v>
      </c>
      <c r="G3840" s="23" t="s">
        <v>902</v>
      </c>
      <c r="H3840" s="2" t="s">
        <v>822</v>
      </c>
      <c r="J3840" s="31">
        <v>39.359600100000002</v>
      </c>
      <c r="K3840" s="31">
        <v>-23.187999699999999</v>
      </c>
      <c r="L3840" s="31"/>
      <c r="M3840" s="31" t="s">
        <v>854</v>
      </c>
      <c r="N3840" s="6" t="s">
        <v>856</v>
      </c>
    </row>
    <row r="3841" spans="1:14" ht="15" customHeight="1" x14ac:dyDescent="0.2">
      <c r="A3841" s="31">
        <v>0.63898852986317534</v>
      </c>
      <c r="B3841" s="31"/>
      <c r="C3841" s="2" t="s">
        <v>855</v>
      </c>
      <c r="D3841" s="31">
        <f t="shared" si="125"/>
        <v>0.12524175185318237</v>
      </c>
      <c r="F3841" s="2" t="s">
        <v>822</v>
      </c>
      <c r="G3841" s="23" t="s">
        <v>902</v>
      </c>
      <c r="H3841" s="2" t="s">
        <v>822</v>
      </c>
      <c r="J3841" s="31">
        <v>61.256599399999999</v>
      </c>
      <c r="K3841" s="31">
        <v>21.235799799999999</v>
      </c>
      <c r="L3841" s="31"/>
      <c r="M3841" s="31" t="s">
        <v>854</v>
      </c>
      <c r="N3841" s="6" t="s">
        <v>856</v>
      </c>
    </row>
    <row r="3842" spans="1:14" ht="15" customHeight="1" x14ac:dyDescent="0.2">
      <c r="A3842" s="31">
        <v>0.63891462424019896</v>
      </c>
      <c r="B3842" s="31"/>
      <c r="C3842" s="2" t="s">
        <v>855</v>
      </c>
      <c r="D3842" s="31">
        <f t="shared" si="125"/>
        <v>0.125227266351079</v>
      </c>
      <c r="F3842" s="2" t="s">
        <v>822</v>
      </c>
      <c r="G3842" s="23" t="s">
        <v>902</v>
      </c>
      <c r="H3842" s="2" t="s">
        <v>822</v>
      </c>
      <c r="J3842" s="31">
        <v>28.711999899999999</v>
      </c>
      <c r="K3842" s="31">
        <v>-33.875999499999999</v>
      </c>
      <c r="L3842" s="31"/>
      <c r="M3842" s="31" t="s">
        <v>854</v>
      </c>
      <c r="N3842" s="6" t="s">
        <v>856</v>
      </c>
    </row>
    <row r="3843" spans="1:14" ht="15" customHeight="1" x14ac:dyDescent="0.2">
      <c r="A3843" s="31">
        <v>0.63882000932488092</v>
      </c>
      <c r="B3843" s="31"/>
      <c r="C3843" s="2" t="s">
        <v>855</v>
      </c>
      <c r="D3843" s="31">
        <f t="shared" si="125"/>
        <v>0.12520872182767667</v>
      </c>
      <c r="F3843" s="2" t="s">
        <v>822</v>
      </c>
      <c r="G3843" s="23" t="s">
        <v>902</v>
      </c>
      <c r="H3843" s="2" t="s">
        <v>822</v>
      </c>
      <c r="J3843" s="31">
        <v>56.293598199999998</v>
      </c>
      <c r="K3843" s="31">
        <v>-7.3761600999999999</v>
      </c>
      <c r="L3843" s="31"/>
      <c r="M3843" s="31" t="s">
        <v>854</v>
      </c>
      <c r="N3843" s="6" t="s">
        <v>856</v>
      </c>
    </row>
    <row r="3844" spans="1:14" ht="15" customHeight="1" x14ac:dyDescent="0.2">
      <c r="A3844" s="31">
        <v>0.63865109410374432</v>
      </c>
      <c r="B3844" s="31"/>
      <c r="C3844" s="2" t="s">
        <v>855</v>
      </c>
      <c r="D3844" s="31">
        <f t="shared" si="125"/>
        <v>0.12517561444433389</v>
      </c>
      <c r="F3844" s="2" t="s">
        <v>822</v>
      </c>
      <c r="G3844" s="23" t="s">
        <v>902</v>
      </c>
      <c r="H3844" s="2" t="s">
        <v>822</v>
      </c>
      <c r="J3844" s="31">
        <v>31.467800100000002</v>
      </c>
      <c r="K3844" s="31">
        <v>26.997999199999999</v>
      </c>
      <c r="L3844" s="31"/>
      <c r="M3844" s="31" t="s">
        <v>854</v>
      </c>
      <c r="N3844" s="6" t="s">
        <v>856</v>
      </c>
    </row>
    <row r="3845" spans="1:14" ht="15" customHeight="1" x14ac:dyDescent="0.2">
      <c r="A3845" s="31">
        <v>0.63855710711707758</v>
      </c>
      <c r="B3845" s="31"/>
      <c r="C3845" s="2" t="s">
        <v>855</v>
      </c>
      <c r="D3845" s="31">
        <f t="shared" si="125"/>
        <v>0.12515719299494721</v>
      </c>
      <c r="F3845" s="2" t="s">
        <v>822</v>
      </c>
      <c r="G3845" s="23" t="s">
        <v>902</v>
      </c>
      <c r="H3845" s="2" t="s">
        <v>822</v>
      </c>
      <c r="J3845" s="31">
        <v>45.455299400000001</v>
      </c>
      <c r="K3845" s="31">
        <v>-20.5282993</v>
      </c>
      <c r="L3845" s="31"/>
      <c r="M3845" s="31" t="s">
        <v>854</v>
      </c>
      <c r="N3845" s="6" t="s">
        <v>856</v>
      </c>
    </row>
    <row r="3846" spans="1:14" ht="15" customHeight="1" x14ac:dyDescent="0.2">
      <c r="A3846" s="31">
        <v>0.63848566950505015</v>
      </c>
      <c r="B3846" s="31"/>
      <c r="C3846" s="2" t="s">
        <v>855</v>
      </c>
      <c r="D3846" s="31">
        <f t="shared" si="125"/>
        <v>0.12514319122298984</v>
      </c>
      <c r="F3846" s="2" t="s">
        <v>822</v>
      </c>
      <c r="G3846" s="23" t="s">
        <v>902</v>
      </c>
      <c r="H3846" s="2" t="s">
        <v>822</v>
      </c>
      <c r="J3846" s="31">
        <v>53.428001399999999</v>
      </c>
      <c r="K3846" s="31">
        <v>-23.187999699999999</v>
      </c>
      <c r="L3846" s="31"/>
      <c r="M3846" s="31" t="s">
        <v>854</v>
      </c>
      <c r="N3846" s="6" t="s">
        <v>856</v>
      </c>
    </row>
    <row r="3847" spans="1:14" ht="15" customHeight="1" x14ac:dyDescent="0.2">
      <c r="A3847" s="31">
        <v>0.63846684707432988</v>
      </c>
      <c r="B3847" s="31"/>
      <c r="C3847" s="2" t="s">
        <v>855</v>
      </c>
      <c r="D3847" s="31">
        <f t="shared" si="125"/>
        <v>0.12513950202656865</v>
      </c>
      <c r="F3847" s="2" t="s">
        <v>822</v>
      </c>
      <c r="G3847" s="23" t="s">
        <v>902</v>
      </c>
      <c r="H3847" s="2" t="s">
        <v>822</v>
      </c>
      <c r="J3847" s="31">
        <v>43.984001200000002</v>
      </c>
      <c r="K3847" s="31">
        <v>-1.4181401</v>
      </c>
      <c r="L3847" s="31"/>
      <c r="M3847" s="31" t="s">
        <v>854</v>
      </c>
      <c r="N3847" s="6" t="s">
        <v>856</v>
      </c>
    </row>
    <row r="3848" spans="1:14" ht="15" customHeight="1" x14ac:dyDescent="0.2">
      <c r="A3848" s="31">
        <v>0.63811533787299501</v>
      </c>
      <c r="B3848" s="31"/>
      <c r="C3848" s="2" t="s">
        <v>855</v>
      </c>
      <c r="D3848" s="31">
        <f t="shared" si="125"/>
        <v>0.12507060622310703</v>
      </c>
      <c r="F3848" s="2" t="s">
        <v>822</v>
      </c>
      <c r="G3848" s="23" t="s">
        <v>902</v>
      </c>
      <c r="H3848" s="2" t="s">
        <v>822</v>
      </c>
      <c r="J3848" s="31">
        <v>41.504699700000003</v>
      </c>
      <c r="K3848" s="31">
        <v>-13.9452</v>
      </c>
      <c r="L3848" s="31"/>
      <c r="M3848" s="31" t="s">
        <v>854</v>
      </c>
      <c r="N3848" s="6" t="s">
        <v>856</v>
      </c>
    </row>
    <row r="3849" spans="1:14" ht="15" customHeight="1" x14ac:dyDescent="0.2">
      <c r="A3849" s="31">
        <v>0.63777039260410173</v>
      </c>
      <c r="B3849" s="31"/>
      <c r="C3849" s="2" t="s">
        <v>855</v>
      </c>
      <c r="D3849" s="31">
        <f t="shared" si="125"/>
        <v>0.12500299695040396</v>
      </c>
      <c r="F3849" s="2" t="s">
        <v>822</v>
      </c>
      <c r="G3849" s="23" t="s">
        <v>902</v>
      </c>
      <c r="H3849" s="2" t="s">
        <v>822</v>
      </c>
      <c r="J3849" s="31">
        <v>35.5215988</v>
      </c>
      <c r="K3849" s="31">
        <v>16.551300000000001</v>
      </c>
      <c r="L3849" s="31"/>
      <c r="M3849" s="31" t="s">
        <v>854</v>
      </c>
      <c r="N3849" s="6" t="s">
        <v>856</v>
      </c>
    </row>
    <row r="3850" spans="1:14" ht="15" customHeight="1" x14ac:dyDescent="0.2">
      <c r="A3850" s="31">
        <v>0.63758628018422836</v>
      </c>
      <c r="B3850" s="31"/>
      <c r="C3850" s="2" t="s">
        <v>855</v>
      </c>
      <c r="D3850" s="31">
        <f t="shared" si="125"/>
        <v>0.12496691091610876</v>
      </c>
      <c r="F3850" s="2" t="s">
        <v>822</v>
      </c>
      <c r="G3850" s="23" t="s">
        <v>902</v>
      </c>
      <c r="H3850" s="2" t="s">
        <v>822</v>
      </c>
      <c r="J3850" s="31">
        <v>44.9906006</v>
      </c>
      <c r="K3850" s="31">
        <v>-3.49716</v>
      </c>
      <c r="L3850" s="31"/>
      <c r="M3850" s="31" t="s">
        <v>854</v>
      </c>
      <c r="N3850" s="6" t="s">
        <v>856</v>
      </c>
    </row>
    <row r="3851" spans="1:14" ht="15" customHeight="1" x14ac:dyDescent="0.2">
      <c r="A3851" s="31">
        <v>0.63756904158182026</v>
      </c>
      <c r="B3851" s="31"/>
      <c r="C3851" s="2" t="s">
        <v>855</v>
      </c>
      <c r="D3851" s="31">
        <f t="shared" si="125"/>
        <v>0.12496353215003678</v>
      </c>
      <c r="F3851" s="2" t="s">
        <v>822</v>
      </c>
      <c r="G3851" s="23" t="s">
        <v>902</v>
      </c>
      <c r="H3851" s="2" t="s">
        <v>822</v>
      </c>
      <c r="J3851" s="31">
        <v>32.720001199999999</v>
      </c>
      <c r="K3851" s="31">
        <v>-21.184000000000001</v>
      </c>
      <c r="L3851" s="31"/>
      <c r="M3851" s="31" t="s">
        <v>854</v>
      </c>
      <c r="N3851" s="6" t="s">
        <v>856</v>
      </c>
    </row>
    <row r="3852" spans="1:14" ht="15" customHeight="1" x14ac:dyDescent="0.2">
      <c r="A3852" s="31">
        <v>0.63755474739551243</v>
      </c>
      <c r="B3852" s="31"/>
      <c r="C3852" s="2" t="s">
        <v>855</v>
      </c>
      <c r="D3852" s="31">
        <f t="shared" si="125"/>
        <v>0.12496073048952044</v>
      </c>
      <c r="F3852" s="2" t="s">
        <v>822</v>
      </c>
      <c r="G3852" s="23" t="s">
        <v>902</v>
      </c>
      <c r="H3852" s="2" t="s">
        <v>822</v>
      </c>
      <c r="J3852" s="31">
        <v>55.507598899999998</v>
      </c>
      <c r="K3852" s="31">
        <v>-4.7427501999999997</v>
      </c>
      <c r="L3852" s="31"/>
      <c r="M3852" s="31" t="s">
        <v>854</v>
      </c>
      <c r="N3852" s="6" t="s">
        <v>856</v>
      </c>
    </row>
    <row r="3853" spans="1:14" ht="15" customHeight="1" x14ac:dyDescent="0.2">
      <c r="A3853" s="31">
        <v>0.63690780448790907</v>
      </c>
      <c r="B3853" s="31"/>
      <c r="C3853" s="2" t="s">
        <v>855</v>
      </c>
      <c r="D3853" s="31">
        <f t="shared" si="125"/>
        <v>0.12483392967963018</v>
      </c>
      <c r="F3853" s="2" t="s">
        <v>822</v>
      </c>
      <c r="G3853" s="23" t="s">
        <v>902</v>
      </c>
      <c r="H3853" s="2" t="s">
        <v>822</v>
      </c>
      <c r="J3853" s="31">
        <v>36.401298500000003</v>
      </c>
      <c r="K3853" s="31">
        <v>-18.828399699999999</v>
      </c>
      <c r="L3853" s="31"/>
      <c r="M3853" s="31" t="s">
        <v>854</v>
      </c>
      <c r="N3853" s="6" t="s">
        <v>856</v>
      </c>
    </row>
    <row r="3854" spans="1:14" ht="15" customHeight="1" x14ac:dyDescent="0.2">
      <c r="A3854" s="31">
        <v>0.63675580592596681</v>
      </c>
      <c r="B3854" s="31"/>
      <c r="C3854" s="2" t="s">
        <v>855</v>
      </c>
      <c r="D3854" s="31">
        <f t="shared" si="125"/>
        <v>0.12480413796148949</v>
      </c>
      <c r="F3854" s="2" t="s">
        <v>822</v>
      </c>
      <c r="G3854" s="23" t="s">
        <v>902</v>
      </c>
      <c r="H3854" s="2" t="s">
        <v>822</v>
      </c>
      <c r="J3854" s="31">
        <v>38.731998400000002</v>
      </c>
      <c r="K3854" s="31">
        <v>5.5359997999999999</v>
      </c>
      <c r="L3854" s="31"/>
      <c r="M3854" s="31" t="s">
        <v>854</v>
      </c>
      <c r="N3854" s="6" t="s">
        <v>856</v>
      </c>
    </row>
    <row r="3855" spans="1:14" ht="15" customHeight="1" x14ac:dyDescent="0.2">
      <c r="A3855" s="31">
        <v>0.63668577311325059</v>
      </c>
      <c r="B3855" s="31"/>
      <c r="C3855" s="2" t="s">
        <v>855</v>
      </c>
      <c r="D3855" s="31">
        <f t="shared" si="125"/>
        <v>0.12479041153019713</v>
      </c>
      <c r="F3855" s="2" t="s">
        <v>822</v>
      </c>
      <c r="G3855" s="23" t="s">
        <v>902</v>
      </c>
      <c r="H3855" s="2" t="s">
        <v>822</v>
      </c>
      <c r="J3855" s="31">
        <v>36.4396019</v>
      </c>
      <c r="K3855" s="31">
        <v>19.320100799999999</v>
      </c>
      <c r="L3855" s="31"/>
      <c r="M3855" s="31" t="s">
        <v>854</v>
      </c>
      <c r="N3855" s="6" t="s">
        <v>856</v>
      </c>
    </row>
    <row r="3856" spans="1:14" ht="15" customHeight="1" x14ac:dyDescent="0.2">
      <c r="A3856" s="31">
        <v>0.63611493219611992</v>
      </c>
      <c r="B3856" s="31"/>
      <c r="C3856" s="2" t="s">
        <v>855</v>
      </c>
      <c r="D3856" s="31">
        <f t="shared" si="125"/>
        <v>0.12467852671043951</v>
      </c>
      <c r="F3856" s="2" t="s">
        <v>822</v>
      </c>
      <c r="G3856" s="23" t="s">
        <v>902</v>
      </c>
      <c r="H3856" s="2" t="s">
        <v>822</v>
      </c>
      <c r="J3856" s="31">
        <v>36.011200000000002</v>
      </c>
      <c r="K3856" s="31">
        <v>30.9668007</v>
      </c>
      <c r="L3856" s="31"/>
      <c r="M3856" s="31" t="s">
        <v>854</v>
      </c>
      <c r="N3856" s="6" t="s">
        <v>856</v>
      </c>
    </row>
    <row r="3857" spans="1:14" ht="15" customHeight="1" x14ac:dyDescent="0.2">
      <c r="A3857" s="31">
        <v>0.63604331991849294</v>
      </c>
      <c r="B3857" s="31"/>
      <c r="C3857" s="2" t="s">
        <v>855</v>
      </c>
      <c r="D3857" s="31">
        <f t="shared" si="125"/>
        <v>0.12466449070402462</v>
      </c>
      <c r="F3857" s="2" t="s">
        <v>822</v>
      </c>
      <c r="G3857" s="23" t="s">
        <v>902</v>
      </c>
      <c r="H3857" s="2" t="s">
        <v>822</v>
      </c>
      <c r="J3857" s="31">
        <v>33.884101899999997</v>
      </c>
      <c r="K3857" s="31">
        <v>-23.606899299999998</v>
      </c>
      <c r="L3857" s="31"/>
      <c r="M3857" s="31" t="s">
        <v>854</v>
      </c>
      <c r="N3857" s="6" t="s">
        <v>856</v>
      </c>
    </row>
    <row r="3858" spans="1:14" ht="15" customHeight="1" x14ac:dyDescent="0.2">
      <c r="A3858" s="31">
        <v>0.63599156814736391</v>
      </c>
      <c r="B3858" s="31"/>
      <c r="C3858" s="2" t="s">
        <v>855</v>
      </c>
      <c r="D3858" s="31">
        <f t="shared" si="125"/>
        <v>0.12465434735688333</v>
      </c>
      <c r="F3858" s="2" t="s">
        <v>822</v>
      </c>
      <c r="G3858" s="23" t="s">
        <v>902</v>
      </c>
      <c r="H3858" s="2" t="s">
        <v>822</v>
      </c>
      <c r="J3858" s="31">
        <v>43.458900499999999</v>
      </c>
      <c r="K3858" s="31">
        <v>-4.5346098000000001</v>
      </c>
      <c r="L3858" s="31"/>
      <c r="M3858" s="31" t="s">
        <v>854</v>
      </c>
      <c r="N3858" s="6" t="s">
        <v>856</v>
      </c>
    </row>
    <row r="3859" spans="1:14" ht="15" customHeight="1" x14ac:dyDescent="0.2">
      <c r="A3859" s="31">
        <v>0.6359247772576998</v>
      </c>
      <c r="B3859" s="31"/>
      <c r="C3859" s="2" t="s">
        <v>855</v>
      </c>
      <c r="D3859" s="31">
        <f t="shared" si="125"/>
        <v>0.12464125634250917</v>
      </c>
      <c r="F3859" s="2" t="s">
        <v>822</v>
      </c>
      <c r="G3859" s="23" t="s">
        <v>902</v>
      </c>
      <c r="H3859" s="2" t="s">
        <v>822</v>
      </c>
      <c r="J3859" s="31">
        <v>36.8860016</v>
      </c>
      <c r="K3859" s="31">
        <v>-1.34263</v>
      </c>
      <c r="L3859" s="31"/>
      <c r="M3859" s="31" t="s">
        <v>854</v>
      </c>
      <c r="N3859" s="6" t="s">
        <v>856</v>
      </c>
    </row>
    <row r="3860" spans="1:14" ht="15" customHeight="1" x14ac:dyDescent="0.2">
      <c r="A3860" s="31">
        <v>0.63480158453529989</v>
      </c>
      <c r="B3860" s="31"/>
      <c r="C3860" s="2" t="s">
        <v>855</v>
      </c>
      <c r="D3860" s="31">
        <f t="shared" si="125"/>
        <v>0.12442111056891879</v>
      </c>
      <c r="F3860" s="2" t="s">
        <v>822</v>
      </c>
      <c r="G3860" s="23" t="s">
        <v>902</v>
      </c>
      <c r="H3860" s="2" t="s">
        <v>822</v>
      </c>
      <c r="J3860" s="31">
        <v>26.708000200000001</v>
      </c>
      <c r="K3860" s="31">
        <v>-41.223998999999999</v>
      </c>
      <c r="L3860" s="31"/>
      <c r="M3860" s="31" t="s">
        <v>854</v>
      </c>
      <c r="N3860" s="6" t="s">
        <v>856</v>
      </c>
    </row>
    <row r="3861" spans="1:14" ht="15" customHeight="1" x14ac:dyDescent="0.2">
      <c r="A3861" s="31">
        <v>0.63479210494407223</v>
      </c>
      <c r="B3861" s="31"/>
      <c r="C3861" s="2" t="s">
        <v>855</v>
      </c>
      <c r="D3861" s="31">
        <f t="shared" si="125"/>
        <v>0.12441925256903816</v>
      </c>
      <c r="F3861" s="2" t="s">
        <v>822</v>
      </c>
      <c r="G3861" s="23" t="s">
        <v>902</v>
      </c>
      <c r="H3861" s="2" t="s">
        <v>822</v>
      </c>
      <c r="J3861" s="31">
        <v>40.0680008</v>
      </c>
      <c r="K3861" s="31">
        <v>-40.555999800000002</v>
      </c>
      <c r="L3861" s="31"/>
      <c r="M3861" s="31" t="s">
        <v>854</v>
      </c>
      <c r="N3861" s="6" t="s">
        <v>856</v>
      </c>
    </row>
    <row r="3862" spans="1:14" ht="15" customHeight="1" x14ac:dyDescent="0.2">
      <c r="A3862" s="31">
        <v>0.63471943087391602</v>
      </c>
      <c r="B3862" s="31"/>
      <c r="C3862" s="2" t="s">
        <v>855</v>
      </c>
      <c r="D3862" s="31">
        <f t="shared" si="125"/>
        <v>0.12440500845128755</v>
      </c>
      <c r="F3862" s="2" t="s">
        <v>822</v>
      </c>
      <c r="G3862" s="23" t="s">
        <v>902</v>
      </c>
      <c r="H3862" s="2" t="s">
        <v>822</v>
      </c>
      <c r="J3862" s="31">
        <v>42.961799599999999</v>
      </c>
      <c r="K3862" s="31">
        <v>-14.4748001</v>
      </c>
      <c r="L3862" s="31"/>
      <c r="M3862" s="31" t="s">
        <v>854</v>
      </c>
      <c r="N3862" s="6" t="s">
        <v>856</v>
      </c>
    </row>
    <row r="3863" spans="1:14" ht="15" customHeight="1" x14ac:dyDescent="0.2">
      <c r="A3863" s="31">
        <v>0.63426471629371717</v>
      </c>
      <c r="B3863" s="31"/>
      <c r="C3863" s="2" t="s">
        <v>855</v>
      </c>
      <c r="D3863" s="31">
        <f t="shared" si="125"/>
        <v>0.12431588439356857</v>
      </c>
      <c r="F3863" s="2" t="s">
        <v>822</v>
      </c>
      <c r="G3863" s="23" t="s">
        <v>902</v>
      </c>
      <c r="H3863" s="2" t="s">
        <v>822</v>
      </c>
      <c r="J3863" s="31">
        <v>50.616100299999999</v>
      </c>
      <c r="K3863" s="31">
        <v>0.38878400000000002</v>
      </c>
      <c r="L3863" s="31"/>
      <c r="M3863" s="31" t="s">
        <v>854</v>
      </c>
      <c r="N3863" s="6" t="s">
        <v>856</v>
      </c>
    </row>
    <row r="3864" spans="1:14" ht="15" customHeight="1" x14ac:dyDescent="0.2">
      <c r="A3864" s="31">
        <v>0.63413085342473974</v>
      </c>
      <c r="B3864" s="31"/>
      <c r="C3864" s="2" t="s">
        <v>855</v>
      </c>
      <c r="D3864" s="31">
        <f t="shared" si="125"/>
        <v>0.124289647271249</v>
      </c>
      <c r="F3864" s="2" t="s">
        <v>822</v>
      </c>
      <c r="G3864" s="23" t="s">
        <v>902</v>
      </c>
      <c r="H3864" s="2" t="s">
        <v>822</v>
      </c>
      <c r="J3864" s="31">
        <v>46.471900900000001</v>
      </c>
      <c r="K3864" s="31">
        <v>-4.1072502000000002</v>
      </c>
      <c r="L3864" s="31"/>
      <c r="M3864" s="31" t="s">
        <v>854</v>
      </c>
      <c r="N3864" s="6" t="s">
        <v>856</v>
      </c>
    </row>
    <row r="3865" spans="1:14" ht="15" customHeight="1" x14ac:dyDescent="0.2">
      <c r="A3865" s="31">
        <v>0.63349130123060315</v>
      </c>
      <c r="B3865" s="31"/>
      <c r="C3865" s="2" t="s">
        <v>855</v>
      </c>
      <c r="D3865" s="31">
        <f t="shared" si="125"/>
        <v>0.12416429504119822</v>
      </c>
      <c r="F3865" s="2" t="s">
        <v>822</v>
      </c>
      <c r="G3865" s="23" t="s">
        <v>902</v>
      </c>
      <c r="H3865" s="2" t="s">
        <v>822</v>
      </c>
      <c r="J3865" s="31">
        <v>46.729499799999999</v>
      </c>
      <c r="K3865" s="31">
        <v>-6.4977397999999997</v>
      </c>
      <c r="L3865" s="31"/>
      <c r="M3865" s="31" t="s">
        <v>854</v>
      </c>
      <c r="N3865" s="6" t="s">
        <v>856</v>
      </c>
    </row>
    <row r="3866" spans="1:14" ht="15" customHeight="1" x14ac:dyDescent="0.2">
      <c r="A3866" s="31">
        <v>0.63340030049041951</v>
      </c>
      <c r="B3866" s="31"/>
      <c r="C3866" s="2" t="s">
        <v>855</v>
      </c>
      <c r="D3866" s="31">
        <f t="shared" si="125"/>
        <v>0.12414645889612223</v>
      </c>
      <c r="F3866" s="2" t="s">
        <v>822</v>
      </c>
      <c r="G3866" s="23" t="s">
        <v>902</v>
      </c>
      <c r="H3866" s="2" t="s">
        <v>822</v>
      </c>
      <c r="J3866" s="31">
        <v>35.391998299999997</v>
      </c>
      <c r="K3866" s="31">
        <v>-27.195999100000002</v>
      </c>
      <c r="L3866" s="31"/>
      <c r="M3866" s="31" t="s">
        <v>854</v>
      </c>
      <c r="N3866" s="6" t="s">
        <v>856</v>
      </c>
    </row>
    <row r="3867" spans="1:14" ht="15" customHeight="1" x14ac:dyDescent="0.2">
      <c r="A3867" s="31">
        <v>0.63304639090236547</v>
      </c>
      <c r="B3867" s="31"/>
      <c r="C3867" s="2" t="s">
        <v>855</v>
      </c>
      <c r="D3867" s="31">
        <f t="shared" ref="D3867:D3898" si="126" xml:space="preserve"> A3867 * 0.196</f>
        <v>0.12407709261686364</v>
      </c>
      <c r="F3867" s="2" t="s">
        <v>822</v>
      </c>
      <c r="G3867" s="23" t="s">
        <v>902</v>
      </c>
      <c r="H3867" s="2" t="s">
        <v>822</v>
      </c>
      <c r="J3867" s="31">
        <v>44.824001299999999</v>
      </c>
      <c r="K3867" s="31">
        <v>-41.853500400000001</v>
      </c>
      <c r="L3867" s="31"/>
      <c r="M3867" s="31" t="s">
        <v>854</v>
      </c>
      <c r="N3867" s="6" t="s">
        <v>856</v>
      </c>
    </row>
    <row r="3868" spans="1:14" ht="15" customHeight="1" x14ac:dyDescent="0.2">
      <c r="A3868" s="31">
        <v>0.63256463199147073</v>
      </c>
      <c r="B3868" s="31"/>
      <c r="C3868" s="2" t="s">
        <v>855</v>
      </c>
      <c r="D3868" s="31">
        <f t="shared" si="126"/>
        <v>0.12398266787032827</v>
      </c>
      <c r="F3868" s="2" t="s">
        <v>822</v>
      </c>
      <c r="G3868" s="23" t="s">
        <v>902</v>
      </c>
      <c r="H3868" s="2" t="s">
        <v>822</v>
      </c>
      <c r="J3868" s="31">
        <v>32.218898799999998</v>
      </c>
      <c r="K3868" s="31">
        <v>23.615200000000002</v>
      </c>
      <c r="L3868" s="31"/>
      <c r="M3868" s="31" t="s">
        <v>854</v>
      </c>
      <c r="N3868" s="6" t="s">
        <v>856</v>
      </c>
    </row>
    <row r="3869" spans="1:14" ht="15" customHeight="1" x14ac:dyDescent="0.2">
      <c r="A3869" s="31">
        <v>0.63234227432748524</v>
      </c>
      <c r="B3869" s="31"/>
      <c r="C3869" s="2" t="s">
        <v>855</v>
      </c>
      <c r="D3869" s="31">
        <f t="shared" si="126"/>
        <v>0.12393908576818712</v>
      </c>
      <c r="F3869" s="2" t="s">
        <v>822</v>
      </c>
      <c r="G3869" s="23" t="s">
        <v>902</v>
      </c>
      <c r="H3869" s="2" t="s">
        <v>822</v>
      </c>
      <c r="J3869" s="31">
        <v>32.051998099999999</v>
      </c>
      <c r="K3869" s="31">
        <v>-25.1919994</v>
      </c>
      <c r="L3869" s="31"/>
      <c r="M3869" s="31" t="s">
        <v>854</v>
      </c>
      <c r="N3869" s="6" t="s">
        <v>856</v>
      </c>
    </row>
    <row r="3870" spans="1:14" ht="15" customHeight="1" x14ac:dyDescent="0.2">
      <c r="A3870" s="31">
        <v>0.63221190557265683</v>
      </c>
      <c r="B3870" s="31"/>
      <c r="C3870" s="2" t="s">
        <v>855</v>
      </c>
      <c r="D3870" s="31">
        <f t="shared" si="126"/>
        <v>0.12391353349224074</v>
      </c>
      <c r="F3870" s="2" t="s">
        <v>822</v>
      </c>
      <c r="G3870" s="23" t="s">
        <v>902</v>
      </c>
      <c r="H3870" s="2" t="s">
        <v>822</v>
      </c>
      <c r="J3870" s="31">
        <v>28.0440006</v>
      </c>
      <c r="K3870" s="31">
        <v>-29.867999999999999</v>
      </c>
      <c r="L3870" s="31"/>
      <c r="M3870" s="31" t="s">
        <v>854</v>
      </c>
      <c r="N3870" s="6" t="s">
        <v>856</v>
      </c>
    </row>
    <row r="3871" spans="1:14" ht="15" customHeight="1" x14ac:dyDescent="0.2">
      <c r="A3871" s="31">
        <v>0.63203235051304218</v>
      </c>
      <c r="B3871" s="31"/>
      <c r="C3871" s="2" t="s">
        <v>855</v>
      </c>
      <c r="D3871" s="31">
        <f t="shared" si="126"/>
        <v>0.12387834070055627</v>
      </c>
      <c r="F3871" s="2" t="s">
        <v>822</v>
      </c>
      <c r="G3871" s="23" t="s">
        <v>902</v>
      </c>
      <c r="H3871" s="2" t="s">
        <v>822</v>
      </c>
      <c r="J3871" s="31">
        <v>54.696399700000001</v>
      </c>
      <c r="K3871" s="31">
        <v>-4.4226899</v>
      </c>
      <c r="L3871" s="31"/>
      <c r="M3871" s="31" t="s">
        <v>854</v>
      </c>
      <c r="N3871" s="6" t="s">
        <v>856</v>
      </c>
    </row>
    <row r="3872" spans="1:14" ht="15" customHeight="1" x14ac:dyDescent="0.2">
      <c r="A3872" s="31">
        <v>0.63197187311921277</v>
      </c>
      <c r="B3872" s="31"/>
      <c r="C3872" s="2" t="s">
        <v>855</v>
      </c>
      <c r="D3872" s="31">
        <f t="shared" si="126"/>
        <v>0.12386648713136571</v>
      </c>
      <c r="F3872" s="2" t="s">
        <v>822</v>
      </c>
      <c r="G3872" s="23" t="s">
        <v>902</v>
      </c>
      <c r="H3872" s="2" t="s">
        <v>822</v>
      </c>
      <c r="J3872" s="31">
        <v>30.048000300000002</v>
      </c>
      <c r="K3872" s="31">
        <v>-38.551998099999999</v>
      </c>
      <c r="L3872" s="31"/>
      <c r="M3872" s="31" t="s">
        <v>854</v>
      </c>
      <c r="N3872" s="6" t="s">
        <v>856</v>
      </c>
    </row>
    <row r="3873" spans="1:14" ht="15" customHeight="1" x14ac:dyDescent="0.2">
      <c r="A3873" s="31">
        <v>0.631927692229861</v>
      </c>
      <c r="B3873" s="31"/>
      <c r="C3873" s="2" t="s">
        <v>855</v>
      </c>
      <c r="D3873" s="31">
        <f t="shared" si="126"/>
        <v>0.12385782767705276</v>
      </c>
      <c r="F3873" s="2" t="s">
        <v>822</v>
      </c>
      <c r="G3873" s="23" t="s">
        <v>902</v>
      </c>
      <c r="H3873" s="2" t="s">
        <v>822</v>
      </c>
      <c r="J3873" s="31">
        <v>34.277198800000001</v>
      </c>
      <c r="K3873" s="31">
        <v>23.4435997</v>
      </c>
      <c r="L3873" s="31"/>
      <c r="M3873" s="31" t="s">
        <v>854</v>
      </c>
      <c r="N3873" s="6" t="s">
        <v>856</v>
      </c>
    </row>
    <row r="3874" spans="1:14" ht="15" customHeight="1" x14ac:dyDescent="0.2">
      <c r="A3874" s="31">
        <v>0.63180082124140202</v>
      </c>
      <c r="B3874" s="31"/>
      <c r="C3874" s="2" t="s">
        <v>855</v>
      </c>
      <c r="D3874" s="31">
        <f t="shared" si="126"/>
        <v>0.12383296096331479</v>
      </c>
      <c r="F3874" s="2" t="s">
        <v>822</v>
      </c>
      <c r="G3874" s="23" t="s">
        <v>902</v>
      </c>
      <c r="H3874" s="2" t="s">
        <v>822</v>
      </c>
      <c r="J3874" s="31">
        <v>34.735801700000003</v>
      </c>
      <c r="K3874" s="31">
        <v>-35.202499400000001</v>
      </c>
      <c r="L3874" s="31"/>
      <c r="M3874" s="31" t="s">
        <v>854</v>
      </c>
      <c r="N3874" s="6" t="s">
        <v>856</v>
      </c>
    </row>
    <row r="3875" spans="1:14" ht="15" customHeight="1" x14ac:dyDescent="0.2">
      <c r="A3875" s="31">
        <v>0.63160322879668906</v>
      </c>
      <c r="B3875" s="31"/>
      <c r="C3875" s="2" t="s">
        <v>855</v>
      </c>
      <c r="D3875" s="31">
        <f t="shared" si="126"/>
        <v>0.12379423284415106</v>
      </c>
      <c r="F3875" s="2" t="s">
        <v>822</v>
      </c>
      <c r="G3875" s="23" t="s">
        <v>902</v>
      </c>
      <c r="H3875" s="2" t="s">
        <v>822</v>
      </c>
      <c r="J3875" s="31">
        <v>55.930198699999998</v>
      </c>
      <c r="K3875" s="31">
        <v>-2.0704400999999999</v>
      </c>
      <c r="L3875" s="31"/>
      <c r="M3875" s="31" t="s">
        <v>854</v>
      </c>
      <c r="N3875" s="6" t="s">
        <v>856</v>
      </c>
    </row>
    <row r="3876" spans="1:14" ht="15" customHeight="1" x14ac:dyDescent="0.2">
      <c r="A3876" s="31">
        <v>0.63154071150975555</v>
      </c>
      <c r="B3876" s="31"/>
      <c r="C3876" s="2" t="s">
        <v>855</v>
      </c>
      <c r="D3876" s="31">
        <f t="shared" si="126"/>
        <v>0.12378197945591209</v>
      </c>
      <c r="F3876" s="2" t="s">
        <v>822</v>
      </c>
      <c r="G3876" s="23" t="s">
        <v>902</v>
      </c>
      <c r="H3876" s="2" t="s">
        <v>822</v>
      </c>
      <c r="J3876" s="31">
        <v>46.045299499999999</v>
      </c>
      <c r="K3876" s="31">
        <v>-14.482700299999999</v>
      </c>
      <c r="L3876" s="31"/>
      <c r="M3876" s="31" t="s">
        <v>854</v>
      </c>
      <c r="N3876" s="6" t="s">
        <v>856</v>
      </c>
    </row>
    <row r="3877" spans="1:14" ht="15" customHeight="1" x14ac:dyDescent="0.2">
      <c r="A3877" s="31">
        <v>0.63111615866145387</v>
      </c>
      <c r="B3877" s="31"/>
      <c r="C3877" s="2" t="s">
        <v>855</v>
      </c>
      <c r="D3877" s="31">
        <f t="shared" si="126"/>
        <v>0.12369876709764496</v>
      </c>
      <c r="F3877" s="2" t="s">
        <v>822</v>
      </c>
      <c r="G3877" s="23" t="s">
        <v>902</v>
      </c>
      <c r="H3877" s="2" t="s">
        <v>822</v>
      </c>
      <c r="J3877" s="31">
        <v>43.724601700000001</v>
      </c>
      <c r="K3877" s="31">
        <v>-30.856599800000001</v>
      </c>
      <c r="L3877" s="31"/>
      <c r="M3877" s="31" t="s">
        <v>854</v>
      </c>
      <c r="N3877" s="6" t="s">
        <v>856</v>
      </c>
    </row>
    <row r="3878" spans="1:14" ht="15" customHeight="1" x14ac:dyDescent="0.2">
      <c r="A3878" s="31">
        <v>0.63075755441890569</v>
      </c>
      <c r="B3878" s="31"/>
      <c r="C3878" s="2" t="s">
        <v>855</v>
      </c>
      <c r="D3878" s="31">
        <f t="shared" si="126"/>
        <v>0.12362848066610552</v>
      </c>
      <c r="F3878" s="2" t="s">
        <v>822</v>
      </c>
      <c r="G3878" s="23" t="s">
        <v>902</v>
      </c>
      <c r="H3878" s="2" t="s">
        <v>822</v>
      </c>
      <c r="J3878" s="31">
        <v>36.957199099999997</v>
      </c>
      <c r="K3878" s="31">
        <v>4.8398298999999998</v>
      </c>
      <c r="L3878" s="31"/>
      <c r="M3878" s="31" t="s">
        <v>854</v>
      </c>
      <c r="N3878" s="6" t="s">
        <v>856</v>
      </c>
    </row>
    <row r="3879" spans="1:14" ht="15" customHeight="1" x14ac:dyDescent="0.2">
      <c r="A3879" s="31">
        <v>0.6304985227162776</v>
      </c>
      <c r="B3879" s="31"/>
      <c r="C3879" s="2" t="s">
        <v>855</v>
      </c>
      <c r="D3879" s="31">
        <f t="shared" si="126"/>
        <v>0.12357771045239041</v>
      </c>
      <c r="F3879" s="2" t="s">
        <v>822</v>
      </c>
      <c r="G3879" s="23" t="s">
        <v>902</v>
      </c>
      <c r="H3879" s="2" t="s">
        <v>822</v>
      </c>
      <c r="J3879" s="31">
        <v>41.545299499999999</v>
      </c>
      <c r="K3879" s="31">
        <v>-30.4239006</v>
      </c>
      <c r="L3879" s="31"/>
      <c r="M3879" s="31" t="s">
        <v>854</v>
      </c>
      <c r="N3879" s="6" t="s">
        <v>856</v>
      </c>
    </row>
    <row r="3880" spans="1:14" ht="15" customHeight="1" x14ac:dyDescent="0.2">
      <c r="A3880" s="31">
        <v>0.63046902719188302</v>
      </c>
      <c r="B3880" s="31"/>
      <c r="C3880" s="2" t="s">
        <v>855</v>
      </c>
      <c r="D3880" s="31">
        <f t="shared" si="126"/>
        <v>0.12357192932960907</v>
      </c>
      <c r="F3880" s="2" t="s">
        <v>822</v>
      </c>
      <c r="G3880" s="23" t="s">
        <v>902</v>
      </c>
      <c r="H3880" s="2" t="s">
        <v>822</v>
      </c>
      <c r="J3880" s="31">
        <v>39.6935997</v>
      </c>
      <c r="K3880" s="31">
        <v>-23.856000900000002</v>
      </c>
      <c r="L3880" s="31"/>
      <c r="M3880" s="31" t="s">
        <v>854</v>
      </c>
      <c r="N3880" s="6" t="s">
        <v>856</v>
      </c>
    </row>
    <row r="3881" spans="1:14" ht="15" customHeight="1" x14ac:dyDescent="0.2">
      <c r="A3881" s="31">
        <v>0.63033769075448842</v>
      </c>
      <c r="B3881" s="31"/>
      <c r="C3881" s="2" t="s">
        <v>855</v>
      </c>
      <c r="D3881" s="31">
        <f t="shared" si="126"/>
        <v>0.12354618738787973</v>
      </c>
      <c r="F3881" s="2" t="s">
        <v>822</v>
      </c>
      <c r="G3881" s="23" t="s">
        <v>902</v>
      </c>
      <c r="H3881" s="2" t="s">
        <v>822</v>
      </c>
      <c r="J3881" s="31">
        <v>33.388000499999997</v>
      </c>
      <c r="K3881" s="31">
        <v>27.579999900000001</v>
      </c>
      <c r="L3881" s="31"/>
      <c r="M3881" s="31" t="s">
        <v>854</v>
      </c>
      <c r="N3881" s="6" t="s">
        <v>856</v>
      </c>
    </row>
    <row r="3882" spans="1:14" ht="15" customHeight="1" x14ac:dyDescent="0.2">
      <c r="A3882" s="31">
        <v>0.63033566592735957</v>
      </c>
      <c r="B3882" s="31"/>
      <c r="C3882" s="2" t="s">
        <v>855</v>
      </c>
      <c r="D3882" s="31">
        <f t="shared" si="126"/>
        <v>0.12354579052176248</v>
      </c>
      <c r="F3882" s="2" t="s">
        <v>822</v>
      </c>
      <c r="G3882" s="23" t="s">
        <v>902</v>
      </c>
      <c r="H3882" s="2" t="s">
        <v>822</v>
      </c>
      <c r="J3882" s="31">
        <v>45.019500700000002</v>
      </c>
      <c r="K3882" s="31">
        <v>-42.6576004</v>
      </c>
      <c r="L3882" s="31"/>
      <c r="M3882" s="31" t="s">
        <v>854</v>
      </c>
      <c r="N3882" s="6" t="s">
        <v>856</v>
      </c>
    </row>
    <row r="3883" spans="1:14" ht="15" customHeight="1" x14ac:dyDescent="0.2">
      <c r="A3883" s="31">
        <v>0.63025504600772841</v>
      </c>
      <c r="B3883" s="31"/>
      <c r="C3883" s="2" t="s">
        <v>855</v>
      </c>
      <c r="D3883" s="31">
        <f t="shared" si="126"/>
        <v>0.12352998901751477</v>
      </c>
      <c r="F3883" s="2" t="s">
        <v>822</v>
      </c>
      <c r="G3883" s="23" t="s">
        <v>902</v>
      </c>
      <c r="H3883" s="2" t="s">
        <v>822</v>
      </c>
      <c r="J3883" s="31">
        <v>53.425998700000001</v>
      </c>
      <c r="K3883" s="31">
        <v>-5.9640697999999999</v>
      </c>
      <c r="L3883" s="31"/>
      <c r="M3883" s="31" t="s">
        <v>854</v>
      </c>
      <c r="N3883" s="6" t="s">
        <v>856</v>
      </c>
    </row>
    <row r="3884" spans="1:14" ht="15" customHeight="1" x14ac:dyDescent="0.2">
      <c r="A3884" s="31">
        <v>0.63018628736332205</v>
      </c>
      <c r="B3884" s="31"/>
      <c r="C3884" s="2" t="s">
        <v>855</v>
      </c>
      <c r="D3884" s="31">
        <f t="shared" si="126"/>
        <v>0.12351651232321113</v>
      </c>
      <c r="F3884" s="2" t="s">
        <v>822</v>
      </c>
      <c r="G3884" s="23" t="s">
        <v>902</v>
      </c>
      <c r="H3884" s="2" t="s">
        <v>822</v>
      </c>
      <c r="J3884" s="31">
        <v>40.736000099999998</v>
      </c>
      <c r="K3884" s="31">
        <v>-15.8400002</v>
      </c>
      <c r="L3884" s="31"/>
      <c r="M3884" s="31" t="s">
        <v>854</v>
      </c>
      <c r="N3884" s="6" t="s">
        <v>856</v>
      </c>
    </row>
    <row r="3885" spans="1:14" ht="15" customHeight="1" x14ac:dyDescent="0.2">
      <c r="A3885" s="31">
        <v>0.63006088538831395</v>
      </c>
      <c r="B3885" s="31"/>
      <c r="C3885" s="2" t="s">
        <v>855</v>
      </c>
      <c r="D3885" s="31">
        <f t="shared" si="126"/>
        <v>0.12349193353610954</v>
      </c>
      <c r="F3885" s="2" t="s">
        <v>822</v>
      </c>
      <c r="G3885" s="23" t="s">
        <v>902</v>
      </c>
      <c r="H3885" s="2" t="s">
        <v>822</v>
      </c>
      <c r="J3885" s="31">
        <v>40.466098799999997</v>
      </c>
      <c r="K3885" s="31">
        <v>5.2552399999999997</v>
      </c>
      <c r="L3885" s="31"/>
      <c r="M3885" s="31" t="s">
        <v>854</v>
      </c>
      <c r="N3885" s="6" t="s">
        <v>856</v>
      </c>
    </row>
    <row r="3886" spans="1:14" ht="15" customHeight="1" x14ac:dyDescent="0.2">
      <c r="A3886" s="31">
        <v>0.62992981009279381</v>
      </c>
      <c r="B3886" s="31"/>
      <c r="C3886" s="2" t="s">
        <v>855</v>
      </c>
      <c r="D3886" s="31">
        <f t="shared" si="126"/>
        <v>0.12346624277818759</v>
      </c>
      <c r="F3886" s="2" t="s">
        <v>822</v>
      </c>
      <c r="G3886" s="23" t="s">
        <v>902</v>
      </c>
      <c r="H3886" s="2" t="s">
        <v>822</v>
      </c>
      <c r="J3886" s="31">
        <v>38.968101500000003</v>
      </c>
      <c r="K3886" s="31">
        <v>10.8276997</v>
      </c>
      <c r="L3886" s="31"/>
      <c r="M3886" s="31" t="s">
        <v>854</v>
      </c>
      <c r="N3886" s="6" t="s">
        <v>856</v>
      </c>
    </row>
    <row r="3887" spans="1:14" ht="15" customHeight="1" x14ac:dyDescent="0.2">
      <c r="A3887" s="31">
        <v>0.6298538622180877</v>
      </c>
      <c r="B3887" s="31"/>
      <c r="C3887" s="2" t="s">
        <v>855</v>
      </c>
      <c r="D3887" s="31">
        <f t="shared" si="126"/>
        <v>0.1234513569947452</v>
      </c>
      <c r="F3887" s="2" t="s">
        <v>822</v>
      </c>
      <c r="G3887" s="23" t="s">
        <v>902</v>
      </c>
      <c r="H3887" s="2" t="s">
        <v>822</v>
      </c>
      <c r="J3887" s="31">
        <v>30.6595993</v>
      </c>
      <c r="K3887" s="31">
        <v>-27.1457005</v>
      </c>
      <c r="L3887" s="31"/>
      <c r="M3887" s="31" t="s">
        <v>854</v>
      </c>
      <c r="N3887" s="6" t="s">
        <v>856</v>
      </c>
    </row>
    <row r="3888" spans="1:14" ht="15" customHeight="1" x14ac:dyDescent="0.2">
      <c r="A3888" s="31">
        <v>0.62970580604352189</v>
      </c>
      <c r="B3888" s="31"/>
      <c r="C3888" s="2" t="s">
        <v>855</v>
      </c>
      <c r="D3888" s="31">
        <f t="shared" si="126"/>
        <v>0.1234223379845303</v>
      </c>
      <c r="F3888" s="2" t="s">
        <v>822</v>
      </c>
      <c r="G3888" s="23" t="s">
        <v>902</v>
      </c>
      <c r="H3888" s="2" t="s">
        <v>822</v>
      </c>
      <c r="J3888" s="31">
        <v>46.080001799999998</v>
      </c>
      <c r="K3888" s="31">
        <v>-20.516000699999999</v>
      </c>
      <c r="L3888" s="31"/>
      <c r="M3888" s="31" t="s">
        <v>854</v>
      </c>
      <c r="N3888" s="6" t="s">
        <v>856</v>
      </c>
    </row>
    <row r="3889" spans="1:14" ht="15" customHeight="1" x14ac:dyDescent="0.2">
      <c r="A3889" s="31">
        <v>0.62969547526687475</v>
      </c>
      <c r="B3889" s="31"/>
      <c r="C3889" s="2" t="s">
        <v>855</v>
      </c>
      <c r="D3889" s="31">
        <f t="shared" si="126"/>
        <v>0.12342031315230746</v>
      </c>
      <c r="F3889" s="2" t="s">
        <v>822</v>
      </c>
      <c r="G3889" s="23" t="s">
        <v>902</v>
      </c>
      <c r="H3889" s="2" t="s">
        <v>822</v>
      </c>
      <c r="J3889" s="31">
        <v>31.4074001</v>
      </c>
      <c r="K3889" s="31">
        <v>-13.8549004</v>
      </c>
      <c r="L3889" s="31"/>
      <c r="M3889" s="31" t="s">
        <v>854</v>
      </c>
      <c r="N3889" s="6" t="s">
        <v>856</v>
      </c>
    </row>
    <row r="3890" spans="1:14" ht="15" customHeight="1" x14ac:dyDescent="0.2">
      <c r="A3890" s="31">
        <v>0.62956146105037736</v>
      </c>
      <c r="B3890" s="31"/>
      <c r="C3890" s="2" t="s">
        <v>855</v>
      </c>
      <c r="D3890" s="31">
        <f t="shared" si="126"/>
        <v>0.12339404636587396</v>
      </c>
      <c r="F3890" s="2" t="s">
        <v>822</v>
      </c>
      <c r="G3890" s="23" t="s">
        <v>902</v>
      </c>
      <c r="H3890" s="2" t="s">
        <v>822</v>
      </c>
      <c r="J3890" s="31">
        <v>36.017898600000002</v>
      </c>
      <c r="K3890" s="31">
        <v>-23.9032993</v>
      </c>
      <c r="L3890" s="31"/>
      <c r="M3890" s="31" t="s">
        <v>854</v>
      </c>
      <c r="N3890" s="6" t="s">
        <v>856</v>
      </c>
    </row>
    <row r="3891" spans="1:14" ht="15" customHeight="1" x14ac:dyDescent="0.2">
      <c r="A3891" s="31">
        <v>0.62951103341275838</v>
      </c>
      <c r="B3891" s="31"/>
      <c r="C3891" s="2" t="s">
        <v>855</v>
      </c>
      <c r="D3891" s="31">
        <f t="shared" si="126"/>
        <v>0.12338416254890065</v>
      </c>
      <c r="F3891" s="2" t="s">
        <v>822</v>
      </c>
      <c r="G3891" s="23" t="s">
        <v>902</v>
      </c>
      <c r="H3891" s="2" t="s">
        <v>822</v>
      </c>
      <c r="J3891" s="31">
        <v>33.388000499999997</v>
      </c>
      <c r="K3891" s="31">
        <v>-18.511999100000001</v>
      </c>
      <c r="L3891" s="31"/>
      <c r="M3891" s="31" t="s">
        <v>854</v>
      </c>
      <c r="N3891" s="6" t="s">
        <v>856</v>
      </c>
    </row>
    <row r="3892" spans="1:14" ht="15" customHeight="1" x14ac:dyDescent="0.2">
      <c r="A3892" s="31">
        <v>0.62937269927353523</v>
      </c>
      <c r="B3892" s="31"/>
      <c r="C3892" s="2" t="s">
        <v>855</v>
      </c>
      <c r="D3892" s="31">
        <f t="shared" si="126"/>
        <v>0.12335704905761291</v>
      </c>
      <c r="F3892" s="2" t="s">
        <v>822</v>
      </c>
      <c r="G3892" s="23" t="s">
        <v>902</v>
      </c>
      <c r="H3892" s="2" t="s">
        <v>822</v>
      </c>
      <c r="J3892" s="31">
        <v>36.433998099999997</v>
      </c>
      <c r="K3892" s="31">
        <v>-1.33816</v>
      </c>
      <c r="L3892" s="31"/>
      <c r="M3892" s="31" t="s">
        <v>854</v>
      </c>
      <c r="N3892" s="6" t="s">
        <v>856</v>
      </c>
    </row>
    <row r="3893" spans="1:14" ht="15" customHeight="1" x14ac:dyDescent="0.2">
      <c r="A3893" s="31">
        <v>0.62933300388102287</v>
      </c>
      <c r="B3893" s="31"/>
      <c r="C3893" s="2" t="s">
        <v>855</v>
      </c>
      <c r="D3893" s="31">
        <f t="shared" si="126"/>
        <v>0.12334926876068049</v>
      </c>
      <c r="F3893" s="2" t="s">
        <v>822</v>
      </c>
      <c r="G3893" s="23" t="s">
        <v>902</v>
      </c>
      <c r="H3893" s="2" t="s">
        <v>822</v>
      </c>
      <c r="J3893" s="31">
        <v>28.357999800000002</v>
      </c>
      <c r="K3893" s="31">
        <v>-14.161800400000001</v>
      </c>
      <c r="L3893" s="31"/>
      <c r="M3893" s="31" t="s">
        <v>854</v>
      </c>
      <c r="N3893" s="6" t="s">
        <v>856</v>
      </c>
    </row>
    <row r="3894" spans="1:14" ht="15" customHeight="1" x14ac:dyDescent="0.2">
      <c r="A3894" s="31">
        <v>0.62931968786412185</v>
      </c>
      <c r="B3894" s="31"/>
      <c r="C3894" s="2" t="s">
        <v>855</v>
      </c>
      <c r="D3894" s="31">
        <f t="shared" si="126"/>
        <v>0.12334665882136789</v>
      </c>
      <c r="F3894" s="2" t="s">
        <v>822</v>
      </c>
      <c r="G3894" s="23" t="s">
        <v>902</v>
      </c>
      <c r="H3894" s="2" t="s">
        <v>822</v>
      </c>
      <c r="J3894" s="31">
        <v>55.187099500000002</v>
      </c>
      <c r="K3894" s="31">
        <v>-8.3500700000000005</v>
      </c>
      <c r="L3894" s="31"/>
      <c r="M3894" s="31" t="s">
        <v>854</v>
      </c>
      <c r="N3894" s="6" t="s">
        <v>856</v>
      </c>
    </row>
    <row r="3895" spans="1:14" ht="15" customHeight="1" x14ac:dyDescent="0.2">
      <c r="A3895" s="31">
        <v>0.6292139530150167</v>
      </c>
      <c r="B3895" s="31"/>
      <c r="C3895" s="2" t="s">
        <v>855</v>
      </c>
      <c r="D3895" s="31">
        <f t="shared" si="126"/>
        <v>0.12332593479094328</v>
      </c>
      <c r="F3895" s="2" t="s">
        <v>822</v>
      </c>
      <c r="G3895" s="23" t="s">
        <v>902</v>
      </c>
      <c r="H3895" s="2" t="s">
        <v>822</v>
      </c>
      <c r="J3895" s="31">
        <v>43.998401600000001</v>
      </c>
      <c r="K3895" s="31">
        <v>-40.438301099999997</v>
      </c>
      <c r="L3895" s="31"/>
      <c r="M3895" s="31" t="s">
        <v>854</v>
      </c>
      <c r="N3895" s="6" t="s">
        <v>856</v>
      </c>
    </row>
    <row r="3896" spans="1:14" ht="15" customHeight="1" x14ac:dyDescent="0.2">
      <c r="A3896" s="31">
        <v>0.62921144564075759</v>
      </c>
      <c r="B3896" s="31"/>
      <c r="C3896" s="2" t="s">
        <v>855</v>
      </c>
      <c r="D3896" s="31">
        <f t="shared" si="126"/>
        <v>0.1233254433455885</v>
      </c>
      <c r="F3896" s="2" t="s">
        <v>822</v>
      </c>
      <c r="G3896" s="23" t="s">
        <v>902</v>
      </c>
      <c r="H3896" s="2" t="s">
        <v>822</v>
      </c>
      <c r="J3896" s="31">
        <v>28.0440006</v>
      </c>
      <c r="K3896" s="31">
        <v>-23.856000900000002</v>
      </c>
      <c r="L3896" s="31"/>
      <c r="M3896" s="31" t="s">
        <v>854</v>
      </c>
      <c r="N3896" s="6" t="s">
        <v>856</v>
      </c>
    </row>
    <row r="3897" spans="1:14" ht="15" customHeight="1" x14ac:dyDescent="0.2">
      <c r="A3897" s="31">
        <v>0.62894104675276807</v>
      </c>
      <c r="B3897" s="31"/>
      <c r="C3897" s="2" t="s">
        <v>855</v>
      </c>
      <c r="D3897" s="31">
        <f t="shared" si="126"/>
        <v>0.12327244516354255</v>
      </c>
      <c r="F3897" s="2" t="s">
        <v>822</v>
      </c>
      <c r="G3897" s="23" t="s">
        <v>902</v>
      </c>
      <c r="H3897" s="2" t="s">
        <v>822</v>
      </c>
      <c r="J3897" s="31">
        <v>54.8755989</v>
      </c>
      <c r="K3897" s="31">
        <v>7.0968399</v>
      </c>
      <c r="L3897" s="31"/>
      <c r="M3897" s="31" t="s">
        <v>854</v>
      </c>
      <c r="N3897" s="6" t="s">
        <v>856</v>
      </c>
    </row>
    <row r="3898" spans="1:14" ht="15" customHeight="1" x14ac:dyDescent="0.2">
      <c r="A3898" s="31">
        <v>0.62890584442342423</v>
      </c>
      <c r="B3898" s="31"/>
      <c r="C3898" s="2" t="s">
        <v>855</v>
      </c>
      <c r="D3898" s="31">
        <f t="shared" si="126"/>
        <v>0.12326554550699115</v>
      </c>
      <c r="F3898" s="2" t="s">
        <v>822</v>
      </c>
      <c r="G3898" s="23" t="s">
        <v>902</v>
      </c>
      <c r="H3898" s="2" t="s">
        <v>822</v>
      </c>
      <c r="J3898" s="31">
        <v>36.762100199999999</v>
      </c>
      <c r="K3898" s="31">
        <v>-15.183400199999999</v>
      </c>
      <c r="L3898" s="31"/>
      <c r="M3898" s="31" t="s">
        <v>854</v>
      </c>
      <c r="N3898" s="6" t="s">
        <v>856</v>
      </c>
    </row>
    <row r="3899" spans="1:14" ht="15" customHeight="1" x14ac:dyDescent="0.2">
      <c r="A3899" s="31">
        <v>0.62856870848578428</v>
      </c>
      <c r="B3899" s="31"/>
      <c r="C3899" s="2" t="s">
        <v>855</v>
      </c>
      <c r="D3899" s="31">
        <f t="shared" ref="D3899:D3925" si="127" xml:space="preserve"> A3899 * 0.196</f>
        <v>0.12319946686321372</v>
      </c>
      <c r="F3899" s="2" t="s">
        <v>822</v>
      </c>
      <c r="G3899" s="23" t="s">
        <v>902</v>
      </c>
      <c r="H3899" s="2" t="s">
        <v>822</v>
      </c>
      <c r="J3899" s="31">
        <v>32.644599900000003</v>
      </c>
      <c r="K3899" s="31">
        <v>-42.560001399999997</v>
      </c>
      <c r="L3899" s="31"/>
      <c r="M3899" s="31" t="s">
        <v>854</v>
      </c>
      <c r="N3899" s="6" t="s">
        <v>856</v>
      </c>
    </row>
    <row r="3900" spans="1:14" ht="15" customHeight="1" x14ac:dyDescent="0.2">
      <c r="A3900" s="31">
        <v>0.62855305138017448</v>
      </c>
      <c r="B3900" s="31"/>
      <c r="C3900" s="2" t="s">
        <v>855</v>
      </c>
      <c r="D3900" s="31">
        <f t="shared" si="127"/>
        <v>0.1231963980705142</v>
      </c>
      <c r="F3900" s="2" t="s">
        <v>822</v>
      </c>
      <c r="G3900" s="23" t="s">
        <v>902</v>
      </c>
      <c r="H3900" s="2" t="s">
        <v>822</v>
      </c>
      <c r="J3900" s="31">
        <v>46.080001799999998</v>
      </c>
      <c r="K3900" s="31">
        <v>-24.5240002</v>
      </c>
      <c r="L3900" s="31"/>
      <c r="M3900" s="31" t="s">
        <v>854</v>
      </c>
      <c r="N3900" s="6" t="s">
        <v>856</v>
      </c>
    </row>
    <row r="3901" spans="1:14" ht="15" customHeight="1" x14ac:dyDescent="0.2">
      <c r="A3901" s="31">
        <v>0.62834601860479244</v>
      </c>
      <c r="B3901" s="31"/>
      <c r="C3901" s="2" t="s">
        <v>855</v>
      </c>
      <c r="D3901" s="31">
        <f t="shared" si="127"/>
        <v>0.12315581964653932</v>
      </c>
      <c r="F3901" s="2" t="s">
        <v>822</v>
      </c>
      <c r="G3901" s="23" t="s">
        <v>902</v>
      </c>
      <c r="H3901" s="2" t="s">
        <v>822</v>
      </c>
      <c r="J3901" s="31">
        <v>31.377000800000001</v>
      </c>
      <c r="K3901" s="31">
        <v>-27.835100199999999</v>
      </c>
      <c r="L3901" s="31"/>
      <c r="M3901" s="31" t="s">
        <v>854</v>
      </c>
      <c r="N3901" s="6" t="s">
        <v>856</v>
      </c>
    </row>
    <row r="3902" spans="1:14" ht="15" customHeight="1" x14ac:dyDescent="0.2">
      <c r="A3902" s="31">
        <v>0.62814005443982202</v>
      </c>
      <c r="B3902" s="31"/>
      <c r="C3902" s="2" t="s">
        <v>855</v>
      </c>
      <c r="D3902" s="31">
        <f t="shared" si="127"/>
        <v>0.12311545067020511</v>
      </c>
      <c r="F3902" s="2" t="s">
        <v>822</v>
      </c>
      <c r="G3902" s="23" t="s">
        <v>902</v>
      </c>
      <c r="H3902" s="2" t="s">
        <v>822</v>
      </c>
      <c r="J3902" s="31">
        <v>31.384000799999999</v>
      </c>
      <c r="K3902" s="31">
        <v>-37.883998900000002</v>
      </c>
      <c r="L3902" s="31"/>
      <c r="M3902" s="31" t="s">
        <v>854</v>
      </c>
      <c r="N3902" s="6" t="s">
        <v>856</v>
      </c>
    </row>
    <row r="3903" spans="1:14" ht="15" customHeight="1" x14ac:dyDescent="0.2">
      <c r="A3903" s="31">
        <v>0.62772106411007789</v>
      </c>
      <c r="B3903" s="31"/>
      <c r="C3903" s="2" t="s">
        <v>855</v>
      </c>
      <c r="D3903" s="31">
        <f t="shared" si="127"/>
        <v>0.12303332856557526</v>
      </c>
      <c r="F3903" s="2" t="s">
        <v>822</v>
      </c>
      <c r="G3903" s="23" t="s">
        <v>902</v>
      </c>
      <c r="H3903" s="2" t="s">
        <v>822</v>
      </c>
      <c r="J3903" s="31">
        <v>39.287200900000002</v>
      </c>
      <c r="K3903" s="31">
        <v>23.058799700000002</v>
      </c>
      <c r="L3903" s="31"/>
      <c r="M3903" s="31" t="s">
        <v>854</v>
      </c>
      <c r="N3903" s="6" t="s">
        <v>856</v>
      </c>
    </row>
    <row r="3904" spans="1:14" ht="15" customHeight="1" x14ac:dyDescent="0.2">
      <c r="A3904" s="31">
        <v>0.62768354967819873</v>
      </c>
      <c r="B3904" s="31"/>
      <c r="C3904" s="2" t="s">
        <v>855</v>
      </c>
      <c r="D3904" s="31">
        <f t="shared" si="127"/>
        <v>0.12302597573692696</v>
      </c>
      <c r="F3904" s="2" t="s">
        <v>822</v>
      </c>
      <c r="G3904" s="23" t="s">
        <v>902</v>
      </c>
      <c r="H3904" s="2" t="s">
        <v>822</v>
      </c>
      <c r="J3904" s="31">
        <v>55.294899000000001</v>
      </c>
      <c r="K3904" s="31">
        <v>-7.7514700999999997</v>
      </c>
      <c r="L3904" s="31"/>
      <c r="M3904" s="31" t="s">
        <v>854</v>
      </c>
      <c r="N3904" s="6" t="s">
        <v>856</v>
      </c>
    </row>
    <row r="3905" spans="1:14" ht="15" customHeight="1" x14ac:dyDescent="0.2">
      <c r="A3905" s="31">
        <v>0.62765513641461745</v>
      </c>
      <c r="B3905" s="31"/>
      <c r="C3905" s="2" t="s">
        <v>855</v>
      </c>
      <c r="D3905" s="31">
        <f t="shared" si="127"/>
        <v>0.12302040673726503</v>
      </c>
      <c r="F3905" s="2" t="s">
        <v>822</v>
      </c>
      <c r="G3905" s="23" t="s">
        <v>902</v>
      </c>
      <c r="H3905" s="2" t="s">
        <v>822</v>
      </c>
      <c r="J3905" s="31">
        <v>46.750400499999998</v>
      </c>
      <c r="K3905" s="31">
        <v>-28.533100099999999</v>
      </c>
      <c r="L3905" s="31"/>
      <c r="M3905" s="31" t="s">
        <v>854</v>
      </c>
      <c r="N3905" s="6" t="s">
        <v>856</v>
      </c>
    </row>
    <row r="3906" spans="1:14" ht="15" customHeight="1" x14ac:dyDescent="0.2">
      <c r="A3906" s="31">
        <v>0.62758023572338362</v>
      </c>
      <c r="B3906" s="31"/>
      <c r="C3906" s="2" t="s">
        <v>855</v>
      </c>
      <c r="D3906" s="31">
        <f t="shared" si="127"/>
        <v>0.1230057262017832</v>
      </c>
      <c r="F3906" s="2" t="s">
        <v>822</v>
      </c>
      <c r="G3906" s="23" t="s">
        <v>902</v>
      </c>
      <c r="H3906" s="2" t="s">
        <v>822</v>
      </c>
      <c r="J3906" s="31">
        <v>35.390800499999997</v>
      </c>
      <c r="K3906" s="31">
        <v>19.565300000000001</v>
      </c>
      <c r="L3906" s="31"/>
      <c r="M3906" s="31" t="s">
        <v>854</v>
      </c>
      <c r="N3906" s="6" t="s">
        <v>856</v>
      </c>
    </row>
    <row r="3907" spans="1:14" ht="15" customHeight="1" x14ac:dyDescent="0.2">
      <c r="A3907" s="31">
        <v>0.62688852602992795</v>
      </c>
      <c r="B3907" s="31"/>
      <c r="C3907" s="2" t="s">
        <v>855</v>
      </c>
      <c r="D3907" s="31">
        <f t="shared" si="127"/>
        <v>0.12287015110186589</v>
      </c>
      <c r="F3907" s="2" t="s">
        <v>822</v>
      </c>
      <c r="G3907" s="23" t="s">
        <v>902</v>
      </c>
      <c r="H3907" s="2" t="s">
        <v>822</v>
      </c>
      <c r="J3907" s="31">
        <v>33.981498700000003</v>
      </c>
      <c r="K3907" s="31">
        <v>31.559699999999999</v>
      </c>
      <c r="L3907" s="31"/>
      <c r="M3907" s="31" t="s">
        <v>854</v>
      </c>
      <c r="N3907" s="6" t="s">
        <v>856</v>
      </c>
    </row>
    <row r="3908" spans="1:14" ht="15" customHeight="1" x14ac:dyDescent="0.2">
      <c r="A3908" s="31">
        <v>0.62673655986813803</v>
      </c>
      <c r="B3908" s="31"/>
      <c r="C3908" s="2" t="s">
        <v>855</v>
      </c>
      <c r="D3908" s="31">
        <f t="shared" si="127"/>
        <v>0.12284036573415506</v>
      </c>
      <c r="F3908" s="2" t="s">
        <v>822</v>
      </c>
      <c r="G3908" s="23" t="s">
        <v>902</v>
      </c>
      <c r="H3908" s="2" t="s">
        <v>822</v>
      </c>
      <c r="J3908" s="31">
        <v>42.353099800000003</v>
      </c>
      <c r="K3908" s="31">
        <v>-29.2616005</v>
      </c>
      <c r="L3908" s="31"/>
      <c r="M3908" s="31" t="s">
        <v>854</v>
      </c>
      <c r="N3908" s="6" t="s">
        <v>856</v>
      </c>
    </row>
    <row r="3909" spans="1:14" ht="15" customHeight="1" x14ac:dyDescent="0.2">
      <c r="A3909" s="31">
        <v>0.62652533123741616</v>
      </c>
      <c r="B3909" s="31"/>
      <c r="C3909" s="2" t="s">
        <v>855</v>
      </c>
      <c r="D3909" s="31">
        <f t="shared" si="127"/>
        <v>0.12279896492253357</v>
      </c>
      <c r="F3909" s="2" t="s">
        <v>822</v>
      </c>
      <c r="G3909" s="23" t="s">
        <v>902</v>
      </c>
      <c r="H3909" s="2" t="s">
        <v>822</v>
      </c>
      <c r="J3909" s="31">
        <v>32.720001199999999</v>
      </c>
      <c r="K3909" s="31">
        <v>-29.867999999999999</v>
      </c>
      <c r="L3909" s="31"/>
      <c r="M3909" s="31" t="s">
        <v>854</v>
      </c>
      <c r="N3909" s="6" t="s">
        <v>856</v>
      </c>
    </row>
    <row r="3910" spans="1:14" ht="15" customHeight="1" x14ac:dyDescent="0.2">
      <c r="A3910" s="31">
        <v>0.62652394551486212</v>
      </c>
      <c r="B3910" s="31"/>
      <c r="C3910" s="2" t="s">
        <v>855</v>
      </c>
      <c r="D3910" s="31">
        <f t="shared" si="127"/>
        <v>0.12279869332091298</v>
      </c>
      <c r="F3910" s="2" t="s">
        <v>822</v>
      </c>
      <c r="G3910" s="23" t="s">
        <v>902</v>
      </c>
      <c r="H3910" s="2" t="s">
        <v>822</v>
      </c>
      <c r="J3910" s="31">
        <v>36.007301300000002</v>
      </c>
      <c r="K3910" s="31">
        <v>-18.176000599999998</v>
      </c>
      <c r="L3910" s="31"/>
      <c r="M3910" s="31" t="s">
        <v>854</v>
      </c>
      <c r="N3910" s="6" t="s">
        <v>856</v>
      </c>
    </row>
    <row r="3911" spans="1:14" ht="15" customHeight="1" x14ac:dyDescent="0.2">
      <c r="A3911" s="31">
        <v>0.6263359180918211</v>
      </c>
      <c r="B3911" s="31"/>
      <c r="C3911" s="2" t="s">
        <v>855</v>
      </c>
      <c r="D3911" s="31">
        <f t="shared" si="127"/>
        <v>0.12276183994599695</v>
      </c>
      <c r="F3911" s="2" t="s">
        <v>822</v>
      </c>
      <c r="G3911" s="23" t="s">
        <v>902</v>
      </c>
      <c r="H3911" s="2" t="s">
        <v>822</v>
      </c>
      <c r="J3911" s="31">
        <v>46.748001100000003</v>
      </c>
      <c r="K3911" s="31">
        <v>-16.507999399999999</v>
      </c>
      <c r="L3911" s="31"/>
      <c r="M3911" s="31" t="s">
        <v>854</v>
      </c>
      <c r="N3911" s="6" t="s">
        <v>856</v>
      </c>
    </row>
    <row r="3912" spans="1:14" ht="15" customHeight="1" x14ac:dyDescent="0.2">
      <c r="A3912" s="31">
        <v>0.62626708547024279</v>
      </c>
      <c r="B3912" s="31"/>
      <c r="C3912" s="2" t="s">
        <v>855</v>
      </c>
      <c r="D3912" s="31">
        <f t="shared" si="127"/>
        <v>0.12274834875216759</v>
      </c>
      <c r="F3912" s="2" t="s">
        <v>822</v>
      </c>
      <c r="G3912" s="23" t="s">
        <v>902</v>
      </c>
      <c r="H3912" s="2" t="s">
        <v>822</v>
      </c>
      <c r="J3912" s="31">
        <v>49.731601699999999</v>
      </c>
      <c r="K3912" s="31">
        <v>-6.1967100999999998</v>
      </c>
      <c r="L3912" s="31"/>
      <c r="M3912" s="31" t="s">
        <v>854</v>
      </c>
      <c r="N3912" s="6" t="s">
        <v>856</v>
      </c>
    </row>
    <row r="3913" spans="1:14" ht="15" customHeight="1" x14ac:dyDescent="0.2">
      <c r="A3913" s="31">
        <v>0.62626654025987849</v>
      </c>
      <c r="B3913" s="31"/>
      <c r="C3913" s="2" t="s">
        <v>855</v>
      </c>
      <c r="D3913" s="31">
        <f t="shared" si="127"/>
        <v>0.12274824189093619</v>
      </c>
      <c r="F3913" s="2" t="s">
        <v>822</v>
      </c>
      <c r="G3913" s="23" t="s">
        <v>902</v>
      </c>
      <c r="H3913" s="2" t="s">
        <v>822</v>
      </c>
      <c r="J3913" s="31">
        <v>43.405200999999998</v>
      </c>
      <c r="K3913" s="31">
        <v>-31.874300000000002</v>
      </c>
      <c r="L3913" s="31"/>
      <c r="M3913" s="31" t="s">
        <v>854</v>
      </c>
      <c r="N3913" s="6" t="s">
        <v>856</v>
      </c>
    </row>
    <row r="3914" spans="1:14" ht="15" customHeight="1" x14ac:dyDescent="0.2">
      <c r="A3914" s="31">
        <v>0.62625598330094134</v>
      </c>
      <c r="B3914" s="31"/>
      <c r="C3914" s="2" t="s">
        <v>855</v>
      </c>
      <c r="D3914" s="31">
        <f t="shared" si="127"/>
        <v>0.12274617272698451</v>
      </c>
      <c r="F3914" s="2" t="s">
        <v>822</v>
      </c>
      <c r="G3914" s="23" t="s">
        <v>902</v>
      </c>
      <c r="H3914" s="2" t="s">
        <v>822</v>
      </c>
      <c r="J3914" s="31">
        <v>49.419998200000002</v>
      </c>
      <c r="K3914" s="31">
        <v>-21.184000000000001</v>
      </c>
      <c r="L3914" s="31"/>
      <c r="M3914" s="31" t="s">
        <v>854</v>
      </c>
      <c r="N3914" s="6" t="s">
        <v>856</v>
      </c>
    </row>
    <row r="3915" spans="1:14" ht="15" customHeight="1" x14ac:dyDescent="0.2">
      <c r="A3915" s="31">
        <v>0.6261350116436305</v>
      </c>
      <c r="B3915" s="31"/>
      <c r="C3915" s="2" t="s">
        <v>855</v>
      </c>
      <c r="D3915" s="31">
        <f t="shared" si="127"/>
        <v>0.12272246228215158</v>
      </c>
      <c r="F3915" s="2" t="s">
        <v>822</v>
      </c>
      <c r="G3915" s="23" t="s">
        <v>902</v>
      </c>
      <c r="H3915" s="2" t="s">
        <v>822</v>
      </c>
      <c r="J3915" s="31">
        <v>46.080001799999998</v>
      </c>
      <c r="K3915" s="31">
        <v>-31.204000499999999</v>
      </c>
      <c r="L3915" s="31"/>
      <c r="M3915" s="31" t="s">
        <v>854</v>
      </c>
      <c r="N3915" s="6" t="s">
        <v>856</v>
      </c>
    </row>
    <row r="3916" spans="1:14" ht="15" customHeight="1" x14ac:dyDescent="0.2">
      <c r="A3916" s="31">
        <v>0.62595301530439784</v>
      </c>
      <c r="B3916" s="31"/>
      <c r="C3916" s="2" t="s">
        <v>855</v>
      </c>
      <c r="D3916" s="31">
        <f t="shared" si="127"/>
        <v>0.12268679099966198</v>
      </c>
      <c r="F3916" s="2" t="s">
        <v>822</v>
      </c>
      <c r="G3916" s="23" t="s">
        <v>902</v>
      </c>
      <c r="H3916" s="2" t="s">
        <v>822</v>
      </c>
      <c r="J3916" s="31">
        <v>55.959598499999998</v>
      </c>
      <c r="K3916" s="31">
        <v>6.7628398000000001</v>
      </c>
      <c r="L3916" s="31"/>
      <c r="M3916" s="31" t="s">
        <v>854</v>
      </c>
      <c r="N3916" s="6" t="s">
        <v>856</v>
      </c>
    </row>
    <row r="3917" spans="1:14" ht="15" customHeight="1" x14ac:dyDescent="0.2">
      <c r="A3917" s="31">
        <v>0.62555334531613049</v>
      </c>
      <c r="B3917" s="31"/>
      <c r="C3917" s="2" t="s">
        <v>855</v>
      </c>
      <c r="D3917" s="31">
        <f t="shared" si="127"/>
        <v>0.12260845568196158</v>
      </c>
      <c r="F3917" s="2" t="s">
        <v>822</v>
      </c>
      <c r="G3917" s="23" t="s">
        <v>902</v>
      </c>
      <c r="H3917" s="2" t="s">
        <v>822</v>
      </c>
      <c r="J3917" s="31">
        <v>42.740001700000001</v>
      </c>
      <c r="K3917" s="31">
        <v>-42.703201300000003</v>
      </c>
      <c r="L3917" s="31"/>
      <c r="M3917" s="31" t="s">
        <v>854</v>
      </c>
      <c r="N3917" s="6" t="s">
        <v>856</v>
      </c>
    </row>
    <row r="3918" spans="1:14" ht="15" customHeight="1" x14ac:dyDescent="0.2">
      <c r="A3918" s="31">
        <v>0.62522200707987363</v>
      </c>
      <c r="B3918" s="31"/>
      <c r="C3918" s="2" t="s">
        <v>855</v>
      </c>
      <c r="D3918" s="31">
        <f t="shared" si="127"/>
        <v>0.12254351338765523</v>
      </c>
      <c r="F3918" s="2" t="s">
        <v>822</v>
      </c>
      <c r="G3918" s="23" t="s">
        <v>902</v>
      </c>
      <c r="H3918" s="2" t="s">
        <v>822</v>
      </c>
      <c r="J3918" s="31">
        <v>56.295600899999997</v>
      </c>
      <c r="K3918" s="31">
        <v>6.0561800000000003</v>
      </c>
      <c r="L3918" s="31"/>
      <c r="M3918" s="31" t="s">
        <v>854</v>
      </c>
      <c r="N3918" s="6" t="s">
        <v>856</v>
      </c>
    </row>
    <row r="3919" spans="1:14" ht="15" customHeight="1" x14ac:dyDescent="0.2">
      <c r="A3919" s="31">
        <v>0.62510960216939082</v>
      </c>
      <c r="B3919" s="31"/>
      <c r="C3919" s="2" t="s">
        <v>855</v>
      </c>
      <c r="D3919" s="31">
        <f t="shared" si="127"/>
        <v>0.12252148202520061</v>
      </c>
      <c r="F3919" s="2" t="s">
        <v>822</v>
      </c>
      <c r="G3919" s="23" t="s">
        <v>902</v>
      </c>
      <c r="H3919" s="2" t="s">
        <v>822</v>
      </c>
      <c r="J3919" s="31">
        <v>36.038799300000001</v>
      </c>
      <c r="K3919" s="31">
        <v>-28.516399400000001</v>
      </c>
      <c r="L3919" s="31"/>
      <c r="M3919" s="31" t="s">
        <v>854</v>
      </c>
      <c r="N3919" s="6" t="s">
        <v>856</v>
      </c>
    </row>
    <row r="3920" spans="1:14" ht="15" customHeight="1" x14ac:dyDescent="0.2">
      <c r="A3920" s="31">
        <v>0.62504326600051241</v>
      </c>
      <c r="B3920" s="31"/>
      <c r="C3920" s="2" t="s">
        <v>855</v>
      </c>
      <c r="D3920" s="31">
        <f t="shared" si="127"/>
        <v>0.12250848013610044</v>
      </c>
      <c r="F3920" s="2" t="s">
        <v>822</v>
      </c>
      <c r="G3920" s="23" t="s">
        <v>902</v>
      </c>
      <c r="H3920" s="2" t="s">
        <v>822</v>
      </c>
      <c r="J3920" s="31">
        <v>31.869699499999999</v>
      </c>
      <c r="K3920" s="31">
        <v>34.543201400000001</v>
      </c>
      <c r="L3920" s="31"/>
      <c r="M3920" s="31" t="s">
        <v>854</v>
      </c>
      <c r="N3920" s="6" t="s">
        <v>856</v>
      </c>
    </row>
    <row r="3921" spans="1:14" ht="15" customHeight="1" x14ac:dyDescent="0.2">
      <c r="A3921" s="31">
        <v>0.62472287661335912</v>
      </c>
      <c r="B3921" s="31"/>
      <c r="C3921" s="2" t="s">
        <v>855</v>
      </c>
      <c r="D3921" s="31">
        <f t="shared" si="127"/>
        <v>0.1224456838162184</v>
      </c>
      <c r="F3921" s="2" t="s">
        <v>822</v>
      </c>
      <c r="G3921" s="23" t="s">
        <v>902</v>
      </c>
      <c r="H3921" s="2" t="s">
        <v>822</v>
      </c>
      <c r="J3921" s="31">
        <v>41.830600699999998</v>
      </c>
      <c r="K3921" s="31">
        <v>3.2179000000000002</v>
      </c>
      <c r="L3921" s="31"/>
      <c r="M3921" s="31" t="s">
        <v>854</v>
      </c>
      <c r="N3921" s="6" t="s">
        <v>856</v>
      </c>
    </row>
    <row r="3922" spans="1:14" ht="15" customHeight="1" x14ac:dyDescent="0.2">
      <c r="A3922" s="31">
        <v>0.62453094315726865</v>
      </c>
      <c r="B3922" s="31"/>
      <c r="C3922" s="2" t="s">
        <v>855</v>
      </c>
      <c r="D3922" s="31">
        <f t="shared" si="127"/>
        <v>0.12240806485882466</v>
      </c>
      <c r="F3922" s="2" t="s">
        <v>822</v>
      </c>
      <c r="G3922" s="23" t="s">
        <v>902</v>
      </c>
      <c r="H3922" s="2" t="s">
        <v>822</v>
      </c>
      <c r="J3922" s="31">
        <v>45.411998699999998</v>
      </c>
      <c r="K3922" s="31">
        <v>-36.548000299999998</v>
      </c>
      <c r="L3922" s="31"/>
      <c r="M3922" s="31" t="s">
        <v>854</v>
      </c>
      <c r="N3922" s="6" t="s">
        <v>856</v>
      </c>
    </row>
    <row r="3923" spans="1:14" ht="15" customHeight="1" x14ac:dyDescent="0.2">
      <c r="A3923" s="31">
        <v>0.6245253342949505</v>
      </c>
      <c r="B3923" s="31"/>
      <c r="C3923" s="2" t="s">
        <v>855</v>
      </c>
      <c r="D3923" s="31">
        <f t="shared" si="127"/>
        <v>0.1224069655218103</v>
      </c>
      <c r="F3923" s="2" t="s">
        <v>822</v>
      </c>
      <c r="G3923" s="23" t="s">
        <v>902</v>
      </c>
      <c r="H3923" s="2" t="s">
        <v>822</v>
      </c>
      <c r="J3923" s="31">
        <v>40.759601600000003</v>
      </c>
      <c r="K3923" s="31">
        <v>-32.561698900000003</v>
      </c>
      <c r="L3923" s="31"/>
      <c r="M3923" s="31" t="s">
        <v>854</v>
      </c>
      <c r="N3923" s="6" t="s">
        <v>856</v>
      </c>
    </row>
    <row r="3924" spans="1:14" ht="15" customHeight="1" x14ac:dyDescent="0.2">
      <c r="A3924" s="31">
        <v>0.6243188346675852</v>
      </c>
      <c r="B3924" s="31"/>
      <c r="C3924" s="2" t="s">
        <v>855</v>
      </c>
      <c r="D3924" s="31">
        <f t="shared" si="127"/>
        <v>0.12236649159484671</v>
      </c>
      <c r="F3924" s="2" t="s">
        <v>822</v>
      </c>
      <c r="G3924" s="23" t="s">
        <v>902</v>
      </c>
      <c r="H3924" s="2" t="s">
        <v>822</v>
      </c>
      <c r="J3924" s="31">
        <v>38.984600100000002</v>
      </c>
      <c r="K3924" s="31">
        <v>-25.394199400000002</v>
      </c>
      <c r="L3924" s="31"/>
      <c r="M3924" s="31" t="s">
        <v>854</v>
      </c>
      <c r="N3924" s="6" t="s">
        <v>856</v>
      </c>
    </row>
    <row r="3925" spans="1:14" ht="15" customHeight="1" x14ac:dyDescent="0.2">
      <c r="A3925" s="31">
        <v>0.62389059516306578</v>
      </c>
      <c r="B3925" s="31"/>
      <c r="C3925" s="2" t="s">
        <v>855</v>
      </c>
      <c r="D3925" s="31">
        <f t="shared" si="127"/>
        <v>0.1222825566519609</v>
      </c>
      <c r="F3925" s="2" t="s">
        <v>822</v>
      </c>
      <c r="G3925" s="23" t="s">
        <v>902</v>
      </c>
      <c r="H3925" s="2" t="s">
        <v>822</v>
      </c>
      <c r="J3925" s="31">
        <v>43.477600099999997</v>
      </c>
      <c r="K3925" s="31">
        <v>-2.7890798999999999</v>
      </c>
      <c r="L3925" s="31"/>
      <c r="M3925" s="31" t="s">
        <v>854</v>
      </c>
      <c r="N3925" s="6" t="s">
        <v>856</v>
      </c>
    </row>
    <row r="3926" spans="1:14" ht="15" customHeight="1" x14ac:dyDescent="0.2">
      <c r="A3926" s="22">
        <v>0.12225659862419218</v>
      </c>
      <c r="B3926" s="22"/>
      <c r="C3926" s="2" t="s">
        <v>891</v>
      </c>
      <c r="D3926" s="2">
        <f>A3926</f>
        <v>0.12225659862419218</v>
      </c>
      <c r="F3926" s="2">
        <v>2023</v>
      </c>
      <c r="G3926" s="23" t="s">
        <v>902</v>
      </c>
      <c r="H3926" s="2" t="s">
        <v>771</v>
      </c>
      <c r="I3926" s="23" t="s">
        <v>189</v>
      </c>
      <c r="J3926" s="23">
        <v>58077390</v>
      </c>
      <c r="K3926" s="23">
        <v>11813528</v>
      </c>
      <c r="L3926" s="23" t="s">
        <v>819</v>
      </c>
      <c r="M3926" s="2" t="s">
        <v>825</v>
      </c>
      <c r="N3926" s="6" t="s">
        <v>828</v>
      </c>
    </row>
    <row r="3927" spans="1:14" ht="15" customHeight="1" x14ac:dyDescent="0.2">
      <c r="A3927" s="31">
        <v>0.62370666640151118</v>
      </c>
      <c r="B3927" s="31"/>
      <c r="C3927" s="2" t="s">
        <v>855</v>
      </c>
      <c r="D3927" s="31">
        <f t="shared" ref="D3927:D3958" si="128" xml:space="preserve"> A3927 * 0.196</f>
        <v>0.1222465066146962</v>
      </c>
      <c r="F3927" s="2" t="s">
        <v>822</v>
      </c>
      <c r="G3927" s="23" t="s">
        <v>902</v>
      </c>
      <c r="H3927" s="2" t="s">
        <v>822</v>
      </c>
      <c r="J3927" s="31">
        <v>46.748001100000003</v>
      </c>
      <c r="K3927" s="31">
        <v>-35.880001100000001</v>
      </c>
      <c r="L3927" s="31"/>
      <c r="M3927" s="31" t="s">
        <v>854</v>
      </c>
      <c r="N3927" s="6" t="s">
        <v>856</v>
      </c>
    </row>
    <row r="3928" spans="1:14" ht="15" customHeight="1" x14ac:dyDescent="0.2">
      <c r="A3928" s="31">
        <v>0.62358531512102522</v>
      </c>
      <c r="B3928" s="31"/>
      <c r="C3928" s="2" t="s">
        <v>855</v>
      </c>
      <c r="D3928" s="31">
        <f t="shared" si="128"/>
        <v>0.12222272176372095</v>
      </c>
      <c r="F3928" s="2" t="s">
        <v>822</v>
      </c>
      <c r="G3928" s="23" t="s">
        <v>902</v>
      </c>
      <c r="H3928" s="2" t="s">
        <v>822</v>
      </c>
      <c r="J3928" s="31">
        <v>50.250400499999998</v>
      </c>
      <c r="K3928" s="31">
        <v>-4.4544100999999996</v>
      </c>
      <c r="L3928" s="31"/>
      <c r="M3928" s="31" t="s">
        <v>854</v>
      </c>
      <c r="N3928" s="6" t="s">
        <v>856</v>
      </c>
    </row>
    <row r="3929" spans="1:14" ht="15" customHeight="1" x14ac:dyDescent="0.2">
      <c r="A3929" s="31">
        <v>0.62347720284598906</v>
      </c>
      <c r="B3929" s="31"/>
      <c r="C3929" s="2" t="s">
        <v>855</v>
      </c>
      <c r="D3929" s="31">
        <f t="shared" si="128"/>
        <v>0.12220153175781386</v>
      </c>
      <c r="F3929" s="2" t="s">
        <v>822</v>
      </c>
      <c r="G3929" s="23" t="s">
        <v>902</v>
      </c>
      <c r="H3929" s="2" t="s">
        <v>822</v>
      </c>
      <c r="J3929" s="31">
        <v>30.048000300000002</v>
      </c>
      <c r="K3929" s="31">
        <v>-21.184000000000001</v>
      </c>
      <c r="L3929" s="31"/>
      <c r="M3929" s="31" t="s">
        <v>854</v>
      </c>
      <c r="N3929" s="6" t="s">
        <v>856</v>
      </c>
    </row>
    <row r="3930" spans="1:14" ht="15" customHeight="1" x14ac:dyDescent="0.2">
      <c r="A3930" s="31">
        <v>0.62341229907792894</v>
      </c>
      <c r="B3930" s="31"/>
      <c r="C3930" s="2" t="s">
        <v>855</v>
      </c>
      <c r="D3930" s="31">
        <f t="shared" si="128"/>
        <v>0.12218881061927407</v>
      </c>
      <c r="F3930" s="2" t="s">
        <v>822</v>
      </c>
      <c r="G3930" s="23" t="s">
        <v>902</v>
      </c>
      <c r="H3930" s="2" t="s">
        <v>822</v>
      </c>
      <c r="J3930" s="31">
        <v>33.425399800000001</v>
      </c>
      <c r="K3930" s="31">
        <v>-35.013999900000002</v>
      </c>
      <c r="L3930" s="31"/>
      <c r="M3930" s="31" t="s">
        <v>854</v>
      </c>
      <c r="N3930" s="6" t="s">
        <v>856</v>
      </c>
    </row>
    <row r="3931" spans="1:14" ht="15" customHeight="1" x14ac:dyDescent="0.2">
      <c r="A3931" s="31">
        <v>0.62333089653591367</v>
      </c>
      <c r="B3931" s="31"/>
      <c r="C3931" s="2" t="s">
        <v>855</v>
      </c>
      <c r="D3931" s="31">
        <f t="shared" si="128"/>
        <v>0.12217285572103909</v>
      </c>
      <c r="F3931" s="2" t="s">
        <v>822</v>
      </c>
      <c r="G3931" s="23" t="s">
        <v>902</v>
      </c>
      <c r="H3931" s="2" t="s">
        <v>822</v>
      </c>
      <c r="J3931" s="31">
        <v>46.748001100000003</v>
      </c>
      <c r="K3931" s="31">
        <v>-24.5240002</v>
      </c>
      <c r="L3931" s="31"/>
      <c r="M3931" s="31" t="s">
        <v>854</v>
      </c>
      <c r="N3931" s="6" t="s">
        <v>856</v>
      </c>
    </row>
    <row r="3932" spans="1:14" ht="15" customHeight="1" x14ac:dyDescent="0.2">
      <c r="A3932" s="31">
        <v>0.62294306978148284</v>
      </c>
      <c r="B3932" s="31"/>
      <c r="C3932" s="2" t="s">
        <v>855</v>
      </c>
      <c r="D3932" s="31">
        <f t="shared" si="128"/>
        <v>0.12209684167717064</v>
      </c>
      <c r="F3932" s="2" t="s">
        <v>822</v>
      </c>
      <c r="G3932" s="23" t="s">
        <v>902</v>
      </c>
      <c r="H3932" s="2" t="s">
        <v>822</v>
      </c>
      <c r="J3932" s="31">
        <v>39.216301000000001</v>
      </c>
      <c r="K3932" s="31">
        <v>12.814499899999999</v>
      </c>
      <c r="L3932" s="31"/>
      <c r="M3932" s="31" t="s">
        <v>854</v>
      </c>
      <c r="N3932" s="6" t="s">
        <v>856</v>
      </c>
    </row>
    <row r="3933" spans="1:14" ht="15" customHeight="1" x14ac:dyDescent="0.2">
      <c r="A3933" s="31">
        <v>0.62293282516038884</v>
      </c>
      <c r="B3933" s="31"/>
      <c r="C3933" s="2" t="s">
        <v>855</v>
      </c>
      <c r="D3933" s="31">
        <f t="shared" si="128"/>
        <v>0.12209483373143622</v>
      </c>
      <c r="F3933" s="2" t="s">
        <v>822</v>
      </c>
      <c r="G3933" s="23" t="s">
        <v>902</v>
      </c>
      <c r="H3933" s="2" t="s">
        <v>822</v>
      </c>
      <c r="J3933" s="31">
        <v>36.733699799999997</v>
      </c>
      <c r="K3933" s="31">
        <v>-35.204399100000003</v>
      </c>
      <c r="L3933" s="31"/>
      <c r="M3933" s="31" t="s">
        <v>854</v>
      </c>
      <c r="N3933" s="6" t="s">
        <v>856</v>
      </c>
    </row>
    <row r="3934" spans="1:14" ht="15" customHeight="1" x14ac:dyDescent="0.2">
      <c r="A3934" s="31">
        <v>0.62283344302117183</v>
      </c>
      <c r="B3934" s="31"/>
      <c r="C3934" s="2" t="s">
        <v>855</v>
      </c>
      <c r="D3934" s="31">
        <f t="shared" si="128"/>
        <v>0.12207535483214968</v>
      </c>
      <c r="F3934" s="2" t="s">
        <v>822</v>
      </c>
      <c r="G3934" s="23" t="s">
        <v>902</v>
      </c>
      <c r="H3934" s="2" t="s">
        <v>822</v>
      </c>
      <c r="J3934" s="31">
        <v>25.711200699999999</v>
      </c>
      <c r="K3934" s="31">
        <v>-32.155101799999997</v>
      </c>
      <c r="L3934" s="31"/>
      <c r="M3934" s="31" t="s">
        <v>854</v>
      </c>
      <c r="N3934" s="6" t="s">
        <v>856</v>
      </c>
    </row>
    <row r="3935" spans="1:14" ht="15" customHeight="1" x14ac:dyDescent="0.2">
      <c r="A3935" s="31">
        <v>0.62252919815362084</v>
      </c>
      <c r="B3935" s="31"/>
      <c r="C3935" s="2" t="s">
        <v>855</v>
      </c>
      <c r="D3935" s="31">
        <f t="shared" si="128"/>
        <v>0.12201572283810969</v>
      </c>
      <c r="F3935" s="2" t="s">
        <v>822</v>
      </c>
      <c r="G3935" s="23" t="s">
        <v>902</v>
      </c>
      <c r="H3935" s="2" t="s">
        <v>822</v>
      </c>
      <c r="J3935" s="31">
        <v>44.518798799999999</v>
      </c>
      <c r="K3935" s="31">
        <v>-1.78373</v>
      </c>
      <c r="L3935" s="31"/>
      <c r="M3935" s="31" t="s">
        <v>854</v>
      </c>
      <c r="N3935" s="6" t="s">
        <v>856</v>
      </c>
    </row>
    <row r="3936" spans="1:14" ht="15" customHeight="1" x14ac:dyDescent="0.2">
      <c r="A3936" s="31">
        <v>0.62250050459395145</v>
      </c>
      <c r="B3936" s="31"/>
      <c r="C3936" s="2" t="s">
        <v>855</v>
      </c>
      <c r="D3936" s="31">
        <f t="shared" si="128"/>
        <v>0.12201009890041449</v>
      </c>
      <c r="F3936" s="2" t="s">
        <v>822</v>
      </c>
      <c r="G3936" s="23" t="s">
        <v>902</v>
      </c>
      <c r="H3936" s="2" t="s">
        <v>822</v>
      </c>
      <c r="J3936" s="31">
        <v>48.1133995</v>
      </c>
      <c r="K3936" s="31">
        <v>-27.219600700000001</v>
      </c>
      <c r="L3936" s="31"/>
      <c r="M3936" s="31" t="s">
        <v>854</v>
      </c>
      <c r="N3936" s="6" t="s">
        <v>856</v>
      </c>
    </row>
    <row r="3937" spans="1:14" ht="15" customHeight="1" x14ac:dyDescent="0.2">
      <c r="A3937" s="31">
        <v>0.62245256677157701</v>
      </c>
      <c r="B3937" s="31"/>
      <c r="C3937" s="2" t="s">
        <v>855</v>
      </c>
      <c r="D3937" s="31">
        <f t="shared" si="128"/>
        <v>0.1220007030872291</v>
      </c>
      <c r="F3937" s="2" t="s">
        <v>822</v>
      </c>
      <c r="G3937" s="23" t="s">
        <v>902</v>
      </c>
      <c r="H3937" s="2" t="s">
        <v>822</v>
      </c>
      <c r="J3937" s="31">
        <v>42.631599399999999</v>
      </c>
      <c r="K3937" s="31">
        <v>-14.518300099999999</v>
      </c>
      <c r="L3937" s="31"/>
      <c r="M3937" s="31" t="s">
        <v>854</v>
      </c>
      <c r="N3937" s="6" t="s">
        <v>856</v>
      </c>
    </row>
    <row r="3938" spans="1:14" ht="15" customHeight="1" x14ac:dyDescent="0.2">
      <c r="A3938" s="31">
        <v>0.62243665557584127</v>
      </c>
      <c r="B3938" s="31"/>
      <c r="C3938" s="2" t="s">
        <v>855</v>
      </c>
      <c r="D3938" s="31">
        <f t="shared" si="128"/>
        <v>0.12199758449286489</v>
      </c>
      <c r="F3938" s="2" t="s">
        <v>822</v>
      </c>
      <c r="G3938" s="23" t="s">
        <v>902</v>
      </c>
      <c r="H3938" s="2" t="s">
        <v>822</v>
      </c>
      <c r="J3938" s="31">
        <v>55.584598499999998</v>
      </c>
      <c r="K3938" s="31">
        <v>4.9698399999999996</v>
      </c>
      <c r="L3938" s="31"/>
      <c r="M3938" s="31" t="s">
        <v>854</v>
      </c>
      <c r="N3938" s="6" t="s">
        <v>856</v>
      </c>
    </row>
    <row r="3939" spans="1:14" ht="15" customHeight="1" x14ac:dyDescent="0.2">
      <c r="A3939" s="31">
        <v>0.62237987359194169</v>
      </c>
      <c r="B3939" s="31"/>
      <c r="C3939" s="2" t="s">
        <v>855</v>
      </c>
      <c r="D3939" s="31">
        <f t="shared" si="128"/>
        <v>0.12198645522402057</v>
      </c>
      <c r="F3939" s="2" t="s">
        <v>822</v>
      </c>
      <c r="G3939" s="23" t="s">
        <v>902</v>
      </c>
      <c r="H3939" s="2" t="s">
        <v>822</v>
      </c>
      <c r="J3939" s="31">
        <v>53.428001399999999</v>
      </c>
      <c r="K3939" s="31">
        <v>-20.516000699999999</v>
      </c>
      <c r="L3939" s="31"/>
      <c r="M3939" s="31" t="s">
        <v>854</v>
      </c>
      <c r="N3939" s="6" t="s">
        <v>856</v>
      </c>
    </row>
    <row r="3940" spans="1:14" ht="15" customHeight="1" x14ac:dyDescent="0.2">
      <c r="A3940" s="31">
        <v>0.62212365751465681</v>
      </c>
      <c r="B3940" s="31"/>
      <c r="C3940" s="2" t="s">
        <v>855</v>
      </c>
      <c r="D3940" s="31">
        <f t="shared" si="128"/>
        <v>0.12193623687287274</v>
      </c>
      <c r="F3940" s="2" t="s">
        <v>822</v>
      </c>
      <c r="G3940" s="23" t="s">
        <v>902</v>
      </c>
      <c r="H3940" s="2" t="s">
        <v>822</v>
      </c>
      <c r="J3940" s="31">
        <v>26.708000200000001</v>
      </c>
      <c r="K3940" s="31">
        <v>-36.548000299999998</v>
      </c>
      <c r="L3940" s="31"/>
      <c r="M3940" s="31" t="s">
        <v>854</v>
      </c>
      <c r="N3940" s="6" t="s">
        <v>856</v>
      </c>
    </row>
    <row r="3941" spans="1:14" ht="15" customHeight="1" x14ac:dyDescent="0.2">
      <c r="A3941" s="31">
        <v>0.62187736469907384</v>
      </c>
      <c r="B3941" s="31"/>
      <c r="C3941" s="2" t="s">
        <v>855</v>
      </c>
      <c r="D3941" s="31">
        <f t="shared" si="128"/>
        <v>0.12188796348101848</v>
      </c>
      <c r="F3941" s="2" t="s">
        <v>822</v>
      </c>
      <c r="G3941" s="23" t="s">
        <v>902</v>
      </c>
      <c r="H3941" s="2" t="s">
        <v>822</v>
      </c>
      <c r="J3941" s="31">
        <v>26.040000899999999</v>
      </c>
      <c r="K3941" s="31">
        <v>-39.220001199999999</v>
      </c>
      <c r="L3941" s="31"/>
      <c r="M3941" s="31" t="s">
        <v>854</v>
      </c>
      <c r="N3941" s="6" t="s">
        <v>856</v>
      </c>
    </row>
    <row r="3942" spans="1:14" ht="15" customHeight="1" x14ac:dyDescent="0.2">
      <c r="A3942" s="31">
        <v>0.62181686366662858</v>
      </c>
      <c r="B3942" s="31"/>
      <c r="C3942" s="2" t="s">
        <v>855</v>
      </c>
      <c r="D3942" s="31">
        <f t="shared" si="128"/>
        <v>0.12187610527865921</v>
      </c>
      <c r="F3942" s="2" t="s">
        <v>822</v>
      </c>
      <c r="G3942" s="23" t="s">
        <v>902</v>
      </c>
      <c r="H3942" s="2" t="s">
        <v>822</v>
      </c>
      <c r="J3942" s="31">
        <v>43.687900499999998</v>
      </c>
      <c r="K3942" s="31">
        <v>-1.46021</v>
      </c>
      <c r="L3942" s="31"/>
      <c r="M3942" s="31" t="s">
        <v>854</v>
      </c>
      <c r="N3942" s="6" t="s">
        <v>856</v>
      </c>
    </row>
    <row r="3943" spans="1:14" ht="15" customHeight="1" x14ac:dyDescent="0.2">
      <c r="A3943" s="31">
        <v>0.62173308153854123</v>
      </c>
      <c r="B3943" s="31"/>
      <c r="C3943" s="2" t="s">
        <v>855</v>
      </c>
      <c r="D3943" s="31">
        <f t="shared" si="128"/>
        <v>0.12185968398155408</v>
      </c>
      <c r="F3943" s="2" t="s">
        <v>822</v>
      </c>
      <c r="G3943" s="23" t="s">
        <v>902</v>
      </c>
      <c r="H3943" s="2" t="s">
        <v>822</v>
      </c>
      <c r="J3943" s="31">
        <v>35.999099700000002</v>
      </c>
      <c r="K3943" s="31">
        <v>-31.853599500000001</v>
      </c>
      <c r="L3943" s="31"/>
      <c r="M3943" s="31" t="s">
        <v>854</v>
      </c>
      <c r="N3943" s="6" t="s">
        <v>856</v>
      </c>
    </row>
    <row r="3944" spans="1:14" ht="15" customHeight="1" x14ac:dyDescent="0.2">
      <c r="A3944" s="31">
        <v>0.62104902715760235</v>
      </c>
      <c r="B3944" s="31"/>
      <c r="C3944" s="2" t="s">
        <v>855</v>
      </c>
      <c r="D3944" s="31">
        <f t="shared" si="128"/>
        <v>0.12172560932289006</v>
      </c>
      <c r="F3944" s="2" t="s">
        <v>822</v>
      </c>
      <c r="G3944" s="23" t="s">
        <v>902</v>
      </c>
      <c r="H3944" s="2" t="s">
        <v>822</v>
      </c>
      <c r="J3944" s="31">
        <v>35.049301100000001</v>
      </c>
      <c r="K3944" s="31">
        <v>19.212600699999999</v>
      </c>
      <c r="L3944" s="31"/>
      <c r="M3944" s="31" t="s">
        <v>854</v>
      </c>
      <c r="N3944" s="6" t="s">
        <v>856</v>
      </c>
    </row>
    <row r="3945" spans="1:14" ht="15" customHeight="1" x14ac:dyDescent="0.2">
      <c r="A3945" s="31">
        <v>0.62089601092916868</v>
      </c>
      <c r="B3945" s="31"/>
      <c r="C3945" s="2" t="s">
        <v>855</v>
      </c>
      <c r="D3945" s="31">
        <f t="shared" si="128"/>
        <v>0.12169561814211707</v>
      </c>
      <c r="F3945" s="2" t="s">
        <v>822</v>
      </c>
      <c r="G3945" s="23" t="s">
        <v>902</v>
      </c>
      <c r="H3945" s="2" t="s">
        <v>822</v>
      </c>
      <c r="J3945" s="31">
        <v>33.518398300000001</v>
      </c>
      <c r="K3945" s="31">
        <v>11.029299699999999</v>
      </c>
      <c r="L3945" s="31"/>
      <c r="M3945" s="31" t="s">
        <v>854</v>
      </c>
      <c r="N3945" s="6" t="s">
        <v>856</v>
      </c>
    </row>
    <row r="3946" spans="1:14" ht="15" customHeight="1" x14ac:dyDescent="0.2">
      <c r="A3946" s="31">
        <v>0.62077716379839742</v>
      </c>
      <c r="B3946" s="31"/>
      <c r="C3946" s="2" t="s">
        <v>855</v>
      </c>
      <c r="D3946" s="31">
        <f t="shared" si="128"/>
        <v>0.1216723241044859</v>
      </c>
      <c r="F3946" s="2" t="s">
        <v>822</v>
      </c>
      <c r="G3946" s="23" t="s">
        <v>902</v>
      </c>
      <c r="H3946" s="2" t="s">
        <v>822</v>
      </c>
      <c r="J3946" s="31">
        <v>54.166599300000001</v>
      </c>
      <c r="K3946" s="31">
        <v>7.8058399999999999</v>
      </c>
      <c r="L3946" s="31"/>
      <c r="M3946" s="31" t="s">
        <v>854</v>
      </c>
      <c r="N3946" s="6" t="s">
        <v>856</v>
      </c>
    </row>
    <row r="3947" spans="1:14" ht="15" customHeight="1" x14ac:dyDescent="0.2">
      <c r="A3947" s="31">
        <v>0.6207300591287811</v>
      </c>
      <c r="B3947" s="31"/>
      <c r="C3947" s="2" t="s">
        <v>855</v>
      </c>
      <c r="D3947" s="31">
        <f t="shared" si="128"/>
        <v>0.1216630915892411</v>
      </c>
      <c r="F3947" s="2" t="s">
        <v>822</v>
      </c>
      <c r="G3947" s="23" t="s">
        <v>902</v>
      </c>
      <c r="H3947" s="2" t="s">
        <v>822</v>
      </c>
      <c r="J3947" s="31">
        <v>35.2953987</v>
      </c>
      <c r="K3947" s="31">
        <v>-30.501499200000001</v>
      </c>
      <c r="L3947" s="31"/>
      <c r="M3947" s="31" t="s">
        <v>854</v>
      </c>
      <c r="N3947" s="6" t="s">
        <v>856</v>
      </c>
    </row>
    <row r="3948" spans="1:14" ht="15" customHeight="1" x14ac:dyDescent="0.2">
      <c r="A3948" s="31">
        <v>0.62063344565629452</v>
      </c>
      <c r="B3948" s="31"/>
      <c r="C3948" s="2" t="s">
        <v>855</v>
      </c>
      <c r="D3948" s="31">
        <f t="shared" si="128"/>
        <v>0.12164415534863374</v>
      </c>
      <c r="F3948" s="2" t="s">
        <v>822</v>
      </c>
      <c r="G3948" s="23" t="s">
        <v>902</v>
      </c>
      <c r="H3948" s="2" t="s">
        <v>822</v>
      </c>
      <c r="J3948" s="31">
        <v>35.377601599999998</v>
      </c>
      <c r="K3948" s="31">
        <v>25.545000099999999</v>
      </c>
      <c r="L3948" s="31"/>
      <c r="M3948" s="31" t="s">
        <v>854</v>
      </c>
      <c r="N3948" s="6" t="s">
        <v>856</v>
      </c>
    </row>
    <row r="3949" spans="1:14" ht="15" customHeight="1" x14ac:dyDescent="0.2">
      <c r="A3949" s="31">
        <v>0.62061847694065608</v>
      </c>
      <c r="B3949" s="31"/>
      <c r="C3949" s="2" t="s">
        <v>855</v>
      </c>
      <c r="D3949" s="31">
        <f t="shared" si="128"/>
        <v>0.1216412214803686</v>
      </c>
      <c r="F3949" s="2" t="s">
        <v>822</v>
      </c>
      <c r="G3949" s="23" t="s">
        <v>902</v>
      </c>
      <c r="H3949" s="2" t="s">
        <v>822</v>
      </c>
      <c r="J3949" s="31">
        <v>43.408000899999998</v>
      </c>
      <c r="K3949" s="31">
        <v>-15.171999899999999</v>
      </c>
      <c r="L3949" s="31"/>
      <c r="M3949" s="31" t="s">
        <v>854</v>
      </c>
      <c r="N3949" s="6" t="s">
        <v>856</v>
      </c>
    </row>
    <row r="3950" spans="1:14" ht="15" customHeight="1" x14ac:dyDescent="0.2">
      <c r="A3950" s="31">
        <v>0.62052840894886829</v>
      </c>
      <c r="B3950" s="31"/>
      <c r="C3950" s="2" t="s">
        <v>855</v>
      </c>
      <c r="D3950" s="31">
        <f t="shared" si="128"/>
        <v>0.12162356815397819</v>
      </c>
      <c r="F3950" s="2" t="s">
        <v>822</v>
      </c>
      <c r="G3950" s="23" t="s">
        <v>902</v>
      </c>
      <c r="H3950" s="2" t="s">
        <v>822</v>
      </c>
      <c r="J3950" s="31">
        <v>39.324901599999997</v>
      </c>
      <c r="K3950" s="31">
        <v>-34.977600099999997</v>
      </c>
      <c r="L3950" s="31"/>
      <c r="M3950" s="31" t="s">
        <v>854</v>
      </c>
      <c r="N3950" s="6" t="s">
        <v>856</v>
      </c>
    </row>
    <row r="3951" spans="1:14" ht="15" customHeight="1" x14ac:dyDescent="0.2">
      <c r="A3951" s="31">
        <v>0.62033341123966868</v>
      </c>
      <c r="B3951" s="31"/>
      <c r="C3951" s="2" t="s">
        <v>855</v>
      </c>
      <c r="D3951" s="31">
        <f t="shared" si="128"/>
        <v>0.12158534860297507</v>
      </c>
      <c r="F3951" s="2" t="s">
        <v>822</v>
      </c>
      <c r="G3951" s="23" t="s">
        <v>902</v>
      </c>
      <c r="H3951" s="2" t="s">
        <v>822</v>
      </c>
      <c r="J3951" s="31">
        <v>36.949500999999998</v>
      </c>
      <c r="K3951" s="31">
        <v>3.5708300999999998</v>
      </c>
      <c r="L3951" s="31"/>
      <c r="M3951" s="31" t="s">
        <v>854</v>
      </c>
      <c r="N3951" s="6" t="s">
        <v>856</v>
      </c>
    </row>
    <row r="3952" spans="1:14" ht="15" customHeight="1" x14ac:dyDescent="0.2">
      <c r="A3952" s="31">
        <v>0.62025171269909585</v>
      </c>
      <c r="B3952" s="31"/>
      <c r="C3952" s="2" t="s">
        <v>855</v>
      </c>
      <c r="D3952" s="31">
        <f t="shared" si="128"/>
        <v>0.12156933568902278</v>
      </c>
      <c r="F3952" s="2" t="s">
        <v>822</v>
      </c>
      <c r="G3952" s="23" t="s">
        <v>902</v>
      </c>
      <c r="H3952" s="2" t="s">
        <v>822</v>
      </c>
      <c r="J3952" s="31">
        <v>50.524299599999999</v>
      </c>
      <c r="K3952" s="31">
        <v>-13.813099899999999</v>
      </c>
      <c r="L3952" s="31"/>
      <c r="M3952" s="31" t="s">
        <v>854</v>
      </c>
      <c r="N3952" s="6" t="s">
        <v>856</v>
      </c>
    </row>
    <row r="3953" spans="1:14" ht="15" customHeight="1" x14ac:dyDescent="0.2">
      <c r="A3953" s="31">
        <v>0.6201861856004196</v>
      </c>
      <c r="B3953" s="31"/>
      <c r="C3953" s="2" t="s">
        <v>855</v>
      </c>
      <c r="D3953" s="31">
        <f t="shared" si="128"/>
        <v>0.12155649237768225</v>
      </c>
      <c r="F3953" s="2" t="s">
        <v>822</v>
      </c>
      <c r="G3953" s="23" t="s">
        <v>902</v>
      </c>
      <c r="H3953" s="2" t="s">
        <v>822</v>
      </c>
      <c r="J3953" s="31">
        <v>28.0440006</v>
      </c>
      <c r="K3953" s="31">
        <v>-33.875999499999999</v>
      </c>
      <c r="L3953" s="31"/>
      <c r="M3953" s="31" t="s">
        <v>854</v>
      </c>
      <c r="N3953" s="6" t="s">
        <v>856</v>
      </c>
    </row>
    <row r="3954" spans="1:14" ht="15" customHeight="1" x14ac:dyDescent="0.2">
      <c r="A3954" s="31">
        <v>0.62003068023761576</v>
      </c>
      <c r="B3954" s="31"/>
      <c r="C3954" s="2" t="s">
        <v>855</v>
      </c>
      <c r="D3954" s="31">
        <f t="shared" si="128"/>
        <v>0.12152601332657269</v>
      </c>
      <c r="F3954" s="2" t="s">
        <v>822</v>
      </c>
      <c r="G3954" s="23" t="s">
        <v>902</v>
      </c>
      <c r="H3954" s="2" t="s">
        <v>822</v>
      </c>
      <c r="J3954" s="31">
        <v>42.569999699999997</v>
      </c>
      <c r="K3954" s="31">
        <v>-28.700899100000001</v>
      </c>
      <c r="L3954" s="31"/>
      <c r="M3954" s="31" t="s">
        <v>854</v>
      </c>
      <c r="N3954" s="6" t="s">
        <v>856</v>
      </c>
    </row>
    <row r="3955" spans="1:14" ht="15" customHeight="1" x14ac:dyDescent="0.2">
      <c r="A3955" s="31">
        <v>0.61989170843743768</v>
      </c>
      <c r="B3955" s="31"/>
      <c r="C3955" s="2" t="s">
        <v>855</v>
      </c>
      <c r="D3955" s="31">
        <f t="shared" si="128"/>
        <v>0.12149877485373779</v>
      </c>
      <c r="F3955" s="2" t="s">
        <v>822</v>
      </c>
      <c r="G3955" s="23" t="s">
        <v>902</v>
      </c>
      <c r="H3955" s="2" t="s">
        <v>822</v>
      </c>
      <c r="J3955" s="31">
        <v>52.418399800000003</v>
      </c>
      <c r="K3955" s="31">
        <v>-19.233200100000001</v>
      </c>
      <c r="L3955" s="31"/>
      <c r="M3955" s="31" t="s">
        <v>854</v>
      </c>
      <c r="N3955" s="6" t="s">
        <v>856</v>
      </c>
    </row>
    <row r="3956" spans="1:14" ht="15" customHeight="1" x14ac:dyDescent="0.2">
      <c r="A3956" s="31">
        <v>0.61987821619713079</v>
      </c>
      <c r="B3956" s="31"/>
      <c r="C3956" s="2" t="s">
        <v>855</v>
      </c>
      <c r="D3956" s="31">
        <f t="shared" si="128"/>
        <v>0.12149613037463763</v>
      </c>
      <c r="F3956" s="2" t="s">
        <v>822</v>
      </c>
      <c r="G3956" s="23" t="s">
        <v>902</v>
      </c>
      <c r="H3956" s="2" t="s">
        <v>822</v>
      </c>
      <c r="J3956" s="31">
        <v>32.704700500000001</v>
      </c>
      <c r="K3956" s="31">
        <v>30.176200900000001</v>
      </c>
      <c r="L3956" s="31"/>
      <c r="M3956" s="31" t="s">
        <v>854</v>
      </c>
      <c r="N3956" s="6" t="s">
        <v>856</v>
      </c>
    </row>
    <row r="3957" spans="1:14" ht="15" customHeight="1" x14ac:dyDescent="0.2">
      <c r="A3957" s="31">
        <v>0.61975588233621526</v>
      </c>
      <c r="B3957" s="31"/>
      <c r="C3957" s="2" t="s">
        <v>855</v>
      </c>
      <c r="D3957" s="31">
        <f t="shared" si="128"/>
        <v>0.12147215293789819</v>
      </c>
      <c r="F3957" s="2" t="s">
        <v>822</v>
      </c>
      <c r="G3957" s="23" t="s">
        <v>902</v>
      </c>
      <c r="H3957" s="2" t="s">
        <v>822</v>
      </c>
      <c r="J3957" s="31">
        <v>35.375301399999998</v>
      </c>
      <c r="K3957" s="31">
        <v>-40.191398599999999</v>
      </c>
      <c r="L3957" s="31"/>
      <c r="M3957" s="31" t="s">
        <v>854</v>
      </c>
      <c r="N3957" s="6" t="s">
        <v>856</v>
      </c>
    </row>
    <row r="3958" spans="1:14" ht="15" customHeight="1" x14ac:dyDescent="0.2">
      <c r="A3958" s="31">
        <v>0.61969003204147255</v>
      </c>
      <c r="B3958" s="31"/>
      <c r="C3958" s="2" t="s">
        <v>855</v>
      </c>
      <c r="D3958" s="31">
        <f t="shared" si="128"/>
        <v>0.12145924628012862</v>
      </c>
      <c r="F3958" s="2" t="s">
        <v>822</v>
      </c>
      <c r="G3958" s="23" t="s">
        <v>902</v>
      </c>
      <c r="H3958" s="2" t="s">
        <v>822</v>
      </c>
      <c r="J3958" s="31">
        <v>28.390899699999999</v>
      </c>
      <c r="K3958" s="31">
        <v>48.561599700000002</v>
      </c>
      <c r="L3958" s="31"/>
      <c r="M3958" s="31" t="s">
        <v>854</v>
      </c>
      <c r="N3958" s="6" t="s">
        <v>856</v>
      </c>
    </row>
    <row r="3959" spans="1:14" ht="15" customHeight="1" x14ac:dyDescent="0.2">
      <c r="A3959" s="31">
        <v>0.61961695737840927</v>
      </c>
      <c r="B3959" s="31"/>
      <c r="C3959" s="2" t="s">
        <v>855</v>
      </c>
      <c r="D3959" s="31">
        <f t="shared" ref="D3959:D3990" si="129" xml:space="preserve"> A3959 * 0.196</f>
        <v>0.12144492364616823</v>
      </c>
      <c r="F3959" s="2" t="s">
        <v>822</v>
      </c>
      <c r="G3959" s="23" t="s">
        <v>902</v>
      </c>
      <c r="H3959" s="2" t="s">
        <v>822</v>
      </c>
      <c r="J3959" s="31">
        <v>53.817901599999999</v>
      </c>
      <c r="K3959" s="31">
        <v>6.1097798000000001</v>
      </c>
      <c r="L3959" s="31"/>
      <c r="M3959" s="31" t="s">
        <v>854</v>
      </c>
      <c r="N3959" s="6" t="s">
        <v>856</v>
      </c>
    </row>
    <row r="3960" spans="1:14" ht="15" customHeight="1" x14ac:dyDescent="0.2">
      <c r="A3960" s="31">
        <v>0.61951032751020574</v>
      </c>
      <c r="B3960" s="31"/>
      <c r="C3960" s="2" t="s">
        <v>855</v>
      </c>
      <c r="D3960" s="31">
        <f t="shared" si="129"/>
        <v>0.12142402419200032</v>
      </c>
      <c r="F3960" s="2" t="s">
        <v>822</v>
      </c>
      <c r="G3960" s="23" t="s">
        <v>902</v>
      </c>
      <c r="H3960" s="2" t="s">
        <v>822</v>
      </c>
      <c r="J3960" s="31">
        <v>47.416000400000001</v>
      </c>
      <c r="K3960" s="31">
        <v>-23.187999699999999</v>
      </c>
      <c r="L3960" s="31"/>
      <c r="M3960" s="31" t="s">
        <v>854</v>
      </c>
      <c r="N3960" s="6" t="s">
        <v>856</v>
      </c>
    </row>
    <row r="3961" spans="1:14" ht="15" customHeight="1" x14ac:dyDescent="0.2">
      <c r="A3961" s="31">
        <v>0.61944535402592771</v>
      </c>
      <c r="B3961" s="31"/>
      <c r="C3961" s="2" t="s">
        <v>855</v>
      </c>
      <c r="D3961" s="31">
        <f t="shared" si="129"/>
        <v>0.12141128938908184</v>
      </c>
      <c r="F3961" s="2" t="s">
        <v>822</v>
      </c>
      <c r="G3961" s="23" t="s">
        <v>902</v>
      </c>
      <c r="H3961" s="2" t="s">
        <v>822</v>
      </c>
      <c r="J3961" s="31">
        <v>34.055999800000002</v>
      </c>
      <c r="K3961" s="31">
        <v>-13.1680002</v>
      </c>
      <c r="L3961" s="31"/>
      <c r="M3961" s="31" t="s">
        <v>854</v>
      </c>
      <c r="N3961" s="6" t="s">
        <v>856</v>
      </c>
    </row>
    <row r="3962" spans="1:14" ht="15" customHeight="1" x14ac:dyDescent="0.2">
      <c r="A3962" s="31">
        <v>0.61939861237487803</v>
      </c>
      <c r="B3962" s="31"/>
      <c r="C3962" s="2" t="s">
        <v>855</v>
      </c>
      <c r="D3962" s="31">
        <f t="shared" si="129"/>
        <v>0.12140212802547611</v>
      </c>
      <c r="F3962" s="2" t="s">
        <v>822</v>
      </c>
      <c r="G3962" s="23" t="s">
        <v>902</v>
      </c>
      <c r="H3962" s="2" t="s">
        <v>822</v>
      </c>
      <c r="J3962" s="31">
        <v>43.874500300000001</v>
      </c>
      <c r="K3962" s="31">
        <v>-26.296300899999999</v>
      </c>
      <c r="L3962" s="31"/>
      <c r="M3962" s="31" t="s">
        <v>854</v>
      </c>
      <c r="N3962" s="6" t="s">
        <v>856</v>
      </c>
    </row>
    <row r="3963" spans="1:14" ht="15" customHeight="1" x14ac:dyDescent="0.2">
      <c r="A3963" s="31">
        <v>0.61934086865564486</v>
      </c>
      <c r="B3963" s="31"/>
      <c r="C3963" s="2" t="s">
        <v>855</v>
      </c>
      <c r="D3963" s="31">
        <f t="shared" si="129"/>
        <v>0.1213908102565064</v>
      </c>
      <c r="F3963" s="2" t="s">
        <v>822</v>
      </c>
      <c r="G3963" s="23" t="s">
        <v>902</v>
      </c>
      <c r="H3963" s="2" t="s">
        <v>822</v>
      </c>
      <c r="J3963" s="31">
        <v>45.379699700000003</v>
      </c>
      <c r="K3963" s="31">
        <v>-11.1538</v>
      </c>
      <c r="L3963" s="31"/>
      <c r="M3963" s="31" t="s">
        <v>854</v>
      </c>
      <c r="N3963" s="6" t="s">
        <v>856</v>
      </c>
    </row>
    <row r="3964" spans="1:14" ht="15" customHeight="1" x14ac:dyDescent="0.2">
      <c r="A3964" s="31">
        <v>0.61907182081692069</v>
      </c>
      <c r="B3964" s="31"/>
      <c r="C3964" s="2" t="s">
        <v>855</v>
      </c>
      <c r="D3964" s="31">
        <f t="shared" si="129"/>
        <v>0.12133807688011645</v>
      </c>
      <c r="F3964" s="2" t="s">
        <v>822</v>
      </c>
      <c r="G3964" s="23" t="s">
        <v>902</v>
      </c>
      <c r="H3964" s="2" t="s">
        <v>822</v>
      </c>
      <c r="J3964" s="31">
        <v>57.072101600000003</v>
      </c>
      <c r="K3964" s="31">
        <v>8.5113497000000002</v>
      </c>
      <c r="L3964" s="31"/>
      <c r="M3964" s="31" t="s">
        <v>854</v>
      </c>
      <c r="N3964" s="6" t="s">
        <v>856</v>
      </c>
    </row>
    <row r="3965" spans="1:14" ht="15" customHeight="1" x14ac:dyDescent="0.2">
      <c r="A3965" s="31">
        <v>0.61876231589186292</v>
      </c>
      <c r="B3965" s="31"/>
      <c r="C3965" s="2" t="s">
        <v>855</v>
      </c>
      <c r="D3965" s="31">
        <f t="shared" si="129"/>
        <v>0.12127741391480513</v>
      </c>
      <c r="F3965" s="2" t="s">
        <v>822</v>
      </c>
      <c r="G3965" s="23" t="s">
        <v>902</v>
      </c>
      <c r="H3965" s="2" t="s">
        <v>822</v>
      </c>
      <c r="J3965" s="31">
        <v>47.416000400000001</v>
      </c>
      <c r="K3965" s="31">
        <v>-32.540000900000003</v>
      </c>
      <c r="L3965" s="31"/>
      <c r="M3965" s="31" t="s">
        <v>854</v>
      </c>
      <c r="N3965" s="6" t="s">
        <v>856</v>
      </c>
    </row>
    <row r="3966" spans="1:14" ht="15" customHeight="1" x14ac:dyDescent="0.2">
      <c r="A3966" s="31">
        <v>0.61871485237278578</v>
      </c>
      <c r="B3966" s="31"/>
      <c r="C3966" s="2" t="s">
        <v>855</v>
      </c>
      <c r="D3966" s="31">
        <f t="shared" si="129"/>
        <v>0.12126811106506602</v>
      </c>
      <c r="F3966" s="2" t="s">
        <v>822</v>
      </c>
      <c r="G3966" s="23" t="s">
        <v>902</v>
      </c>
      <c r="H3966" s="2" t="s">
        <v>822</v>
      </c>
      <c r="J3966" s="31">
        <v>45.412200900000002</v>
      </c>
      <c r="K3966" s="31">
        <v>-13.836199799999999</v>
      </c>
      <c r="L3966" s="31"/>
      <c r="M3966" s="31" t="s">
        <v>854</v>
      </c>
      <c r="N3966" s="6" t="s">
        <v>856</v>
      </c>
    </row>
    <row r="3967" spans="1:14" ht="15" customHeight="1" x14ac:dyDescent="0.2">
      <c r="A3967" s="31">
        <v>0.61857273348514752</v>
      </c>
      <c r="B3967" s="31"/>
      <c r="C3967" s="2" t="s">
        <v>855</v>
      </c>
      <c r="D3967" s="31">
        <f t="shared" si="129"/>
        <v>0.12124025576308892</v>
      </c>
      <c r="F3967" s="2" t="s">
        <v>822</v>
      </c>
      <c r="G3967" s="23" t="s">
        <v>902</v>
      </c>
      <c r="H3967" s="2" t="s">
        <v>822</v>
      </c>
      <c r="J3967" s="31">
        <v>45.922500599999999</v>
      </c>
      <c r="K3967" s="31">
        <v>-15.128500000000001</v>
      </c>
      <c r="L3967" s="31"/>
      <c r="M3967" s="31" t="s">
        <v>854</v>
      </c>
      <c r="N3967" s="6" t="s">
        <v>856</v>
      </c>
    </row>
    <row r="3968" spans="1:14" ht="15" customHeight="1" x14ac:dyDescent="0.2">
      <c r="A3968" s="31">
        <v>0.61850635539670962</v>
      </c>
      <c r="B3968" s="31"/>
      <c r="C3968" s="2" t="s">
        <v>855</v>
      </c>
      <c r="D3968" s="31">
        <f t="shared" si="129"/>
        <v>0.12122724565775508</v>
      </c>
      <c r="F3968" s="2" t="s">
        <v>822</v>
      </c>
      <c r="G3968" s="23" t="s">
        <v>902</v>
      </c>
      <c r="H3968" s="2" t="s">
        <v>822</v>
      </c>
      <c r="J3968" s="31">
        <v>53.832599600000002</v>
      </c>
      <c r="K3968" s="31">
        <v>5.6788401999999998</v>
      </c>
      <c r="L3968" s="31"/>
      <c r="M3968" s="31" t="s">
        <v>854</v>
      </c>
      <c r="N3968" s="6" t="s">
        <v>856</v>
      </c>
    </row>
    <row r="3969" spans="1:14" ht="15" customHeight="1" x14ac:dyDescent="0.2">
      <c r="A3969" s="31">
        <v>0.61845314710460031</v>
      </c>
      <c r="B3969" s="31"/>
      <c r="C3969" s="2" t="s">
        <v>855</v>
      </c>
      <c r="D3969" s="31">
        <f t="shared" si="129"/>
        <v>0.12121681683250167</v>
      </c>
      <c r="F3969" s="2" t="s">
        <v>822</v>
      </c>
      <c r="G3969" s="23" t="s">
        <v>902</v>
      </c>
      <c r="H3969" s="2" t="s">
        <v>822</v>
      </c>
      <c r="J3969" s="31">
        <v>52.414600399999998</v>
      </c>
      <c r="K3969" s="31">
        <v>1.79633</v>
      </c>
      <c r="L3969" s="31"/>
      <c r="M3969" s="31" t="s">
        <v>854</v>
      </c>
      <c r="N3969" s="6" t="s">
        <v>856</v>
      </c>
    </row>
    <row r="3970" spans="1:14" ht="15" customHeight="1" x14ac:dyDescent="0.2">
      <c r="A3970" s="31">
        <v>0.61835821874236974</v>
      </c>
      <c r="B3970" s="31"/>
      <c r="C3970" s="2" t="s">
        <v>855</v>
      </c>
      <c r="D3970" s="31">
        <f t="shared" si="129"/>
        <v>0.12119821087350448</v>
      </c>
      <c r="F3970" s="2" t="s">
        <v>822</v>
      </c>
      <c r="G3970" s="23" t="s">
        <v>902</v>
      </c>
      <c r="H3970" s="2" t="s">
        <v>822</v>
      </c>
      <c r="J3970" s="31">
        <v>45.411998699999998</v>
      </c>
      <c r="K3970" s="31">
        <v>-15.171999899999999</v>
      </c>
      <c r="L3970" s="31"/>
      <c r="M3970" s="31" t="s">
        <v>854</v>
      </c>
      <c r="N3970" s="6" t="s">
        <v>856</v>
      </c>
    </row>
    <row r="3971" spans="1:14" ht="15" customHeight="1" x14ac:dyDescent="0.2">
      <c r="A3971" s="31">
        <v>0.61826425319637379</v>
      </c>
      <c r="B3971" s="31"/>
      <c r="C3971" s="2" t="s">
        <v>855</v>
      </c>
      <c r="D3971" s="31">
        <f t="shared" si="129"/>
        <v>0.12117979362648927</v>
      </c>
      <c r="F3971" s="2" t="s">
        <v>822</v>
      </c>
      <c r="G3971" s="23" t="s">
        <v>902</v>
      </c>
      <c r="H3971" s="2" t="s">
        <v>822</v>
      </c>
      <c r="J3971" s="31">
        <v>43.366401699999997</v>
      </c>
      <c r="K3971" s="31">
        <v>-26.478099799999999</v>
      </c>
      <c r="L3971" s="31"/>
      <c r="M3971" s="31" t="s">
        <v>854</v>
      </c>
      <c r="N3971" s="6" t="s">
        <v>856</v>
      </c>
    </row>
    <row r="3972" spans="1:14" ht="15" customHeight="1" x14ac:dyDescent="0.2">
      <c r="A3972" s="31">
        <v>0.618257917039859</v>
      </c>
      <c r="B3972" s="31"/>
      <c r="C3972" s="2" t="s">
        <v>855</v>
      </c>
      <c r="D3972" s="31">
        <f t="shared" si="129"/>
        <v>0.12117855173981237</v>
      </c>
      <c r="F3972" s="2" t="s">
        <v>822</v>
      </c>
      <c r="G3972" s="23" t="s">
        <v>902</v>
      </c>
      <c r="H3972" s="2" t="s">
        <v>822</v>
      </c>
      <c r="J3972" s="31">
        <v>53.547401399999998</v>
      </c>
      <c r="K3972" s="31">
        <v>-3.2364700000000002</v>
      </c>
      <c r="L3972" s="31"/>
      <c r="M3972" s="31" t="s">
        <v>854</v>
      </c>
      <c r="N3972" s="6" t="s">
        <v>856</v>
      </c>
    </row>
    <row r="3973" spans="1:14" ht="15" customHeight="1" x14ac:dyDescent="0.2">
      <c r="A3973" s="31">
        <v>0.61809796578058607</v>
      </c>
      <c r="B3973" s="31"/>
      <c r="C3973" s="2" t="s">
        <v>855</v>
      </c>
      <c r="D3973" s="31">
        <f t="shared" si="129"/>
        <v>0.12114720129299487</v>
      </c>
      <c r="F3973" s="2" t="s">
        <v>822</v>
      </c>
      <c r="G3973" s="23" t="s">
        <v>902</v>
      </c>
      <c r="H3973" s="2" t="s">
        <v>822</v>
      </c>
      <c r="J3973" s="31">
        <v>30.6620007</v>
      </c>
      <c r="K3973" s="31">
        <v>-28.523099899999998</v>
      </c>
      <c r="L3973" s="31"/>
      <c r="M3973" s="31" t="s">
        <v>854</v>
      </c>
      <c r="N3973" s="6" t="s">
        <v>856</v>
      </c>
    </row>
    <row r="3974" spans="1:14" ht="15" customHeight="1" x14ac:dyDescent="0.2">
      <c r="A3974" s="31">
        <v>0.61807133133424585</v>
      </c>
      <c r="B3974" s="31"/>
      <c r="C3974" s="2" t="s">
        <v>855</v>
      </c>
      <c r="D3974" s="31">
        <f t="shared" si="129"/>
        <v>0.1211419809415122</v>
      </c>
      <c r="F3974" s="2" t="s">
        <v>822</v>
      </c>
      <c r="G3974" s="23" t="s">
        <v>902</v>
      </c>
      <c r="H3974" s="2" t="s">
        <v>822</v>
      </c>
      <c r="J3974" s="31">
        <v>46.080001799999998</v>
      </c>
      <c r="K3974" s="31">
        <v>-18.511999100000001</v>
      </c>
      <c r="L3974" s="31"/>
      <c r="M3974" s="31" t="s">
        <v>854</v>
      </c>
      <c r="N3974" s="6" t="s">
        <v>856</v>
      </c>
    </row>
    <row r="3975" spans="1:14" ht="15" customHeight="1" x14ac:dyDescent="0.2">
      <c r="A3975" s="31">
        <v>0.61804872240649045</v>
      </c>
      <c r="B3975" s="31"/>
      <c r="C3975" s="2" t="s">
        <v>855</v>
      </c>
      <c r="D3975" s="31">
        <f t="shared" si="129"/>
        <v>0.12113754959167214</v>
      </c>
      <c r="F3975" s="2" t="s">
        <v>822</v>
      </c>
      <c r="G3975" s="23" t="s">
        <v>902</v>
      </c>
      <c r="H3975" s="2" t="s">
        <v>822</v>
      </c>
      <c r="J3975" s="31">
        <v>41.407501199999999</v>
      </c>
      <c r="K3975" s="31">
        <v>-23.321199400000001</v>
      </c>
      <c r="L3975" s="31"/>
      <c r="M3975" s="31" t="s">
        <v>854</v>
      </c>
      <c r="N3975" s="6" t="s">
        <v>856</v>
      </c>
    </row>
    <row r="3976" spans="1:14" ht="15" customHeight="1" x14ac:dyDescent="0.2">
      <c r="A3976" s="31">
        <v>0.61790586419740645</v>
      </c>
      <c r="B3976" s="31"/>
      <c r="C3976" s="2" t="s">
        <v>855</v>
      </c>
      <c r="D3976" s="31">
        <f t="shared" si="129"/>
        <v>0.12110954938269167</v>
      </c>
      <c r="F3976" s="2" t="s">
        <v>822</v>
      </c>
      <c r="G3976" s="23" t="s">
        <v>902</v>
      </c>
      <c r="H3976" s="2" t="s">
        <v>822</v>
      </c>
      <c r="J3976" s="31">
        <v>33.388000499999997</v>
      </c>
      <c r="K3976" s="31">
        <v>-31.204000499999999</v>
      </c>
      <c r="L3976" s="31"/>
      <c r="M3976" s="31" t="s">
        <v>854</v>
      </c>
      <c r="N3976" s="6" t="s">
        <v>856</v>
      </c>
    </row>
    <row r="3977" spans="1:14" ht="15" customHeight="1" x14ac:dyDescent="0.2">
      <c r="A3977" s="31">
        <v>0.61789227400497404</v>
      </c>
      <c r="B3977" s="31"/>
      <c r="C3977" s="2" t="s">
        <v>855</v>
      </c>
      <c r="D3977" s="31">
        <f t="shared" si="129"/>
        <v>0.12110688570497492</v>
      </c>
      <c r="F3977" s="2" t="s">
        <v>822</v>
      </c>
      <c r="G3977" s="23" t="s">
        <v>902</v>
      </c>
      <c r="H3977" s="2" t="s">
        <v>822</v>
      </c>
      <c r="J3977" s="31">
        <v>44.743999500000001</v>
      </c>
      <c r="K3977" s="31">
        <v>-15.171999899999999</v>
      </c>
      <c r="L3977" s="31"/>
      <c r="M3977" s="31" t="s">
        <v>854</v>
      </c>
      <c r="N3977" s="6" t="s">
        <v>856</v>
      </c>
    </row>
    <row r="3978" spans="1:14" ht="15" customHeight="1" x14ac:dyDescent="0.2">
      <c r="A3978" s="31">
        <v>0.61754474490343958</v>
      </c>
      <c r="B3978" s="31"/>
      <c r="C3978" s="2" t="s">
        <v>855</v>
      </c>
      <c r="D3978" s="31">
        <f t="shared" si="129"/>
        <v>0.12103877000107416</v>
      </c>
      <c r="F3978" s="2" t="s">
        <v>822</v>
      </c>
      <c r="G3978" s="23" t="s">
        <v>902</v>
      </c>
      <c r="H3978" s="2" t="s">
        <v>822</v>
      </c>
      <c r="J3978" s="31">
        <v>26.040000899999999</v>
      </c>
      <c r="K3978" s="31">
        <v>-34.877998400000003</v>
      </c>
      <c r="L3978" s="31"/>
      <c r="M3978" s="31" t="s">
        <v>854</v>
      </c>
      <c r="N3978" s="6" t="s">
        <v>856</v>
      </c>
    </row>
    <row r="3979" spans="1:14" ht="15" customHeight="1" x14ac:dyDescent="0.2">
      <c r="A3979" s="31">
        <v>0.61751818438512851</v>
      </c>
      <c r="B3979" s="31"/>
      <c r="C3979" s="2" t="s">
        <v>855</v>
      </c>
      <c r="D3979" s="31">
        <f t="shared" si="129"/>
        <v>0.1210335641394852</v>
      </c>
      <c r="F3979" s="2" t="s">
        <v>822</v>
      </c>
      <c r="G3979" s="23" t="s">
        <v>902</v>
      </c>
      <c r="H3979" s="2" t="s">
        <v>822</v>
      </c>
      <c r="J3979" s="31">
        <v>50.756000499999999</v>
      </c>
      <c r="K3979" s="31">
        <v>-25.860000599999999</v>
      </c>
      <c r="L3979" s="31"/>
      <c r="M3979" s="31" t="s">
        <v>854</v>
      </c>
      <c r="N3979" s="6" t="s">
        <v>856</v>
      </c>
    </row>
    <row r="3980" spans="1:14" ht="15" customHeight="1" x14ac:dyDescent="0.2">
      <c r="A3980" s="31">
        <v>0.61729503803391805</v>
      </c>
      <c r="B3980" s="31"/>
      <c r="C3980" s="2" t="s">
        <v>855</v>
      </c>
      <c r="D3980" s="31">
        <f t="shared" si="129"/>
        <v>0.12098982745464794</v>
      </c>
      <c r="F3980" s="2" t="s">
        <v>822</v>
      </c>
      <c r="G3980" s="23" t="s">
        <v>902</v>
      </c>
      <c r="H3980" s="2" t="s">
        <v>822</v>
      </c>
      <c r="J3980" s="31">
        <v>35.989799499999997</v>
      </c>
      <c r="K3980" s="31">
        <v>-21.469200099999998</v>
      </c>
      <c r="L3980" s="31"/>
      <c r="M3980" s="31" t="s">
        <v>854</v>
      </c>
      <c r="N3980" s="6" t="s">
        <v>856</v>
      </c>
    </row>
    <row r="3981" spans="1:14" ht="15" customHeight="1" x14ac:dyDescent="0.2">
      <c r="A3981" s="31">
        <v>0.61720790443243234</v>
      </c>
      <c r="B3981" s="31"/>
      <c r="C3981" s="2" t="s">
        <v>855</v>
      </c>
      <c r="D3981" s="31">
        <f t="shared" si="129"/>
        <v>0.12097274926875674</v>
      </c>
      <c r="F3981" s="2" t="s">
        <v>822</v>
      </c>
      <c r="G3981" s="23" t="s">
        <v>902</v>
      </c>
      <c r="H3981" s="2" t="s">
        <v>822</v>
      </c>
      <c r="J3981" s="31">
        <v>30.048000300000002</v>
      </c>
      <c r="K3981" s="31">
        <v>-40.555999800000002</v>
      </c>
      <c r="L3981" s="31"/>
      <c r="M3981" s="31" t="s">
        <v>854</v>
      </c>
      <c r="N3981" s="6" t="s">
        <v>856</v>
      </c>
    </row>
    <row r="3982" spans="1:14" ht="15" customHeight="1" x14ac:dyDescent="0.2">
      <c r="A3982" s="31">
        <v>0.61712427874331088</v>
      </c>
      <c r="B3982" s="31"/>
      <c r="C3982" s="2" t="s">
        <v>855</v>
      </c>
      <c r="D3982" s="31">
        <f t="shared" si="129"/>
        <v>0.12095635863368893</v>
      </c>
      <c r="F3982" s="2" t="s">
        <v>822</v>
      </c>
      <c r="G3982" s="23" t="s">
        <v>902</v>
      </c>
      <c r="H3982" s="2" t="s">
        <v>822</v>
      </c>
      <c r="J3982" s="31">
        <v>54.342899299999999</v>
      </c>
      <c r="K3982" s="31">
        <v>15.938500400000001</v>
      </c>
      <c r="L3982" s="31"/>
      <c r="M3982" s="31" t="s">
        <v>854</v>
      </c>
      <c r="N3982" s="6" t="s">
        <v>856</v>
      </c>
    </row>
    <row r="3983" spans="1:14" ht="15" customHeight="1" x14ac:dyDescent="0.2">
      <c r="A3983" s="31">
        <v>0.61705032030418505</v>
      </c>
      <c r="B3983" s="31"/>
      <c r="C3983" s="2" t="s">
        <v>855</v>
      </c>
      <c r="D3983" s="31">
        <f t="shared" si="129"/>
        <v>0.12094186277962027</v>
      </c>
      <c r="F3983" s="2" t="s">
        <v>822</v>
      </c>
      <c r="G3983" s="23" t="s">
        <v>902</v>
      </c>
      <c r="H3983" s="2" t="s">
        <v>822</v>
      </c>
      <c r="J3983" s="31">
        <v>35.392898600000002</v>
      </c>
      <c r="K3983" s="31">
        <v>-15.1637001</v>
      </c>
      <c r="L3983" s="31"/>
      <c r="M3983" s="31" t="s">
        <v>854</v>
      </c>
      <c r="N3983" s="6" t="s">
        <v>856</v>
      </c>
    </row>
    <row r="3984" spans="1:14" ht="15" customHeight="1" x14ac:dyDescent="0.2">
      <c r="A3984" s="31">
        <v>0.61695493623703845</v>
      </c>
      <c r="B3984" s="31"/>
      <c r="C3984" s="2" t="s">
        <v>855</v>
      </c>
      <c r="D3984" s="31">
        <f t="shared" si="129"/>
        <v>0.12092316750245954</v>
      </c>
      <c r="F3984" s="2" t="s">
        <v>822</v>
      </c>
      <c r="G3984" s="23" t="s">
        <v>902</v>
      </c>
      <c r="H3984" s="2" t="s">
        <v>822</v>
      </c>
      <c r="J3984" s="31">
        <v>32.051998099999999</v>
      </c>
      <c r="K3984" s="31">
        <v>-22.520000499999998</v>
      </c>
      <c r="L3984" s="31"/>
      <c r="M3984" s="31" t="s">
        <v>854</v>
      </c>
      <c r="N3984" s="6" t="s">
        <v>856</v>
      </c>
    </row>
    <row r="3985" spans="1:14" ht="15" customHeight="1" x14ac:dyDescent="0.2">
      <c r="A3985" s="31">
        <v>0.61691119919504689</v>
      </c>
      <c r="B3985" s="31"/>
      <c r="C3985" s="2" t="s">
        <v>855</v>
      </c>
      <c r="D3985" s="31">
        <f t="shared" si="129"/>
        <v>0.12091459504222919</v>
      </c>
      <c r="F3985" s="2" t="s">
        <v>822</v>
      </c>
      <c r="G3985" s="23" t="s">
        <v>902</v>
      </c>
      <c r="H3985" s="2" t="s">
        <v>822</v>
      </c>
      <c r="J3985" s="31">
        <v>44.758598300000003</v>
      </c>
      <c r="K3985" s="31">
        <v>-37.274299599999999</v>
      </c>
      <c r="L3985" s="31"/>
      <c r="M3985" s="31" t="s">
        <v>854</v>
      </c>
      <c r="N3985" s="6" t="s">
        <v>856</v>
      </c>
    </row>
    <row r="3986" spans="1:14" ht="15" customHeight="1" x14ac:dyDescent="0.2">
      <c r="A3986" s="31">
        <v>0.61689553752045645</v>
      </c>
      <c r="B3986" s="31"/>
      <c r="C3986" s="2" t="s">
        <v>855</v>
      </c>
      <c r="D3986" s="31">
        <f t="shared" si="129"/>
        <v>0.12091152535400947</v>
      </c>
      <c r="F3986" s="2" t="s">
        <v>822</v>
      </c>
      <c r="G3986" s="23" t="s">
        <v>902</v>
      </c>
      <c r="H3986" s="2" t="s">
        <v>822</v>
      </c>
      <c r="J3986" s="31">
        <v>39.200698899999999</v>
      </c>
      <c r="K3986" s="31">
        <v>-7.2497000000000006E-2</v>
      </c>
      <c r="L3986" s="31"/>
      <c r="M3986" s="31" t="s">
        <v>854</v>
      </c>
      <c r="N3986" s="6" t="s">
        <v>856</v>
      </c>
    </row>
    <row r="3987" spans="1:14" ht="15" customHeight="1" x14ac:dyDescent="0.2">
      <c r="A3987" s="31">
        <v>0.61662648513536256</v>
      </c>
      <c r="B3987" s="31"/>
      <c r="C3987" s="2" t="s">
        <v>855</v>
      </c>
      <c r="D3987" s="31">
        <f t="shared" si="129"/>
        <v>0.12085879108653107</v>
      </c>
      <c r="F3987" s="2" t="s">
        <v>822</v>
      </c>
      <c r="G3987" s="23" t="s">
        <v>902</v>
      </c>
      <c r="H3987" s="2" t="s">
        <v>822</v>
      </c>
      <c r="J3987" s="31">
        <v>30.052</v>
      </c>
      <c r="K3987" s="31">
        <v>-26.524400700000001</v>
      </c>
      <c r="L3987" s="31"/>
      <c r="M3987" s="31" t="s">
        <v>854</v>
      </c>
      <c r="N3987" s="6" t="s">
        <v>856</v>
      </c>
    </row>
    <row r="3988" spans="1:14" ht="15" customHeight="1" x14ac:dyDescent="0.2">
      <c r="A3988" s="31">
        <v>0.61648165313144065</v>
      </c>
      <c r="B3988" s="31"/>
      <c r="C3988" s="2" t="s">
        <v>855</v>
      </c>
      <c r="D3988" s="31">
        <f t="shared" si="129"/>
        <v>0.12083040401376237</v>
      </c>
      <c r="F3988" s="2" t="s">
        <v>822</v>
      </c>
      <c r="G3988" s="23" t="s">
        <v>902</v>
      </c>
      <c r="H3988" s="2" t="s">
        <v>822</v>
      </c>
      <c r="J3988" s="31">
        <v>54.166599300000001</v>
      </c>
      <c r="K3988" s="31">
        <v>4.6358398999999997</v>
      </c>
      <c r="L3988" s="31"/>
      <c r="M3988" s="31" t="s">
        <v>854</v>
      </c>
      <c r="N3988" s="6" t="s">
        <v>856</v>
      </c>
    </row>
    <row r="3989" spans="1:14" ht="15" customHeight="1" x14ac:dyDescent="0.2">
      <c r="A3989" s="31">
        <v>0.61624548447895355</v>
      </c>
      <c r="B3989" s="31"/>
      <c r="C3989" s="2" t="s">
        <v>855</v>
      </c>
      <c r="D3989" s="31">
        <f t="shared" si="129"/>
        <v>0.1207841149578749</v>
      </c>
      <c r="F3989" s="2" t="s">
        <v>822</v>
      </c>
      <c r="G3989" s="23" t="s">
        <v>902</v>
      </c>
      <c r="H3989" s="2" t="s">
        <v>822</v>
      </c>
      <c r="J3989" s="31">
        <v>48.545600899999997</v>
      </c>
      <c r="K3989" s="31">
        <v>-12.626000400000001</v>
      </c>
      <c r="L3989" s="31"/>
      <c r="M3989" s="31" t="s">
        <v>854</v>
      </c>
      <c r="N3989" s="6" t="s">
        <v>856</v>
      </c>
    </row>
    <row r="3990" spans="1:14" ht="15" customHeight="1" x14ac:dyDescent="0.2">
      <c r="A3990" s="31">
        <v>0.61616104819553763</v>
      </c>
      <c r="B3990" s="31"/>
      <c r="C3990" s="2" t="s">
        <v>855</v>
      </c>
      <c r="D3990" s="31">
        <f t="shared" si="129"/>
        <v>0.12076756544632539</v>
      </c>
      <c r="F3990" s="2" t="s">
        <v>822</v>
      </c>
      <c r="G3990" s="23" t="s">
        <v>902</v>
      </c>
      <c r="H3990" s="2" t="s">
        <v>822</v>
      </c>
      <c r="J3990" s="31">
        <v>31.183299999999999</v>
      </c>
      <c r="K3990" s="31">
        <v>-28.5445004</v>
      </c>
      <c r="L3990" s="31"/>
      <c r="M3990" s="31" t="s">
        <v>854</v>
      </c>
      <c r="N3990" s="6" t="s">
        <v>856</v>
      </c>
    </row>
    <row r="3991" spans="1:14" ht="15" customHeight="1" x14ac:dyDescent="0.2">
      <c r="A3991" s="31">
        <v>0.616140992329958</v>
      </c>
      <c r="B3991" s="31"/>
      <c r="C3991" s="2" t="s">
        <v>855</v>
      </c>
      <c r="D3991" s="31">
        <f t="shared" ref="D3991:D4003" si="130" xml:space="preserve"> A3991 * 0.196</f>
        <v>0.12076363449667177</v>
      </c>
      <c r="F3991" s="2" t="s">
        <v>822</v>
      </c>
      <c r="G3991" s="23" t="s">
        <v>902</v>
      </c>
      <c r="H3991" s="2" t="s">
        <v>822</v>
      </c>
      <c r="J3991" s="31">
        <v>36.703701000000002</v>
      </c>
      <c r="K3991" s="31">
        <v>18.209299099999999</v>
      </c>
      <c r="L3991" s="31"/>
      <c r="M3991" s="31" t="s">
        <v>854</v>
      </c>
      <c r="N3991" s="6" t="s">
        <v>856</v>
      </c>
    </row>
    <row r="3992" spans="1:14" ht="15" customHeight="1" x14ac:dyDescent="0.2">
      <c r="A3992" s="31">
        <v>0.61613336744379932</v>
      </c>
      <c r="B3992" s="31"/>
      <c r="C3992" s="2" t="s">
        <v>855</v>
      </c>
      <c r="D3992" s="31">
        <f t="shared" si="130"/>
        <v>0.12076214001898466</v>
      </c>
      <c r="F3992" s="2" t="s">
        <v>822</v>
      </c>
      <c r="G3992" s="23" t="s">
        <v>902</v>
      </c>
      <c r="H3992" s="2" t="s">
        <v>822</v>
      </c>
      <c r="J3992" s="31">
        <v>51.500900299999998</v>
      </c>
      <c r="K3992" s="31">
        <v>3.2177500999999999</v>
      </c>
      <c r="L3992" s="31"/>
      <c r="M3992" s="31" t="s">
        <v>854</v>
      </c>
      <c r="N3992" s="6" t="s">
        <v>856</v>
      </c>
    </row>
    <row r="3993" spans="1:14" ht="15" customHeight="1" x14ac:dyDescent="0.2">
      <c r="A3993" s="31">
        <v>0.61608921090203306</v>
      </c>
      <c r="B3993" s="31"/>
      <c r="C3993" s="2" t="s">
        <v>855</v>
      </c>
      <c r="D3993" s="31">
        <f t="shared" si="130"/>
        <v>0.12075348533679849</v>
      </c>
      <c r="F3993" s="2" t="s">
        <v>822</v>
      </c>
      <c r="G3993" s="23" t="s">
        <v>902</v>
      </c>
      <c r="H3993" s="2" t="s">
        <v>822</v>
      </c>
      <c r="J3993" s="31">
        <v>34.723998999999999</v>
      </c>
      <c r="K3993" s="31">
        <v>-20.516000699999999</v>
      </c>
      <c r="L3993" s="31"/>
      <c r="M3993" s="31" t="s">
        <v>854</v>
      </c>
      <c r="N3993" s="6" t="s">
        <v>856</v>
      </c>
    </row>
    <row r="3994" spans="1:14" ht="15" customHeight="1" x14ac:dyDescent="0.2">
      <c r="A3994" s="31">
        <v>0.61591830488609678</v>
      </c>
      <c r="B3994" s="31"/>
      <c r="C3994" s="2" t="s">
        <v>855</v>
      </c>
      <c r="D3994" s="31">
        <f t="shared" si="130"/>
        <v>0.12071998775767498</v>
      </c>
      <c r="F3994" s="2" t="s">
        <v>822</v>
      </c>
      <c r="G3994" s="23" t="s">
        <v>902</v>
      </c>
      <c r="H3994" s="2" t="s">
        <v>822</v>
      </c>
      <c r="J3994" s="31">
        <v>36.868598900000002</v>
      </c>
      <c r="K3994" s="31">
        <v>-15.4565001</v>
      </c>
      <c r="L3994" s="31"/>
      <c r="M3994" s="31" t="s">
        <v>854</v>
      </c>
      <c r="N3994" s="6" t="s">
        <v>856</v>
      </c>
    </row>
    <row r="3995" spans="1:14" ht="15" customHeight="1" x14ac:dyDescent="0.2">
      <c r="A3995" s="31">
        <v>0.6152801648586036</v>
      </c>
      <c r="B3995" s="31"/>
      <c r="C3995" s="2" t="s">
        <v>855</v>
      </c>
      <c r="D3995" s="31">
        <f t="shared" si="130"/>
        <v>0.12059491231228631</v>
      </c>
      <c r="F3995" s="2" t="s">
        <v>822</v>
      </c>
      <c r="G3995" s="23" t="s">
        <v>902</v>
      </c>
      <c r="H3995" s="2" t="s">
        <v>822</v>
      </c>
      <c r="J3995" s="31">
        <v>49.126701400000002</v>
      </c>
      <c r="K3995" s="31">
        <v>-2.7911100000000002</v>
      </c>
      <c r="L3995" s="31"/>
      <c r="M3995" s="31" t="s">
        <v>854</v>
      </c>
      <c r="N3995" s="6" t="s">
        <v>856</v>
      </c>
    </row>
    <row r="3996" spans="1:14" ht="15" customHeight="1" x14ac:dyDescent="0.2">
      <c r="A3996" s="31">
        <v>0.61518233631533858</v>
      </c>
      <c r="B3996" s="31"/>
      <c r="C3996" s="2" t="s">
        <v>855</v>
      </c>
      <c r="D3996" s="31">
        <f t="shared" si="130"/>
        <v>0.12057573791780636</v>
      </c>
      <c r="F3996" s="2" t="s">
        <v>822</v>
      </c>
      <c r="G3996" s="23" t="s">
        <v>902</v>
      </c>
      <c r="H3996" s="2" t="s">
        <v>822</v>
      </c>
      <c r="J3996" s="31">
        <v>44.751499199999998</v>
      </c>
      <c r="K3996" s="31">
        <v>-29.199199700000001</v>
      </c>
      <c r="L3996" s="31"/>
      <c r="M3996" s="31" t="s">
        <v>854</v>
      </c>
      <c r="N3996" s="6" t="s">
        <v>856</v>
      </c>
    </row>
    <row r="3997" spans="1:14" ht="15" customHeight="1" x14ac:dyDescent="0.2">
      <c r="A3997" s="31">
        <v>0.61503338598527535</v>
      </c>
      <c r="B3997" s="31"/>
      <c r="C3997" s="2" t="s">
        <v>855</v>
      </c>
      <c r="D3997" s="31">
        <f t="shared" si="130"/>
        <v>0.12054654365311397</v>
      </c>
      <c r="F3997" s="2" t="s">
        <v>822</v>
      </c>
      <c r="G3997" s="23" t="s">
        <v>902</v>
      </c>
      <c r="H3997" s="2" t="s">
        <v>822</v>
      </c>
      <c r="J3997" s="31">
        <v>48.751998899999997</v>
      </c>
      <c r="K3997" s="31">
        <v>-33.208000200000001</v>
      </c>
      <c r="L3997" s="31"/>
      <c r="M3997" s="31" t="s">
        <v>854</v>
      </c>
      <c r="N3997" s="6" t="s">
        <v>856</v>
      </c>
    </row>
    <row r="3998" spans="1:14" ht="15" customHeight="1" x14ac:dyDescent="0.2">
      <c r="A3998" s="31">
        <v>0.61484494129294676</v>
      </c>
      <c r="B3998" s="31"/>
      <c r="C3998" s="2" t="s">
        <v>855</v>
      </c>
      <c r="D3998" s="31">
        <f t="shared" si="130"/>
        <v>0.12050960849341757</v>
      </c>
      <c r="F3998" s="2" t="s">
        <v>822</v>
      </c>
      <c r="G3998" s="23" t="s">
        <v>902</v>
      </c>
      <c r="H3998" s="2" t="s">
        <v>822</v>
      </c>
      <c r="J3998" s="31">
        <v>53.635501900000001</v>
      </c>
      <c r="K3998" s="31">
        <v>8.2347201999999999</v>
      </c>
      <c r="L3998" s="31"/>
      <c r="M3998" s="31" t="s">
        <v>854</v>
      </c>
      <c r="N3998" s="6" t="s">
        <v>856</v>
      </c>
    </row>
    <row r="3999" spans="1:14" ht="15" customHeight="1" x14ac:dyDescent="0.2">
      <c r="A3999" s="31">
        <v>0.61481798373422869</v>
      </c>
      <c r="B3999" s="31"/>
      <c r="C3999" s="2" t="s">
        <v>855</v>
      </c>
      <c r="D3999" s="31">
        <f t="shared" si="130"/>
        <v>0.12050432481190883</v>
      </c>
      <c r="F3999" s="2" t="s">
        <v>822</v>
      </c>
      <c r="G3999" s="23" t="s">
        <v>902</v>
      </c>
      <c r="H3999" s="2" t="s">
        <v>822</v>
      </c>
      <c r="J3999" s="31">
        <v>40.352600099999997</v>
      </c>
      <c r="K3999" s="31">
        <v>5.9484401</v>
      </c>
      <c r="L3999" s="31"/>
      <c r="M3999" s="31" t="s">
        <v>854</v>
      </c>
      <c r="N3999" s="6" t="s">
        <v>856</v>
      </c>
    </row>
    <row r="4000" spans="1:14" ht="15" customHeight="1" x14ac:dyDescent="0.2">
      <c r="A4000" s="31">
        <v>0.61423440663726592</v>
      </c>
      <c r="B4000" s="31"/>
      <c r="C4000" s="2" t="s">
        <v>855</v>
      </c>
      <c r="D4000" s="31">
        <f t="shared" si="130"/>
        <v>0.12038994370090413</v>
      </c>
      <c r="F4000" s="2" t="s">
        <v>822</v>
      </c>
      <c r="G4000" s="23" t="s">
        <v>902</v>
      </c>
      <c r="H4000" s="2" t="s">
        <v>822</v>
      </c>
      <c r="J4000" s="31">
        <v>37.221500399999996</v>
      </c>
      <c r="K4000" s="31">
        <v>0.84630700000000003</v>
      </c>
      <c r="L4000" s="31"/>
      <c r="M4000" s="31" t="s">
        <v>854</v>
      </c>
      <c r="N4000" s="6" t="s">
        <v>856</v>
      </c>
    </row>
    <row r="4001" spans="1:14" ht="15" customHeight="1" x14ac:dyDescent="0.2">
      <c r="A4001" s="31">
        <v>0.61408394964038437</v>
      </c>
      <c r="B4001" s="31"/>
      <c r="C4001" s="2" t="s">
        <v>855</v>
      </c>
      <c r="D4001" s="31">
        <f t="shared" si="130"/>
        <v>0.12036045412951535</v>
      </c>
      <c r="F4001" s="2" t="s">
        <v>822</v>
      </c>
      <c r="G4001" s="23" t="s">
        <v>902</v>
      </c>
      <c r="H4001" s="2" t="s">
        <v>822</v>
      </c>
      <c r="J4001" s="31">
        <v>48.751998899999997</v>
      </c>
      <c r="K4001" s="31">
        <v>-17.8439999</v>
      </c>
      <c r="L4001" s="31"/>
      <c r="M4001" s="31" t="s">
        <v>854</v>
      </c>
      <c r="N4001" s="6" t="s">
        <v>856</v>
      </c>
    </row>
    <row r="4002" spans="1:14" ht="15" customHeight="1" x14ac:dyDescent="0.2">
      <c r="A4002" s="31">
        <v>0.6140223683931233</v>
      </c>
      <c r="B4002" s="31"/>
      <c r="C4002" s="2" t="s">
        <v>855</v>
      </c>
      <c r="D4002" s="31">
        <f t="shared" si="130"/>
        <v>0.12034838420505217</v>
      </c>
      <c r="F4002" s="2" t="s">
        <v>822</v>
      </c>
      <c r="G4002" s="23" t="s">
        <v>902</v>
      </c>
      <c r="H4002" s="2" t="s">
        <v>822</v>
      </c>
      <c r="J4002" s="31">
        <v>43.954700500000001</v>
      </c>
      <c r="K4002" s="31">
        <v>-19.223300900000002</v>
      </c>
      <c r="L4002" s="31"/>
      <c r="M4002" s="31" t="s">
        <v>854</v>
      </c>
      <c r="N4002" s="6" t="s">
        <v>856</v>
      </c>
    </row>
    <row r="4003" spans="1:14" ht="15" customHeight="1" x14ac:dyDescent="0.2">
      <c r="A4003" s="31">
        <v>0.61386954494603729</v>
      </c>
      <c r="B4003" s="31"/>
      <c r="C4003" s="2" t="s">
        <v>855</v>
      </c>
      <c r="D4003" s="31">
        <f t="shared" si="130"/>
        <v>0.12031843080942331</v>
      </c>
      <c r="F4003" s="2" t="s">
        <v>822</v>
      </c>
      <c r="G4003" s="23" t="s">
        <v>902</v>
      </c>
      <c r="H4003" s="2" t="s">
        <v>822</v>
      </c>
      <c r="J4003" s="31">
        <v>37.710800200000001</v>
      </c>
      <c r="K4003" s="31">
        <v>15.6176996</v>
      </c>
      <c r="L4003" s="31"/>
      <c r="M4003" s="31" t="s">
        <v>854</v>
      </c>
      <c r="N4003" s="6" t="s">
        <v>856</v>
      </c>
    </row>
    <row r="4004" spans="1:14" ht="15" customHeight="1" x14ac:dyDescent="0.2">
      <c r="A4004" s="22">
        <v>0.12030836839074099</v>
      </c>
      <c r="B4004" s="22"/>
      <c r="C4004" s="2" t="s">
        <v>891</v>
      </c>
      <c r="D4004" s="2">
        <f>A4004</f>
        <v>0.12030836839074099</v>
      </c>
      <c r="F4004" s="2">
        <v>2023</v>
      </c>
      <c r="G4004" s="23" t="s">
        <v>902</v>
      </c>
      <c r="H4004" s="2" t="s">
        <v>771</v>
      </c>
      <c r="I4004" s="23" t="s">
        <v>189</v>
      </c>
      <c r="J4004" s="23">
        <v>58077386</v>
      </c>
      <c r="K4004" s="23">
        <v>11813529</v>
      </c>
      <c r="L4004" s="23" t="s">
        <v>819</v>
      </c>
      <c r="M4004" s="2" t="s">
        <v>825</v>
      </c>
      <c r="N4004" s="6" t="s">
        <v>828</v>
      </c>
    </row>
    <row r="4005" spans="1:14" ht="15" customHeight="1" x14ac:dyDescent="0.2">
      <c r="A4005" s="31">
        <v>0.61328099520299484</v>
      </c>
      <c r="B4005" s="31"/>
      <c r="C4005" s="2" t="s">
        <v>855</v>
      </c>
      <c r="D4005" s="31">
        <f t="shared" ref="D4005:D4036" si="131" xml:space="preserve"> A4005 * 0.196</f>
        <v>0.12020307505978699</v>
      </c>
      <c r="F4005" s="2" t="s">
        <v>822</v>
      </c>
      <c r="G4005" s="23" t="s">
        <v>902</v>
      </c>
      <c r="H4005" s="2" t="s">
        <v>822</v>
      </c>
      <c r="J4005" s="31">
        <v>44.0956993</v>
      </c>
      <c r="K4005" s="31">
        <v>-32.550098400000003</v>
      </c>
      <c r="L4005" s="31"/>
      <c r="M4005" s="31" t="s">
        <v>854</v>
      </c>
      <c r="N4005" s="6" t="s">
        <v>856</v>
      </c>
    </row>
    <row r="4006" spans="1:14" ht="15" customHeight="1" x14ac:dyDescent="0.2">
      <c r="A4006" s="31">
        <v>0.61304408201946947</v>
      </c>
      <c r="B4006" s="31"/>
      <c r="C4006" s="2" t="s">
        <v>855</v>
      </c>
      <c r="D4006" s="31">
        <f t="shared" si="131"/>
        <v>0.12015664007581602</v>
      </c>
      <c r="F4006" s="2" t="s">
        <v>822</v>
      </c>
      <c r="G4006" s="23" t="s">
        <v>902</v>
      </c>
      <c r="H4006" s="2" t="s">
        <v>822</v>
      </c>
      <c r="J4006" s="31">
        <v>49.419998200000002</v>
      </c>
      <c r="K4006" s="31">
        <v>-34.543998700000003</v>
      </c>
      <c r="L4006" s="31"/>
      <c r="M4006" s="31" t="s">
        <v>854</v>
      </c>
      <c r="N4006" s="6" t="s">
        <v>856</v>
      </c>
    </row>
    <row r="4007" spans="1:14" ht="15" customHeight="1" x14ac:dyDescent="0.2">
      <c r="A4007" s="31">
        <v>0.61297612411350266</v>
      </c>
      <c r="B4007" s="31"/>
      <c r="C4007" s="2" t="s">
        <v>855</v>
      </c>
      <c r="D4007" s="31">
        <f t="shared" si="131"/>
        <v>0.12014332032624653</v>
      </c>
      <c r="F4007" s="2" t="s">
        <v>822</v>
      </c>
      <c r="G4007" s="23" t="s">
        <v>902</v>
      </c>
      <c r="H4007" s="2" t="s">
        <v>822</v>
      </c>
      <c r="J4007" s="31">
        <v>31.015100499999999</v>
      </c>
      <c r="K4007" s="31">
        <v>-36.726501499999998</v>
      </c>
      <c r="L4007" s="31"/>
      <c r="M4007" s="31" t="s">
        <v>854</v>
      </c>
      <c r="N4007" s="6" t="s">
        <v>856</v>
      </c>
    </row>
    <row r="4008" spans="1:14" ht="15" customHeight="1" x14ac:dyDescent="0.2">
      <c r="A4008" s="31">
        <v>0.6128783306897686</v>
      </c>
      <c r="B4008" s="31"/>
      <c r="C4008" s="2" t="s">
        <v>855</v>
      </c>
      <c r="D4008" s="31">
        <f t="shared" si="131"/>
        <v>0.12012415281519465</v>
      </c>
      <c r="F4008" s="2" t="s">
        <v>822</v>
      </c>
      <c r="G4008" s="23" t="s">
        <v>902</v>
      </c>
      <c r="H4008" s="2" t="s">
        <v>822</v>
      </c>
      <c r="J4008" s="31">
        <v>49.756198900000001</v>
      </c>
      <c r="K4008" s="31">
        <v>-1.7450401</v>
      </c>
      <c r="L4008" s="31"/>
      <c r="M4008" s="31" t="s">
        <v>854</v>
      </c>
      <c r="N4008" s="6" t="s">
        <v>856</v>
      </c>
    </row>
    <row r="4009" spans="1:14" ht="15" customHeight="1" x14ac:dyDescent="0.2">
      <c r="A4009" s="31">
        <v>0.61262745153271458</v>
      </c>
      <c r="B4009" s="31"/>
      <c r="C4009" s="2" t="s">
        <v>855</v>
      </c>
      <c r="D4009" s="31">
        <f t="shared" si="131"/>
        <v>0.12007498050041206</v>
      </c>
      <c r="F4009" s="2" t="s">
        <v>822</v>
      </c>
      <c r="G4009" s="23" t="s">
        <v>902</v>
      </c>
      <c r="H4009" s="2" t="s">
        <v>822</v>
      </c>
      <c r="J4009" s="31">
        <v>43.697898899999998</v>
      </c>
      <c r="K4009" s="31">
        <v>-31.148399399999999</v>
      </c>
      <c r="L4009" s="31"/>
      <c r="M4009" s="31" t="s">
        <v>854</v>
      </c>
      <c r="N4009" s="6" t="s">
        <v>856</v>
      </c>
    </row>
    <row r="4010" spans="1:14" ht="15" customHeight="1" x14ac:dyDescent="0.2">
      <c r="A4010" s="31">
        <v>0.61228236813193837</v>
      </c>
      <c r="B4010" s="31"/>
      <c r="C4010" s="2" t="s">
        <v>855</v>
      </c>
      <c r="D4010" s="31">
        <f t="shared" si="131"/>
        <v>0.12000734415385993</v>
      </c>
      <c r="F4010" s="2" t="s">
        <v>822</v>
      </c>
      <c r="G4010" s="23" t="s">
        <v>902</v>
      </c>
      <c r="H4010" s="2" t="s">
        <v>822</v>
      </c>
      <c r="J4010" s="31">
        <v>36.396099100000001</v>
      </c>
      <c r="K4010" s="31">
        <v>-32.362701399999999</v>
      </c>
      <c r="L4010" s="31"/>
      <c r="M4010" s="31" t="s">
        <v>854</v>
      </c>
      <c r="N4010" s="6" t="s">
        <v>856</v>
      </c>
    </row>
    <row r="4011" spans="1:14" ht="15" customHeight="1" x14ac:dyDescent="0.2">
      <c r="A4011" s="31">
        <v>0.61227817565117049</v>
      </c>
      <c r="B4011" s="31"/>
      <c r="C4011" s="2" t="s">
        <v>855</v>
      </c>
      <c r="D4011" s="31">
        <f t="shared" si="131"/>
        <v>0.12000652242762942</v>
      </c>
      <c r="F4011" s="2" t="s">
        <v>822</v>
      </c>
      <c r="G4011" s="23" t="s">
        <v>902</v>
      </c>
      <c r="H4011" s="2" t="s">
        <v>822</v>
      </c>
      <c r="J4011" s="31">
        <v>44.534400900000001</v>
      </c>
      <c r="K4011" s="31">
        <v>-23.158599899999999</v>
      </c>
      <c r="L4011" s="31"/>
      <c r="M4011" s="31" t="s">
        <v>854</v>
      </c>
      <c r="N4011" s="6" t="s">
        <v>856</v>
      </c>
    </row>
    <row r="4012" spans="1:14" ht="15" customHeight="1" x14ac:dyDescent="0.2">
      <c r="A4012" s="31">
        <v>0.61209842990065855</v>
      </c>
      <c r="B4012" s="31"/>
      <c r="C4012" s="2" t="s">
        <v>855</v>
      </c>
      <c r="D4012" s="31">
        <f t="shared" si="131"/>
        <v>0.11997129226052908</v>
      </c>
      <c r="F4012" s="2" t="s">
        <v>822</v>
      </c>
      <c r="G4012" s="23" t="s">
        <v>902</v>
      </c>
      <c r="H4012" s="2" t="s">
        <v>822</v>
      </c>
      <c r="J4012" s="31">
        <v>43.636699700000001</v>
      </c>
      <c r="K4012" s="31">
        <v>-27.611299500000001</v>
      </c>
      <c r="L4012" s="31"/>
      <c r="M4012" s="31" t="s">
        <v>854</v>
      </c>
      <c r="N4012" s="6" t="s">
        <v>856</v>
      </c>
    </row>
    <row r="4013" spans="1:14" ht="15" customHeight="1" x14ac:dyDescent="0.2">
      <c r="A4013" s="31">
        <v>0.61207270748562548</v>
      </c>
      <c r="B4013" s="31"/>
      <c r="C4013" s="2" t="s">
        <v>855</v>
      </c>
      <c r="D4013" s="31">
        <f t="shared" si="131"/>
        <v>0.1199662506671826</v>
      </c>
      <c r="F4013" s="2" t="s">
        <v>822</v>
      </c>
      <c r="G4013" s="23" t="s">
        <v>902</v>
      </c>
      <c r="H4013" s="2" t="s">
        <v>822</v>
      </c>
      <c r="J4013" s="31">
        <v>35.391700700000001</v>
      </c>
      <c r="K4013" s="31">
        <v>-14.496700300000001</v>
      </c>
      <c r="L4013" s="31"/>
      <c r="M4013" s="31" t="s">
        <v>854</v>
      </c>
      <c r="N4013" s="6" t="s">
        <v>856</v>
      </c>
    </row>
    <row r="4014" spans="1:14" ht="15" customHeight="1" x14ac:dyDescent="0.2">
      <c r="A4014" s="31">
        <v>0.61198254033213328</v>
      </c>
      <c r="B4014" s="31"/>
      <c r="C4014" s="2" t="s">
        <v>855</v>
      </c>
      <c r="D4014" s="31">
        <f t="shared" si="131"/>
        <v>0.11994857790509812</v>
      </c>
      <c r="F4014" s="2" t="s">
        <v>822</v>
      </c>
      <c r="G4014" s="23" t="s">
        <v>902</v>
      </c>
      <c r="H4014" s="2" t="s">
        <v>822</v>
      </c>
      <c r="J4014" s="31">
        <v>60.466999100000002</v>
      </c>
      <c r="K4014" s="31">
        <v>18.316499700000001</v>
      </c>
      <c r="L4014" s="31"/>
      <c r="M4014" s="31" t="s">
        <v>854</v>
      </c>
      <c r="N4014" s="6" t="s">
        <v>856</v>
      </c>
    </row>
    <row r="4015" spans="1:14" ht="15" customHeight="1" x14ac:dyDescent="0.2">
      <c r="A4015" s="31">
        <v>0.61181649449571252</v>
      </c>
      <c r="B4015" s="31"/>
      <c r="C4015" s="2" t="s">
        <v>855</v>
      </c>
      <c r="D4015" s="31">
        <f t="shared" si="131"/>
        <v>0.11991603292115965</v>
      </c>
      <c r="F4015" s="2" t="s">
        <v>822</v>
      </c>
      <c r="G4015" s="23" t="s">
        <v>902</v>
      </c>
      <c r="H4015" s="2" t="s">
        <v>822</v>
      </c>
      <c r="J4015" s="31">
        <v>54.8755989</v>
      </c>
      <c r="K4015" s="31">
        <v>7.4718399</v>
      </c>
      <c r="L4015" s="31"/>
      <c r="M4015" s="31" t="s">
        <v>854</v>
      </c>
      <c r="N4015" s="6" t="s">
        <v>856</v>
      </c>
    </row>
    <row r="4016" spans="1:14" ht="15" customHeight="1" x14ac:dyDescent="0.2">
      <c r="A4016" s="31">
        <v>0.61173740426120526</v>
      </c>
      <c r="B4016" s="31"/>
      <c r="C4016" s="2" t="s">
        <v>855</v>
      </c>
      <c r="D4016" s="31">
        <f t="shared" si="131"/>
        <v>0.11990053123519624</v>
      </c>
      <c r="F4016" s="2" t="s">
        <v>822</v>
      </c>
      <c r="G4016" s="23" t="s">
        <v>902</v>
      </c>
      <c r="H4016" s="2" t="s">
        <v>822</v>
      </c>
      <c r="J4016" s="31">
        <v>50.076400800000002</v>
      </c>
      <c r="K4016" s="31">
        <v>-27.2408009</v>
      </c>
      <c r="L4016" s="31"/>
      <c r="M4016" s="31" t="s">
        <v>854</v>
      </c>
      <c r="N4016" s="6" t="s">
        <v>856</v>
      </c>
    </row>
    <row r="4017" spans="1:14" ht="15" customHeight="1" x14ac:dyDescent="0.2">
      <c r="A4017" s="31">
        <v>0.61162230809929852</v>
      </c>
      <c r="B4017" s="31"/>
      <c r="C4017" s="2" t="s">
        <v>855</v>
      </c>
      <c r="D4017" s="31">
        <f t="shared" si="131"/>
        <v>0.11987797238746252</v>
      </c>
      <c r="F4017" s="2" t="s">
        <v>822</v>
      </c>
      <c r="G4017" s="23" t="s">
        <v>902</v>
      </c>
      <c r="H4017" s="2" t="s">
        <v>822</v>
      </c>
      <c r="J4017" s="31">
        <v>36.060001399999997</v>
      </c>
      <c r="K4017" s="31">
        <v>17.5599995</v>
      </c>
      <c r="L4017" s="31"/>
      <c r="M4017" s="31" t="s">
        <v>854</v>
      </c>
      <c r="N4017" s="6" t="s">
        <v>856</v>
      </c>
    </row>
    <row r="4018" spans="1:14" ht="15" customHeight="1" x14ac:dyDescent="0.2">
      <c r="A4018" s="31">
        <v>0.6115375514151411</v>
      </c>
      <c r="B4018" s="31"/>
      <c r="C4018" s="2" t="s">
        <v>855</v>
      </c>
      <c r="D4018" s="31">
        <f t="shared" si="131"/>
        <v>0.11986136007736765</v>
      </c>
      <c r="F4018" s="2" t="s">
        <v>822</v>
      </c>
      <c r="G4018" s="23" t="s">
        <v>902</v>
      </c>
      <c r="H4018" s="2" t="s">
        <v>822</v>
      </c>
      <c r="J4018" s="31">
        <v>30.740200000000002</v>
      </c>
      <c r="K4018" s="31">
        <v>-27.886499400000002</v>
      </c>
      <c r="L4018" s="31"/>
      <c r="M4018" s="31" t="s">
        <v>854</v>
      </c>
      <c r="N4018" s="6" t="s">
        <v>856</v>
      </c>
    </row>
    <row r="4019" spans="1:14" ht="15" customHeight="1" x14ac:dyDescent="0.2">
      <c r="A4019" s="31">
        <v>0.61150691431766113</v>
      </c>
      <c r="B4019" s="31"/>
      <c r="C4019" s="2" t="s">
        <v>855</v>
      </c>
      <c r="D4019" s="31">
        <f t="shared" si="131"/>
        <v>0.11985535520626159</v>
      </c>
      <c r="F4019" s="2" t="s">
        <v>822</v>
      </c>
      <c r="G4019" s="23" t="s">
        <v>902</v>
      </c>
      <c r="H4019" s="2" t="s">
        <v>822</v>
      </c>
      <c r="J4019" s="31">
        <v>32.705299400000001</v>
      </c>
      <c r="K4019" s="31">
        <v>-34.533698999999999</v>
      </c>
      <c r="L4019" s="31"/>
      <c r="M4019" s="31" t="s">
        <v>854</v>
      </c>
      <c r="N4019" s="6" t="s">
        <v>856</v>
      </c>
    </row>
    <row r="4020" spans="1:14" ht="15" customHeight="1" x14ac:dyDescent="0.2">
      <c r="A4020" s="31">
        <v>0.61144326030191853</v>
      </c>
      <c r="B4020" s="31"/>
      <c r="C4020" s="2" t="s">
        <v>855</v>
      </c>
      <c r="D4020" s="31">
        <f t="shared" si="131"/>
        <v>0.11984287901917604</v>
      </c>
      <c r="F4020" s="2" t="s">
        <v>822</v>
      </c>
      <c r="G4020" s="23" t="s">
        <v>902</v>
      </c>
      <c r="H4020" s="2" t="s">
        <v>822</v>
      </c>
      <c r="J4020" s="31">
        <v>55.254798899999997</v>
      </c>
      <c r="K4020" s="31">
        <v>14.897500000000001</v>
      </c>
      <c r="L4020" s="31"/>
      <c r="M4020" s="31" t="s">
        <v>854</v>
      </c>
      <c r="N4020" s="6" t="s">
        <v>856</v>
      </c>
    </row>
    <row r="4021" spans="1:14" ht="15" customHeight="1" x14ac:dyDescent="0.2">
      <c r="A4021" s="31">
        <v>0.61142331217540968</v>
      </c>
      <c r="B4021" s="31"/>
      <c r="C4021" s="2" t="s">
        <v>855</v>
      </c>
      <c r="D4021" s="31">
        <f t="shared" si="131"/>
        <v>0.1198389691863803</v>
      </c>
      <c r="F4021" s="2" t="s">
        <v>822</v>
      </c>
      <c r="G4021" s="23" t="s">
        <v>902</v>
      </c>
      <c r="H4021" s="2" t="s">
        <v>822</v>
      </c>
      <c r="J4021" s="31">
        <v>30.048000300000002</v>
      </c>
      <c r="K4021" s="31">
        <v>-37.883998900000002</v>
      </c>
      <c r="L4021" s="31"/>
      <c r="M4021" s="31" t="s">
        <v>854</v>
      </c>
      <c r="N4021" s="6" t="s">
        <v>856</v>
      </c>
    </row>
    <row r="4022" spans="1:14" ht="15" customHeight="1" x14ac:dyDescent="0.2">
      <c r="A4022" s="31">
        <v>0.61138413731576458</v>
      </c>
      <c r="B4022" s="31"/>
      <c r="C4022" s="2" t="s">
        <v>855</v>
      </c>
      <c r="D4022" s="31">
        <f t="shared" si="131"/>
        <v>0.11983129091388986</v>
      </c>
      <c r="F4022" s="2" t="s">
        <v>822</v>
      </c>
      <c r="G4022" s="23" t="s">
        <v>902</v>
      </c>
      <c r="H4022" s="2" t="s">
        <v>822</v>
      </c>
      <c r="J4022" s="31">
        <v>42.740001700000001</v>
      </c>
      <c r="K4022" s="31">
        <v>-40.555999800000002</v>
      </c>
      <c r="L4022" s="31"/>
      <c r="M4022" s="31" t="s">
        <v>854</v>
      </c>
      <c r="N4022" s="6" t="s">
        <v>856</v>
      </c>
    </row>
    <row r="4023" spans="1:14" ht="15" customHeight="1" x14ac:dyDescent="0.2">
      <c r="A4023" s="31">
        <v>0.6110647026243885</v>
      </c>
      <c r="B4023" s="31"/>
      <c r="C4023" s="2" t="s">
        <v>855</v>
      </c>
      <c r="D4023" s="31">
        <f t="shared" si="131"/>
        <v>0.11976868171438015</v>
      </c>
      <c r="F4023" s="2" t="s">
        <v>822</v>
      </c>
      <c r="G4023" s="23" t="s">
        <v>902</v>
      </c>
      <c r="H4023" s="2" t="s">
        <v>822</v>
      </c>
      <c r="J4023" s="31">
        <v>32.051998099999999</v>
      </c>
      <c r="K4023" s="31">
        <v>-23.856000900000002</v>
      </c>
      <c r="L4023" s="31"/>
      <c r="M4023" s="31" t="s">
        <v>854</v>
      </c>
      <c r="N4023" s="6" t="s">
        <v>856</v>
      </c>
    </row>
    <row r="4024" spans="1:14" ht="15" customHeight="1" x14ac:dyDescent="0.2">
      <c r="A4024" s="31">
        <v>0.61100670873334129</v>
      </c>
      <c r="B4024" s="31"/>
      <c r="C4024" s="2" t="s">
        <v>855</v>
      </c>
      <c r="D4024" s="31">
        <f t="shared" si="131"/>
        <v>0.1197573149117349</v>
      </c>
      <c r="F4024" s="2" t="s">
        <v>822</v>
      </c>
      <c r="G4024" s="23" t="s">
        <v>902</v>
      </c>
      <c r="H4024" s="2" t="s">
        <v>822</v>
      </c>
      <c r="J4024" s="31">
        <v>34.723998999999999</v>
      </c>
      <c r="K4024" s="31">
        <v>-22.520000499999998</v>
      </c>
      <c r="L4024" s="31"/>
      <c r="M4024" s="31" t="s">
        <v>854</v>
      </c>
      <c r="N4024" s="6" t="s">
        <v>856</v>
      </c>
    </row>
    <row r="4025" spans="1:14" ht="15" customHeight="1" x14ac:dyDescent="0.2">
      <c r="A4025" s="31">
        <v>0.61047738903854087</v>
      </c>
      <c r="B4025" s="31"/>
      <c r="C4025" s="2" t="s">
        <v>855</v>
      </c>
      <c r="D4025" s="31">
        <f t="shared" si="131"/>
        <v>0.11965356825155402</v>
      </c>
      <c r="F4025" s="2" t="s">
        <v>822</v>
      </c>
      <c r="G4025" s="23" t="s">
        <v>902</v>
      </c>
      <c r="H4025" s="2" t="s">
        <v>822</v>
      </c>
      <c r="J4025" s="31">
        <v>45.019699099999997</v>
      </c>
      <c r="K4025" s="31">
        <v>-34.486099199999998</v>
      </c>
      <c r="L4025" s="31"/>
      <c r="M4025" s="31" t="s">
        <v>854</v>
      </c>
      <c r="N4025" s="6" t="s">
        <v>856</v>
      </c>
    </row>
    <row r="4026" spans="1:14" ht="15" customHeight="1" x14ac:dyDescent="0.2">
      <c r="A4026" s="31">
        <v>0.61042108940847661</v>
      </c>
      <c r="B4026" s="31"/>
      <c r="C4026" s="2" t="s">
        <v>855</v>
      </c>
      <c r="D4026" s="31">
        <f t="shared" si="131"/>
        <v>0.11964253352406141</v>
      </c>
      <c r="F4026" s="2" t="s">
        <v>822</v>
      </c>
      <c r="G4026" s="23" t="s">
        <v>902</v>
      </c>
      <c r="H4026" s="2" t="s">
        <v>822</v>
      </c>
      <c r="J4026" s="31">
        <v>45.769901300000001</v>
      </c>
      <c r="K4026" s="31">
        <v>-34.536300699999998</v>
      </c>
      <c r="L4026" s="31"/>
      <c r="M4026" s="31" t="s">
        <v>854</v>
      </c>
      <c r="N4026" s="6" t="s">
        <v>856</v>
      </c>
    </row>
    <row r="4027" spans="1:14" ht="15" customHeight="1" x14ac:dyDescent="0.2">
      <c r="A4027" s="31">
        <v>0.61038879955842262</v>
      </c>
      <c r="B4027" s="31"/>
      <c r="C4027" s="2" t="s">
        <v>855</v>
      </c>
      <c r="D4027" s="31">
        <f t="shared" si="131"/>
        <v>0.11963620471345084</v>
      </c>
      <c r="F4027" s="2" t="s">
        <v>822</v>
      </c>
      <c r="G4027" s="23" t="s">
        <v>902</v>
      </c>
      <c r="H4027" s="2" t="s">
        <v>822</v>
      </c>
      <c r="J4027" s="31">
        <v>32.752998400000003</v>
      </c>
      <c r="K4027" s="31">
        <v>26.2936993</v>
      </c>
      <c r="L4027" s="31"/>
      <c r="M4027" s="31" t="s">
        <v>854</v>
      </c>
      <c r="N4027" s="6" t="s">
        <v>856</v>
      </c>
    </row>
    <row r="4028" spans="1:14" ht="15" customHeight="1" x14ac:dyDescent="0.2">
      <c r="A4028" s="31">
        <v>0.61033817388756406</v>
      </c>
      <c r="B4028" s="31"/>
      <c r="C4028" s="2" t="s">
        <v>855</v>
      </c>
      <c r="D4028" s="31">
        <f t="shared" si="131"/>
        <v>0.11962628208196256</v>
      </c>
      <c r="F4028" s="2" t="s">
        <v>822</v>
      </c>
      <c r="G4028" s="23" t="s">
        <v>902</v>
      </c>
      <c r="H4028" s="2" t="s">
        <v>822</v>
      </c>
      <c r="J4028" s="31">
        <v>36.060001399999997</v>
      </c>
      <c r="K4028" s="31">
        <v>-22.520000499999998</v>
      </c>
      <c r="L4028" s="31"/>
      <c r="M4028" s="31" t="s">
        <v>854</v>
      </c>
      <c r="N4028" s="6" t="s">
        <v>856</v>
      </c>
    </row>
    <row r="4029" spans="1:14" ht="15" customHeight="1" x14ac:dyDescent="0.2">
      <c r="A4029" s="31">
        <v>0.61030967403070413</v>
      </c>
      <c r="B4029" s="31"/>
      <c r="C4029" s="2" t="s">
        <v>855</v>
      </c>
      <c r="D4029" s="31">
        <f t="shared" si="131"/>
        <v>0.11962069611001802</v>
      </c>
      <c r="F4029" s="2" t="s">
        <v>822</v>
      </c>
      <c r="G4029" s="23" t="s">
        <v>902</v>
      </c>
      <c r="H4029" s="2" t="s">
        <v>822</v>
      </c>
      <c r="J4029" s="31">
        <v>26.040000899999999</v>
      </c>
      <c r="K4029" s="31">
        <v>-23.856000900000002</v>
      </c>
      <c r="L4029" s="31"/>
      <c r="M4029" s="31" t="s">
        <v>854</v>
      </c>
      <c r="N4029" s="6" t="s">
        <v>856</v>
      </c>
    </row>
    <row r="4030" spans="1:14" ht="15" customHeight="1" x14ac:dyDescent="0.2">
      <c r="A4030" s="31">
        <v>0.6102478938958944</v>
      </c>
      <c r="B4030" s="31"/>
      <c r="C4030" s="2" t="s">
        <v>855</v>
      </c>
      <c r="D4030" s="31">
        <f t="shared" si="131"/>
        <v>0.11960858720359531</v>
      </c>
      <c r="F4030" s="2" t="s">
        <v>822</v>
      </c>
      <c r="G4030" s="23" t="s">
        <v>902</v>
      </c>
      <c r="H4030" s="2" t="s">
        <v>822</v>
      </c>
      <c r="J4030" s="31">
        <v>55.584598499999998</v>
      </c>
      <c r="K4030" s="31">
        <v>7.4718399</v>
      </c>
      <c r="L4030" s="31"/>
      <c r="M4030" s="31" t="s">
        <v>854</v>
      </c>
      <c r="N4030" s="6" t="s">
        <v>856</v>
      </c>
    </row>
    <row r="4031" spans="1:14" ht="15" customHeight="1" x14ac:dyDescent="0.2">
      <c r="A4031" s="31">
        <v>0.6100957146360465</v>
      </c>
      <c r="B4031" s="31"/>
      <c r="C4031" s="2" t="s">
        <v>855</v>
      </c>
      <c r="D4031" s="31">
        <f t="shared" si="131"/>
        <v>0.11957876006866512</v>
      </c>
      <c r="F4031" s="2" t="s">
        <v>822</v>
      </c>
      <c r="G4031" s="23" t="s">
        <v>902</v>
      </c>
      <c r="H4031" s="2" t="s">
        <v>822</v>
      </c>
      <c r="J4031" s="31">
        <v>34.723998999999999</v>
      </c>
      <c r="K4031" s="31">
        <v>-25.860000599999999</v>
      </c>
      <c r="L4031" s="31"/>
      <c r="M4031" s="31" t="s">
        <v>854</v>
      </c>
      <c r="N4031" s="6" t="s">
        <v>856</v>
      </c>
    </row>
    <row r="4032" spans="1:14" ht="15" customHeight="1" x14ac:dyDescent="0.2">
      <c r="A4032" s="31">
        <v>0.60975100037010632</v>
      </c>
      <c r="B4032" s="31"/>
      <c r="C4032" s="2" t="s">
        <v>855</v>
      </c>
      <c r="D4032" s="31">
        <f t="shared" si="131"/>
        <v>0.11951119607254085</v>
      </c>
      <c r="F4032" s="2" t="s">
        <v>822</v>
      </c>
      <c r="G4032" s="23" t="s">
        <v>902</v>
      </c>
      <c r="H4032" s="2" t="s">
        <v>822</v>
      </c>
      <c r="J4032" s="31">
        <v>44.319900500000003</v>
      </c>
      <c r="K4032" s="31">
        <v>-26.124399199999999</v>
      </c>
      <c r="L4032" s="31"/>
      <c r="M4032" s="31" t="s">
        <v>854</v>
      </c>
      <c r="N4032" s="6" t="s">
        <v>856</v>
      </c>
    </row>
    <row r="4033" spans="1:14" ht="15" customHeight="1" x14ac:dyDescent="0.2">
      <c r="A4033" s="31">
        <v>0.60973457579660095</v>
      </c>
      <c r="B4033" s="31"/>
      <c r="C4033" s="2" t="s">
        <v>855</v>
      </c>
      <c r="D4033" s="31">
        <f t="shared" si="131"/>
        <v>0.11950797685613379</v>
      </c>
      <c r="F4033" s="2" t="s">
        <v>822</v>
      </c>
      <c r="G4033" s="23" t="s">
        <v>902</v>
      </c>
      <c r="H4033" s="2" t="s">
        <v>822</v>
      </c>
      <c r="J4033" s="31">
        <v>31.4256001</v>
      </c>
      <c r="K4033" s="31">
        <v>-40.553600299999999</v>
      </c>
      <c r="L4033" s="31"/>
      <c r="M4033" s="31" t="s">
        <v>854</v>
      </c>
      <c r="N4033" s="6" t="s">
        <v>856</v>
      </c>
    </row>
    <row r="4034" spans="1:14" ht="15" customHeight="1" x14ac:dyDescent="0.2">
      <c r="A4034" s="31">
        <v>0.6095187055098652</v>
      </c>
      <c r="B4034" s="31"/>
      <c r="C4034" s="2" t="s">
        <v>855</v>
      </c>
      <c r="D4034" s="31">
        <f t="shared" si="131"/>
        <v>0.11946566627993359</v>
      </c>
      <c r="F4034" s="2" t="s">
        <v>822</v>
      </c>
      <c r="G4034" s="23" t="s">
        <v>902</v>
      </c>
      <c r="H4034" s="2" t="s">
        <v>822</v>
      </c>
      <c r="J4034" s="31">
        <v>34.577598600000002</v>
      </c>
      <c r="K4034" s="31">
        <v>-31.265300799999999</v>
      </c>
      <c r="L4034" s="31"/>
      <c r="M4034" s="31" t="s">
        <v>854</v>
      </c>
      <c r="N4034" s="6" t="s">
        <v>856</v>
      </c>
    </row>
    <row r="4035" spans="1:14" ht="15" customHeight="1" x14ac:dyDescent="0.2">
      <c r="A4035" s="31">
        <v>0.60936507532950313</v>
      </c>
      <c r="B4035" s="31"/>
      <c r="C4035" s="2" t="s">
        <v>855</v>
      </c>
      <c r="D4035" s="31">
        <f t="shared" si="131"/>
        <v>0.11943555476458262</v>
      </c>
      <c r="F4035" s="2" t="s">
        <v>822</v>
      </c>
      <c r="G4035" s="23" t="s">
        <v>902</v>
      </c>
      <c r="H4035" s="2" t="s">
        <v>822</v>
      </c>
      <c r="J4035" s="31">
        <v>41.373798399999998</v>
      </c>
      <c r="K4035" s="31">
        <v>-42.472499800000001</v>
      </c>
      <c r="L4035" s="31"/>
      <c r="M4035" s="31" t="s">
        <v>854</v>
      </c>
      <c r="N4035" s="6" t="s">
        <v>856</v>
      </c>
    </row>
    <row r="4036" spans="1:14" ht="15" customHeight="1" x14ac:dyDescent="0.2">
      <c r="A4036" s="31">
        <v>0.60927234095748306</v>
      </c>
      <c r="B4036" s="31"/>
      <c r="C4036" s="2" t="s">
        <v>855</v>
      </c>
      <c r="D4036" s="31">
        <f t="shared" si="131"/>
        <v>0.11941737882766669</v>
      </c>
      <c r="F4036" s="2" t="s">
        <v>822</v>
      </c>
      <c r="G4036" s="23" t="s">
        <v>902</v>
      </c>
      <c r="H4036" s="2" t="s">
        <v>822</v>
      </c>
      <c r="J4036" s="31">
        <v>39.038200400000001</v>
      </c>
      <c r="K4036" s="31">
        <v>8.4737196000000008</v>
      </c>
      <c r="L4036" s="31"/>
      <c r="M4036" s="31" t="s">
        <v>854</v>
      </c>
      <c r="N4036" s="6" t="s">
        <v>856</v>
      </c>
    </row>
    <row r="4037" spans="1:14" ht="15" customHeight="1" x14ac:dyDescent="0.2">
      <c r="A4037" s="31">
        <v>0.60926060102115565</v>
      </c>
      <c r="B4037" s="31"/>
      <c r="C4037" s="2" t="s">
        <v>855</v>
      </c>
      <c r="D4037" s="31">
        <f t="shared" ref="D4037:D4068" si="132" xml:space="preserve"> A4037 * 0.196</f>
        <v>0.11941507780014651</v>
      </c>
      <c r="F4037" s="2" t="s">
        <v>822</v>
      </c>
      <c r="G4037" s="23" t="s">
        <v>902</v>
      </c>
      <c r="H4037" s="2" t="s">
        <v>822</v>
      </c>
      <c r="J4037" s="31">
        <v>43.393199899999999</v>
      </c>
      <c r="K4037" s="31">
        <v>-37.893398300000001</v>
      </c>
      <c r="L4037" s="31"/>
      <c r="M4037" s="31" t="s">
        <v>854</v>
      </c>
      <c r="N4037" s="6" t="s">
        <v>856</v>
      </c>
    </row>
    <row r="4038" spans="1:14" ht="15" customHeight="1" x14ac:dyDescent="0.2">
      <c r="A4038" s="31">
        <v>0.60917538967324669</v>
      </c>
      <c r="B4038" s="31"/>
      <c r="C4038" s="2" t="s">
        <v>855</v>
      </c>
      <c r="D4038" s="31">
        <f t="shared" si="132"/>
        <v>0.11939837637595635</v>
      </c>
      <c r="F4038" s="2" t="s">
        <v>822</v>
      </c>
      <c r="G4038" s="23" t="s">
        <v>902</v>
      </c>
      <c r="H4038" s="2" t="s">
        <v>822</v>
      </c>
      <c r="J4038" s="31">
        <v>57.542099</v>
      </c>
      <c r="K4038" s="31">
        <v>9.2239798999999998</v>
      </c>
      <c r="L4038" s="31"/>
      <c r="M4038" s="31" t="s">
        <v>854</v>
      </c>
      <c r="N4038" s="6" t="s">
        <v>856</v>
      </c>
    </row>
    <row r="4039" spans="1:14" ht="15" customHeight="1" x14ac:dyDescent="0.2">
      <c r="A4039" s="31">
        <v>0.60915642473462561</v>
      </c>
      <c r="B4039" s="31"/>
      <c r="C4039" s="2" t="s">
        <v>855</v>
      </c>
      <c r="D4039" s="31">
        <f t="shared" si="132"/>
        <v>0.11939465924798663</v>
      </c>
      <c r="F4039" s="2" t="s">
        <v>822</v>
      </c>
      <c r="G4039" s="23" t="s">
        <v>902</v>
      </c>
      <c r="H4039" s="2" t="s">
        <v>822</v>
      </c>
      <c r="J4039" s="31">
        <v>48.383300800000001</v>
      </c>
      <c r="K4039" s="31">
        <v>-5.0343900000000001</v>
      </c>
      <c r="L4039" s="31"/>
      <c r="M4039" s="31" t="s">
        <v>854</v>
      </c>
      <c r="N4039" s="6" t="s">
        <v>856</v>
      </c>
    </row>
    <row r="4040" spans="1:14" ht="15" customHeight="1" x14ac:dyDescent="0.2">
      <c r="A4040" s="31">
        <v>0.6091199741514991</v>
      </c>
      <c r="B4040" s="31"/>
      <c r="C4040" s="2" t="s">
        <v>855</v>
      </c>
      <c r="D4040" s="31">
        <f t="shared" si="132"/>
        <v>0.11938751493369383</v>
      </c>
      <c r="F4040" s="2" t="s">
        <v>822</v>
      </c>
      <c r="G4040" s="23" t="s">
        <v>902</v>
      </c>
      <c r="H4040" s="2" t="s">
        <v>822</v>
      </c>
      <c r="J4040" s="31">
        <v>38.987598400000003</v>
      </c>
      <c r="K4040" s="31">
        <v>12.3533001</v>
      </c>
      <c r="L4040" s="31"/>
      <c r="M4040" s="31" t="s">
        <v>854</v>
      </c>
      <c r="N4040" s="6" t="s">
        <v>856</v>
      </c>
    </row>
    <row r="4041" spans="1:14" ht="15" customHeight="1" x14ac:dyDescent="0.2">
      <c r="A4041" s="31">
        <v>0.60898178487335419</v>
      </c>
      <c r="B4041" s="31"/>
      <c r="C4041" s="2" t="s">
        <v>855</v>
      </c>
      <c r="D4041" s="31">
        <f t="shared" si="132"/>
        <v>0.11936042983517743</v>
      </c>
      <c r="F4041" s="2" t="s">
        <v>822</v>
      </c>
      <c r="G4041" s="23" t="s">
        <v>902</v>
      </c>
      <c r="H4041" s="2" t="s">
        <v>822</v>
      </c>
      <c r="J4041" s="31">
        <v>56.9104004</v>
      </c>
      <c r="K4041" s="31">
        <v>-6.3560800999999998</v>
      </c>
      <c r="L4041" s="31"/>
      <c r="M4041" s="31" t="s">
        <v>854</v>
      </c>
      <c r="N4041" s="6" t="s">
        <v>856</v>
      </c>
    </row>
    <row r="4042" spans="1:14" ht="15" customHeight="1" x14ac:dyDescent="0.2">
      <c r="A4042" s="31">
        <v>0.60883185464381828</v>
      </c>
      <c r="B4042" s="31"/>
      <c r="C4042" s="2" t="s">
        <v>855</v>
      </c>
      <c r="D4042" s="31">
        <f t="shared" si="132"/>
        <v>0.11933104351018839</v>
      </c>
      <c r="F4042" s="2" t="s">
        <v>822</v>
      </c>
      <c r="G4042" s="23" t="s">
        <v>902</v>
      </c>
      <c r="H4042" s="2" t="s">
        <v>822</v>
      </c>
      <c r="J4042" s="31">
        <v>35.799098999999998</v>
      </c>
      <c r="K4042" s="31">
        <v>-29.7054996</v>
      </c>
      <c r="L4042" s="31"/>
      <c r="M4042" s="31" t="s">
        <v>854</v>
      </c>
      <c r="N4042" s="6" t="s">
        <v>856</v>
      </c>
    </row>
    <row r="4043" spans="1:14" ht="15" customHeight="1" x14ac:dyDescent="0.2">
      <c r="A4043" s="31">
        <v>0.60879269446996931</v>
      </c>
      <c r="B4043" s="31"/>
      <c r="C4043" s="2" t="s">
        <v>855</v>
      </c>
      <c r="D4043" s="31">
        <f t="shared" si="132"/>
        <v>0.11932336811611399</v>
      </c>
      <c r="F4043" s="2" t="s">
        <v>822</v>
      </c>
      <c r="G4043" s="23" t="s">
        <v>902</v>
      </c>
      <c r="H4043" s="2" t="s">
        <v>822</v>
      </c>
      <c r="J4043" s="31">
        <v>45.699600199999999</v>
      </c>
      <c r="K4043" s="31">
        <v>-1.37016</v>
      </c>
      <c r="L4043" s="31"/>
      <c r="M4043" s="31" t="s">
        <v>854</v>
      </c>
      <c r="N4043" s="6" t="s">
        <v>856</v>
      </c>
    </row>
    <row r="4044" spans="1:14" ht="15" customHeight="1" x14ac:dyDescent="0.2">
      <c r="A4044" s="31">
        <v>0.60866056255426437</v>
      </c>
      <c r="B4044" s="31"/>
      <c r="C4044" s="2" t="s">
        <v>855</v>
      </c>
      <c r="D4044" s="31">
        <f t="shared" si="132"/>
        <v>0.11929747026063582</v>
      </c>
      <c r="F4044" s="2" t="s">
        <v>822</v>
      </c>
      <c r="G4044" s="23" t="s">
        <v>902</v>
      </c>
      <c r="H4044" s="2" t="s">
        <v>822</v>
      </c>
      <c r="J4044" s="31">
        <v>35.069000199999998</v>
      </c>
      <c r="K4044" s="31">
        <v>-31.563699700000001</v>
      </c>
      <c r="L4044" s="31"/>
      <c r="M4044" s="31" t="s">
        <v>854</v>
      </c>
      <c r="N4044" s="6" t="s">
        <v>856</v>
      </c>
    </row>
    <row r="4045" spans="1:14" ht="15" customHeight="1" x14ac:dyDescent="0.2">
      <c r="A4045" s="31">
        <v>0.60848589479320925</v>
      </c>
      <c r="B4045" s="31"/>
      <c r="C4045" s="2" t="s">
        <v>855</v>
      </c>
      <c r="D4045" s="31">
        <f t="shared" si="132"/>
        <v>0.11926323537946902</v>
      </c>
      <c r="F4045" s="2" t="s">
        <v>822</v>
      </c>
      <c r="G4045" s="23" t="s">
        <v>902</v>
      </c>
      <c r="H4045" s="2" t="s">
        <v>822</v>
      </c>
      <c r="J4045" s="31">
        <v>27.375999499999999</v>
      </c>
      <c r="K4045" s="31">
        <v>-39.220001199999999</v>
      </c>
      <c r="L4045" s="31"/>
      <c r="M4045" s="31" t="s">
        <v>854</v>
      </c>
      <c r="N4045" s="6" t="s">
        <v>856</v>
      </c>
    </row>
    <row r="4046" spans="1:14" ht="15" customHeight="1" x14ac:dyDescent="0.2">
      <c r="A4046" s="31">
        <v>0.60847139446338583</v>
      </c>
      <c r="B4046" s="31"/>
      <c r="C4046" s="2" t="s">
        <v>855</v>
      </c>
      <c r="D4046" s="31">
        <f t="shared" si="132"/>
        <v>0.11926039331482363</v>
      </c>
      <c r="F4046" s="2" t="s">
        <v>822</v>
      </c>
      <c r="G4046" s="23" t="s">
        <v>902</v>
      </c>
      <c r="H4046" s="2" t="s">
        <v>822</v>
      </c>
      <c r="J4046" s="31">
        <v>34.119098700000002</v>
      </c>
      <c r="K4046" s="31">
        <v>-33.966499300000002</v>
      </c>
      <c r="L4046" s="31"/>
      <c r="M4046" s="31" t="s">
        <v>854</v>
      </c>
      <c r="N4046" s="6" t="s">
        <v>856</v>
      </c>
    </row>
    <row r="4047" spans="1:14" ht="15" customHeight="1" x14ac:dyDescent="0.2">
      <c r="A4047" s="31">
        <v>0.60817153326908524</v>
      </c>
      <c r="B4047" s="31"/>
      <c r="C4047" s="2" t="s">
        <v>855</v>
      </c>
      <c r="D4047" s="31">
        <f t="shared" si="132"/>
        <v>0.11920162052074071</v>
      </c>
      <c r="F4047" s="2" t="s">
        <v>822</v>
      </c>
      <c r="G4047" s="23" t="s">
        <v>902</v>
      </c>
      <c r="H4047" s="2" t="s">
        <v>822</v>
      </c>
      <c r="J4047" s="31">
        <v>41.111598999999998</v>
      </c>
      <c r="K4047" s="31">
        <v>4.2608398999999997</v>
      </c>
      <c r="L4047" s="31"/>
      <c r="M4047" s="31" t="s">
        <v>854</v>
      </c>
      <c r="N4047" s="6" t="s">
        <v>856</v>
      </c>
    </row>
    <row r="4048" spans="1:14" ht="15" customHeight="1" x14ac:dyDescent="0.2">
      <c r="A4048" s="31">
        <v>0.60794176935299049</v>
      </c>
      <c r="B4048" s="31"/>
      <c r="C4048" s="2" t="s">
        <v>855</v>
      </c>
      <c r="D4048" s="31">
        <f t="shared" si="132"/>
        <v>0.11915658679318614</v>
      </c>
      <c r="F4048" s="2" t="s">
        <v>822</v>
      </c>
      <c r="G4048" s="23" t="s">
        <v>902</v>
      </c>
      <c r="H4048" s="2" t="s">
        <v>822</v>
      </c>
      <c r="J4048" s="31">
        <v>46.239299799999998</v>
      </c>
      <c r="K4048" s="31">
        <v>-15.2159996</v>
      </c>
      <c r="L4048" s="31"/>
      <c r="M4048" s="31" t="s">
        <v>854</v>
      </c>
      <c r="N4048" s="6" t="s">
        <v>856</v>
      </c>
    </row>
    <row r="4049" spans="1:14" ht="15" customHeight="1" x14ac:dyDescent="0.2">
      <c r="A4049" s="31">
        <v>0.60755645431508154</v>
      </c>
      <c r="B4049" s="31"/>
      <c r="C4049" s="2" t="s">
        <v>855</v>
      </c>
      <c r="D4049" s="31">
        <f t="shared" si="132"/>
        <v>0.11908106504575598</v>
      </c>
      <c r="F4049" s="2" t="s">
        <v>822</v>
      </c>
      <c r="G4049" s="23" t="s">
        <v>902</v>
      </c>
      <c r="H4049" s="2" t="s">
        <v>822</v>
      </c>
      <c r="J4049" s="31">
        <v>38.910099000000002</v>
      </c>
      <c r="K4049" s="31">
        <v>-25.030300100000002</v>
      </c>
      <c r="L4049" s="31"/>
      <c r="M4049" s="31" t="s">
        <v>854</v>
      </c>
      <c r="N4049" s="6" t="s">
        <v>856</v>
      </c>
    </row>
    <row r="4050" spans="1:14" ht="15" customHeight="1" x14ac:dyDescent="0.2">
      <c r="A4050" s="31">
        <v>0.60742726981461925</v>
      </c>
      <c r="B4050" s="31"/>
      <c r="C4050" s="2" t="s">
        <v>855</v>
      </c>
      <c r="D4050" s="31">
        <f t="shared" si="132"/>
        <v>0.11905574488366538</v>
      </c>
      <c r="F4050" s="2" t="s">
        <v>822</v>
      </c>
      <c r="G4050" s="23" t="s">
        <v>902</v>
      </c>
      <c r="H4050" s="2" t="s">
        <v>822</v>
      </c>
      <c r="J4050" s="31">
        <v>28.711999899999999</v>
      </c>
      <c r="K4050" s="31">
        <v>-23.187999699999999</v>
      </c>
      <c r="L4050" s="31"/>
      <c r="M4050" s="31" t="s">
        <v>854</v>
      </c>
      <c r="N4050" s="6" t="s">
        <v>856</v>
      </c>
    </row>
    <row r="4051" spans="1:14" ht="15" customHeight="1" x14ac:dyDescent="0.2">
      <c r="A4051" s="31">
        <v>0.60737209731861708</v>
      </c>
      <c r="B4051" s="31"/>
      <c r="C4051" s="2" t="s">
        <v>855</v>
      </c>
      <c r="D4051" s="31">
        <f t="shared" si="132"/>
        <v>0.11904493107444895</v>
      </c>
      <c r="F4051" s="2" t="s">
        <v>822</v>
      </c>
      <c r="G4051" s="23" t="s">
        <v>902</v>
      </c>
      <c r="H4051" s="2" t="s">
        <v>822</v>
      </c>
      <c r="J4051" s="31">
        <v>32.426200899999998</v>
      </c>
      <c r="K4051" s="31">
        <v>15.1998997</v>
      </c>
      <c r="L4051" s="31"/>
      <c r="M4051" s="31" t="s">
        <v>854</v>
      </c>
      <c r="N4051" s="6" t="s">
        <v>856</v>
      </c>
    </row>
    <row r="4052" spans="1:14" ht="15" customHeight="1" x14ac:dyDescent="0.2">
      <c r="A4052" s="31">
        <v>0.60727830931110716</v>
      </c>
      <c r="B4052" s="31"/>
      <c r="C4052" s="2" t="s">
        <v>855</v>
      </c>
      <c r="D4052" s="31">
        <f t="shared" si="132"/>
        <v>0.11902654862497701</v>
      </c>
      <c r="F4052" s="2" t="s">
        <v>822</v>
      </c>
      <c r="G4052" s="23" t="s">
        <v>902</v>
      </c>
      <c r="H4052" s="2" t="s">
        <v>822</v>
      </c>
      <c r="J4052" s="31">
        <v>37.407199900000002</v>
      </c>
      <c r="K4052" s="31">
        <v>23.384799999999998</v>
      </c>
      <c r="L4052" s="31"/>
      <c r="M4052" s="31" t="s">
        <v>854</v>
      </c>
      <c r="N4052" s="6" t="s">
        <v>856</v>
      </c>
    </row>
    <row r="4053" spans="1:14" ht="15" customHeight="1" x14ac:dyDescent="0.2">
      <c r="A4053" s="31">
        <v>0.60724770310233855</v>
      </c>
      <c r="B4053" s="31"/>
      <c r="C4053" s="2" t="s">
        <v>855</v>
      </c>
      <c r="D4053" s="31">
        <f t="shared" si="132"/>
        <v>0.11902054980805836</v>
      </c>
      <c r="F4053" s="2" t="s">
        <v>822</v>
      </c>
      <c r="G4053" s="23" t="s">
        <v>902</v>
      </c>
      <c r="H4053" s="2" t="s">
        <v>822</v>
      </c>
      <c r="J4053" s="31">
        <v>28.711999899999999</v>
      </c>
      <c r="K4053" s="31">
        <v>-22.520000499999998</v>
      </c>
      <c r="L4053" s="31"/>
      <c r="M4053" s="31" t="s">
        <v>854</v>
      </c>
      <c r="N4053" s="6" t="s">
        <v>856</v>
      </c>
    </row>
    <row r="4054" spans="1:14" ht="15" customHeight="1" x14ac:dyDescent="0.2">
      <c r="A4054" s="31">
        <v>0.60702752517848613</v>
      </c>
      <c r="B4054" s="31"/>
      <c r="C4054" s="2" t="s">
        <v>855</v>
      </c>
      <c r="D4054" s="31">
        <f t="shared" si="132"/>
        <v>0.11897739493498329</v>
      </c>
      <c r="F4054" s="2" t="s">
        <v>822</v>
      </c>
      <c r="G4054" s="23" t="s">
        <v>902</v>
      </c>
      <c r="H4054" s="2" t="s">
        <v>822</v>
      </c>
      <c r="J4054" s="31">
        <v>47.416000400000001</v>
      </c>
      <c r="K4054" s="31">
        <v>-33.208000200000001</v>
      </c>
      <c r="L4054" s="31"/>
      <c r="M4054" s="31" t="s">
        <v>854</v>
      </c>
      <c r="N4054" s="6" t="s">
        <v>856</v>
      </c>
    </row>
    <row r="4055" spans="1:14" ht="15" customHeight="1" x14ac:dyDescent="0.2">
      <c r="A4055" s="31">
        <v>0.6069425438017475</v>
      </c>
      <c r="B4055" s="31"/>
      <c r="C4055" s="2" t="s">
        <v>855</v>
      </c>
      <c r="D4055" s="31">
        <f t="shared" si="132"/>
        <v>0.11896073858514251</v>
      </c>
      <c r="F4055" s="2" t="s">
        <v>822</v>
      </c>
      <c r="G4055" s="23" t="s">
        <v>902</v>
      </c>
      <c r="H4055" s="2" t="s">
        <v>822</v>
      </c>
      <c r="J4055" s="31">
        <v>57.002601599999998</v>
      </c>
      <c r="K4055" s="31">
        <v>10.9757996</v>
      </c>
      <c r="L4055" s="31"/>
      <c r="M4055" s="31" t="s">
        <v>854</v>
      </c>
      <c r="N4055" s="6" t="s">
        <v>856</v>
      </c>
    </row>
    <row r="4056" spans="1:14" ht="15" customHeight="1" x14ac:dyDescent="0.2">
      <c r="A4056" s="31">
        <v>0.60671684243554724</v>
      </c>
      <c r="B4056" s="31"/>
      <c r="C4056" s="2" t="s">
        <v>855</v>
      </c>
      <c r="D4056" s="31">
        <f t="shared" si="132"/>
        <v>0.11891650111736726</v>
      </c>
      <c r="F4056" s="2" t="s">
        <v>822</v>
      </c>
      <c r="G4056" s="23" t="s">
        <v>902</v>
      </c>
      <c r="H4056" s="2" t="s">
        <v>822</v>
      </c>
      <c r="J4056" s="31">
        <v>40.402400999999998</v>
      </c>
      <c r="K4056" s="31">
        <v>22.740999200000001</v>
      </c>
      <c r="L4056" s="31"/>
      <c r="M4056" s="31" t="s">
        <v>854</v>
      </c>
      <c r="N4056" s="6" t="s">
        <v>856</v>
      </c>
    </row>
    <row r="4057" spans="1:14" ht="15" customHeight="1" x14ac:dyDescent="0.2">
      <c r="A4057" s="31">
        <v>0.60663223439289793</v>
      </c>
      <c r="B4057" s="31"/>
      <c r="C4057" s="2" t="s">
        <v>855</v>
      </c>
      <c r="D4057" s="31">
        <f t="shared" si="132"/>
        <v>0.118899917941008</v>
      </c>
      <c r="F4057" s="2" t="s">
        <v>822</v>
      </c>
      <c r="G4057" s="23" t="s">
        <v>902</v>
      </c>
      <c r="H4057" s="2" t="s">
        <v>822</v>
      </c>
      <c r="J4057" s="31">
        <v>56.039299</v>
      </c>
      <c r="K4057" s="31">
        <v>-3.6271998999999999</v>
      </c>
      <c r="L4057" s="31"/>
      <c r="M4057" s="31" t="s">
        <v>854</v>
      </c>
      <c r="N4057" s="6" t="s">
        <v>856</v>
      </c>
    </row>
    <row r="4058" spans="1:14" ht="15" customHeight="1" x14ac:dyDescent="0.2">
      <c r="A4058" s="31">
        <v>0.60649566172733382</v>
      </c>
      <c r="B4058" s="31"/>
      <c r="C4058" s="2" t="s">
        <v>855</v>
      </c>
      <c r="D4058" s="31">
        <f t="shared" si="132"/>
        <v>0.11887314969855743</v>
      </c>
      <c r="F4058" s="2" t="s">
        <v>822</v>
      </c>
      <c r="G4058" s="23" t="s">
        <v>902</v>
      </c>
      <c r="H4058" s="2" t="s">
        <v>822</v>
      </c>
      <c r="J4058" s="31">
        <v>30.7159996</v>
      </c>
      <c r="K4058" s="31">
        <v>-35.880001100000001</v>
      </c>
      <c r="L4058" s="31"/>
      <c r="M4058" s="31" t="s">
        <v>854</v>
      </c>
      <c r="N4058" s="6" t="s">
        <v>856</v>
      </c>
    </row>
    <row r="4059" spans="1:14" ht="15" customHeight="1" x14ac:dyDescent="0.2">
      <c r="A4059" s="31">
        <v>0.60648368593513158</v>
      </c>
      <c r="B4059" s="31"/>
      <c r="C4059" s="2" t="s">
        <v>855</v>
      </c>
      <c r="D4059" s="31">
        <f t="shared" si="132"/>
        <v>0.11887080244328579</v>
      </c>
      <c r="F4059" s="2" t="s">
        <v>822</v>
      </c>
      <c r="G4059" s="23" t="s">
        <v>902</v>
      </c>
      <c r="H4059" s="2" t="s">
        <v>822</v>
      </c>
      <c r="J4059" s="31">
        <v>55.552600900000002</v>
      </c>
      <c r="K4059" s="31">
        <v>5.7436398999999998</v>
      </c>
      <c r="L4059" s="31"/>
      <c r="M4059" s="31" t="s">
        <v>854</v>
      </c>
      <c r="N4059" s="6" t="s">
        <v>856</v>
      </c>
    </row>
    <row r="4060" spans="1:14" ht="15" customHeight="1" x14ac:dyDescent="0.2">
      <c r="A4060" s="31">
        <v>0.60636547432711307</v>
      </c>
      <c r="B4060" s="31"/>
      <c r="C4060" s="2" t="s">
        <v>855</v>
      </c>
      <c r="D4060" s="31">
        <f t="shared" si="132"/>
        <v>0.11884763296811417</v>
      </c>
      <c r="F4060" s="2" t="s">
        <v>822</v>
      </c>
      <c r="G4060" s="23" t="s">
        <v>902</v>
      </c>
      <c r="H4060" s="2" t="s">
        <v>822</v>
      </c>
      <c r="J4060" s="31">
        <v>25.8567009</v>
      </c>
      <c r="K4060" s="31">
        <v>-27.133699400000001</v>
      </c>
      <c r="L4060" s="31"/>
      <c r="M4060" s="31" t="s">
        <v>854</v>
      </c>
      <c r="N4060" s="6" t="s">
        <v>856</v>
      </c>
    </row>
    <row r="4061" spans="1:14" ht="15" customHeight="1" x14ac:dyDescent="0.2">
      <c r="A4061" s="31">
        <v>0.6061851116945044</v>
      </c>
      <c r="B4061" s="31"/>
      <c r="C4061" s="2" t="s">
        <v>855</v>
      </c>
      <c r="D4061" s="31">
        <f t="shared" si="132"/>
        <v>0.11881228189212287</v>
      </c>
      <c r="F4061" s="2" t="s">
        <v>822</v>
      </c>
      <c r="G4061" s="23" t="s">
        <v>902</v>
      </c>
      <c r="H4061" s="2" t="s">
        <v>822</v>
      </c>
      <c r="J4061" s="31">
        <v>47.416000400000001</v>
      </c>
      <c r="K4061" s="31">
        <v>-23.856000900000002</v>
      </c>
      <c r="L4061" s="31"/>
      <c r="M4061" s="31" t="s">
        <v>854</v>
      </c>
      <c r="N4061" s="6" t="s">
        <v>856</v>
      </c>
    </row>
    <row r="4062" spans="1:14" ht="15" customHeight="1" x14ac:dyDescent="0.2">
      <c r="A4062" s="31">
        <v>0.60607480725478935</v>
      </c>
      <c r="B4062" s="31"/>
      <c r="C4062" s="2" t="s">
        <v>855</v>
      </c>
      <c r="D4062" s="31">
        <f t="shared" si="132"/>
        <v>0.11879066222193872</v>
      </c>
      <c r="F4062" s="2" t="s">
        <v>822</v>
      </c>
      <c r="G4062" s="23" t="s">
        <v>902</v>
      </c>
      <c r="H4062" s="2" t="s">
        <v>822</v>
      </c>
      <c r="J4062" s="31">
        <v>47.118099200000003</v>
      </c>
      <c r="K4062" s="31">
        <v>-2.8970201000000002</v>
      </c>
      <c r="L4062" s="31"/>
      <c r="M4062" s="31" t="s">
        <v>854</v>
      </c>
      <c r="N4062" s="6" t="s">
        <v>856</v>
      </c>
    </row>
    <row r="4063" spans="1:14" ht="15" customHeight="1" x14ac:dyDescent="0.2">
      <c r="A4063" s="31">
        <v>0.60593056948237844</v>
      </c>
      <c r="B4063" s="31"/>
      <c r="C4063" s="2" t="s">
        <v>855</v>
      </c>
      <c r="D4063" s="31">
        <f t="shared" si="132"/>
        <v>0.11876239161854618</v>
      </c>
      <c r="F4063" s="2" t="s">
        <v>822</v>
      </c>
      <c r="G4063" s="23" t="s">
        <v>902</v>
      </c>
      <c r="H4063" s="2" t="s">
        <v>822</v>
      </c>
      <c r="J4063" s="31">
        <v>36.587898299999999</v>
      </c>
      <c r="K4063" s="31">
        <v>1.9683900000000001</v>
      </c>
      <c r="L4063" s="31"/>
      <c r="M4063" s="31" t="s">
        <v>854</v>
      </c>
      <c r="N4063" s="6" t="s">
        <v>856</v>
      </c>
    </row>
    <row r="4064" spans="1:14" ht="15" customHeight="1" x14ac:dyDescent="0.2">
      <c r="A4064" s="31">
        <v>0.60586271941145808</v>
      </c>
      <c r="B4064" s="31"/>
      <c r="C4064" s="2" t="s">
        <v>855</v>
      </c>
      <c r="D4064" s="31">
        <f t="shared" si="132"/>
        <v>0.11874909300464578</v>
      </c>
      <c r="F4064" s="2" t="s">
        <v>822</v>
      </c>
      <c r="G4064" s="23" t="s">
        <v>902</v>
      </c>
      <c r="H4064" s="2" t="s">
        <v>822</v>
      </c>
      <c r="J4064" s="31">
        <v>38.751300800000003</v>
      </c>
      <c r="K4064" s="31">
        <v>-25.7870007</v>
      </c>
      <c r="L4064" s="31"/>
      <c r="M4064" s="31" t="s">
        <v>854</v>
      </c>
      <c r="N4064" s="6" t="s">
        <v>856</v>
      </c>
    </row>
    <row r="4065" spans="1:14" ht="15" customHeight="1" x14ac:dyDescent="0.2">
      <c r="A4065" s="31">
        <v>0.60583326788546144</v>
      </c>
      <c r="B4065" s="31"/>
      <c r="C4065" s="2" t="s">
        <v>855</v>
      </c>
      <c r="D4065" s="31">
        <f t="shared" si="132"/>
        <v>0.11874332050555045</v>
      </c>
      <c r="F4065" s="2" t="s">
        <v>822</v>
      </c>
      <c r="G4065" s="23" t="s">
        <v>902</v>
      </c>
      <c r="H4065" s="2" t="s">
        <v>822</v>
      </c>
      <c r="J4065" s="31">
        <v>57.609798400000003</v>
      </c>
      <c r="K4065" s="31">
        <v>8.6499003999999999</v>
      </c>
      <c r="L4065" s="31"/>
      <c r="M4065" s="31" t="s">
        <v>854</v>
      </c>
      <c r="N4065" s="6" t="s">
        <v>856</v>
      </c>
    </row>
    <row r="4066" spans="1:14" ht="15" customHeight="1" x14ac:dyDescent="0.2">
      <c r="A4066" s="31">
        <v>0.60549793568085331</v>
      </c>
      <c r="B4066" s="31"/>
      <c r="C4066" s="2" t="s">
        <v>855</v>
      </c>
      <c r="D4066" s="31">
        <f t="shared" si="132"/>
        <v>0.11867759539344726</v>
      </c>
      <c r="F4066" s="2" t="s">
        <v>822</v>
      </c>
      <c r="G4066" s="23" t="s">
        <v>902</v>
      </c>
      <c r="H4066" s="2" t="s">
        <v>822</v>
      </c>
      <c r="J4066" s="31">
        <v>37.5259018</v>
      </c>
      <c r="K4066" s="31">
        <v>-8.8105097000000008</v>
      </c>
      <c r="L4066" s="31"/>
      <c r="M4066" s="31" t="s">
        <v>854</v>
      </c>
      <c r="N4066" s="6" t="s">
        <v>856</v>
      </c>
    </row>
    <row r="4067" spans="1:14" ht="15" customHeight="1" x14ac:dyDescent="0.2">
      <c r="A4067" s="31">
        <v>0.60533008020517542</v>
      </c>
      <c r="B4067" s="31"/>
      <c r="C4067" s="2" t="s">
        <v>855</v>
      </c>
      <c r="D4067" s="31">
        <f t="shared" si="132"/>
        <v>0.11864469572021438</v>
      </c>
      <c r="F4067" s="2" t="s">
        <v>822</v>
      </c>
      <c r="G4067" s="23" t="s">
        <v>902</v>
      </c>
      <c r="H4067" s="2" t="s">
        <v>822</v>
      </c>
      <c r="J4067" s="31">
        <v>55.2505989</v>
      </c>
      <c r="K4067" s="31">
        <v>5.6788401999999998</v>
      </c>
      <c r="L4067" s="31"/>
      <c r="M4067" s="31" t="s">
        <v>854</v>
      </c>
      <c r="N4067" s="6" t="s">
        <v>856</v>
      </c>
    </row>
    <row r="4068" spans="1:14" ht="15" customHeight="1" x14ac:dyDescent="0.2">
      <c r="A4068" s="31">
        <v>0.605152024736474</v>
      </c>
      <c r="B4068" s="31"/>
      <c r="C4068" s="2" t="s">
        <v>855</v>
      </c>
      <c r="D4068" s="31">
        <f t="shared" si="132"/>
        <v>0.11860979684834891</v>
      </c>
      <c r="F4068" s="2" t="s">
        <v>822</v>
      </c>
      <c r="G4068" s="23" t="s">
        <v>902</v>
      </c>
      <c r="H4068" s="2" t="s">
        <v>822</v>
      </c>
      <c r="J4068" s="31">
        <v>46.835601799999999</v>
      </c>
      <c r="K4068" s="31">
        <v>-11.814399699999999</v>
      </c>
      <c r="L4068" s="31"/>
      <c r="M4068" s="31" t="s">
        <v>854</v>
      </c>
      <c r="N4068" s="6" t="s">
        <v>856</v>
      </c>
    </row>
    <row r="4069" spans="1:14" ht="15" customHeight="1" x14ac:dyDescent="0.2">
      <c r="A4069" s="31">
        <v>0.6050792745782253</v>
      </c>
      <c r="B4069" s="31"/>
      <c r="C4069" s="2" t="s">
        <v>855</v>
      </c>
      <c r="D4069" s="31">
        <f t="shared" ref="D4069:D4092" si="133" xml:space="preserve"> A4069 * 0.196</f>
        <v>0.11859553781733216</v>
      </c>
      <c r="F4069" s="2" t="s">
        <v>822</v>
      </c>
      <c r="G4069" s="23" t="s">
        <v>902</v>
      </c>
      <c r="H4069" s="2" t="s">
        <v>822</v>
      </c>
      <c r="J4069" s="31">
        <v>40.5298996</v>
      </c>
      <c r="K4069" s="31">
        <v>18.138399100000001</v>
      </c>
      <c r="L4069" s="31"/>
      <c r="M4069" s="31" t="s">
        <v>854</v>
      </c>
      <c r="N4069" s="6" t="s">
        <v>856</v>
      </c>
    </row>
    <row r="4070" spans="1:14" ht="15" customHeight="1" x14ac:dyDescent="0.2">
      <c r="A4070" s="31">
        <v>0.60507438236018907</v>
      </c>
      <c r="B4070" s="31"/>
      <c r="C4070" s="2" t="s">
        <v>855</v>
      </c>
      <c r="D4070" s="31">
        <f t="shared" si="133"/>
        <v>0.11859457894259706</v>
      </c>
      <c r="F4070" s="2" t="s">
        <v>822</v>
      </c>
      <c r="G4070" s="23" t="s">
        <v>902</v>
      </c>
      <c r="H4070" s="2" t="s">
        <v>822</v>
      </c>
      <c r="J4070" s="31">
        <v>33.388000499999997</v>
      </c>
      <c r="K4070" s="31">
        <v>-10.4960003</v>
      </c>
      <c r="L4070" s="31"/>
      <c r="M4070" s="31" t="s">
        <v>854</v>
      </c>
      <c r="N4070" s="6" t="s">
        <v>856</v>
      </c>
    </row>
    <row r="4071" spans="1:14" ht="15" customHeight="1" x14ac:dyDescent="0.2">
      <c r="A4071" s="31">
        <v>0.60492265692029989</v>
      </c>
      <c r="B4071" s="31"/>
      <c r="C4071" s="2" t="s">
        <v>855</v>
      </c>
      <c r="D4071" s="31">
        <f t="shared" si="133"/>
        <v>0.11856484075637878</v>
      </c>
      <c r="F4071" s="2" t="s">
        <v>822</v>
      </c>
      <c r="G4071" s="23" t="s">
        <v>902</v>
      </c>
      <c r="H4071" s="2" t="s">
        <v>822</v>
      </c>
      <c r="J4071" s="31">
        <v>37.3959999</v>
      </c>
      <c r="K4071" s="31">
        <v>19.563999200000001</v>
      </c>
      <c r="L4071" s="31"/>
      <c r="M4071" s="31" t="s">
        <v>854</v>
      </c>
      <c r="N4071" s="6" t="s">
        <v>856</v>
      </c>
    </row>
    <row r="4072" spans="1:14" ht="15" customHeight="1" x14ac:dyDescent="0.2">
      <c r="A4072" s="31">
        <v>0.60486950348562529</v>
      </c>
      <c r="B4072" s="31"/>
      <c r="C4072" s="2" t="s">
        <v>855</v>
      </c>
      <c r="D4072" s="31">
        <f t="shared" si="133"/>
        <v>0.11855442268318256</v>
      </c>
      <c r="F4072" s="2" t="s">
        <v>822</v>
      </c>
      <c r="G4072" s="23" t="s">
        <v>902</v>
      </c>
      <c r="H4072" s="2" t="s">
        <v>822</v>
      </c>
      <c r="J4072" s="31">
        <v>52.414600399999998</v>
      </c>
      <c r="K4072" s="31">
        <v>3.6126699000000002</v>
      </c>
      <c r="L4072" s="31"/>
      <c r="M4072" s="31" t="s">
        <v>854</v>
      </c>
      <c r="N4072" s="6" t="s">
        <v>856</v>
      </c>
    </row>
    <row r="4073" spans="1:14" ht="15" customHeight="1" x14ac:dyDescent="0.2">
      <c r="A4073" s="31">
        <v>0.60485738439053571</v>
      </c>
      <c r="B4073" s="31"/>
      <c r="C4073" s="2" t="s">
        <v>855</v>
      </c>
      <c r="D4073" s="31">
        <f t="shared" si="133"/>
        <v>0.118552047340545</v>
      </c>
      <c r="F4073" s="2" t="s">
        <v>822</v>
      </c>
      <c r="G4073" s="23" t="s">
        <v>902</v>
      </c>
      <c r="H4073" s="2" t="s">
        <v>822</v>
      </c>
      <c r="J4073" s="31">
        <v>46.408599899999999</v>
      </c>
      <c r="K4073" s="31">
        <v>-5.2491598000000002</v>
      </c>
      <c r="L4073" s="31"/>
      <c r="M4073" s="31" t="s">
        <v>854</v>
      </c>
      <c r="N4073" s="6" t="s">
        <v>856</v>
      </c>
    </row>
    <row r="4074" spans="1:14" ht="15" customHeight="1" x14ac:dyDescent="0.2">
      <c r="A4074" s="31">
        <v>0.60462928637670132</v>
      </c>
      <c r="B4074" s="31"/>
      <c r="C4074" s="2" t="s">
        <v>855</v>
      </c>
      <c r="D4074" s="31">
        <f t="shared" si="133"/>
        <v>0.11850734012983347</v>
      </c>
      <c r="F4074" s="2" t="s">
        <v>822</v>
      </c>
      <c r="G4074" s="23" t="s">
        <v>902</v>
      </c>
      <c r="H4074" s="2" t="s">
        <v>822</v>
      </c>
      <c r="J4074" s="31">
        <v>47.416000400000001</v>
      </c>
      <c r="K4074" s="31">
        <v>-39.220001199999999</v>
      </c>
      <c r="L4074" s="31"/>
      <c r="M4074" s="31" t="s">
        <v>854</v>
      </c>
      <c r="N4074" s="6" t="s">
        <v>856</v>
      </c>
    </row>
    <row r="4075" spans="1:14" ht="15" customHeight="1" x14ac:dyDescent="0.2">
      <c r="A4075" s="31">
        <v>0.60455451476093169</v>
      </c>
      <c r="B4075" s="31"/>
      <c r="C4075" s="2" t="s">
        <v>855</v>
      </c>
      <c r="D4075" s="31">
        <f t="shared" si="133"/>
        <v>0.11849268489314262</v>
      </c>
      <c r="F4075" s="2" t="s">
        <v>822</v>
      </c>
      <c r="G4075" s="23" t="s">
        <v>902</v>
      </c>
      <c r="H4075" s="2" t="s">
        <v>822</v>
      </c>
      <c r="J4075" s="31">
        <v>56.099998499999998</v>
      </c>
      <c r="K4075" s="31">
        <v>-8.4601603000000001</v>
      </c>
      <c r="L4075" s="31"/>
      <c r="M4075" s="31" t="s">
        <v>854</v>
      </c>
      <c r="N4075" s="6" t="s">
        <v>856</v>
      </c>
    </row>
    <row r="4076" spans="1:14" ht="15" customHeight="1" x14ac:dyDescent="0.2">
      <c r="A4076" s="31">
        <v>0.60453627832226275</v>
      </c>
      <c r="B4076" s="31"/>
      <c r="C4076" s="2" t="s">
        <v>855</v>
      </c>
      <c r="D4076" s="31">
        <f t="shared" si="133"/>
        <v>0.1184891105511635</v>
      </c>
      <c r="F4076" s="2" t="s">
        <v>822</v>
      </c>
      <c r="G4076" s="23" t="s">
        <v>902</v>
      </c>
      <c r="H4076" s="2" t="s">
        <v>822</v>
      </c>
      <c r="J4076" s="31">
        <v>28.711999899999999</v>
      </c>
      <c r="K4076" s="31">
        <v>-30.5359993</v>
      </c>
      <c r="L4076" s="31"/>
      <c r="M4076" s="31" t="s">
        <v>854</v>
      </c>
      <c r="N4076" s="6" t="s">
        <v>856</v>
      </c>
    </row>
    <row r="4077" spans="1:14" ht="15" customHeight="1" x14ac:dyDescent="0.2">
      <c r="A4077" s="31">
        <v>0.6044338317879554</v>
      </c>
      <c r="B4077" s="31"/>
      <c r="C4077" s="2" t="s">
        <v>855</v>
      </c>
      <c r="D4077" s="31">
        <f t="shared" si="133"/>
        <v>0.11846903103043926</v>
      </c>
      <c r="F4077" s="2" t="s">
        <v>822</v>
      </c>
      <c r="G4077" s="23" t="s">
        <v>902</v>
      </c>
      <c r="H4077" s="2" t="s">
        <v>822</v>
      </c>
      <c r="J4077" s="31">
        <v>48.751998899999997</v>
      </c>
      <c r="K4077" s="31">
        <v>-13.8360004</v>
      </c>
      <c r="L4077" s="31"/>
      <c r="M4077" s="31" t="s">
        <v>854</v>
      </c>
      <c r="N4077" s="6" t="s">
        <v>856</v>
      </c>
    </row>
    <row r="4078" spans="1:14" ht="15" customHeight="1" x14ac:dyDescent="0.2">
      <c r="A4078" s="31">
        <v>0.60439432250465874</v>
      </c>
      <c r="B4078" s="31"/>
      <c r="C4078" s="2" t="s">
        <v>855</v>
      </c>
      <c r="D4078" s="31">
        <f t="shared" si="133"/>
        <v>0.11846128721091312</v>
      </c>
      <c r="F4078" s="2" t="s">
        <v>822</v>
      </c>
      <c r="G4078" s="23" t="s">
        <v>902</v>
      </c>
      <c r="H4078" s="2" t="s">
        <v>822</v>
      </c>
      <c r="J4078" s="31">
        <v>47.416000400000001</v>
      </c>
      <c r="K4078" s="31">
        <v>-25.1919994</v>
      </c>
      <c r="L4078" s="31"/>
      <c r="M4078" s="31" t="s">
        <v>854</v>
      </c>
      <c r="N4078" s="6" t="s">
        <v>856</v>
      </c>
    </row>
    <row r="4079" spans="1:14" ht="15" customHeight="1" x14ac:dyDescent="0.2">
      <c r="A4079" s="31">
        <v>0.60427040221333594</v>
      </c>
      <c r="B4079" s="31"/>
      <c r="C4079" s="2" t="s">
        <v>855</v>
      </c>
      <c r="D4079" s="31">
        <f t="shared" si="133"/>
        <v>0.11843699883381385</v>
      </c>
      <c r="F4079" s="2" t="s">
        <v>822</v>
      </c>
      <c r="G4079" s="23" t="s">
        <v>902</v>
      </c>
      <c r="H4079" s="2" t="s">
        <v>822</v>
      </c>
      <c r="J4079" s="31">
        <v>40.0680008</v>
      </c>
      <c r="K4079" s="31">
        <v>-17.970199600000001</v>
      </c>
      <c r="L4079" s="31"/>
      <c r="M4079" s="31" t="s">
        <v>854</v>
      </c>
      <c r="N4079" s="6" t="s">
        <v>856</v>
      </c>
    </row>
    <row r="4080" spans="1:14" ht="15" customHeight="1" x14ac:dyDescent="0.2">
      <c r="A4080" s="31">
        <v>0.60423814526821096</v>
      </c>
      <c r="B4080" s="31"/>
      <c r="C4080" s="2" t="s">
        <v>855</v>
      </c>
      <c r="D4080" s="31">
        <f t="shared" si="133"/>
        <v>0.11843067647256936</v>
      </c>
      <c r="F4080" s="2" t="s">
        <v>822</v>
      </c>
      <c r="G4080" s="23" t="s">
        <v>902</v>
      </c>
      <c r="H4080" s="2" t="s">
        <v>822</v>
      </c>
      <c r="J4080" s="31">
        <v>29.329700500000001</v>
      </c>
      <c r="K4080" s="31">
        <v>-24.593099599999999</v>
      </c>
      <c r="L4080" s="31"/>
      <c r="M4080" s="31" t="s">
        <v>854</v>
      </c>
      <c r="N4080" s="6" t="s">
        <v>856</v>
      </c>
    </row>
    <row r="4081" spans="1:14" ht="15" customHeight="1" x14ac:dyDescent="0.2">
      <c r="A4081" s="31">
        <v>0.60412140431875294</v>
      </c>
      <c r="B4081" s="31"/>
      <c r="C4081" s="2" t="s">
        <v>855</v>
      </c>
      <c r="D4081" s="31">
        <f t="shared" si="133"/>
        <v>0.11840779524647559</v>
      </c>
      <c r="F4081" s="2" t="s">
        <v>822</v>
      </c>
      <c r="G4081" s="23" t="s">
        <v>902</v>
      </c>
      <c r="H4081" s="2" t="s">
        <v>822</v>
      </c>
      <c r="J4081" s="31">
        <v>34.654598200000002</v>
      </c>
      <c r="K4081" s="31">
        <v>-27.712200200000002</v>
      </c>
      <c r="L4081" s="31"/>
      <c r="M4081" s="31" t="s">
        <v>854</v>
      </c>
      <c r="N4081" s="6" t="s">
        <v>856</v>
      </c>
    </row>
    <row r="4082" spans="1:14" ht="15" customHeight="1" x14ac:dyDescent="0.2">
      <c r="A4082" s="31">
        <v>0.60383545100824054</v>
      </c>
      <c r="B4082" s="31"/>
      <c r="C4082" s="2" t="s">
        <v>855</v>
      </c>
      <c r="D4082" s="31">
        <f t="shared" si="133"/>
        <v>0.11835174839761516</v>
      </c>
      <c r="F4082" s="2" t="s">
        <v>822</v>
      </c>
      <c r="G4082" s="23" t="s">
        <v>902</v>
      </c>
      <c r="H4082" s="2" t="s">
        <v>822</v>
      </c>
      <c r="J4082" s="31">
        <v>26.708000200000001</v>
      </c>
      <c r="K4082" s="31">
        <v>-29.200000800000002</v>
      </c>
      <c r="L4082" s="31"/>
      <c r="M4082" s="31" t="s">
        <v>854</v>
      </c>
      <c r="N4082" s="6" t="s">
        <v>856</v>
      </c>
    </row>
    <row r="4083" spans="1:14" ht="15" customHeight="1" x14ac:dyDescent="0.2">
      <c r="A4083" s="31">
        <v>0.60381359394613598</v>
      </c>
      <c r="B4083" s="31"/>
      <c r="C4083" s="2" t="s">
        <v>855</v>
      </c>
      <c r="D4083" s="31">
        <f t="shared" si="133"/>
        <v>0.11834746441344265</v>
      </c>
      <c r="F4083" s="2" t="s">
        <v>822</v>
      </c>
      <c r="G4083" s="23" t="s">
        <v>902</v>
      </c>
      <c r="H4083" s="2" t="s">
        <v>822</v>
      </c>
      <c r="J4083" s="31">
        <v>35.411300699999998</v>
      </c>
      <c r="K4083" s="31">
        <v>-31.830299400000001</v>
      </c>
      <c r="L4083" s="31"/>
      <c r="M4083" s="31" t="s">
        <v>854</v>
      </c>
      <c r="N4083" s="6" t="s">
        <v>856</v>
      </c>
    </row>
    <row r="4084" spans="1:14" ht="15" customHeight="1" x14ac:dyDescent="0.2">
      <c r="A4084" s="31">
        <v>0.60375476389501814</v>
      </c>
      <c r="B4084" s="31"/>
      <c r="C4084" s="2" t="s">
        <v>855</v>
      </c>
      <c r="D4084" s="31">
        <f t="shared" si="133"/>
        <v>0.11833593372342356</v>
      </c>
      <c r="F4084" s="2" t="s">
        <v>822</v>
      </c>
      <c r="G4084" s="23" t="s">
        <v>902</v>
      </c>
      <c r="H4084" s="2" t="s">
        <v>822</v>
      </c>
      <c r="J4084" s="31">
        <v>46.080001799999998</v>
      </c>
      <c r="K4084" s="31">
        <v>-19.847999600000001</v>
      </c>
      <c r="L4084" s="31"/>
      <c r="M4084" s="31" t="s">
        <v>854</v>
      </c>
      <c r="N4084" s="6" t="s">
        <v>856</v>
      </c>
    </row>
    <row r="4085" spans="1:14" ht="15" customHeight="1" x14ac:dyDescent="0.2">
      <c r="A4085" s="31">
        <v>0.60371934095568558</v>
      </c>
      <c r="B4085" s="31"/>
      <c r="C4085" s="2" t="s">
        <v>855</v>
      </c>
      <c r="D4085" s="31">
        <f t="shared" si="133"/>
        <v>0.11832899082731438</v>
      </c>
      <c r="F4085" s="2" t="s">
        <v>822</v>
      </c>
      <c r="G4085" s="23" t="s">
        <v>902</v>
      </c>
      <c r="H4085" s="2" t="s">
        <v>822</v>
      </c>
      <c r="J4085" s="31">
        <v>48.751998899999997</v>
      </c>
      <c r="K4085" s="31">
        <v>-31.204000499999999</v>
      </c>
      <c r="L4085" s="31"/>
      <c r="M4085" s="31" t="s">
        <v>854</v>
      </c>
      <c r="N4085" s="6" t="s">
        <v>856</v>
      </c>
    </row>
    <row r="4086" spans="1:14" ht="15" customHeight="1" x14ac:dyDescent="0.2">
      <c r="A4086" s="31">
        <v>0.60363205626785976</v>
      </c>
      <c r="B4086" s="31"/>
      <c r="C4086" s="2" t="s">
        <v>855</v>
      </c>
      <c r="D4086" s="31">
        <f t="shared" si="133"/>
        <v>0.11831188302850051</v>
      </c>
      <c r="F4086" s="2" t="s">
        <v>822</v>
      </c>
      <c r="G4086" s="23" t="s">
        <v>902</v>
      </c>
      <c r="H4086" s="2" t="s">
        <v>822</v>
      </c>
      <c r="J4086" s="31">
        <v>40.938201900000003</v>
      </c>
      <c r="K4086" s="31">
        <v>6.7471199000000004</v>
      </c>
      <c r="L4086" s="31"/>
      <c r="M4086" s="31" t="s">
        <v>854</v>
      </c>
      <c r="N4086" s="6" t="s">
        <v>856</v>
      </c>
    </row>
    <row r="4087" spans="1:14" ht="15" customHeight="1" x14ac:dyDescent="0.2">
      <c r="A4087" s="31">
        <v>0.60362837868953845</v>
      </c>
      <c r="B4087" s="31"/>
      <c r="C4087" s="2" t="s">
        <v>855</v>
      </c>
      <c r="D4087" s="31">
        <f t="shared" si="133"/>
        <v>0.11831116222314954</v>
      </c>
      <c r="F4087" s="2" t="s">
        <v>822</v>
      </c>
      <c r="G4087" s="23" t="s">
        <v>902</v>
      </c>
      <c r="H4087" s="2" t="s">
        <v>822</v>
      </c>
      <c r="J4087" s="31">
        <v>52.080600699999998</v>
      </c>
      <c r="K4087" s="31">
        <v>1.7998400000000001</v>
      </c>
      <c r="L4087" s="31"/>
      <c r="M4087" s="31" t="s">
        <v>854</v>
      </c>
      <c r="N4087" s="6" t="s">
        <v>856</v>
      </c>
    </row>
    <row r="4088" spans="1:14" ht="15" customHeight="1" x14ac:dyDescent="0.2">
      <c r="A4088" s="31">
        <v>0.60360922789236449</v>
      </c>
      <c r="B4088" s="31"/>
      <c r="C4088" s="2" t="s">
        <v>855</v>
      </c>
      <c r="D4088" s="31">
        <f t="shared" si="133"/>
        <v>0.11830740866690344</v>
      </c>
      <c r="F4088" s="2" t="s">
        <v>822</v>
      </c>
      <c r="G4088" s="23" t="s">
        <v>902</v>
      </c>
      <c r="H4088" s="2" t="s">
        <v>822</v>
      </c>
      <c r="J4088" s="31">
        <v>49.540599800000003</v>
      </c>
      <c r="K4088" s="31">
        <v>-18.4634991</v>
      </c>
      <c r="L4088" s="31"/>
      <c r="M4088" s="31" t="s">
        <v>854</v>
      </c>
      <c r="N4088" s="6" t="s">
        <v>856</v>
      </c>
    </row>
    <row r="4089" spans="1:14" ht="15" customHeight="1" x14ac:dyDescent="0.2">
      <c r="A4089" s="31">
        <v>0.60339190568280388</v>
      </c>
      <c r="B4089" s="31"/>
      <c r="C4089" s="2" t="s">
        <v>855</v>
      </c>
      <c r="D4089" s="31">
        <f t="shared" si="133"/>
        <v>0.11826481351382956</v>
      </c>
      <c r="F4089" s="2" t="s">
        <v>822</v>
      </c>
      <c r="G4089" s="23" t="s">
        <v>902</v>
      </c>
      <c r="H4089" s="2" t="s">
        <v>822</v>
      </c>
      <c r="J4089" s="31">
        <v>41.6930008</v>
      </c>
      <c r="K4089" s="31">
        <v>-12.237500199999999</v>
      </c>
      <c r="L4089" s="31"/>
      <c r="M4089" s="31" t="s">
        <v>854</v>
      </c>
      <c r="N4089" s="6" t="s">
        <v>856</v>
      </c>
    </row>
    <row r="4090" spans="1:14" ht="15" customHeight="1" x14ac:dyDescent="0.2">
      <c r="A4090" s="31">
        <v>0.60313430394115664</v>
      </c>
      <c r="B4090" s="31"/>
      <c r="C4090" s="2" t="s">
        <v>855</v>
      </c>
      <c r="D4090" s="31">
        <f t="shared" si="133"/>
        <v>0.11821432357246671</v>
      </c>
      <c r="F4090" s="2" t="s">
        <v>822</v>
      </c>
      <c r="G4090" s="23" t="s">
        <v>902</v>
      </c>
      <c r="H4090" s="2" t="s">
        <v>822</v>
      </c>
      <c r="J4090" s="31">
        <v>36.944801300000002</v>
      </c>
      <c r="K4090" s="31">
        <v>-10.4656</v>
      </c>
      <c r="L4090" s="31"/>
      <c r="M4090" s="31" t="s">
        <v>854</v>
      </c>
      <c r="N4090" s="6" t="s">
        <v>856</v>
      </c>
    </row>
    <row r="4091" spans="1:14" ht="15" customHeight="1" x14ac:dyDescent="0.2">
      <c r="A4091" s="31">
        <v>0.60308851095157512</v>
      </c>
      <c r="B4091" s="31"/>
      <c r="C4091" s="2" t="s">
        <v>855</v>
      </c>
      <c r="D4091" s="31">
        <f t="shared" si="133"/>
        <v>0.11820534814650872</v>
      </c>
      <c r="F4091" s="2" t="s">
        <v>822</v>
      </c>
      <c r="G4091" s="23" t="s">
        <v>902</v>
      </c>
      <c r="H4091" s="2" t="s">
        <v>822</v>
      </c>
      <c r="J4091" s="31">
        <v>32.7168007</v>
      </c>
      <c r="K4091" s="31">
        <v>-29.2024002</v>
      </c>
      <c r="L4091" s="31"/>
      <c r="M4091" s="31" t="s">
        <v>854</v>
      </c>
      <c r="N4091" s="6" t="s">
        <v>856</v>
      </c>
    </row>
    <row r="4092" spans="1:14" ht="15" customHeight="1" x14ac:dyDescent="0.2">
      <c r="A4092" s="31">
        <v>0.60305264522382462</v>
      </c>
      <c r="B4092" s="31"/>
      <c r="C4092" s="2" t="s">
        <v>855</v>
      </c>
      <c r="D4092" s="31">
        <f t="shared" si="133"/>
        <v>0.11819831846386963</v>
      </c>
      <c r="F4092" s="2" t="s">
        <v>822</v>
      </c>
      <c r="G4092" s="23" t="s">
        <v>902</v>
      </c>
      <c r="H4092" s="2" t="s">
        <v>822</v>
      </c>
      <c r="J4092" s="31">
        <v>31.384000799999999</v>
      </c>
      <c r="K4092" s="31">
        <v>-22.520000499999998</v>
      </c>
      <c r="L4092" s="31"/>
      <c r="M4092" s="31" t="s">
        <v>854</v>
      </c>
      <c r="N4092" s="6" t="s">
        <v>856</v>
      </c>
    </row>
    <row r="4093" spans="1:14" ht="15" customHeight="1" x14ac:dyDescent="0.2">
      <c r="A4093" s="22">
        <v>0.11816510139394289</v>
      </c>
      <c r="B4093" s="22"/>
      <c r="C4093" s="2" t="s">
        <v>891</v>
      </c>
      <c r="D4093" s="2">
        <f>A4093</f>
        <v>0.11816510139394289</v>
      </c>
      <c r="F4093" s="2">
        <v>2023</v>
      </c>
      <c r="G4093" s="23" t="s">
        <v>902</v>
      </c>
      <c r="H4093" s="2" t="s">
        <v>771</v>
      </c>
      <c r="I4093" s="23" t="s">
        <v>189</v>
      </c>
      <c r="J4093" s="23">
        <v>58016079</v>
      </c>
      <c r="K4093" s="23">
        <v>11770699</v>
      </c>
      <c r="L4093" s="23" t="s">
        <v>819</v>
      </c>
      <c r="M4093" s="2" t="s">
        <v>825</v>
      </c>
      <c r="N4093" s="6" t="s">
        <v>828</v>
      </c>
    </row>
    <row r="4094" spans="1:14" ht="15" customHeight="1" x14ac:dyDescent="0.2">
      <c r="A4094" s="31">
        <v>0.60283309002139362</v>
      </c>
      <c r="B4094" s="31"/>
      <c r="C4094" s="2" t="s">
        <v>855</v>
      </c>
      <c r="D4094" s="31">
        <f t="shared" ref="D4094:D4125" si="134" xml:space="preserve"> A4094 * 0.196</f>
        <v>0.11815528564419316</v>
      </c>
      <c r="F4094" s="2" t="s">
        <v>822</v>
      </c>
      <c r="G4094" s="23" t="s">
        <v>902</v>
      </c>
      <c r="H4094" s="2" t="s">
        <v>822</v>
      </c>
      <c r="J4094" s="31">
        <v>51.426998099999999</v>
      </c>
      <c r="K4094" s="31">
        <v>2.1783399999999999</v>
      </c>
      <c r="L4094" s="31"/>
      <c r="M4094" s="31" t="s">
        <v>854</v>
      </c>
      <c r="N4094" s="6" t="s">
        <v>856</v>
      </c>
    </row>
    <row r="4095" spans="1:14" ht="15" customHeight="1" x14ac:dyDescent="0.2">
      <c r="A4095" s="31">
        <v>0.60277837500552589</v>
      </c>
      <c r="B4095" s="31"/>
      <c r="C4095" s="2" t="s">
        <v>855</v>
      </c>
      <c r="D4095" s="31">
        <f t="shared" si="134"/>
        <v>0.11814456150108307</v>
      </c>
      <c r="F4095" s="2" t="s">
        <v>822</v>
      </c>
      <c r="G4095" s="23" t="s">
        <v>902</v>
      </c>
      <c r="H4095" s="2" t="s">
        <v>822</v>
      </c>
      <c r="J4095" s="31">
        <v>38.168498999999997</v>
      </c>
      <c r="K4095" s="31">
        <v>13.314000099999999</v>
      </c>
      <c r="L4095" s="31"/>
      <c r="M4095" s="31" t="s">
        <v>854</v>
      </c>
      <c r="N4095" s="6" t="s">
        <v>856</v>
      </c>
    </row>
    <row r="4096" spans="1:14" ht="15" customHeight="1" x14ac:dyDescent="0.2">
      <c r="A4096" s="31">
        <v>0.60253240961397492</v>
      </c>
      <c r="B4096" s="31"/>
      <c r="C4096" s="2" t="s">
        <v>855</v>
      </c>
      <c r="D4096" s="31">
        <f t="shared" si="134"/>
        <v>0.11809635228433908</v>
      </c>
      <c r="F4096" s="2" t="s">
        <v>822</v>
      </c>
      <c r="G4096" s="23" t="s">
        <v>902</v>
      </c>
      <c r="H4096" s="2" t="s">
        <v>822</v>
      </c>
      <c r="J4096" s="31">
        <v>36.753700299999998</v>
      </c>
      <c r="K4096" s="31">
        <v>16.8547993</v>
      </c>
      <c r="L4096" s="31"/>
      <c r="M4096" s="31" t="s">
        <v>854</v>
      </c>
      <c r="N4096" s="6" t="s">
        <v>856</v>
      </c>
    </row>
    <row r="4097" spans="1:14" ht="15" customHeight="1" x14ac:dyDescent="0.2">
      <c r="A4097" s="31">
        <v>0.60245903618418617</v>
      </c>
      <c r="B4097" s="31"/>
      <c r="C4097" s="2" t="s">
        <v>855</v>
      </c>
      <c r="D4097" s="31">
        <f t="shared" si="134"/>
        <v>0.11808197109210049</v>
      </c>
      <c r="F4097" s="2" t="s">
        <v>822</v>
      </c>
      <c r="G4097" s="23" t="s">
        <v>902</v>
      </c>
      <c r="H4097" s="2" t="s">
        <v>822</v>
      </c>
      <c r="J4097" s="31">
        <v>47.416000400000001</v>
      </c>
      <c r="K4097" s="31">
        <v>-33.875999499999999</v>
      </c>
      <c r="L4097" s="31"/>
      <c r="M4097" s="31" t="s">
        <v>854</v>
      </c>
      <c r="N4097" s="6" t="s">
        <v>856</v>
      </c>
    </row>
    <row r="4098" spans="1:14" ht="15" customHeight="1" x14ac:dyDescent="0.2">
      <c r="A4098" s="31">
        <v>0.60228834891249305</v>
      </c>
      <c r="B4098" s="31"/>
      <c r="C4098" s="2" t="s">
        <v>855</v>
      </c>
      <c r="D4098" s="31">
        <f t="shared" si="134"/>
        <v>0.11804851638684864</v>
      </c>
      <c r="F4098" s="2" t="s">
        <v>822</v>
      </c>
      <c r="G4098" s="23" t="s">
        <v>902</v>
      </c>
      <c r="H4098" s="2" t="s">
        <v>822</v>
      </c>
      <c r="J4098" s="31">
        <v>31.384000799999999</v>
      </c>
      <c r="K4098" s="31">
        <v>-23.187999699999999</v>
      </c>
      <c r="L4098" s="31"/>
      <c r="M4098" s="31" t="s">
        <v>854</v>
      </c>
      <c r="N4098" s="6" t="s">
        <v>856</v>
      </c>
    </row>
    <row r="4099" spans="1:14" ht="15" customHeight="1" x14ac:dyDescent="0.2">
      <c r="A4099" s="31">
        <v>0.60220078468216265</v>
      </c>
      <c r="B4099" s="31"/>
      <c r="C4099" s="2" t="s">
        <v>855</v>
      </c>
      <c r="D4099" s="31">
        <f t="shared" si="134"/>
        <v>0.11803135379770388</v>
      </c>
      <c r="F4099" s="2" t="s">
        <v>822</v>
      </c>
      <c r="G4099" s="23" t="s">
        <v>902</v>
      </c>
      <c r="H4099" s="2" t="s">
        <v>822</v>
      </c>
      <c r="J4099" s="31">
        <v>36.060001399999997</v>
      </c>
      <c r="K4099" s="31">
        <v>18.8959999</v>
      </c>
      <c r="L4099" s="31"/>
      <c r="M4099" s="31" t="s">
        <v>854</v>
      </c>
      <c r="N4099" s="6" t="s">
        <v>856</v>
      </c>
    </row>
    <row r="4100" spans="1:14" ht="15" customHeight="1" x14ac:dyDescent="0.2">
      <c r="A4100" s="31">
        <v>0.60192980335461865</v>
      </c>
      <c r="B4100" s="31"/>
      <c r="C4100" s="2" t="s">
        <v>855</v>
      </c>
      <c r="D4100" s="31">
        <f t="shared" si="134"/>
        <v>0.11797824145750527</v>
      </c>
      <c r="F4100" s="2" t="s">
        <v>822</v>
      </c>
      <c r="G4100" s="23" t="s">
        <v>902</v>
      </c>
      <c r="H4100" s="2" t="s">
        <v>822</v>
      </c>
      <c r="J4100" s="31">
        <v>51.704299900000002</v>
      </c>
      <c r="K4100" s="31">
        <v>3.5104400999999998</v>
      </c>
      <c r="L4100" s="31"/>
      <c r="M4100" s="31" t="s">
        <v>854</v>
      </c>
      <c r="N4100" s="6" t="s">
        <v>856</v>
      </c>
    </row>
    <row r="4101" spans="1:14" ht="15" customHeight="1" x14ac:dyDescent="0.2">
      <c r="A4101" s="31">
        <v>0.601915885726651</v>
      </c>
      <c r="B4101" s="31"/>
      <c r="C4101" s="2" t="s">
        <v>855</v>
      </c>
      <c r="D4101" s="31">
        <f t="shared" si="134"/>
        <v>0.1179755136024236</v>
      </c>
      <c r="F4101" s="2" t="s">
        <v>822</v>
      </c>
      <c r="G4101" s="23" t="s">
        <v>902</v>
      </c>
      <c r="H4101" s="2" t="s">
        <v>822</v>
      </c>
      <c r="J4101" s="31">
        <v>38.063999199999998</v>
      </c>
      <c r="K4101" s="31">
        <v>2.8640001000000002</v>
      </c>
      <c r="L4101" s="31"/>
      <c r="M4101" s="31" t="s">
        <v>854</v>
      </c>
      <c r="N4101" s="6" t="s">
        <v>856</v>
      </c>
    </row>
    <row r="4102" spans="1:14" ht="15" customHeight="1" x14ac:dyDescent="0.2">
      <c r="A4102" s="31">
        <v>0.60187642102504557</v>
      </c>
      <c r="B4102" s="31"/>
      <c r="C4102" s="2" t="s">
        <v>855</v>
      </c>
      <c r="D4102" s="31">
        <f t="shared" si="134"/>
        <v>0.11796777852090894</v>
      </c>
      <c r="F4102" s="2" t="s">
        <v>822</v>
      </c>
      <c r="G4102" s="23" t="s">
        <v>902</v>
      </c>
      <c r="H4102" s="2" t="s">
        <v>822</v>
      </c>
      <c r="J4102" s="31">
        <v>42.748699199999997</v>
      </c>
      <c r="K4102" s="31">
        <v>-32.547298400000003</v>
      </c>
      <c r="L4102" s="31"/>
      <c r="M4102" s="31" t="s">
        <v>854</v>
      </c>
      <c r="N4102" s="6" t="s">
        <v>856</v>
      </c>
    </row>
    <row r="4103" spans="1:14" ht="15" customHeight="1" x14ac:dyDescent="0.2">
      <c r="A4103" s="31">
        <v>0.60184054269788367</v>
      </c>
      <c r="B4103" s="31"/>
      <c r="C4103" s="2" t="s">
        <v>855</v>
      </c>
      <c r="D4103" s="31">
        <f t="shared" si="134"/>
        <v>0.1179607463687852</v>
      </c>
      <c r="F4103" s="2" t="s">
        <v>822</v>
      </c>
      <c r="G4103" s="23" t="s">
        <v>902</v>
      </c>
      <c r="H4103" s="2" t="s">
        <v>822</v>
      </c>
      <c r="J4103" s="31">
        <v>43.074001299999999</v>
      </c>
      <c r="K4103" s="31">
        <v>-21.851999299999999</v>
      </c>
      <c r="L4103" s="31"/>
      <c r="M4103" s="31" t="s">
        <v>854</v>
      </c>
      <c r="N4103" s="6" t="s">
        <v>856</v>
      </c>
    </row>
    <row r="4104" spans="1:14" ht="15" customHeight="1" x14ac:dyDescent="0.2">
      <c r="A4104" s="31">
        <v>0.6017039584580679</v>
      </c>
      <c r="B4104" s="31"/>
      <c r="C4104" s="2" t="s">
        <v>855</v>
      </c>
      <c r="D4104" s="31">
        <f t="shared" si="134"/>
        <v>0.11793397585778131</v>
      </c>
      <c r="F4104" s="2" t="s">
        <v>822</v>
      </c>
      <c r="G4104" s="23" t="s">
        <v>902</v>
      </c>
      <c r="H4104" s="2" t="s">
        <v>822</v>
      </c>
      <c r="J4104" s="31">
        <v>44.076000200000003</v>
      </c>
      <c r="K4104" s="31">
        <v>-33.875999499999999</v>
      </c>
      <c r="L4104" s="31"/>
      <c r="M4104" s="31" t="s">
        <v>854</v>
      </c>
      <c r="N4104" s="6" t="s">
        <v>856</v>
      </c>
    </row>
    <row r="4105" spans="1:14" ht="15" customHeight="1" x14ac:dyDescent="0.2">
      <c r="A4105" s="31">
        <v>0.60149992189613888</v>
      </c>
      <c r="B4105" s="31"/>
      <c r="C4105" s="2" t="s">
        <v>855</v>
      </c>
      <c r="D4105" s="31">
        <f t="shared" si="134"/>
        <v>0.11789398469164322</v>
      </c>
      <c r="F4105" s="2" t="s">
        <v>822</v>
      </c>
      <c r="G4105" s="23" t="s">
        <v>902</v>
      </c>
      <c r="H4105" s="2" t="s">
        <v>822</v>
      </c>
      <c r="J4105" s="31">
        <v>55.2478981</v>
      </c>
      <c r="K4105" s="31">
        <v>-8.4860095999999992</v>
      </c>
      <c r="L4105" s="31"/>
      <c r="M4105" s="31" t="s">
        <v>854</v>
      </c>
      <c r="N4105" s="6" t="s">
        <v>856</v>
      </c>
    </row>
    <row r="4106" spans="1:14" ht="15" customHeight="1" x14ac:dyDescent="0.2">
      <c r="A4106" s="31">
        <v>0.60140496818064004</v>
      </c>
      <c r="B4106" s="31"/>
      <c r="C4106" s="2" t="s">
        <v>855</v>
      </c>
      <c r="D4106" s="31">
        <f t="shared" si="134"/>
        <v>0.11787537376340546</v>
      </c>
      <c r="F4106" s="2" t="s">
        <v>822</v>
      </c>
      <c r="G4106" s="23" t="s">
        <v>902</v>
      </c>
      <c r="H4106" s="2" t="s">
        <v>822</v>
      </c>
      <c r="J4106" s="31">
        <v>48.930599200000003</v>
      </c>
      <c r="K4106" s="31">
        <v>-4.4949697999999998</v>
      </c>
      <c r="L4106" s="31"/>
      <c r="M4106" s="31" t="s">
        <v>854</v>
      </c>
      <c r="N4106" s="6" t="s">
        <v>856</v>
      </c>
    </row>
    <row r="4107" spans="1:14" ht="15" customHeight="1" x14ac:dyDescent="0.2">
      <c r="A4107" s="31">
        <v>0.60085917292167623</v>
      </c>
      <c r="B4107" s="31"/>
      <c r="C4107" s="2" t="s">
        <v>855</v>
      </c>
      <c r="D4107" s="31">
        <f t="shared" si="134"/>
        <v>0.11776839789264855</v>
      </c>
      <c r="F4107" s="2" t="s">
        <v>822</v>
      </c>
      <c r="G4107" s="23" t="s">
        <v>902</v>
      </c>
      <c r="H4107" s="2" t="s">
        <v>822</v>
      </c>
      <c r="J4107" s="31">
        <v>47.833301499999997</v>
      </c>
      <c r="K4107" s="31">
        <v>-9.1964302</v>
      </c>
      <c r="L4107" s="31"/>
      <c r="M4107" s="31" t="s">
        <v>854</v>
      </c>
      <c r="N4107" s="6" t="s">
        <v>856</v>
      </c>
    </row>
    <row r="4108" spans="1:14" ht="15" customHeight="1" x14ac:dyDescent="0.2">
      <c r="A4108" s="31">
        <v>0.60070356873009823</v>
      </c>
      <c r="B4108" s="31"/>
      <c r="C4108" s="2" t="s">
        <v>855</v>
      </c>
      <c r="D4108" s="31">
        <f t="shared" si="134"/>
        <v>0.11773789947109925</v>
      </c>
      <c r="F4108" s="2" t="s">
        <v>822</v>
      </c>
      <c r="G4108" s="23" t="s">
        <v>902</v>
      </c>
      <c r="H4108" s="2" t="s">
        <v>822</v>
      </c>
      <c r="J4108" s="31">
        <v>64.769500699999995</v>
      </c>
      <c r="K4108" s="31">
        <v>21.4811993</v>
      </c>
      <c r="L4108" s="31"/>
      <c r="M4108" s="31" t="s">
        <v>854</v>
      </c>
      <c r="N4108" s="6" t="s">
        <v>856</v>
      </c>
    </row>
    <row r="4109" spans="1:14" ht="15" customHeight="1" x14ac:dyDescent="0.2">
      <c r="A4109" s="31">
        <v>0.60066320556656116</v>
      </c>
      <c r="B4109" s="31"/>
      <c r="C4109" s="2" t="s">
        <v>855</v>
      </c>
      <c r="D4109" s="31">
        <f t="shared" si="134"/>
        <v>0.11772998829104599</v>
      </c>
      <c r="F4109" s="2" t="s">
        <v>822</v>
      </c>
      <c r="G4109" s="23" t="s">
        <v>902</v>
      </c>
      <c r="H4109" s="2" t="s">
        <v>822</v>
      </c>
      <c r="J4109" s="31">
        <v>32.3130989</v>
      </c>
      <c r="K4109" s="31">
        <v>-36.588100400000002</v>
      </c>
      <c r="L4109" s="31"/>
      <c r="M4109" s="31" t="s">
        <v>854</v>
      </c>
      <c r="N4109" s="6" t="s">
        <v>856</v>
      </c>
    </row>
    <row r="4110" spans="1:14" ht="15" customHeight="1" x14ac:dyDescent="0.2">
      <c r="A4110" s="31">
        <v>0.60060137478289322</v>
      </c>
      <c r="B4110" s="31"/>
      <c r="C4110" s="2" t="s">
        <v>855</v>
      </c>
      <c r="D4110" s="31">
        <f t="shared" si="134"/>
        <v>0.11771786945744707</v>
      </c>
      <c r="F4110" s="2" t="s">
        <v>822</v>
      </c>
      <c r="G4110" s="23" t="s">
        <v>902</v>
      </c>
      <c r="H4110" s="2" t="s">
        <v>822</v>
      </c>
      <c r="J4110" s="31">
        <v>48.756500199999998</v>
      </c>
      <c r="K4110" s="31">
        <v>-26.517499900000001</v>
      </c>
      <c r="L4110" s="31"/>
      <c r="M4110" s="31" t="s">
        <v>854</v>
      </c>
      <c r="N4110" s="6" t="s">
        <v>856</v>
      </c>
    </row>
    <row r="4111" spans="1:14" ht="15" customHeight="1" x14ac:dyDescent="0.2">
      <c r="A4111" s="31">
        <v>0.60041017622568638</v>
      </c>
      <c r="B4111" s="31"/>
      <c r="C4111" s="2" t="s">
        <v>855</v>
      </c>
      <c r="D4111" s="31">
        <f t="shared" si="134"/>
        <v>0.11768039454023453</v>
      </c>
      <c r="F4111" s="2" t="s">
        <v>822</v>
      </c>
      <c r="G4111" s="23" t="s">
        <v>902</v>
      </c>
      <c r="H4111" s="2" t="s">
        <v>822</v>
      </c>
      <c r="J4111" s="31">
        <v>34.794899000000001</v>
      </c>
      <c r="K4111" s="31">
        <v>-41.511100800000001</v>
      </c>
      <c r="L4111" s="31"/>
      <c r="M4111" s="31" t="s">
        <v>854</v>
      </c>
      <c r="N4111" s="6" t="s">
        <v>856</v>
      </c>
    </row>
    <row r="4112" spans="1:14" ht="15" customHeight="1" x14ac:dyDescent="0.2">
      <c r="A4112" s="31">
        <v>0.60040938344273287</v>
      </c>
      <c r="B4112" s="31"/>
      <c r="C4112" s="2" t="s">
        <v>855</v>
      </c>
      <c r="D4112" s="31">
        <f t="shared" si="134"/>
        <v>0.11768023915477564</v>
      </c>
      <c r="F4112" s="2" t="s">
        <v>822</v>
      </c>
      <c r="G4112" s="23" t="s">
        <v>902</v>
      </c>
      <c r="H4112" s="2" t="s">
        <v>822</v>
      </c>
      <c r="J4112" s="31">
        <v>36.456501000000003</v>
      </c>
      <c r="K4112" s="31">
        <v>-31.8719997</v>
      </c>
      <c r="L4112" s="31"/>
      <c r="M4112" s="31" t="s">
        <v>854</v>
      </c>
      <c r="N4112" s="6" t="s">
        <v>856</v>
      </c>
    </row>
    <row r="4113" spans="1:14" ht="15" customHeight="1" x14ac:dyDescent="0.2">
      <c r="A4113" s="31">
        <v>0.60022196504135228</v>
      </c>
      <c r="B4113" s="31"/>
      <c r="C4113" s="2" t="s">
        <v>855</v>
      </c>
      <c r="D4113" s="31">
        <f t="shared" si="134"/>
        <v>0.11764350514810505</v>
      </c>
      <c r="F4113" s="2" t="s">
        <v>822</v>
      </c>
      <c r="G4113" s="23" t="s">
        <v>902</v>
      </c>
      <c r="H4113" s="2" t="s">
        <v>822</v>
      </c>
      <c r="J4113" s="31">
        <v>52.759998299999999</v>
      </c>
      <c r="K4113" s="31">
        <v>4.2608398999999997</v>
      </c>
      <c r="L4113" s="31"/>
      <c r="M4113" s="31" t="s">
        <v>854</v>
      </c>
      <c r="N4113" s="6" t="s">
        <v>856</v>
      </c>
    </row>
    <row r="4114" spans="1:14" ht="15" customHeight="1" x14ac:dyDescent="0.2">
      <c r="A4114" s="31">
        <v>0.5998874774862869</v>
      </c>
      <c r="B4114" s="31"/>
      <c r="C4114" s="2" t="s">
        <v>855</v>
      </c>
      <c r="D4114" s="31">
        <f t="shared" si="134"/>
        <v>0.11757794558731224</v>
      </c>
      <c r="F4114" s="2" t="s">
        <v>822</v>
      </c>
      <c r="G4114" s="23" t="s">
        <v>902</v>
      </c>
      <c r="H4114" s="2" t="s">
        <v>822</v>
      </c>
      <c r="J4114" s="31">
        <v>54.541599300000001</v>
      </c>
      <c r="K4114" s="31">
        <v>4.6358398999999997</v>
      </c>
      <c r="L4114" s="31"/>
      <c r="M4114" s="31" t="s">
        <v>854</v>
      </c>
      <c r="N4114" s="6" t="s">
        <v>856</v>
      </c>
    </row>
    <row r="4115" spans="1:14" ht="15" customHeight="1" x14ac:dyDescent="0.2">
      <c r="A4115" s="31">
        <v>0.5997437768139654</v>
      </c>
      <c r="B4115" s="31"/>
      <c r="C4115" s="2" t="s">
        <v>855</v>
      </c>
      <c r="D4115" s="31">
        <f t="shared" si="134"/>
        <v>0.11754978025553722</v>
      </c>
      <c r="F4115" s="2" t="s">
        <v>822</v>
      </c>
      <c r="G4115" s="23" t="s">
        <v>902</v>
      </c>
      <c r="H4115" s="2" t="s">
        <v>822</v>
      </c>
      <c r="J4115" s="31">
        <v>48.0895996</v>
      </c>
      <c r="K4115" s="31">
        <v>-26.521499599999999</v>
      </c>
      <c r="L4115" s="31"/>
      <c r="M4115" s="31" t="s">
        <v>854</v>
      </c>
      <c r="N4115" s="6" t="s">
        <v>856</v>
      </c>
    </row>
    <row r="4116" spans="1:14" ht="15" customHeight="1" x14ac:dyDescent="0.2">
      <c r="A4116" s="31">
        <v>0.59960472899293171</v>
      </c>
      <c r="B4116" s="31"/>
      <c r="C4116" s="2" t="s">
        <v>855</v>
      </c>
      <c r="D4116" s="31">
        <f t="shared" si="134"/>
        <v>0.11752252688261462</v>
      </c>
      <c r="F4116" s="2" t="s">
        <v>822</v>
      </c>
      <c r="G4116" s="23" t="s">
        <v>902</v>
      </c>
      <c r="H4116" s="2" t="s">
        <v>822</v>
      </c>
      <c r="J4116" s="31">
        <v>37.378601099999997</v>
      </c>
      <c r="K4116" s="31">
        <v>-19.110900900000001</v>
      </c>
      <c r="L4116" s="31"/>
      <c r="M4116" s="31" t="s">
        <v>854</v>
      </c>
      <c r="N4116" s="6" t="s">
        <v>856</v>
      </c>
    </row>
    <row r="4117" spans="1:14" ht="15" customHeight="1" x14ac:dyDescent="0.2">
      <c r="A4117" s="31">
        <v>0.59944895993136771</v>
      </c>
      <c r="B4117" s="31"/>
      <c r="C4117" s="2" t="s">
        <v>855</v>
      </c>
      <c r="D4117" s="31">
        <f t="shared" si="134"/>
        <v>0.11749199614654808</v>
      </c>
      <c r="F4117" s="2" t="s">
        <v>822</v>
      </c>
      <c r="G4117" s="23" t="s">
        <v>902</v>
      </c>
      <c r="H4117" s="2" t="s">
        <v>822</v>
      </c>
      <c r="J4117" s="31">
        <v>46.748001100000003</v>
      </c>
      <c r="K4117" s="31">
        <v>-25.1919994</v>
      </c>
      <c r="L4117" s="31"/>
      <c r="M4117" s="31" t="s">
        <v>854</v>
      </c>
      <c r="N4117" s="6" t="s">
        <v>856</v>
      </c>
    </row>
    <row r="4118" spans="1:14" ht="15" customHeight="1" x14ac:dyDescent="0.2">
      <c r="A4118" s="31">
        <v>0.5994243996951345</v>
      </c>
      <c r="B4118" s="31"/>
      <c r="C4118" s="2" t="s">
        <v>855</v>
      </c>
      <c r="D4118" s="31">
        <f t="shared" si="134"/>
        <v>0.11748718234024637</v>
      </c>
      <c r="F4118" s="2" t="s">
        <v>822</v>
      </c>
      <c r="G4118" s="23" t="s">
        <v>902</v>
      </c>
      <c r="H4118" s="2" t="s">
        <v>822</v>
      </c>
      <c r="J4118" s="31">
        <v>25.375900300000001</v>
      </c>
      <c r="K4118" s="31">
        <v>-29.8656006</v>
      </c>
      <c r="L4118" s="31"/>
      <c r="M4118" s="31" t="s">
        <v>854</v>
      </c>
      <c r="N4118" s="6" t="s">
        <v>856</v>
      </c>
    </row>
    <row r="4119" spans="1:14" ht="15" customHeight="1" x14ac:dyDescent="0.2">
      <c r="A4119" s="31">
        <v>0.59935659176267608</v>
      </c>
      <c r="B4119" s="31"/>
      <c r="C4119" s="2" t="s">
        <v>855</v>
      </c>
      <c r="D4119" s="31">
        <f t="shared" si="134"/>
        <v>0.11747389198548451</v>
      </c>
      <c r="F4119" s="2" t="s">
        <v>822</v>
      </c>
      <c r="G4119" s="23" t="s">
        <v>902</v>
      </c>
      <c r="H4119" s="2" t="s">
        <v>822</v>
      </c>
      <c r="J4119" s="31">
        <v>31.687200499999999</v>
      </c>
      <c r="K4119" s="31">
        <v>-31.016199100000001</v>
      </c>
      <c r="L4119" s="31"/>
      <c r="M4119" s="31" t="s">
        <v>854</v>
      </c>
      <c r="N4119" s="6" t="s">
        <v>856</v>
      </c>
    </row>
    <row r="4120" spans="1:14" ht="15" customHeight="1" x14ac:dyDescent="0.2">
      <c r="A4120" s="31">
        <v>0.59920571488029606</v>
      </c>
      <c r="B4120" s="31"/>
      <c r="C4120" s="2" t="s">
        <v>855</v>
      </c>
      <c r="D4120" s="31">
        <f t="shared" si="134"/>
        <v>0.11744432011653803</v>
      </c>
      <c r="F4120" s="2" t="s">
        <v>822</v>
      </c>
      <c r="G4120" s="23" t="s">
        <v>902</v>
      </c>
      <c r="H4120" s="2" t="s">
        <v>822</v>
      </c>
      <c r="J4120" s="31">
        <v>53.463199600000003</v>
      </c>
      <c r="K4120" s="31">
        <v>4.9696597999999996</v>
      </c>
      <c r="L4120" s="31"/>
      <c r="M4120" s="31" t="s">
        <v>854</v>
      </c>
      <c r="N4120" s="6" t="s">
        <v>856</v>
      </c>
    </row>
    <row r="4121" spans="1:14" ht="15" customHeight="1" x14ac:dyDescent="0.2">
      <c r="A4121" s="31">
        <v>0.59914014454475861</v>
      </c>
      <c r="B4121" s="31"/>
      <c r="C4121" s="2" t="s">
        <v>855</v>
      </c>
      <c r="D4121" s="31">
        <f t="shared" si="134"/>
        <v>0.1174314683307727</v>
      </c>
      <c r="F4121" s="2" t="s">
        <v>822</v>
      </c>
      <c r="G4121" s="23" t="s">
        <v>902</v>
      </c>
      <c r="H4121" s="2" t="s">
        <v>822</v>
      </c>
      <c r="J4121" s="31">
        <v>42.084999099999997</v>
      </c>
      <c r="K4121" s="31">
        <v>-41.947399099999998</v>
      </c>
      <c r="L4121" s="31"/>
      <c r="M4121" s="31" t="s">
        <v>854</v>
      </c>
      <c r="N4121" s="6" t="s">
        <v>856</v>
      </c>
    </row>
    <row r="4122" spans="1:14" ht="15" customHeight="1" x14ac:dyDescent="0.2">
      <c r="A4122" s="31">
        <v>0.59900467181242012</v>
      </c>
      <c r="B4122" s="31"/>
      <c r="C4122" s="2" t="s">
        <v>855</v>
      </c>
      <c r="D4122" s="31">
        <f t="shared" si="134"/>
        <v>0.11740491567523435</v>
      </c>
      <c r="F4122" s="2" t="s">
        <v>822</v>
      </c>
      <c r="G4122" s="23" t="s">
        <v>902</v>
      </c>
      <c r="H4122" s="2" t="s">
        <v>822</v>
      </c>
      <c r="J4122" s="31">
        <v>38.985599499999999</v>
      </c>
      <c r="K4122" s="31">
        <v>13.5207005</v>
      </c>
      <c r="L4122" s="31"/>
      <c r="M4122" s="31" t="s">
        <v>854</v>
      </c>
      <c r="N4122" s="6" t="s">
        <v>856</v>
      </c>
    </row>
    <row r="4123" spans="1:14" ht="15" customHeight="1" x14ac:dyDescent="0.2">
      <c r="A4123" s="31">
        <v>0.59899158410870845</v>
      </c>
      <c r="B4123" s="31"/>
      <c r="C4123" s="2" t="s">
        <v>855</v>
      </c>
      <c r="D4123" s="31">
        <f t="shared" si="134"/>
        <v>0.11740235048530687</v>
      </c>
      <c r="F4123" s="2" t="s">
        <v>822</v>
      </c>
      <c r="G4123" s="23" t="s">
        <v>902</v>
      </c>
      <c r="H4123" s="2" t="s">
        <v>822</v>
      </c>
      <c r="J4123" s="31">
        <v>44.800201399999999</v>
      </c>
      <c r="K4123" s="31">
        <v>-23.8689003</v>
      </c>
      <c r="L4123" s="31"/>
      <c r="M4123" s="31" t="s">
        <v>854</v>
      </c>
      <c r="N4123" s="6" t="s">
        <v>856</v>
      </c>
    </row>
    <row r="4124" spans="1:14" ht="15" customHeight="1" x14ac:dyDescent="0.2">
      <c r="A4124" s="31">
        <v>0.59868040051559723</v>
      </c>
      <c r="B4124" s="31"/>
      <c r="C4124" s="2" t="s">
        <v>855</v>
      </c>
      <c r="D4124" s="31">
        <f t="shared" si="134"/>
        <v>0.11734135850105706</v>
      </c>
      <c r="F4124" s="2" t="s">
        <v>822</v>
      </c>
      <c r="G4124" s="23" t="s">
        <v>902</v>
      </c>
      <c r="H4124" s="2" t="s">
        <v>822</v>
      </c>
      <c r="J4124" s="31">
        <v>46.783599899999999</v>
      </c>
      <c r="K4124" s="31">
        <v>-11.1781998</v>
      </c>
      <c r="L4124" s="31"/>
      <c r="M4124" s="31" t="s">
        <v>854</v>
      </c>
      <c r="N4124" s="6" t="s">
        <v>856</v>
      </c>
    </row>
    <row r="4125" spans="1:14" ht="15" customHeight="1" x14ac:dyDescent="0.2">
      <c r="A4125" s="31">
        <v>0.59844260334294308</v>
      </c>
      <c r="B4125" s="31"/>
      <c r="C4125" s="2" t="s">
        <v>855</v>
      </c>
      <c r="D4125" s="31">
        <f t="shared" si="134"/>
        <v>0.11729475025521685</v>
      </c>
      <c r="F4125" s="2" t="s">
        <v>822</v>
      </c>
      <c r="G4125" s="23" t="s">
        <v>902</v>
      </c>
      <c r="H4125" s="2" t="s">
        <v>822</v>
      </c>
      <c r="J4125" s="31">
        <v>45.634700799999997</v>
      </c>
      <c r="K4125" s="31">
        <v>-18.6233006</v>
      </c>
      <c r="L4125" s="31"/>
      <c r="M4125" s="31" t="s">
        <v>854</v>
      </c>
      <c r="N4125" s="6" t="s">
        <v>856</v>
      </c>
    </row>
    <row r="4126" spans="1:14" ht="15" customHeight="1" x14ac:dyDescent="0.2">
      <c r="A4126" s="31">
        <v>0.59842603604454025</v>
      </c>
      <c r="B4126" s="31"/>
      <c r="C4126" s="2" t="s">
        <v>855</v>
      </c>
      <c r="D4126" s="31">
        <f t="shared" ref="D4126:D4150" si="135" xml:space="preserve"> A4126 * 0.196</f>
        <v>0.11729150306472989</v>
      </c>
      <c r="F4126" s="2" t="s">
        <v>822</v>
      </c>
      <c r="G4126" s="23" t="s">
        <v>902</v>
      </c>
      <c r="H4126" s="2" t="s">
        <v>822</v>
      </c>
      <c r="J4126" s="31">
        <v>37.353801699999998</v>
      </c>
      <c r="K4126" s="31">
        <v>10.0711002</v>
      </c>
      <c r="L4126" s="31"/>
      <c r="M4126" s="31" t="s">
        <v>854</v>
      </c>
      <c r="N4126" s="6" t="s">
        <v>856</v>
      </c>
    </row>
    <row r="4127" spans="1:14" ht="15" customHeight="1" x14ac:dyDescent="0.2">
      <c r="A4127" s="31">
        <v>0.59837456886791929</v>
      </c>
      <c r="B4127" s="31"/>
      <c r="C4127" s="2" t="s">
        <v>855</v>
      </c>
      <c r="D4127" s="31">
        <f t="shared" si="135"/>
        <v>0.11728141549811219</v>
      </c>
      <c r="F4127" s="2" t="s">
        <v>822</v>
      </c>
      <c r="G4127" s="23" t="s">
        <v>902</v>
      </c>
      <c r="H4127" s="2" t="s">
        <v>822</v>
      </c>
      <c r="J4127" s="31">
        <v>49.419998200000002</v>
      </c>
      <c r="K4127" s="31">
        <v>-24.5240002</v>
      </c>
      <c r="L4127" s="31"/>
      <c r="M4127" s="31" t="s">
        <v>854</v>
      </c>
      <c r="N4127" s="6" t="s">
        <v>856</v>
      </c>
    </row>
    <row r="4128" spans="1:14" ht="15" customHeight="1" x14ac:dyDescent="0.2">
      <c r="A4128" s="31">
        <v>0.59819487167865981</v>
      </c>
      <c r="B4128" s="31"/>
      <c r="C4128" s="2" t="s">
        <v>855</v>
      </c>
      <c r="D4128" s="31">
        <f t="shared" si="135"/>
        <v>0.11724619484901733</v>
      </c>
      <c r="F4128" s="2" t="s">
        <v>822</v>
      </c>
      <c r="G4128" s="23" t="s">
        <v>902</v>
      </c>
      <c r="H4128" s="2" t="s">
        <v>822</v>
      </c>
      <c r="J4128" s="31">
        <v>45.411998699999998</v>
      </c>
      <c r="K4128" s="31">
        <v>-29.200000800000002</v>
      </c>
      <c r="L4128" s="31"/>
      <c r="M4128" s="31" t="s">
        <v>854</v>
      </c>
      <c r="N4128" s="6" t="s">
        <v>856</v>
      </c>
    </row>
    <row r="4129" spans="1:14" ht="15" customHeight="1" x14ac:dyDescent="0.2">
      <c r="A4129" s="31">
        <v>0.59815571573004445</v>
      </c>
      <c r="B4129" s="31"/>
      <c r="C4129" s="2" t="s">
        <v>855</v>
      </c>
      <c r="D4129" s="31">
        <f t="shared" si="135"/>
        <v>0.11723852028308872</v>
      </c>
      <c r="F4129" s="2" t="s">
        <v>822</v>
      </c>
      <c r="G4129" s="23" t="s">
        <v>902</v>
      </c>
      <c r="H4129" s="2" t="s">
        <v>822</v>
      </c>
      <c r="J4129" s="31">
        <v>46.080001799999998</v>
      </c>
      <c r="K4129" s="31">
        <v>-29.200000800000002</v>
      </c>
      <c r="L4129" s="31"/>
      <c r="M4129" s="31" t="s">
        <v>854</v>
      </c>
      <c r="N4129" s="6" t="s">
        <v>856</v>
      </c>
    </row>
    <row r="4130" spans="1:14" ht="15" customHeight="1" x14ac:dyDescent="0.2">
      <c r="A4130" s="31">
        <v>0.59811650221916579</v>
      </c>
      <c r="B4130" s="31"/>
      <c r="C4130" s="2" t="s">
        <v>855</v>
      </c>
      <c r="D4130" s="31">
        <f t="shared" si="135"/>
        <v>0.11723083443495649</v>
      </c>
      <c r="F4130" s="2" t="s">
        <v>822</v>
      </c>
      <c r="G4130" s="23" t="s">
        <v>902</v>
      </c>
      <c r="H4130" s="2" t="s">
        <v>822</v>
      </c>
      <c r="J4130" s="31">
        <v>45.4020996</v>
      </c>
      <c r="K4130" s="31">
        <v>-41.227001199999997</v>
      </c>
      <c r="L4130" s="31"/>
      <c r="M4130" s="31" t="s">
        <v>854</v>
      </c>
      <c r="N4130" s="6" t="s">
        <v>856</v>
      </c>
    </row>
    <row r="4131" spans="1:14" ht="15" customHeight="1" x14ac:dyDescent="0.2">
      <c r="A4131" s="31">
        <v>0.5981111515008507</v>
      </c>
      <c r="B4131" s="31"/>
      <c r="C4131" s="2" t="s">
        <v>855</v>
      </c>
      <c r="D4131" s="31">
        <f t="shared" si="135"/>
        <v>0.11722978569416674</v>
      </c>
      <c r="F4131" s="2" t="s">
        <v>822</v>
      </c>
      <c r="G4131" s="23" t="s">
        <v>902</v>
      </c>
      <c r="H4131" s="2" t="s">
        <v>822</v>
      </c>
      <c r="J4131" s="31">
        <v>38.647998800000003</v>
      </c>
      <c r="K4131" s="31">
        <v>18.277200700000002</v>
      </c>
      <c r="L4131" s="31"/>
      <c r="M4131" s="31" t="s">
        <v>854</v>
      </c>
      <c r="N4131" s="6" t="s">
        <v>856</v>
      </c>
    </row>
    <row r="4132" spans="1:14" ht="15" customHeight="1" x14ac:dyDescent="0.2">
      <c r="A4132" s="31">
        <v>0.59809780538137192</v>
      </c>
      <c r="B4132" s="31"/>
      <c r="C4132" s="2" t="s">
        <v>855</v>
      </c>
      <c r="D4132" s="31">
        <f t="shared" si="135"/>
        <v>0.1172271698547489</v>
      </c>
      <c r="F4132" s="2" t="s">
        <v>822</v>
      </c>
      <c r="G4132" s="23" t="s">
        <v>902</v>
      </c>
      <c r="H4132" s="2" t="s">
        <v>822</v>
      </c>
      <c r="J4132" s="31">
        <v>45.619800599999998</v>
      </c>
      <c r="K4132" s="31">
        <v>-27.0160999</v>
      </c>
      <c r="L4132" s="31"/>
      <c r="M4132" s="31" t="s">
        <v>854</v>
      </c>
      <c r="N4132" s="6" t="s">
        <v>856</v>
      </c>
    </row>
    <row r="4133" spans="1:14" ht="15" customHeight="1" x14ac:dyDescent="0.2">
      <c r="A4133" s="31">
        <v>0.59801865046503333</v>
      </c>
      <c r="B4133" s="31"/>
      <c r="C4133" s="2" t="s">
        <v>855</v>
      </c>
      <c r="D4133" s="31">
        <f t="shared" si="135"/>
        <v>0.11721165549114654</v>
      </c>
      <c r="F4133" s="2" t="s">
        <v>822</v>
      </c>
      <c r="G4133" s="23" t="s">
        <v>902</v>
      </c>
      <c r="H4133" s="2" t="s">
        <v>822</v>
      </c>
      <c r="J4133" s="31">
        <v>35.727298699999999</v>
      </c>
      <c r="K4133" s="31">
        <v>-19.5146999</v>
      </c>
      <c r="L4133" s="31"/>
      <c r="M4133" s="31" t="s">
        <v>854</v>
      </c>
      <c r="N4133" s="6" t="s">
        <v>856</v>
      </c>
    </row>
    <row r="4134" spans="1:14" ht="15" customHeight="1" x14ac:dyDescent="0.2">
      <c r="A4134" s="31">
        <v>0.59779405703284738</v>
      </c>
      <c r="B4134" s="31"/>
      <c r="C4134" s="2" t="s">
        <v>855</v>
      </c>
      <c r="D4134" s="31">
        <f t="shared" si="135"/>
        <v>0.11716763517843809</v>
      </c>
      <c r="F4134" s="2" t="s">
        <v>822</v>
      </c>
      <c r="G4134" s="23" t="s">
        <v>902</v>
      </c>
      <c r="H4134" s="2" t="s">
        <v>822</v>
      </c>
      <c r="J4134" s="31">
        <v>37.429798099999999</v>
      </c>
      <c r="K4134" s="31">
        <v>3.5033099999999999</v>
      </c>
      <c r="L4134" s="31"/>
      <c r="M4134" s="31" t="s">
        <v>854</v>
      </c>
      <c r="N4134" s="6" t="s">
        <v>856</v>
      </c>
    </row>
    <row r="4135" spans="1:14" ht="15" customHeight="1" x14ac:dyDescent="0.2">
      <c r="A4135" s="31">
        <v>0.59770913505696521</v>
      </c>
      <c r="B4135" s="31"/>
      <c r="C4135" s="2" t="s">
        <v>855</v>
      </c>
      <c r="D4135" s="31">
        <f t="shared" si="135"/>
        <v>0.11715099047116519</v>
      </c>
      <c r="F4135" s="2" t="s">
        <v>822</v>
      </c>
      <c r="G4135" s="23" t="s">
        <v>902</v>
      </c>
      <c r="H4135" s="2" t="s">
        <v>822</v>
      </c>
      <c r="J4135" s="31">
        <v>41.4247017</v>
      </c>
      <c r="K4135" s="31">
        <v>-37.151199300000002</v>
      </c>
      <c r="L4135" s="31"/>
      <c r="M4135" s="31" t="s">
        <v>854</v>
      </c>
      <c r="N4135" s="6" t="s">
        <v>856</v>
      </c>
    </row>
    <row r="4136" spans="1:14" ht="15" customHeight="1" x14ac:dyDescent="0.2">
      <c r="A4136" s="31">
        <v>0.59759735341113229</v>
      </c>
      <c r="B4136" s="31"/>
      <c r="C4136" s="2" t="s">
        <v>855</v>
      </c>
      <c r="D4136" s="31">
        <f t="shared" si="135"/>
        <v>0.11712908126858193</v>
      </c>
      <c r="F4136" s="2" t="s">
        <v>822</v>
      </c>
      <c r="G4136" s="23" t="s">
        <v>902</v>
      </c>
      <c r="H4136" s="2" t="s">
        <v>822</v>
      </c>
      <c r="J4136" s="31">
        <v>39.715900400000002</v>
      </c>
      <c r="K4136" s="31">
        <v>2.5083598999999999</v>
      </c>
      <c r="L4136" s="31"/>
      <c r="M4136" s="31" t="s">
        <v>854</v>
      </c>
      <c r="N4136" s="6" t="s">
        <v>856</v>
      </c>
    </row>
    <row r="4137" spans="1:14" ht="15" customHeight="1" x14ac:dyDescent="0.2">
      <c r="A4137" s="31">
        <v>0.59745176385852394</v>
      </c>
      <c r="B4137" s="31"/>
      <c r="C4137" s="2" t="s">
        <v>855</v>
      </c>
      <c r="D4137" s="31">
        <f t="shared" si="135"/>
        <v>0.1171005457162707</v>
      </c>
      <c r="F4137" s="2" t="s">
        <v>822</v>
      </c>
      <c r="G4137" s="23" t="s">
        <v>902</v>
      </c>
      <c r="H4137" s="2" t="s">
        <v>822</v>
      </c>
      <c r="J4137" s="31">
        <v>26.040000899999999</v>
      </c>
      <c r="K4137" s="31">
        <v>-23.187999699999999</v>
      </c>
      <c r="L4137" s="31"/>
      <c r="M4137" s="31" t="s">
        <v>854</v>
      </c>
      <c r="N4137" s="6" t="s">
        <v>856</v>
      </c>
    </row>
    <row r="4138" spans="1:14" ht="15" customHeight="1" x14ac:dyDescent="0.2">
      <c r="A4138" s="31">
        <v>0.59742039893897736</v>
      </c>
      <c r="B4138" s="31"/>
      <c r="C4138" s="2" t="s">
        <v>855</v>
      </c>
      <c r="D4138" s="31">
        <f t="shared" si="135"/>
        <v>0.11709439819203957</v>
      </c>
      <c r="F4138" s="2" t="s">
        <v>822</v>
      </c>
      <c r="G4138" s="23" t="s">
        <v>902</v>
      </c>
      <c r="H4138" s="2" t="s">
        <v>822</v>
      </c>
      <c r="J4138" s="31">
        <v>35.983501400000002</v>
      </c>
      <c r="K4138" s="31">
        <v>-23.119699499999999</v>
      </c>
      <c r="L4138" s="31"/>
      <c r="M4138" s="31" t="s">
        <v>854</v>
      </c>
      <c r="N4138" s="6" t="s">
        <v>856</v>
      </c>
    </row>
    <row r="4139" spans="1:14" ht="15" customHeight="1" x14ac:dyDescent="0.2">
      <c r="A4139" s="31">
        <v>0.59734686463676423</v>
      </c>
      <c r="B4139" s="31"/>
      <c r="C4139" s="2" t="s">
        <v>855</v>
      </c>
      <c r="D4139" s="31">
        <f t="shared" si="135"/>
        <v>0.1170799854688058</v>
      </c>
      <c r="F4139" s="2" t="s">
        <v>822</v>
      </c>
      <c r="G4139" s="23" t="s">
        <v>902</v>
      </c>
      <c r="H4139" s="2" t="s">
        <v>822</v>
      </c>
      <c r="J4139" s="31">
        <v>54.731300400000002</v>
      </c>
      <c r="K4139" s="31">
        <v>14.801699599999999</v>
      </c>
      <c r="L4139" s="31"/>
      <c r="M4139" s="31" t="s">
        <v>854</v>
      </c>
      <c r="N4139" s="6" t="s">
        <v>856</v>
      </c>
    </row>
    <row r="4140" spans="1:14" ht="15" customHeight="1" x14ac:dyDescent="0.2">
      <c r="A4140" s="31">
        <v>0.59731557109906608</v>
      </c>
      <c r="B4140" s="31"/>
      <c r="C4140" s="2" t="s">
        <v>855</v>
      </c>
      <c r="D4140" s="31">
        <f t="shared" si="135"/>
        <v>0.11707385193541696</v>
      </c>
      <c r="F4140" s="2" t="s">
        <v>822</v>
      </c>
      <c r="G4140" s="23" t="s">
        <v>902</v>
      </c>
      <c r="H4140" s="2" t="s">
        <v>822</v>
      </c>
      <c r="J4140" s="31">
        <v>50.083198500000002</v>
      </c>
      <c r="K4140" s="31">
        <v>-27.841600400000001</v>
      </c>
      <c r="L4140" s="31"/>
      <c r="M4140" s="31" t="s">
        <v>854</v>
      </c>
      <c r="N4140" s="6" t="s">
        <v>856</v>
      </c>
    </row>
    <row r="4141" spans="1:14" ht="15" customHeight="1" x14ac:dyDescent="0.2">
      <c r="A4141" s="31">
        <v>0.59701615368084027</v>
      </c>
      <c r="B4141" s="31"/>
      <c r="C4141" s="2" t="s">
        <v>855</v>
      </c>
      <c r="D4141" s="31">
        <f t="shared" si="135"/>
        <v>0.11701516612144469</v>
      </c>
      <c r="F4141" s="2" t="s">
        <v>822</v>
      </c>
      <c r="G4141" s="23" t="s">
        <v>902</v>
      </c>
      <c r="H4141" s="2" t="s">
        <v>822</v>
      </c>
      <c r="J4141" s="31">
        <v>36.760101300000002</v>
      </c>
      <c r="K4141" s="31">
        <v>22.715700099999999</v>
      </c>
      <c r="L4141" s="31"/>
      <c r="M4141" s="31" t="s">
        <v>854</v>
      </c>
      <c r="N4141" s="6" t="s">
        <v>856</v>
      </c>
    </row>
    <row r="4142" spans="1:14" ht="15" customHeight="1" x14ac:dyDescent="0.2">
      <c r="A4142" s="31">
        <v>0.59695387803554656</v>
      </c>
      <c r="B4142" s="31"/>
      <c r="C4142" s="2" t="s">
        <v>855</v>
      </c>
      <c r="D4142" s="31">
        <f t="shared" si="135"/>
        <v>0.11700296009496713</v>
      </c>
      <c r="F4142" s="2" t="s">
        <v>822</v>
      </c>
      <c r="G4142" s="23" t="s">
        <v>902</v>
      </c>
      <c r="H4142" s="2" t="s">
        <v>822</v>
      </c>
      <c r="J4142" s="31">
        <v>30.7159996</v>
      </c>
      <c r="K4142" s="31">
        <v>-32.540000900000003</v>
      </c>
      <c r="L4142" s="31"/>
      <c r="M4142" s="31" t="s">
        <v>854</v>
      </c>
      <c r="N4142" s="6" t="s">
        <v>856</v>
      </c>
    </row>
    <row r="4143" spans="1:14" ht="15" customHeight="1" x14ac:dyDescent="0.2">
      <c r="A4143" s="31">
        <v>0.59674924315232136</v>
      </c>
      <c r="B4143" s="31"/>
      <c r="C4143" s="2" t="s">
        <v>855</v>
      </c>
      <c r="D4143" s="31">
        <f t="shared" si="135"/>
        <v>0.11696285165785499</v>
      </c>
      <c r="F4143" s="2" t="s">
        <v>822</v>
      </c>
      <c r="G4143" s="23" t="s">
        <v>902</v>
      </c>
      <c r="H4143" s="2" t="s">
        <v>822</v>
      </c>
      <c r="J4143" s="31">
        <v>49.578601800000001</v>
      </c>
      <c r="K4143" s="31">
        <v>-0.32716400000000001</v>
      </c>
      <c r="L4143" s="31"/>
      <c r="M4143" s="31" t="s">
        <v>854</v>
      </c>
      <c r="N4143" s="6" t="s">
        <v>856</v>
      </c>
    </row>
    <row r="4144" spans="1:14" ht="15" customHeight="1" x14ac:dyDescent="0.2">
      <c r="A4144" s="31">
        <v>0.59660147202576663</v>
      </c>
      <c r="B4144" s="31"/>
      <c r="C4144" s="2" t="s">
        <v>855</v>
      </c>
      <c r="D4144" s="31">
        <f t="shared" si="135"/>
        <v>0.11693388851705026</v>
      </c>
      <c r="F4144" s="2" t="s">
        <v>822</v>
      </c>
      <c r="G4144" s="23" t="s">
        <v>902</v>
      </c>
      <c r="H4144" s="2" t="s">
        <v>822</v>
      </c>
      <c r="J4144" s="31">
        <v>41.896499599999999</v>
      </c>
      <c r="K4144" s="31">
        <v>-30.115400300000001</v>
      </c>
      <c r="L4144" s="31"/>
      <c r="M4144" s="31" t="s">
        <v>854</v>
      </c>
      <c r="N4144" s="6" t="s">
        <v>856</v>
      </c>
    </row>
    <row r="4145" spans="1:14" ht="15" customHeight="1" x14ac:dyDescent="0.2">
      <c r="A4145" s="31">
        <v>0.59629259330882967</v>
      </c>
      <c r="B4145" s="31"/>
      <c r="C4145" s="2" t="s">
        <v>855</v>
      </c>
      <c r="D4145" s="31">
        <f t="shared" si="135"/>
        <v>0.11687334828853062</v>
      </c>
      <c r="F4145" s="2" t="s">
        <v>822</v>
      </c>
      <c r="G4145" s="23" t="s">
        <v>902</v>
      </c>
      <c r="H4145" s="2" t="s">
        <v>822</v>
      </c>
      <c r="J4145" s="31">
        <v>49.419998200000002</v>
      </c>
      <c r="K4145" s="31">
        <v>-19.847999600000001</v>
      </c>
      <c r="L4145" s="31"/>
      <c r="M4145" s="31" t="s">
        <v>854</v>
      </c>
      <c r="N4145" s="6" t="s">
        <v>856</v>
      </c>
    </row>
    <row r="4146" spans="1:14" ht="15" customHeight="1" x14ac:dyDescent="0.2">
      <c r="A4146" s="31">
        <v>0.59620761178778436</v>
      </c>
      <c r="B4146" s="31"/>
      <c r="C4146" s="2" t="s">
        <v>855</v>
      </c>
      <c r="D4146" s="31">
        <f t="shared" si="135"/>
        <v>0.11685669191040574</v>
      </c>
      <c r="F4146" s="2" t="s">
        <v>822</v>
      </c>
      <c r="G4146" s="23" t="s">
        <v>902</v>
      </c>
      <c r="H4146" s="2" t="s">
        <v>822</v>
      </c>
      <c r="J4146" s="31">
        <v>44.717601799999997</v>
      </c>
      <c r="K4146" s="31">
        <v>-34.5680008</v>
      </c>
      <c r="L4146" s="31"/>
      <c r="M4146" s="31" t="s">
        <v>854</v>
      </c>
      <c r="N4146" s="6" t="s">
        <v>856</v>
      </c>
    </row>
    <row r="4147" spans="1:14" ht="15" customHeight="1" x14ac:dyDescent="0.2">
      <c r="A4147" s="31">
        <v>0.59591969597936845</v>
      </c>
      <c r="B4147" s="31"/>
      <c r="C4147" s="2" t="s">
        <v>855</v>
      </c>
      <c r="D4147" s="31">
        <f t="shared" si="135"/>
        <v>0.11680026041195622</v>
      </c>
      <c r="F4147" s="2" t="s">
        <v>822</v>
      </c>
      <c r="G4147" s="23" t="s">
        <v>902</v>
      </c>
      <c r="H4147" s="2" t="s">
        <v>822</v>
      </c>
      <c r="J4147" s="31">
        <v>34.723998999999999</v>
      </c>
      <c r="K4147" s="31">
        <v>-26.527999900000001</v>
      </c>
      <c r="L4147" s="31"/>
      <c r="M4147" s="31" t="s">
        <v>854</v>
      </c>
      <c r="N4147" s="6" t="s">
        <v>856</v>
      </c>
    </row>
    <row r="4148" spans="1:14" ht="15" customHeight="1" x14ac:dyDescent="0.2">
      <c r="A4148" s="31">
        <v>0.59578321941781864</v>
      </c>
      <c r="B4148" s="31"/>
      <c r="C4148" s="2" t="s">
        <v>855</v>
      </c>
      <c r="D4148" s="31">
        <f t="shared" si="135"/>
        <v>0.11677351100589246</v>
      </c>
      <c r="F4148" s="2" t="s">
        <v>822</v>
      </c>
      <c r="G4148" s="23" t="s">
        <v>902</v>
      </c>
      <c r="H4148" s="2" t="s">
        <v>822</v>
      </c>
      <c r="J4148" s="31">
        <v>54.182300599999998</v>
      </c>
      <c r="K4148" s="31">
        <v>1.9931999999999998E-2</v>
      </c>
      <c r="L4148" s="31"/>
      <c r="M4148" s="31" t="s">
        <v>854</v>
      </c>
      <c r="N4148" s="6" t="s">
        <v>856</v>
      </c>
    </row>
    <row r="4149" spans="1:14" ht="15" customHeight="1" x14ac:dyDescent="0.2">
      <c r="A4149" s="31">
        <v>0.59572138250827311</v>
      </c>
      <c r="B4149" s="31"/>
      <c r="C4149" s="2" t="s">
        <v>855</v>
      </c>
      <c r="D4149" s="31">
        <f t="shared" si="135"/>
        <v>0.11676139097162154</v>
      </c>
      <c r="F4149" s="2" t="s">
        <v>822</v>
      </c>
      <c r="G4149" s="23" t="s">
        <v>902</v>
      </c>
      <c r="H4149" s="2" t="s">
        <v>822</v>
      </c>
      <c r="J4149" s="31">
        <v>45.281299599999997</v>
      </c>
      <c r="K4149" s="31">
        <v>-2.3847201</v>
      </c>
      <c r="L4149" s="31"/>
      <c r="M4149" s="31" t="s">
        <v>854</v>
      </c>
      <c r="N4149" s="6" t="s">
        <v>856</v>
      </c>
    </row>
    <row r="4150" spans="1:14" ht="15" customHeight="1" x14ac:dyDescent="0.2">
      <c r="A4150" s="31">
        <v>0.59550037569794212</v>
      </c>
      <c r="B4150" s="31"/>
      <c r="C4150" s="2" t="s">
        <v>855</v>
      </c>
      <c r="D4150" s="31">
        <f t="shared" si="135"/>
        <v>0.11671807363679666</v>
      </c>
      <c r="F4150" s="2" t="s">
        <v>822</v>
      </c>
      <c r="G4150" s="23" t="s">
        <v>902</v>
      </c>
      <c r="H4150" s="2" t="s">
        <v>822</v>
      </c>
      <c r="J4150" s="31">
        <v>44.702300999999999</v>
      </c>
      <c r="K4150" s="31">
        <v>-27.937599200000001</v>
      </c>
      <c r="L4150" s="31"/>
      <c r="M4150" s="31" t="s">
        <v>854</v>
      </c>
      <c r="N4150" s="6" t="s">
        <v>856</v>
      </c>
    </row>
    <row r="4151" spans="1:14" ht="15" customHeight="1" x14ac:dyDescent="0.2">
      <c r="A4151" s="31">
        <v>2.1389336720963999E-4</v>
      </c>
      <c r="B4151" s="31"/>
      <c r="C4151" s="2" t="s">
        <v>892</v>
      </c>
      <c r="D4151" s="2">
        <f>A4151 * 545.45</f>
        <v>0.11666813714449814</v>
      </c>
      <c r="F4151" s="2">
        <v>2020</v>
      </c>
      <c r="G4151" s="38" t="s">
        <v>901</v>
      </c>
      <c r="H4151" s="2" t="s">
        <v>758</v>
      </c>
      <c r="I4151" s="31" t="s">
        <v>257</v>
      </c>
      <c r="J4151" s="31">
        <v>54.372</v>
      </c>
      <c r="K4151" s="31">
        <v>13.241300000000001</v>
      </c>
      <c r="L4151" s="2" t="s">
        <v>28</v>
      </c>
      <c r="M4151" s="2" t="s">
        <v>824</v>
      </c>
      <c r="N4151" s="17" t="s">
        <v>906</v>
      </c>
    </row>
    <row r="4152" spans="1:14" ht="15" customHeight="1" x14ac:dyDescent="0.2">
      <c r="A4152" s="31">
        <v>0.59501936793965937</v>
      </c>
      <c r="B4152" s="31"/>
      <c r="C4152" s="2" t="s">
        <v>855</v>
      </c>
      <c r="D4152" s="31">
        <f t="shared" ref="D4152:D4183" si="136" xml:space="preserve"> A4152 * 0.196</f>
        <v>0.11662379611617324</v>
      </c>
      <c r="F4152" s="2" t="s">
        <v>822</v>
      </c>
      <c r="G4152" s="23" t="s">
        <v>902</v>
      </c>
      <c r="H4152" s="2" t="s">
        <v>822</v>
      </c>
      <c r="J4152" s="31">
        <v>55.2616005</v>
      </c>
      <c r="K4152" s="31">
        <v>-5.2307100000000002</v>
      </c>
      <c r="L4152" s="31"/>
      <c r="M4152" s="31" t="s">
        <v>854</v>
      </c>
      <c r="N4152" s="6" t="s">
        <v>856</v>
      </c>
    </row>
    <row r="4153" spans="1:14" ht="15" customHeight="1" x14ac:dyDescent="0.2">
      <c r="A4153" s="31">
        <v>0.59482585127612564</v>
      </c>
      <c r="B4153" s="31"/>
      <c r="C4153" s="2" t="s">
        <v>855</v>
      </c>
      <c r="D4153" s="31">
        <f t="shared" si="136"/>
        <v>0.11658586685012062</v>
      </c>
      <c r="F4153" s="2" t="s">
        <v>822</v>
      </c>
      <c r="G4153" s="23" t="s">
        <v>902</v>
      </c>
      <c r="H4153" s="2" t="s">
        <v>822</v>
      </c>
      <c r="J4153" s="31">
        <v>52.759700799999997</v>
      </c>
      <c r="K4153" s="31">
        <v>-19.8481998</v>
      </c>
      <c r="L4153" s="31"/>
      <c r="M4153" s="31" t="s">
        <v>854</v>
      </c>
      <c r="N4153" s="6" t="s">
        <v>856</v>
      </c>
    </row>
    <row r="4154" spans="1:14" ht="15" customHeight="1" x14ac:dyDescent="0.2">
      <c r="A4154" s="31">
        <v>0.59469836270913057</v>
      </c>
      <c r="B4154" s="31"/>
      <c r="C4154" s="2" t="s">
        <v>855</v>
      </c>
      <c r="D4154" s="31">
        <f t="shared" si="136"/>
        <v>0.1165608790909896</v>
      </c>
      <c r="F4154" s="2" t="s">
        <v>822</v>
      </c>
      <c r="G4154" s="23" t="s">
        <v>902</v>
      </c>
      <c r="H4154" s="2" t="s">
        <v>822</v>
      </c>
      <c r="J4154" s="31">
        <v>48.083999599999999</v>
      </c>
      <c r="K4154" s="31">
        <v>-34.543998700000003</v>
      </c>
      <c r="L4154" s="31"/>
      <c r="M4154" s="31" t="s">
        <v>854</v>
      </c>
      <c r="N4154" s="6" t="s">
        <v>856</v>
      </c>
    </row>
    <row r="4155" spans="1:14" ht="15" customHeight="1" x14ac:dyDescent="0.2">
      <c r="A4155" s="31">
        <v>0.59426780910374111</v>
      </c>
      <c r="B4155" s="31"/>
      <c r="C4155" s="2" t="s">
        <v>855</v>
      </c>
      <c r="D4155" s="31">
        <f t="shared" si="136"/>
        <v>0.11647649058433326</v>
      </c>
      <c r="F4155" s="2" t="s">
        <v>822</v>
      </c>
      <c r="G4155" s="23" t="s">
        <v>902</v>
      </c>
      <c r="H4155" s="2" t="s">
        <v>822</v>
      </c>
      <c r="J4155" s="31">
        <v>51.431499500000001</v>
      </c>
      <c r="K4155" s="31">
        <v>-27.8733006</v>
      </c>
      <c r="L4155" s="31"/>
      <c r="M4155" s="31" t="s">
        <v>854</v>
      </c>
      <c r="N4155" s="6" t="s">
        <v>856</v>
      </c>
    </row>
    <row r="4156" spans="1:14" ht="15" customHeight="1" x14ac:dyDescent="0.2">
      <c r="A4156" s="31">
        <v>0.593854862940009</v>
      </c>
      <c r="B4156" s="31"/>
      <c r="C4156" s="2" t="s">
        <v>855</v>
      </c>
      <c r="D4156" s="31">
        <f t="shared" si="136"/>
        <v>0.11639555313624177</v>
      </c>
      <c r="F4156" s="2" t="s">
        <v>822</v>
      </c>
      <c r="G4156" s="23" t="s">
        <v>902</v>
      </c>
      <c r="H4156" s="2" t="s">
        <v>822</v>
      </c>
      <c r="J4156" s="31">
        <v>25.3719997</v>
      </c>
      <c r="K4156" s="31">
        <v>-40.555999800000002</v>
      </c>
      <c r="L4156" s="31"/>
      <c r="M4156" s="31" t="s">
        <v>854</v>
      </c>
      <c r="N4156" s="6" t="s">
        <v>856</v>
      </c>
    </row>
    <row r="4157" spans="1:14" ht="15" customHeight="1" x14ac:dyDescent="0.2">
      <c r="A4157" s="31">
        <v>0.5938174088387852</v>
      </c>
      <c r="B4157" s="31"/>
      <c r="C4157" s="2" t="s">
        <v>855</v>
      </c>
      <c r="D4157" s="31">
        <f t="shared" si="136"/>
        <v>0.1163882121324019</v>
      </c>
      <c r="F4157" s="2" t="s">
        <v>822</v>
      </c>
      <c r="G4157" s="23" t="s">
        <v>902</v>
      </c>
      <c r="H4157" s="2" t="s">
        <v>822</v>
      </c>
      <c r="J4157" s="31">
        <v>44.076000200000003</v>
      </c>
      <c r="K4157" s="31">
        <v>-39.888000499999997</v>
      </c>
      <c r="L4157" s="31"/>
      <c r="M4157" s="31" t="s">
        <v>854</v>
      </c>
      <c r="N4157" s="6" t="s">
        <v>856</v>
      </c>
    </row>
    <row r="4158" spans="1:14" ht="15" customHeight="1" x14ac:dyDescent="0.2">
      <c r="A4158" s="31">
        <v>0.59356970162101441</v>
      </c>
      <c r="B4158" s="31"/>
      <c r="C4158" s="2" t="s">
        <v>855</v>
      </c>
      <c r="D4158" s="31">
        <f t="shared" si="136"/>
        <v>0.11633966151771882</v>
      </c>
      <c r="F4158" s="2" t="s">
        <v>822</v>
      </c>
      <c r="G4158" s="23" t="s">
        <v>902</v>
      </c>
      <c r="H4158" s="2" t="s">
        <v>822</v>
      </c>
      <c r="J4158" s="31">
        <v>33.371601099999999</v>
      </c>
      <c r="K4158" s="31">
        <v>-31.8586998</v>
      </c>
      <c r="L4158" s="31"/>
      <c r="M4158" s="31" t="s">
        <v>854</v>
      </c>
      <c r="N4158" s="6" t="s">
        <v>856</v>
      </c>
    </row>
    <row r="4159" spans="1:14" ht="15" customHeight="1" x14ac:dyDescent="0.2">
      <c r="A4159" s="31">
        <v>0.59352972389842107</v>
      </c>
      <c r="B4159" s="31"/>
      <c r="C4159" s="2" t="s">
        <v>855</v>
      </c>
      <c r="D4159" s="31">
        <f t="shared" si="136"/>
        <v>0.11633182588409054</v>
      </c>
      <c r="F4159" s="2" t="s">
        <v>822</v>
      </c>
      <c r="G4159" s="23" t="s">
        <v>902</v>
      </c>
      <c r="H4159" s="2" t="s">
        <v>822</v>
      </c>
      <c r="J4159" s="31">
        <v>29.3799992</v>
      </c>
      <c r="K4159" s="31">
        <v>-25.860000599999999</v>
      </c>
      <c r="L4159" s="31"/>
      <c r="M4159" s="31" t="s">
        <v>854</v>
      </c>
      <c r="N4159" s="6" t="s">
        <v>856</v>
      </c>
    </row>
    <row r="4160" spans="1:14" ht="15" customHeight="1" x14ac:dyDescent="0.2">
      <c r="A4160" s="31">
        <v>0.59352638552852766</v>
      </c>
      <c r="B4160" s="31"/>
      <c r="C4160" s="2" t="s">
        <v>855</v>
      </c>
      <c r="D4160" s="31">
        <f t="shared" si="136"/>
        <v>0.11633117156359142</v>
      </c>
      <c r="F4160" s="2" t="s">
        <v>822</v>
      </c>
      <c r="G4160" s="23" t="s">
        <v>902</v>
      </c>
      <c r="H4160" s="2" t="s">
        <v>822</v>
      </c>
      <c r="J4160" s="31">
        <v>49.419998200000002</v>
      </c>
      <c r="K4160" s="31">
        <v>-20.516000699999999</v>
      </c>
      <c r="L4160" s="31"/>
      <c r="M4160" s="31" t="s">
        <v>854</v>
      </c>
      <c r="N4160" s="6" t="s">
        <v>856</v>
      </c>
    </row>
    <row r="4161" spans="1:14" ht="15" customHeight="1" x14ac:dyDescent="0.2">
      <c r="A4161" s="31">
        <v>0.59295315398963389</v>
      </c>
      <c r="B4161" s="31"/>
      <c r="C4161" s="2" t="s">
        <v>855</v>
      </c>
      <c r="D4161" s="31">
        <f t="shared" si="136"/>
        <v>0.11621881818196825</v>
      </c>
      <c r="F4161" s="2" t="s">
        <v>822</v>
      </c>
      <c r="G4161" s="23" t="s">
        <v>902</v>
      </c>
      <c r="H4161" s="2" t="s">
        <v>822</v>
      </c>
      <c r="J4161" s="31">
        <v>47.416000400000001</v>
      </c>
      <c r="K4161" s="31">
        <v>-15.8400002</v>
      </c>
      <c r="L4161" s="31"/>
      <c r="M4161" s="31" t="s">
        <v>854</v>
      </c>
      <c r="N4161" s="6" t="s">
        <v>856</v>
      </c>
    </row>
    <row r="4162" spans="1:14" ht="15" customHeight="1" x14ac:dyDescent="0.2">
      <c r="A4162" s="31">
        <v>0.59284882231943126</v>
      </c>
      <c r="B4162" s="31"/>
      <c r="C4162" s="2" t="s">
        <v>855</v>
      </c>
      <c r="D4162" s="31">
        <f t="shared" si="136"/>
        <v>0.11619836917460853</v>
      </c>
      <c r="F4162" s="2" t="s">
        <v>822</v>
      </c>
      <c r="G4162" s="23" t="s">
        <v>902</v>
      </c>
      <c r="H4162" s="2" t="s">
        <v>822</v>
      </c>
      <c r="J4162" s="31">
        <v>40.605701400000001</v>
      </c>
      <c r="K4162" s="31">
        <v>11.4765997</v>
      </c>
      <c r="L4162" s="31"/>
      <c r="M4162" s="31" t="s">
        <v>854</v>
      </c>
      <c r="N4162" s="6" t="s">
        <v>856</v>
      </c>
    </row>
    <row r="4163" spans="1:14" ht="15" customHeight="1" x14ac:dyDescent="0.2">
      <c r="A4163" s="31">
        <v>0.59282690080968259</v>
      </c>
      <c r="B4163" s="31"/>
      <c r="C4163" s="2" t="s">
        <v>855</v>
      </c>
      <c r="D4163" s="31">
        <f t="shared" si="136"/>
        <v>0.11619407255869779</v>
      </c>
      <c r="F4163" s="2" t="s">
        <v>822</v>
      </c>
      <c r="G4163" s="23" t="s">
        <v>902</v>
      </c>
      <c r="H4163" s="2" t="s">
        <v>822</v>
      </c>
      <c r="J4163" s="31">
        <v>55.300998700000001</v>
      </c>
      <c r="K4163" s="31">
        <v>-5.5888800999999999</v>
      </c>
      <c r="L4163" s="31"/>
      <c r="M4163" s="31" t="s">
        <v>854</v>
      </c>
      <c r="N4163" s="6" t="s">
        <v>856</v>
      </c>
    </row>
    <row r="4164" spans="1:14" ht="15" customHeight="1" x14ac:dyDescent="0.2">
      <c r="A4164" s="31">
        <v>0.59277911585890231</v>
      </c>
      <c r="B4164" s="31"/>
      <c r="C4164" s="2" t="s">
        <v>855</v>
      </c>
      <c r="D4164" s="31">
        <f t="shared" si="136"/>
        <v>0.11618470670834485</v>
      </c>
      <c r="F4164" s="2" t="s">
        <v>822</v>
      </c>
      <c r="G4164" s="23" t="s">
        <v>902</v>
      </c>
      <c r="H4164" s="2" t="s">
        <v>822</v>
      </c>
      <c r="J4164" s="31">
        <v>54.337100999999997</v>
      </c>
      <c r="K4164" s="31">
        <v>-8.6489601</v>
      </c>
      <c r="L4164" s="31"/>
      <c r="M4164" s="31" t="s">
        <v>854</v>
      </c>
      <c r="N4164" s="6" t="s">
        <v>856</v>
      </c>
    </row>
    <row r="4165" spans="1:14" ht="15" customHeight="1" x14ac:dyDescent="0.2">
      <c r="A4165" s="31">
        <v>0.59262574581698479</v>
      </c>
      <c r="B4165" s="31"/>
      <c r="C4165" s="2" t="s">
        <v>855</v>
      </c>
      <c r="D4165" s="31">
        <f t="shared" si="136"/>
        <v>0.11615464618012902</v>
      </c>
      <c r="F4165" s="2" t="s">
        <v>822</v>
      </c>
      <c r="G4165" s="23" t="s">
        <v>902</v>
      </c>
      <c r="H4165" s="2" t="s">
        <v>822</v>
      </c>
      <c r="J4165" s="31">
        <v>50.088001300000002</v>
      </c>
      <c r="K4165" s="31">
        <v>-31.204000499999999</v>
      </c>
      <c r="L4165" s="31"/>
      <c r="M4165" s="31" t="s">
        <v>854</v>
      </c>
      <c r="N4165" s="6" t="s">
        <v>856</v>
      </c>
    </row>
    <row r="4166" spans="1:14" ht="15" customHeight="1" x14ac:dyDescent="0.2">
      <c r="A4166" s="31">
        <v>0.59220841437750704</v>
      </c>
      <c r="B4166" s="31"/>
      <c r="C4166" s="2" t="s">
        <v>855</v>
      </c>
      <c r="D4166" s="31">
        <f t="shared" si="136"/>
        <v>0.11607284921799138</v>
      </c>
      <c r="F4166" s="2" t="s">
        <v>822</v>
      </c>
      <c r="G4166" s="23" t="s">
        <v>902</v>
      </c>
      <c r="H4166" s="2" t="s">
        <v>822</v>
      </c>
      <c r="J4166" s="31">
        <v>50.140598300000001</v>
      </c>
      <c r="K4166" s="31">
        <v>-9.3785600999999996</v>
      </c>
      <c r="L4166" s="31"/>
      <c r="M4166" s="31" t="s">
        <v>854</v>
      </c>
      <c r="N4166" s="6" t="s">
        <v>856</v>
      </c>
    </row>
    <row r="4167" spans="1:14" ht="15" customHeight="1" x14ac:dyDescent="0.2">
      <c r="A4167" s="31">
        <v>0.59211342147764134</v>
      </c>
      <c r="B4167" s="31"/>
      <c r="C4167" s="2" t="s">
        <v>855</v>
      </c>
      <c r="D4167" s="31">
        <f t="shared" si="136"/>
        <v>0.11605423060961771</v>
      </c>
      <c r="F4167" s="2" t="s">
        <v>822</v>
      </c>
      <c r="G4167" s="23" t="s">
        <v>902</v>
      </c>
      <c r="H4167" s="2" t="s">
        <v>822</v>
      </c>
      <c r="J4167" s="31">
        <v>28.0440006</v>
      </c>
      <c r="K4167" s="31">
        <v>-36.548000299999998</v>
      </c>
      <c r="L4167" s="31"/>
      <c r="M4167" s="31" t="s">
        <v>854</v>
      </c>
      <c r="N4167" s="6" t="s">
        <v>856</v>
      </c>
    </row>
    <row r="4168" spans="1:14" ht="15" customHeight="1" x14ac:dyDescent="0.2">
      <c r="A4168" s="31">
        <v>0.59184076261565943</v>
      </c>
      <c r="B4168" s="31"/>
      <c r="C4168" s="2" t="s">
        <v>855</v>
      </c>
      <c r="D4168" s="31">
        <f t="shared" si="136"/>
        <v>0.11600078947266926</v>
      </c>
      <c r="F4168" s="2" t="s">
        <v>822</v>
      </c>
      <c r="G4168" s="23" t="s">
        <v>902</v>
      </c>
      <c r="H4168" s="2" t="s">
        <v>822</v>
      </c>
      <c r="J4168" s="31">
        <v>31.623100300000001</v>
      </c>
      <c r="K4168" s="31">
        <v>26.469400400000001</v>
      </c>
      <c r="L4168" s="31"/>
      <c r="M4168" s="31" t="s">
        <v>854</v>
      </c>
      <c r="N4168" s="6" t="s">
        <v>856</v>
      </c>
    </row>
    <row r="4169" spans="1:14" ht="15" customHeight="1" x14ac:dyDescent="0.2">
      <c r="A4169" s="31">
        <v>0.59150367060218578</v>
      </c>
      <c r="B4169" s="31"/>
      <c r="C4169" s="2" t="s">
        <v>855</v>
      </c>
      <c r="D4169" s="31">
        <f t="shared" si="136"/>
        <v>0.11593471943802842</v>
      </c>
      <c r="F4169" s="2" t="s">
        <v>822</v>
      </c>
      <c r="G4169" s="23" t="s">
        <v>902</v>
      </c>
      <c r="H4169" s="2" t="s">
        <v>822</v>
      </c>
      <c r="J4169" s="31">
        <v>50.756000499999999</v>
      </c>
      <c r="K4169" s="31">
        <v>-17.176000599999998</v>
      </c>
      <c r="L4169" s="31"/>
      <c r="M4169" s="31" t="s">
        <v>854</v>
      </c>
      <c r="N4169" s="6" t="s">
        <v>856</v>
      </c>
    </row>
    <row r="4170" spans="1:14" ht="15" customHeight="1" x14ac:dyDescent="0.2">
      <c r="A4170" s="31">
        <v>0.59143137648398625</v>
      </c>
      <c r="B4170" s="31"/>
      <c r="C4170" s="2" t="s">
        <v>855</v>
      </c>
      <c r="D4170" s="31">
        <f t="shared" si="136"/>
        <v>0.1159205497908613</v>
      </c>
      <c r="F4170" s="2" t="s">
        <v>822</v>
      </c>
      <c r="G4170" s="23" t="s">
        <v>902</v>
      </c>
      <c r="H4170" s="2" t="s">
        <v>822</v>
      </c>
      <c r="J4170" s="31">
        <v>43.984100300000001</v>
      </c>
      <c r="K4170" s="31">
        <v>-41.432098400000001</v>
      </c>
      <c r="L4170" s="31"/>
      <c r="M4170" s="31" t="s">
        <v>854</v>
      </c>
      <c r="N4170" s="6" t="s">
        <v>856</v>
      </c>
    </row>
    <row r="4171" spans="1:14" ht="15" customHeight="1" x14ac:dyDescent="0.2">
      <c r="A4171" s="31">
        <v>0.59141001453389974</v>
      </c>
      <c r="B4171" s="31"/>
      <c r="C4171" s="2" t="s">
        <v>855</v>
      </c>
      <c r="D4171" s="31">
        <f t="shared" si="136"/>
        <v>0.11591636284864436</v>
      </c>
      <c r="F4171" s="2" t="s">
        <v>822</v>
      </c>
      <c r="G4171" s="23" t="s">
        <v>902</v>
      </c>
      <c r="H4171" s="2" t="s">
        <v>822</v>
      </c>
      <c r="J4171" s="31">
        <v>46.401100200000002</v>
      </c>
      <c r="K4171" s="31">
        <v>-10.9040003</v>
      </c>
      <c r="L4171" s="31"/>
      <c r="M4171" s="31" t="s">
        <v>854</v>
      </c>
      <c r="N4171" s="6" t="s">
        <v>856</v>
      </c>
    </row>
    <row r="4172" spans="1:14" ht="15" customHeight="1" x14ac:dyDescent="0.2">
      <c r="A4172" s="31">
        <v>0.59125416225293437</v>
      </c>
      <c r="B4172" s="31"/>
      <c r="C4172" s="2" t="s">
        <v>855</v>
      </c>
      <c r="D4172" s="31">
        <f t="shared" si="136"/>
        <v>0.11588581580157514</v>
      </c>
      <c r="F4172" s="2" t="s">
        <v>822</v>
      </c>
      <c r="G4172" s="23" t="s">
        <v>902</v>
      </c>
      <c r="H4172" s="2" t="s">
        <v>822</v>
      </c>
      <c r="J4172" s="31">
        <v>50.773399400000002</v>
      </c>
      <c r="K4172" s="31">
        <v>-15.161600099999999</v>
      </c>
      <c r="L4172" s="31"/>
      <c r="M4172" s="31" t="s">
        <v>854</v>
      </c>
      <c r="N4172" s="6" t="s">
        <v>856</v>
      </c>
    </row>
    <row r="4173" spans="1:14" ht="15" customHeight="1" x14ac:dyDescent="0.2">
      <c r="A4173" s="31">
        <v>0.59122921343097834</v>
      </c>
      <c r="B4173" s="31"/>
      <c r="C4173" s="2" t="s">
        <v>855</v>
      </c>
      <c r="D4173" s="31">
        <f t="shared" si="136"/>
        <v>0.11588092583247175</v>
      </c>
      <c r="F4173" s="2" t="s">
        <v>822</v>
      </c>
      <c r="G4173" s="23" t="s">
        <v>902</v>
      </c>
      <c r="H4173" s="2" t="s">
        <v>822</v>
      </c>
      <c r="J4173" s="31">
        <v>53.123600000000003</v>
      </c>
      <c r="K4173" s="31">
        <v>4.2608398999999997</v>
      </c>
      <c r="L4173" s="31"/>
      <c r="M4173" s="31" t="s">
        <v>854</v>
      </c>
      <c r="N4173" s="6" t="s">
        <v>856</v>
      </c>
    </row>
    <row r="4174" spans="1:14" ht="15" customHeight="1" x14ac:dyDescent="0.2">
      <c r="A4174" s="31">
        <v>0.59121349648843091</v>
      </c>
      <c r="B4174" s="31"/>
      <c r="C4174" s="2" t="s">
        <v>855</v>
      </c>
      <c r="D4174" s="31">
        <f t="shared" si="136"/>
        <v>0.11587784531173247</v>
      </c>
      <c r="F4174" s="2" t="s">
        <v>822</v>
      </c>
      <c r="G4174" s="23" t="s">
        <v>902</v>
      </c>
      <c r="H4174" s="2" t="s">
        <v>822</v>
      </c>
      <c r="J4174" s="31">
        <v>50.169601399999998</v>
      </c>
      <c r="K4174" s="31">
        <v>-25.389999400000001</v>
      </c>
      <c r="L4174" s="31"/>
      <c r="M4174" s="31" t="s">
        <v>854</v>
      </c>
      <c r="N4174" s="6" t="s">
        <v>856</v>
      </c>
    </row>
    <row r="4175" spans="1:14" ht="15" customHeight="1" x14ac:dyDescent="0.2">
      <c r="A4175" s="31">
        <v>0.59118152330431506</v>
      </c>
      <c r="B4175" s="31"/>
      <c r="C4175" s="2" t="s">
        <v>855</v>
      </c>
      <c r="D4175" s="31">
        <f t="shared" si="136"/>
        <v>0.11587157856764575</v>
      </c>
      <c r="F4175" s="2" t="s">
        <v>822</v>
      </c>
      <c r="G4175" s="23" t="s">
        <v>902</v>
      </c>
      <c r="H4175" s="2" t="s">
        <v>822</v>
      </c>
      <c r="J4175" s="31">
        <v>53.856201200000001</v>
      </c>
      <c r="K4175" s="31">
        <v>5.9641700000000002</v>
      </c>
      <c r="L4175" s="31"/>
      <c r="M4175" s="31" t="s">
        <v>854</v>
      </c>
      <c r="N4175" s="6" t="s">
        <v>856</v>
      </c>
    </row>
    <row r="4176" spans="1:14" ht="15" customHeight="1" x14ac:dyDescent="0.2">
      <c r="A4176" s="31">
        <v>0.5903506027826938</v>
      </c>
      <c r="B4176" s="31"/>
      <c r="C4176" s="2" t="s">
        <v>855</v>
      </c>
      <c r="D4176" s="31">
        <f t="shared" si="136"/>
        <v>0.11570871814540799</v>
      </c>
      <c r="F4176" s="2" t="s">
        <v>822</v>
      </c>
      <c r="G4176" s="23" t="s">
        <v>902</v>
      </c>
      <c r="H4176" s="2" t="s">
        <v>822</v>
      </c>
      <c r="J4176" s="31">
        <v>50.110500299999998</v>
      </c>
      <c r="K4176" s="31">
        <v>-9.5170498000000006</v>
      </c>
      <c r="L4176" s="31"/>
      <c r="M4176" s="31" t="s">
        <v>854</v>
      </c>
      <c r="N4176" s="6" t="s">
        <v>856</v>
      </c>
    </row>
    <row r="4177" spans="1:14" ht="15" customHeight="1" x14ac:dyDescent="0.2">
      <c r="A4177" s="31">
        <v>0.58974958799366362</v>
      </c>
      <c r="B4177" s="31"/>
      <c r="C4177" s="2" t="s">
        <v>855</v>
      </c>
      <c r="D4177" s="31">
        <f t="shared" si="136"/>
        <v>0.11559091924675807</v>
      </c>
      <c r="F4177" s="2" t="s">
        <v>822</v>
      </c>
      <c r="G4177" s="23" t="s">
        <v>902</v>
      </c>
      <c r="H4177" s="2" t="s">
        <v>822</v>
      </c>
      <c r="J4177" s="31">
        <v>63.448001900000001</v>
      </c>
      <c r="K4177" s="31">
        <v>-21.851999299999999</v>
      </c>
      <c r="L4177" s="31"/>
      <c r="M4177" s="31" t="s">
        <v>854</v>
      </c>
      <c r="N4177" s="6" t="s">
        <v>856</v>
      </c>
    </row>
    <row r="4178" spans="1:14" ht="15" customHeight="1" x14ac:dyDescent="0.2">
      <c r="A4178" s="31">
        <v>0.58966068617015899</v>
      </c>
      <c r="B4178" s="31"/>
      <c r="C4178" s="2" t="s">
        <v>855</v>
      </c>
      <c r="D4178" s="31">
        <f t="shared" si="136"/>
        <v>0.11557349448935117</v>
      </c>
      <c r="F4178" s="2" t="s">
        <v>822</v>
      </c>
      <c r="G4178" s="23" t="s">
        <v>902</v>
      </c>
      <c r="H4178" s="2" t="s">
        <v>822</v>
      </c>
      <c r="J4178" s="31">
        <v>56.6968994</v>
      </c>
      <c r="K4178" s="31">
        <v>-7.8460798</v>
      </c>
      <c r="L4178" s="31"/>
      <c r="M4178" s="31" t="s">
        <v>854</v>
      </c>
      <c r="N4178" s="6" t="s">
        <v>856</v>
      </c>
    </row>
    <row r="4179" spans="1:14" ht="15" customHeight="1" x14ac:dyDescent="0.2">
      <c r="A4179" s="31">
        <v>0.58962193276761488</v>
      </c>
      <c r="B4179" s="31"/>
      <c r="C4179" s="2" t="s">
        <v>855</v>
      </c>
      <c r="D4179" s="31">
        <f t="shared" si="136"/>
        <v>0.11556589882245252</v>
      </c>
      <c r="F4179" s="2" t="s">
        <v>822</v>
      </c>
      <c r="G4179" s="23" t="s">
        <v>902</v>
      </c>
      <c r="H4179" s="2" t="s">
        <v>822</v>
      </c>
      <c r="J4179" s="31">
        <v>42.676399199999999</v>
      </c>
      <c r="K4179" s="31">
        <v>-19.7544003</v>
      </c>
      <c r="L4179" s="31"/>
      <c r="M4179" s="31" t="s">
        <v>854</v>
      </c>
      <c r="N4179" s="6" t="s">
        <v>856</v>
      </c>
    </row>
    <row r="4180" spans="1:14" ht="15" customHeight="1" x14ac:dyDescent="0.2">
      <c r="A4180" s="31">
        <v>0.58960291505797913</v>
      </c>
      <c r="B4180" s="31"/>
      <c r="C4180" s="2" t="s">
        <v>855</v>
      </c>
      <c r="D4180" s="31">
        <f t="shared" si="136"/>
        <v>0.11556217135136392</v>
      </c>
      <c r="F4180" s="2" t="s">
        <v>822</v>
      </c>
      <c r="G4180" s="23" t="s">
        <v>902</v>
      </c>
      <c r="H4180" s="2" t="s">
        <v>822</v>
      </c>
      <c r="J4180" s="31">
        <v>34.666801499999998</v>
      </c>
      <c r="K4180" s="31">
        <v>-13.279800399999999</v>
      </c>
      <c r="L4180" s="31"/>
      <c r="M4180" s="31" t="s">
        <v>854</v>
      </c>
      <c r="N4180" s="6" t="s">
        <v>856</v>
      </c>
    </row>
    <row r="4181" spans="1:14" ht="15" customHeight="1" x14ac:dyDescent="0.2">
      <c r="A4181" s="31">
        <v>0.58954845947340062</v>
      </c>
      <c r="B4181" s="31"/>
      <c r="C4181" s="2" t="s">
        <v>855</v>
      </c>
      <c r="D4181" s="31">
        <f t="shared" si="136"/>
        <v>0.11555149805678652</v>
      </c>
      <c r="F4181" s="2" t="s">
        <v>822</v>
      </c>
      <c r="G4181" s="23" t="s">
        <v>902</v>
      </c>
      <c r="H4181" s="2" t="s">
        <v>822</v>
      </c>
      <c r="J4181" s="31">
        <v>50.287601500000001</v>
      </c>
      <c r="K4181" s="31">
        <v>-3.1480000000000001</v>
      </c>
      <c r="L4181" s="31"/>
      <c r="M4181" s="31" t="s">
        <v>854</v>
      </c>
      <c r="N4181" s="6" t="s">
        <v>856</v>
      </c>
    </row>
    <row r="4182" spans="1:14" ht="15" customHeight="1" x14ac:dyDescent="0.2">
      <c r="A4182" s="31">
        <v>0.58953859025138822</v>
      </c>
      <c r="B4182" s="31"/>
      <c r="C4182" s="2" t="s">
        <v>855</v>
      </c>
      <c r="D4182" s="31">
        <f t="shared" si="136"/>
        <v>0.11554956368927209</v>
      </c>
      <c r="F4182" s="2" t="s">
        <v>822</v>
      </c>
      <c r="G4182" s="23" t="s">
        <v>902</v>
      </c>
      <c r="H4182" s="2" t="s">
        <v>822</v>
      </c>
      <c r="J4182" s="31">
        <v>40.319698299999999</v>
      </c>
      <c r="K4182" s="31">
        <v>11.062399900000001</v>
      </c>
      <c r="L4182" s="31"/>
      <c r="M4182" s="31" t="s">
        <v>854</v>
      </c>
      <c r="N4182" s="6" t="s">
        <v>856</v>
      </c>
    </row>
    <row r="4183" spans="1:14" ht="15" customHeight="1" x14ac:dyDescent="0.2">
      <c r="A4183" s="31">
        <v>0.58928157035128237</v>
      </c>
      <c r="B4183" s="31"/>
      <c r="C4183" s="2" t="s">
        <v>855</v>
      </c>
      <c r="D4183" s="31">
        <f t="shared" si="136"/>
        <v>0.11549918778885135</v>
      </c>
      <c r="F4183" s="2" t="s">
        <v>822</v>
      </c>
      <c r="G4183" s="23" t="s">
        <v>902</v>
      </c>
      <c r="H4183" s="2" t="s">
        <v>822</v>
      </c>
      <c r="J4183" s="31">
        <v>52.759998299999999</v>
      </c>
      <c r="K4183" s="31">
        <v>2.1960001</v>
      </c>
      <c r="L4183" s="31"/>
      <c r="M4183" s="31" t="s">
        <v>854</v>
      </c>
      <c r="N4183" s="6" t="s">
        <v>856</v>
      </c>
    </row>
    <row r="4184" spans="1:14" ht="15" customHeight="1" x14ac:dyDescent="0.2">
      <c r="A4184" s="31">
        <v>0.58925529949366817</v>
      </c>
      <c r="B4184" s="31"/>
      <c r="C4184" s="2" t="s">
        <v>855</v>
      </c>
      <c r="D4184" s="31">
        <f t="shared" ref="D4184:D4215" si="137" xml:space="preserve"> A4184 * 0.196</f>
        <v>0.11549403870075897</v>
      </c>
      <c r="F4184" s="2" t="s">
        <v>822</v>
      </c>
      <c r="G4184" s="23" t="s">
        <v>902</v>
      </c>
      <c r="H4184" s="2" t="s">
        <v>822</v>
      </c>
      <c r="J4184" s="31">
        <v>51.705600699999998</v>
      </c>
      <c r="K4184" s="31">
        <v>-18.511999100000001</v>
      </c>
      <c r="L4184" s="31"/>
      <c r="M4184" s="31" t="s">
        <v>854</v>
      </c>
      <c r="N4184" s="6" t="s">
        <v>856</v>
      </c>
    </row>
    <row r="4185" spans="1:14" ht="15" customHeight="1" x14ac:dyDescent="0.2">
      <c r="A4185" s="31">
        <v>0.58916088246580023</v>
      </c>
      <c r="B4185" s="31"/>
      <c r="C4185" s="2" t="s">
        <v>855</v>
      </c>
      <c r="D4185" s="31">
        <f t="shared" si="137"/>
        <v>0.11547553296329685</v>
      </c>
      <c r="F4185" s="2" t="s">
        <v>822</v>
      </c>
      <c r="G4185" s="23" t="s">
        <v>902</v>
      </c>
      <c r="H4185" s="2" t="s">
        <v>822</v>
      </c>
      <c r="J4185" s="31">
        <v>59.838699300000002</v>
      </c>
      <c r="K4185" s="31">
        <v>24.0716</v>
      </c>
      <c r="L4185" s="31"/>
      <c r="M4185" s="31" t="s">
        <v>854</v>
      </c>
      <c r="N4185" s="6" t="s">
        <v>856</v>
      </c>
    </row>
    <row r="4186" spans="1:14" ht="15" customHeight="1" x14ac:dyDescent="0.2">
      <c r="A4186" s="31">
        <v>0.58905953313432857</v>
      </c>
      <c r="B4186" s="31"/>
      <c r="C4186" s="2" t="s">
        <v>855</v>
      </c>
      <c r="D4186" s="31">
        <f t="shared" si="137"/>
        <v>0.11545566849432841</v>
      </c>
      <c r="F4186" s="2" t="s">
        <v>822</v>
      </c>
      <c r="G4186" s="23" t="s">
        <v>902</v>
      </c>
      <c r="H4186" s="2" t="s">
        <v>822</v>
      </c>
      <c r="J4186" s="31">
        <v>52.091999100000002</v>
      </c>
      <c r="K4186" s="31">
        <v>-26.527999900000001</v>
      </c>
      <c r="L4186" s="31"/>
      <c r="M4186" s="31" t="s">
        <v>854</v>
      </c>
      <c r="N4186" s="6" t="s">
        <v>856</v>
      </c>
    </row>
    <row r="4187" spans="1:14" ht="15" customHeight="1" x14ac:dyDescent="0.2">
      <c r="A4187" s="31">
        <v>0.58821660565711664</v>
      </c>
      <c r="B4187" s="31"/>
      <c r="C4187" s="2" t="s">
        <v>855</v>
      </c>
      <c r="D4187" s="31">
        <f t="shared" si="137"/>
        <v>0.11529045470879487</v>
      </c>
      <c r="F4187" s="2" t="s">
        <v>822</v>
      </c>
      <c r="G4187" s="23" t="s">
        <v>902</v>
      </c>
      <c r="H4187" s="2" t="s">
        <v>822</v>
      </c>
      <c r="J4187" s="31">
        <v>37.841301000000001</v>
      </c>
      <c r="K4187" s="31">
        <v>-15.7286997</v>
      </c>
      <c r="L4187" s="31"/>
      <c r="M4187" s="31" t="s">
        <v>854</v>
      </c>
      <c r="N4187" s="6" t="s">
        <v>856</v>
      </c>
    </row>
    <row r="4188" spans="1:14" ht="15" customHeight="1" x14ac:dyDescent="0.2">
      <c r="A4188" s="31">
        <v>0.58821069199412301</v>
      </c>
      <c r="B4188" s="31"/>
      <c r="C4188" s="2" t="s">
        <v>855</v>
      </c>
      <c r="D4188" s="31">
        <f t="shared" si="137"/>
        <v>0.11528929563084811</v>
      </c>
      <c r="F4188" s="2" t="s">
        <v>822</v>
      </c>
      <c r="G4188" s="23" t="s">
        <v>902</v>
      </c>
      <c r="H4188" s="2" t="s">
        <v>822</v>
      </c>
      <c r="J4188" s="31">
        <v>54.816600800000003</v>
      </c>
      <c r="K4188" s="31">
        <v>12.4031</v>
      </c>
      <c r="L4188" s="31"/>
      <c r="M4188" s="31" t="s">
        <v>854</v>
      </c>
      <c r="N4188" s="6" t="s">
        <v>856</v>
      </c>
    </row>
    <row r="4189" spans="1:14" ht="15" customHeight="1" x14ac:dyDescent="0.2">
      <c r="A4189" s="31">
        <v>0.58814096726595899</v>
      </c>
      <c r="B4189" s="31"/>
      <c r="C4189" s="2" t="s">
        <v>855</v>
      </c>
      <c r="D4189" s="31">
        <f t="shared" si="137"/>
        <v>0.11527562958412797</v>
      </c>
      <c r="F4189" s="2" t="s">
        <v>822</v>
      </c>
      <c r="G4189" s="23" t="s">
        <v>902</v>
      </c>
      <c r="H4189" s="2" t="s">
        <v>822</v>
      </c>
      <c r="J4189" s="31">
        <v>45.189300500000002</v>
      </c>
      <c r="K4189" s="31">
        <v>-26.639299399999999</v>
      </c>
      <c r="L4189" s="31"/>
      <c r="M4189" s="31" t="s">
        <v>854</v>
      </c>
      <c r="N4189" s="6" t="s">
        <v>856</v>
      </c>
    </row>
    <row r="4190" spans="1:14" ht="15" customHeight="1" x14ac:dyDescent="0.2">
      <c r="A4190" s="31">
        <v>0.58791559636712754</v>
      </c>
      <c r="B4190" s="31"/>
      <c r="C4190" s="2" t="s">
        <v>855</v>
      </c>
      <c r="D4190" s="31">
        <f t="shared" si="137"/>
        <v>0.115231456887957</v>
      </c>
      <c r="F4190" s="2" t="s">
        <v>822</v>
      </c>
      <c r="G4190" s="23" t="s">
        <v>902</v>
      </c>
      <c r="H4190" s="2" t="s">
        <v>822</v>
      </c>
      <c r="J4190" s="31">
        <v>48.083999599999999</v>
      </c>
      <c r="K4190" s="31">
        <v>-15.8400002</v>
      </c>
      <c r="L4190" s="31"/>
      <c r="M4190" s="31" t="s">
        <v>854</v>
      </c>
      <c r="N4190" s="6" t="s">
        <v>856</v>
      </c>
    </row>
    <row r="4191" spans="1:14" ht="15" customHeight="1" x14ac:dyDescent="0.2">
      <c r="A4191" s="31">
        <v>0.58767761478944769</v>
      </c>
      <c r="B4191" s="31"/>
      <c r="C4191" s="2" t="s">
        <v>855</v>
      </c>
      <c r="D4191" s="31">
        <f t="shared" si="137"/>
        <v>0.11518481249873175</v>
      </c>
      <c r="F4191" s="2" t="s">
        <v>822</v>
      </c>
      <c r="G4191" s="23" t="s">
        <v>902</v>
      </c>
      <c r="H4191" s="2" t="s">
        <v>822</v>
      </c>
      <c r="J4191" s="31">
        <v>52.414600399999998</v>
      </c>
      <c r="K4191" s="31">
        <v>2.5299999999999998</v>
      </c>
      <c r="L4191" s="31"/>
      <c r="M4191" s="31" t="s">
        <v>854</v>
      </c>
      <c r="N4191" s="6" t="s">
        <v>856</v>
      </c>
    </row>
    <row r="4192" spans="1:14" ht="15" customHeight="1" x14ac:dyDescent="0.2">
      <c r="A4192" s="31">
        <v>0.58750044004206781</v>
      </c>
      <c r="B4192" s="31"/>
      <c r="C4192" s="2" t="s">
        <v>855</v>
      </c>
      <c r="D4192" s="31">
        <f t="shared" si="137"/>
        <v>0.1151500862482453</v>
      </c>
      <c r="F4192" s="2" t="s">
        <v>822</v>
      </c>
      <c r="G4192" s="23" t="s">
        <v>902</v>
      </c>
      <c r="H4192" s="2" t="s">
        <v>822</v>
      </c>
      <c r="J4192" s="31">
        <v>49.419998200000002</v>
      </c>
      <c r="K4192" s="31">
        <v>-31.204000499999999</v>
      </c>
      <c r="L4192" s="31"/>
      <c r="M4192" s="31" t="s">
        <v>854</v>
      </c>
      <c r="N4192" s="6" t="s">
        <v>856</v>
      </c>
    </row>
    <row r="4193" spans="1:14" ht="15" customHeight="1" x14ac:dyDescent="0.2">
      <c r="A4193" s="31">
        <v>0.58737625297577445</v>
      </c>
      <c r="B4193" s="31"/>
      <c r="C4193" s="2" t="s">
        <v>855</v>
      </c>
      <c r="D4193" s="31">
        <f t="shared" si="137"/>
        <v>0.1151257455832518</v>
      </c>
      <c r="F4193" s="2" t="s">
        <v>822</v>
      </c>
      <c r="G4193" s="23" t="s">
        <v>902</v>
      </c>
      <c r="H4193" s="2" t="s">
        <v>822</v>
      </c>
      <c r="J4193" s="31">
        <v>33.585098299999999</v>
      </c>
      <c r="K4193" s="31">
        <v>-36.143501299999997</v>
      </c>
      <c r="L4193" s="31"/>
      <c r="M4193" s="31" t="s">
        <v>854</v>
      </c>
      <c r="N4193" s="6" t="s">
        <v>856</v>
      </c>
    </row>
    <row r="4194" spans="1:14" ht="15" customHeight="1" x14ac:dyDescent="0.2">
      <c r="A4194" s="31">
        <v>0.58705000370379401</v>
      </c>
      <c r="B4194" s="31"/>
      <c r="C4194" s="2" t="s">
        <v>855</v>
      </c>
      <c r="D4194" s="31">
        <f t="shared" si="137"/>
        <v>0.11506180072594363</v>
      </c>
      <c r="F4194" s="2" t="s">
        <v>822</v>
      </c>
      <c r="G4194" s="23" t="s">
        <v>902</v>
      </c>
      <c r="H4194" s="2" t="s">
        <v>822</v>
      </c>
      <c r="J4194" s="31">
        <v>57.0127983</v>
      </c>
      <c r="K4194" s="31">
        <v>20.3321991</v>
      </c>
      <c r="L4194" s="31"/>
      <c r="M4194" s="31" t="s">
        <v>854</v>
      </c>
      <c r="N4194" s="6" t="s">
        <v>856</v>
      </c>
    </row>
    <row r="4195" spans="1:14" ht="15" customHeight="1" x14ac:dyDescent="0.2">
      <c r="A4195" s="31">
        <v>0.58666844682278829</v>
      </c>
      <c r="B4195" s="31"/>
      <c r="C4195" s="2" t="s">
        <v>855</v>
      </c>
      <c r="D4195" s="31">
        <f t="shared" si="137"/>
        <v>0.11498701557726651</v>
      </c>
      <c r="F4195" s="2" t="s">
        <v>822</v>
      </c>
      <c r="G4195" s="23" t="s">
        <v>902</v>
      </c>
      <c r="H4195" s="2" t="s">
        <v>822</v>
      </c>
      <c r="J4195" s="31">
        <v>57.3418007</v>
      </c>
      <c r="K4195" s="31">
        <v>11.3443003</v>
      </c>
      <c r="L4195" s="31"/>
      <c r="M4195" s="31" t="s">
        <v>854</v>
      </c>
      <c r="N4195" s="6" t="s">
        <v>856</v>
      </c>
    </row>
    <row r="4196" spans="1:14" ht="15" customHeight="1" x14ac:dyDescent="0.2">
      <c r="A4196" s="31">
        <v>0.58663027644819676</v>
      </c>
      <c r="B4196" s="31"/>
      <c r="C4196" s="2" t="s">
        <v>855</v>
      </c>
      <c r="D4196" s="31">
        <f t="shared" si="137"/>
        <v>0.11497953418384657</v>
      </c>
      <c r="F4196" s="2" t="s">
        <v>822</v>
      </c>
      <c r="G4196" s="23" t="s">
        <v>902</v>
      </c>
      <c r="H4196" s="2" t="s">
        <v>822</v>
      </c>
      <c r="J4196" s="31">
        <v>42.522098499999998</v>
      </c>
      <c r="K4196" s="31">
        <v>8.5125799000000004</v>
      </c>
      <c r="L4196" s="31"/>
      <c r="M4196" s="31" t="s">
        <v>854</v>
      </c>
      <c r="N4196" s="6" t="s">
        <v>856</v>
      </c>
    </row>
    <row r="4197" spans="1:14" ht="15" customHeight="1" x14ac:dyDescent="0.2">
      <c r="A4197" s="31">
        <v>0.58657973659050855</v>
      </c>
      <c r="B4197" s="31"/>
      <c r="C4197" s="2" t="s">
        <v>855</v>
      </c>
      <c r="D4197" s="31">
        <f t="shared" si="137"/>
        <v>0.11496962837173968</v>
      </c>
      <c r="F4197" s="2" t="s">
        <v>822</v>
      </c>
      <c r="G4197" s="23" t="s">
        <v>902</v>
      </c>
      <c r="H4197" s="2" t="s">
        <v>822</v>
      </c>
      <c r="J4197" s="31">
        <v>34.394401600000002</v>
      </c>
      <c r="K4197" s="31">
        <v>10.726300200000001</v>
      </c>
      <c r="L4197" s="31"/>
      <c r="M4197" s="31" t="s">
        <v>854</v>
      </c>
      <c r="N4197" s="6" t="s">
        <v>856</v>
      </c>
    </row>
    <row r="4198" spans="1:14" ht="15" customHeight="1" x14ac:dyDescent="0.2">
      <c r="A4198" s="31">
        <v>0.58656091117020359</v>
      </c>
      <c r="B4198" s="31"/>
      <c r="C4198" s="2" t="s">
        <v>855</v>
      </c>
      <c r="D4198" s="31">
        <f t="shared" si="137"/>
        <v>0.11496593858935991</v>
      </c>
      <c r="F4198" s="2" t="s">
        <v>822</v>
      </c>
      <c r="G4198" s="23" t="s">
        <v>902</v>
      </c>
      <c r="H4198" s="2" t="s">
        <v>822</v>
      </c>
      <c r="J4198" s="31">
        <v>50.088001300000002</v>
      </c>
      <c r="K4198" s="31">
        <v>-20.516000699999999</v>
      </c>
      <c r="L4198" s="31"/>
      <c r="M4198" s="31" t="s">
        <v>854</v>
      </c>
      <c r="N4198" s="6" t="s">
        <v>856</v>
      </c>
    </row>
    <row r="4199" spans="1:14" ht="15" customHeight="1" x14ac:dyDescent="0.2">
      <c r="A4199" s="31">
        <v>0.58650536586607804</v>
      </c>
      <c r="B4199" s="31"/>
      <c r="C4199" s="2" t="s">
        <v>855</v>
      </c>
      <c r="D4199" s="31">
        <f t="shared" si="137"/>
        <v>0.1149550517097513</v>
      </c>
      <c r="F4199" s="2" t="s">
        <v>822</v>
      </c>
      <c r="G4199" s="23" t="s">
        <v>902</v>
      </c>
      <c r="H4199" s="2" t="s">
        <v>822</v>
      </c>
      <c r="J4199" s="31">
        <v>32.003398900000001</v>
      </c>
      <c r="K4199" s="31">
        <v>-17.1623001</v>
      </c>
      <c r="L4199" s="31"/>
      <c r="M4199" s="31" t="s">
        <v>854</v>
      </c>
      <c r="N4199" s="6" t="s">
        <v>856</v>
      </c>
    </row>
    <row r="4200" spans="1:14" ht="15" customHeight="1" x14ac:dyDescent="0.2">
      <c r="A4200" s="31">
        <v>0.58591048864838269</v>
      </c>
      <c r="B4200" s="31"/>
      <c r="C4200" s="2" t="s">
        <v>855</v>
      </c>
      <c r="D4200" s="31">
        <f t="shared" si="137"/>
        <v>0.11483845577508302</v>
      </c>
      <c r="F4200" s="2" t="s">
        <v>822</v>
      </c>
      <c r="G4200" s="23" t="s">
        <v>902</v>
      </c>
      <c r="H4200" s="2" t="s">
        <v>822</v>
      </c>
      <c r="J4200" s="31">
        <v>55.4319992</v>
      </c>
      <c r="K4200" s="31">
        <v>4.6358398999999997</v>
      </c>
      <c r="L4200" s="31"/>
      <c r="M4200" s="31" t="s">
        <v>854</v>
      </c>
      <c r="N4200" s="6" t="s">
        <v>856</v>
      </c>
    </row>
    <row r="4201" spans="1:14" ht="15" customHeight="1" x14ac:dyDescent="0.2">
      <c r="A4201" s="31">
        <v>0.5858745787423294</v>
      </c>
      <c r="B4201" s="31"/>
      <c r="C4201" s="2" t="s">
        <v>855</v>
      </c>
      <c r="D4201" s="31">
        <f t="shared" si="137"/>
        <v>0.11483141743349656</v>
      </c>
      <c r="F4201" s="2" t="s">
        <v>822</v>
      </c>
      <c r="G4201" s="23" t="s">
        <v>902</v>
      </c>
      <c r="H4201" s="2" t="s">
        <v>822</v>
      </c>
      <c r="J4201" s="31">
        <v>37.637699099999999</v>
      </c>
      <c r="K4201" s="31">
        <v>26.222799299999998</v>
      </c>
      <c r="L4201" s="31"/>
      <c r="M4201" s="31" t="s">
        <v>854</v>
      </c>
      <c r="N4201" s="6" t="s">
        <v>856</v>
      </c>
    </row>
    <row r="4202" spans="1:14" ht="15" customHeight="1" x14ac:dyDescent="0.2">
      <c r="A4202" s="31">
        <v>0.58518785456556044</v>
      </c>
      <c r="B4202" s="31"/>
      <c r="C4202" s="2" t="s">
        <v>855</v>
      </c>
      <c r="D4202" s="31">
        <f t="shared" si="137"/>
        <v>0.11469681949484985</v>
      </c>
      <c r="F4202" s="2" t="s">
        <v>822</v>
      </c>
      <c r="G4202" s="23" t="s">
        <v>902</v>
      </c>
      <c r="H4202" s="2" t="s">
        <v>822</v>
      </c>
      <c r="J4202" s="31">
        <v>31.346300100000001</v>
      </c>
      <c r="K4202" s="31">
        <v>-42.522300700000002</v>
      </c>
      <c r="L4202" s="31"/>
      <c r="M4202" s="31" t="s">
        <v>854</v>
      </c>
      <c r="N4202" s="6" t="s">
        <v>856</v>
      </c>
    </row>
    <row r="4203" spans="1:14" ht="15" customHeight="1" x14ac:dyDescent="0.2">
      <c r="A4203" s="31">
        <v>0.5850101426358818</v>
      </c>
      <c r="B4203" s="31"/>
      <c r="C4203" s="2" t="s">
        <v>855</v>
      </c>
      <c r="D4203" s="31">
        <f t="shared" si="137"/>
        <v>0.11466198795663284</v>
      </c>
      <c r="F4203" s="2" t="s">
        <v>822</v>
      </c>
      <c r="G4203" s="23" t="s">
        <v>902</v>
      </c>
      <c r="H4203" s="2" t="s">
        <v>822</v>
      </c>
      <c r="J4203" s="31">
        <v>52.022201500000001</v>
      </c>
      <c r="K4203" s="31">
        <v>-27.151100199999998</v>
      </c>
      <c r="L4203" s="31"/>
      <c r="M4203" s="31" t="s">
        <v>854</v>
      </c>
      <c r="N4203" s="6" t="s">
        <v>856</v>
      </c>
    </row>
    <row r="4204" spans="1:14" ht="15" customHeight="1" x14ac:dyDescent="0.2">
      <c r="A4204" s="31">
        <v>0.58490662711532804</v>
      </c>
      <c r="B4204" s="31"/>
      <c r="C4204" s="2" t="s">
        <v>855</v>
      </c>
      <c r="D4204" s="31">
        <f t="shared" si="137"/>
        <v>0.1146416989146043</v>
      </c>
      <c r="F4204" s="2" t="s">
        <v>822</v>
      </c>
      <c r="G4204" s="23" t="s">
        <v>902</v>
      </c>
      <c r="H4204" s="2" t="s">
        <v>822</v>
      </c>
      <c r="J4204" s="31">
        <v>56.668598199999998</v>
      </c>
      <c r="K4204" s="31">
        <v>-7.3761600999999999</v>
      </c>
      <c r="L4204" s="31"/>
      <c r="M4204" s="31" t="s">
        <v>854</v>
      </c>
      <c r="N4204" s="6" t="s">
        <v>856</v>
      </c>
    </row>
    <row r="4205" spans="1:14" ht="15" customHeight="1" x14ac:dyDescent="0.2">
      <c r="A4205" s="31">
        <v>0.58483774758649043</v>
      </c>
      <c r="B4205" s="31"/>
      <c r="C4205" s="2" t="s">
        <v>855</v>
      </c>
      <c r="D4205" s="31">
        <f t="shared" si="137"/>
        <v>0.11462819852695214</v>
      </c>
      <c r="F4205" s="2" t="s">
        <v>822</v>
      </c>
      <c r="G4205" s="23" t="s">
        <v>902</v>
      </c>
      <c r="H4205" s="2" t="s">
        <v>822</v>
      </c>
      <c r="J4205" s="31">
        <v>57.002601599999998</v>
      </c>
      <c r="K4205" s="31">
        <v>11.3507996</v>
      </c>
      <c r="L4205" s="31"/>
      <c r="M4205" s="31" t="s">
        <v>854</v>
      </c>
      <c r="N4205" s="6" t="s">
        <v>856</v>
      </c>
    </row>
    <row r="4206" spans="1:14" ht="15" customHeight="1" x14ac:dyDescent="0.2">
      <c r="A4206" s="31">
        <v>0.584537015284048</v>
      </c>
      <c r="B4206" s="31"/>
      <c r="C4206" s="2" t="s">
        <v>855</v>
      </c>
      <c r="D4206" s="31">
        <f t="shared" si="137"/>
        <v>0.11456925499567341</v>
      </c>
      <c r="F4206" s="2" t="s">
        <v>822</v>
      </c>
      <c r="G4206" s="23" t="s">
        <v>902</v>
      </c>
      <c r="H4206" s="2" t="s">
        <v>822</v>
      </c>
      <c r="J4206" s="31">
        <v>51.832599600000002</v>
      </c>
      <c r="K4206" s="31">
        <v>-8.2632998999999998</v>
      </c>
      <c r="L4206" s="31"/>
      <c r="M4206" s="31" t="s">
        <v>854</v>
      </c>
      <c r="N4206" s="6" t="s">
        <v>856</v>
      </c>
    </row>
    <row r="4207" spans="1:14" ht="15" customHeight="1" x14ac:dyDescent="0.2">
      <c r="A4207" s="31">
        <v>0.58445355754657069</v>
      </c>
      <c r="B4207" s="31"/>
      <c r="C4207" s="2" t="s">
        <v>855</v>
      </c>
      <c r="D4207" s="31">
        <f t="shared" si="137"/>
        <v>0.11455289727912786</v>
      </c>
      <c r="F4207" s="2" t="s">
        <v>822</v>
      </c>
      <c r="G4207" s="23" t="s">
        <v>902</v>
      </c>
      <c r="H4207" s="2" t="s">
        <v>822</v>
      </c>
      <c r="J4207" s="31">
        <v>42.735401199999998</v>
      </c>
      <c r="K4207" s="31">
        <v>-15.8435001</v>
      </c>
      <c r="L4207" s="31"/>
      <c r="M4207" s="31" t="s">
        <v>854</v>
      </c>
      <c r="N4207" s="6" t="s">
        <v>856</v>
      </c>
    </row>
    <row r="4208" spans="1:14" ht="15" customHeight="1" x14ac:dyDescent="0.2">
      <c r="A4208" s="31">
        <v>0.58444858038624026</v>
      </c>
      <c r="B4208" s="31"/>
      <c r="C4208" s="2" t="s">
        <v>855</v>
      </c>
      <c r="D4208" s="31">
        <f t="shared" si="137"/>
        <v>0.1145519217557031</v>
      </c>
      <c r="F4208" s="2" t="s">
        <v>822</v>
      </c>
      <c r="G4208" s="23" t="s">
        <v>902</v>
      </c>
      <c r="H4208" s="2" t="s">
        <v>822</v>
      </c>
      <c r="J4208" s="31">
        <v>31.725500100000001</v>
      </c>
      <c r="K4208" s="31">
        <v>34.524101299999998</v>
      </c>
      <c r="L4208" s="31"/>
      <c r="M4208" s="31" t="s">
        <v>854</v>
      </c>
      <c r="N4208" s="6" t="s">
        <v>856</v>
      </c>
    </row>
    <row r="4209" spans="1:14" ht="15" customHeight="1" x14ac:dyDescent="0.2">
      <c r="A4209" s="31">
        <v>0.58434758676016285</v>
      </c>
      <c r="B4209" s="31"/>
      <c r="C4209" s="2" t="s">
        <v>855</v>
      </c>
      <c r="D4209" s="31">
        <f t="shared" si="137"/>
        <v>0.11453212700499192</v>
      </c>
      <c r="F4209" s="2" t="s">
        <v>822</v>
      </c>
      <c r="G4209" s="23" t="s">
        <v>902</v>
      </c>
      <c r="H4209" s="2" t="s">
        <v>822</v>
      </c>
      <c r="J4209" s="31">
        <v>37.8871994</v>
      </c>
      <c r="K4209" s="31">
        <v>-42.551601400000003</v>
      </c>
      <c r="L4209" s="31"/>
      <c r="M4209" s="31" t="s">
        <v>854</v>
      </c>
      <c r="N4209" s="6" t="s">
        <v>856</v>
      </c>
    </row>
    <row r="4210" spans="1:14" ht="15" customHeight="1" x14ac:dyDescent="0.2">
      <c r="A4210" s="31">
        <v>0.58414877670969823</v>
      </c>
      <c r="B4210" s="31"/>
      <c r="C4210" s="2" t="s">
        <v>855</v>
      </c>
      <c r="D4210" s="31">
        <f t="shared" si="137"/>
        <v>0.11449316023510085</v>
      </c>
      <c r="F4210" s="2" t="s">
        <v>822</v>
      </c>
      <c r="G4210" s="23" t="s">
        <v>902</v>
      </c>
      <c r="H4210" s="2" t="s">
        <v>822</v>
      </c>
      <c r="J4210" s="31">
        <v>46.748001100000003</v>
      </c>
      <c r="K4210" s="31">
        <v>-19.847999600000001</v>
      </c>
      <c r="L4210" s="31"/>
      <c r="M4210" s="31" t="s">
        <v>854</v>
      </c>
      <c r="N4210" s="6" t="s">
        <v>856</v>
      </c>
    </row>
    <row r="4211" spans="1:14" ht="15" customHeight="1" x14ac:dyDescent="0.2">
      <c r="A4211" s="31">
        <v>0.58413757245957798</v>
      </c>
      <c r="B4211" s="31"/>
      <c r="C4211" s="2" t="s">
        <v>855</v>
      </c>
      <c r="D4211" s="31">
        <f t="shared" si="137"/>
        <v>0.11449096420207729</v>
      </c>
      <c r="F4211" s="2" t="s">
        <v>822</v>
      </c>
      <c r="G4211" s="23" t="s">
        <v>902</v>
      </c>
      <c r="H4211" s="2" t="s">
        <v>822</v>
      </c>
      <c r="J4211" s="31">
        <v>32.051998099999999</v>
      </c>
      <c r="K4211" s="31">
        <v>-25.860000599999999</v>
      </c>
      <c r="L4211" s="31"/>
      <c r="M4211" s="31" t="s">
        <v>854</v>
      </c>
      <c r="N4211" s="6" t="s">
        <v>856</v>
      </c>
    </row>
    <row r="4212" spans="1:14" ht="15" customHeight="1" x14ac:dyDescent="0.2">
      <c r="A4212" s="31">
        <v>0.5841237066264362</v>
      </c>
      <c r="B4212" s="31"/>
      <c r="C4212" s="2" t="s">
        <v>855</v>
      </c>
      <c r="D4212" s="31">
        <f t="shared" si="137"/>
        <v>0.1144882464987815</v>
      </c>
      <c r="F4212" s="2" t="s">
        <v>822</v>
      </c>
      <c r="G4212" s="23" t="s">
        <v>902</v>
      </c>
      <c r="H4212" s="2" t="s">
        <v>822</v>
      </c>
      <c r="J4212" s="31">
        <v>34.9369011</v>
      </c>
      <c r="K4212" s="31">
        <v>-18.311899199999999</v>
      </c>
      <c r="L4212" s="31"/>
      <c r="M4212" s="31" t="s">
        <v>854</v>
      </c>
      <c r="N4212" s="6" t="s">
        <v>856</v>
      </c>
    </row>
    <row r="4213" spans="1:14" ht="15" customHeight="1" x14ac:dyDescent="0.2">
      <c r="A4213" s="31">
        <v>0.58411908251714895</v>
      </c>
      <c r="B4213" s="31"/>
      <c r="C4213" s="2" t="s">
        <v>855</v>
      </c>
      <c r="D4213" s="31">
        <f t="shared" si="137"/>
        <v>0.11448734017336119</v>
      </c>
      <c r="F4213" s="2" t="s">
        <v>822</v>
      </c>
      <c r="G4213" s="23" t="s">
        <v>902</v>
      </c>
      <c r="H4213" s="2" t="s">
        <v>822</v>
      </c>
      <c r="J4213" s="31">
        <v>32.632801100000002</v>
      </c>
      <c r="K4213" s="31">
        <v>26.112699500000002</v>
      </c>
      <c r="L4213" s="31"/>
      <c r="M4213" s="31" t="s">
        <v>854</v>
      </c>
      <c r="N4213" s="6" t="s">
        <v>856</v>
      </c>
    </row>
    <row r="4214" spans="1:14" ht="15" customHeight="1" x14ac:dyDescent="0.2">
      <c r="A4214" s="31">
        <v>0.58411783867045475</v>
      </c>
      <c r="B4214" s="31"/>
      <c r="C4214" s="2" t="s">
        <v>855</v>
      </c>
      <c r="D4214" s="31">
        <f t="shared" si="137"/>
        <v>0.11448709637940914</v>
      </c>
      <c r="F4214" s="2" t="s">
        <v>822</v>
      </c>
      <c r="G4214" s="23" t="s">
        <v>902</v>
      </c>
      <c r="H4214" s="2" t="s">
        <v>822</v>
      </c>
      <c r="J4214" s="31">
        <v>32.701698299999997</v>
      </c>
      <c r="K4214" s="31">
        <v>-32.559699999999999</v>
      </c>
      <c r="L4214" s="31"/>
      <c r="M4214" s="31" t="s">
        <v>854</v>
      </c>
      <c r="N4214" s="6" t="s">
        <v>856</v>
      </c>
    </row>
    <row r="4215" spans="1:14" ht="15" customHeight="1" x14ac:dyDescent="0.2">
      <c r="A4215" s="31">
        <v>0.58404621403546375</v>
      </c>
      <c r="B4215" s="31"/>
      <c r="C4215" s="2" t="s">
        <v>855</v>
      </c>
      <c r="D4215" s="31">
        <f t="shared" si="137"/>
        <v>0.1144730579509509</v>
      </c>
      <c r="F4215" s="2" t="s">
        <v>822</v>
      </c>
      <c r="G4215" s="23" t="s">
        <v>902</v>
      </c>
      <c r="H4215" s="2" t="s">
        <v>822</v>
      </c>
      <c r="J4215" s="31">
        <v>33.493499800000002</v>
      </c>
      <c r="K4215" s="31">
        <v>30.210399599999999</v>
      </c>
      <c r="L4215" s="31"/>
      <c r="M4215" s="31" t="s">
        <v>854</v>
      </c>
      <c r="N4215" s="6" t="s">
        <v>856</v>
      </c>
    </row>
    <row r="4216" spans="1:14" ht="15" customHeight="1" x14ac:dyDescent="0.2">
      <c r="A4216" s="31">
        <v>0.58400868852346099</v>
      </c>
      <c r="B4216" s="31"/>
      <c r="C4216" s="2" t="s">
        <v>855</v>
      </c>
      <c r="D4216" s="31">
        <f t="shared" ref="D4216:D4247" si="138" xml:space="preserve"> A4216 * 0.196</f>
        <v>0.11446570295059835</v>
      </c>
      <c r="F4216" s="2" t="s">
        <v>822</v>
      </c>
      <c r="G4216" s="23" t="s">
        <v>902</v>
      </c>
      <c r="H4216" s="2" t="s">
        <v>822</v>
      </c>
      <c r="J4216" s="31">
        <v>44.053001399999999</v>
      </c>
      <c r="K4216" s="31">
        <v>-18.476100899999999</v>
      </c>
      <c r="L4216" s="31"/>
      <c r="M4216" s="31" t="s">
        <v>854</v>
      </c>
      <c r="N4216" s="6" t="s">
        <v>856</v>
      </c>
    </row>
    <row r="4217" spans="1:14" ht="15" customHeight="1" x14ac:dyDescent="0.2">
      <c r="A4217" s="31">
        <v>0.58377310544634242</v>
      </c>
      <c r="B4217" s="31"/>
      <c r="C4217" s="2" t="s">
        <v>855</v>
      </c>
      <c r="D4217" s="31">
        <f t="shared" si="138"/>
        <v>0.11441952866748312</v>
      </c>
      <c r="F4217" s="2" t="s">
        <v>822</v>
      </c>
      <c r="G4217" s="23" t="s">
        <v>902</v>
      </c>
      <c r="H4217" s="2" t="s">
        <v>822</v>
      </c>
      <c r="J4217" s="31">
        <v>37.5470009</v>
      </c>
      <c r="K4217" s="31">
        <v>8.1219701999999998</v>
      </c>
      <c r="L4217" s="31"/>
      <c r="M4217" s="31" t="s">
        <v>854</v>
      </c>
      <c r="N4217" s="6" t="s">
        <v>856</v>
      </c>
    </row>
    <row r="4218" spans="1:14" ht="15" customHeight="1" x14ac:dyDescent="0.2">
      <c r="A4218" s="31">
        <v>0.58371703582078993</v>
      </c>
      <c r="B4218" s="31"/>
      <c r="C4218" s="2" t="s">
        <v>855</v>
      </c>
      <c r="D4218" s="31">
        <f t="shared" si="138"/>
        <v>0.11440853902087483</v>
      </c>
      <c r="F4218" s="2" t="s">
        <v>822</v>
      </c>
      <c r="G4218" s="23" t="s">
        <v>902</v>
      </c>
      <c r="H4218" s="2" t="s">
        <v>822</v>
      </c>
      <c r="J4218" s="31">
        <v>37.085498800000003</v>
      </c>
      <c r="K4218" s="31">
        <v>8.8209199999999992</v>
      </c>
      <c r="L4218" s="31"/>
      <c r="M4218" s="31" t="s">
        <v>854</v>
      </c>
      <c r="N4218" s="6" t="s">
        <v>856</v>
      </c>
    </row>
    <row r="4219" spans="1:14" ht="15" customHeight="1" x14ac:dyDescent="0.2">
      <c r="A4219" s="31">
        <v>0.58370086415080669</v>
      </c>
      <c r="B4219" s="31"/>
      <c r="C4219" s="2" t="s">
        <v>855</v>
      </c>
      <c r="D4219" s="31">
        <f t="shared" si="138"/>
        <v>0.11440536937355812</v>
      </c>
      <c r="F4219" s="2" t="s">
        <v>822</v>
      </c>
      <c r="G4219" s="23" t="s">
        <v>902</v>
      </c>
      <c r="H4219" s="2" t="s">
        <v>822</v>
      </c>
      <c r="J4219" s="31">
        <v>39.5215988</v>
      </c>
      <c r="K4219" s="31">
        <v>12.9300003</v>
      </c>
      <c r="L4219" s="31"/>
      <c r="M4219" s="31" t="s">
        <v>854</v>
      </c>
      <c r="N4219" s="6" t="s">
        <v>856</v>
      </c>
    </row>
    <row r="4220" spans="1:14" ht="15" customHeight="1" x14ac:dyDescent="0.2">
      <c r="A4220" s="31">
        <v>0.58364132444634853</v>
      </c>
      <c r="B4220" s="31"/>
      <c r="C4220" s="2" t="s">
        <v>855</v>
      </c>
      <c r="D4220" s="31">
        <f t="shared" si="138"/>
        <v>0.11439369959148432</v>
      </c>
      <c r="F4220" s="2" t="s">
        <v>822</v>
      </c>
      <c r="G4220" s="23" t="s">
        <v>902</v>
      </c>
      <c r="H4220" s="2" t="s">
        <v>822</v>
      </c>
      <c r="J4220" s="31">
        <v>48.832000700000002</v>
      </c>
      <c r="K4220" s="31">
        <v>-3.7104001000000002</v>
      </c>
      <c r="L4220" s="31"/>
      <c r="M4220" s="31" t="s">
        <v>854</v>
      </c>
      <c r="N4220" s="6" t="s">
        <v>856</v>
      </c>
    </row>
    <row r="4221" spans="1:14" ht="15" customHeight="1" x14ac:dyDescent="0.2">
      <c r="A4221" s="31">
        <v>0.5834027238989351</v>
      </c>
      <c r="B4221" s="31"/>
      <c r="C4221" s="2" t="s">
        <v>855</v>
      </c>
      <c r="D4221" s="31">
        <f t="shared" si="138"/>
        <v>0.11434693388419129</v>
      </c>
      <c r="F4221" s="2" t="s">
        <v>822</v>
      </c>
      <c r="G4221" s="23" t="s">
        <v>902</v>
      </c>
      <c r="H4221" s="2" t="s">
        <v>822</v>
      </c>
      <c r="J4221" s="31">
        <v>54.158698999999999</v>
      </c>
      <c r="K4221" s="31">
        <v>-5.6263299</v>
      </c>
      <c r="L4221" s="31"/>
      <c r="M4221" s="31" t="s">
        <v>854</v>
      </c>
      <c r="N4221" s="6" t="s">
        <v>856</v>
      </c>
    </row>
    <row r="4222" spans="1:14" ht="15" customHeight="1" x14ac:dyDescent="0.2">
      <c r="A4222" s="31">
        <v>0.5832830603383391</v>
      </c>
      <c r="B4222" s="31"/>
      <c r="C4222" s="2" t="s">
        <v>855</v>
      </c>
      <c r="D4222" s="31">
        <f t="shared" si="138"/>
        <v>0.11432347982631447</v>
      </c>
      <c r="F4222" s="2" t="s">
        <v>822</v>
      </c>
      <c r="G4222" s="23" t="s">
        <v>902</v>
      </c>
      <c r="H4222" s="2" t="s">
        <v>822</v>
      </c>
      <c r="J4222" s="31">
        <v>50.060600299999997</v>
      </c>
      <c r="K4222" s="31">
        <v>-5.6314200999999997</v>
      </c>
      <c r="L4222" s="31"/>
      <c r="M4222" s="31" t="s">
        <v>854</v>
      </c>
      <c r="N4222" s="6" t="s">
        <v>856</v>
      </c>
    </row>
    <row r="4223" spans="1:14" ht="15" customHeight="1" x14ac:dyDescent="0.2">
      <c r="A4223" s="31">
        <v>0.58322669272701577</v>
      </c>
      <c r="B4223" s="31"/>
      <c r="C4223" s="2" t="s">
        <v>855</v>
      </c>
      <c r="D4223" s="31">
        <f t="shared" si="138"/>
        <v>0.1143124317744951</v>
      </c>
      <c r="F4223" s="2" t="s">
        <v>822</v>
      </c>
      <c r="G4223" s="23" t="s">
        <v>902</v>
      </c>
      <c r="H4223" s="2" t="s">
        <v>822</v>
      </c>
      <c r="J4223" s="31">
        <v>54.865100900000002</v>
      </c>
      <c r="K4223" s="31">
        <v>-8.7929896999999997</v>
      </c>
      <c r="L4223" s="31"/>
      <c r="M4223" s="31" t="s">
        <v>854</v>
      </c>
      <c r="N4223" s="6" t="s">
        <v>856</v>
      </c>
    </row>
    <row r="4224" spans="1:14" ht="15" customHeight="1" x14ac:dyDescent="0.2">
      <c r="A4224" s="31">
        <v>0.58316493839794215</v>
      </c>
      <c r="B4224" s="31"/>
      <c r="C4224" s="2" t="s">
        <v>855</v>
      </c>
      <c r="D4224" s="31">
        <f t="shared" si="138"/>
        <v>0.11430032792599666</v>
      </c>
      <c r="F4224" s="2" t="s">
        <v>822</v>
      </c>
      <c r="G4224" s="23" t="s">
        <v>902</v>
      </c>
      <c r="H4224" s="2" t="s">
        <v>822</v>
      </c>
      <c r="J4224" s="31">
        <v>31.369600299999998</v>
      </c>
      <c r="K4224" s="31">
        <v>-31.2129002</v>
      </c>
      <c r="L4224" s="31"/>
      <c r="M4224" s="31" t="s">
        <v>854</v>
      </c>
      <c r="N4224" s="6" t="s">
        <v>856</v>
      </c>
    </row>
    <row r="4225" spans="1:14" ht="15" customHeight="1" x14ac:dyDescent="0.2">
      <c r="A4225" s="31">
        <v>0.58294509646608039</v>
      </c>
      <c r="B4225" s="31"/>
      <c r="C4225" s="2" t="s">
        <v>855</v>
      </c>
      <c r="D4225" s="31">
        <f t="shared" si="138"/>
        <v>0.11425723890735176</v>
      </c>
      <c r="F4225" s="2" t="s">
        <v>822</v>
      </c>
      <c r="G4225" s="23" t="s">
        <v>902</v>
      </c>
      <c r="H4225" s="2" t="s">
        <v>822</v>
      </c>
      <c r="J4225" s="31">
        <v>33.403400400000002</v>
      </c>
      <c r="K4225" s="31">
        <v>-29.924600600000002</v>
      </c>
      <c r="L4225" s="31"/>
      <c r="M4225" s="31" t="s">
        <v>854</v>
      </c>
      <c r="N4225" s="6" t="s">
        <v>856</v>
      </c>
    </row>
    <row r="4226" spans="1:14" ht="15" customHeight="1" x14ac:dyDescent="0.2">
      <c r="A4226" s="31">
        <v>0.58289653591894797</v>
      </c>
      <c r="B4226" s="31"/>
      <c r="C4226" s="2" t="s">
        <v>855</v>
      </c>
      <c r="D4226" s="31">
        <f t="shared" si="138"/>
        <v>0.11424772104011381</v>
      </c>
      <c r="F4226" s="2" t="s">
        <v>822</v>
      </c>
      <c r="G4226" s="23" t="s">
        <v>902</v>
      </c>
      <c r="H4226" s="2" t="s">
        <v>822</v>
      </c>
      <c r="J4226" s="31">
        <v>45.413600899999999</v>
      </c>
      <c r="K4226" s="31">
        <v>-25.8393002</v>
      </c>
      <c r="L4226" s="31"/>
      <c r="M4226" s="31" t="s">
        <v>854</v>
      </c>
      <c r="N4226" s="6" t="s">
        <v>856</v>
      </c>
    </row>
    <row r="4227" spans="1:14" ht="15" customHeight="1" x14ac:dyDescent="0.2">
      <c r="A4227" s="31">
        <v>0.58279530338574381</v>
      </c>
      <c r="B4227" s="31"/>
      <c r="C4227" s="2" t="s">
        <v>855</v>
      </c>
      <c r="D4227" s="31">
        <f t="shared" si="138"/>
        <v>0.1142278794636058</v>
      </c>
      <c r="F4227" s="2" t="s">
        <v>822</v>
      </c>
      <c r="G4227" s="23" t="s">
        <v>902</v>
      </c>
      <c r="H4227" s="2" t="s">
        <v>822</v>
      </c>
      <c r="J4227" s="31">
        <v>36.074500999999998</v>
      </c>
      <c r="K4227" s="31">
        <v>-19.037200899999998</v>
      </c>
      <c r="L4227" s="31"/>
      <c r="M4227" s="31" t="s">
        <v>854</v>
      </c>
      <c r="N4227" s="6" t="s">
        <v>856</v>
      </c>
    </row>
    <row r="4228" spans="1:14" ht="15" customHeight="1" x14ac:dyDescent="0.2">
      <c r="A4228" s="31">
        <v>0.58268750641581823</v>
      </c>
      <c r="B4228" s="31"/>
      <c r="C4228" s="2" t="s">
        <v>855</v>
      </c>
      <c r="D4228" s="31">
        <f t="shared" si="138"/>
        <v>0.11420675125750038</v>
      </c>
      <c r="F4228" s="2" t="s">
        <v>822</v>
      </c>
      <c r="G4228" s="23" t="s">
        <v>902</v>
      </c>
      <c r="H4228" s="2" t="s">
        <v>822</v>
      </c>
      <c r="J4228" s="31">
        <v>30.147600199999999</v>
      </c>
      <c r="K4228" s="31">
        <v>-27.1604004</v>
      </c>
      <c r="L4228" s="31"/>
      <c r="M4228" s="31" t="s">
        <v>854</v>
      </c>
      <c r="N4228" s="6" t="s">
        <v>856</v>
      </c>
    </row>
    <row r="4229" spans="1:14" ht="15" customHeight="1" x14ac:dyDescent="0.2">
      <c r="A4229" s="31">
        <v>0.58243534483707982</v>
      </c>
      <c r="B4229" s="31"/>
      <c r="C4229" s="2" t="s">
        <v>855</v>
      </c>
      <c r="D4229" s="31">
        <f t="shared" si="138"/>
        <v>0.11415732758806765</v>
      </c>
      <c r="F4229" s="2" t="s">
        <v>822</v>
      </c>
      <c r="G4229" s="23" t="s">
        <v>902</v>
      </c>
      <c r="H4229" s="2" t="s">
        <v>822</v>
      </c>
      <c r="J4229" s="31">
        <v>55.4319992</v>
      </c>
      <c r="K4229" s="31">
        <v>6.7628398000000001</v>
      </c>
      <c r="L4229" s="31"/>
      <c r="M4229" s="31" t="s">
        <v>854</v>
      </c>
      <c r="N4229" s="6" t="s">
        <v>856</v>
      </c>
    </row>
    <row r="4230" spans="1:14" ht="15" customHeight="1" x14ac:dyDescent="0.2">
      <c r="A4230" s="31">
        <v>0.58219270200936202</v>
      </c>
      <c r="B4230" s="31"/>
      <c r="C4230" s="2" t="s">
        <v>855</v>
      </c>
      <c r="D4230" s="31">
        <f t="shared" si="138"/>
        <v>0.11410976959383495</v>
      </c>
      <c r="F4230" s="2" t="s">
        <v>822</v>
      </c>
      <c r="G4230" s="23" t="s">
        <v>902</v>
      </c>
      <c r="H4230" s="2" t="s">
        <v>822</v>
      </c>
      <c r="J4230" s="31">
        <v>46.748001100000003</v>
      </c>
      <c r="K4230" s="31">
        <v>-34.543998700000003</v>
      </c>
      <c r="L4230" s="31"/>
      <c r="M4230" s="31" t="s">
        <v>854</v>
      </c>
      <c r="N4230" s="6" t="s">
        <v>856</v>
      </c>
    </row>
    <row r="4231" spans="1:14" ht="15" customHeight="1" x14ac:dyDescent="0.2">
      <c r="A4231" s="31">
        <v>0.58205715632878785</v>
      </c>
      <c r="B4231" s="31"/>
      <c r="C4231" s="2" t="s">
        <v>855</v>
      </c>
      <c r="D4231" s="31">
        <f t="shared" si="138"/>
        <v>0.11408320264044243</v>
      </c>
      <c r="F4231" s="2" t="s">
        <v>822</v>
      </c>
      <c r="G4231" s="23" t="s">
        <v>902</v>
      </c>
      <c r="H4231" s="2" t="s">
        <v>822</v>
      </c>
      <c r="J4231" s="31">
        <v>36.749198900000003</v>
      </c>
      <c r="K4231" s="31">
        <v>-27.839700700000002</v>
      </c>
      <c r="L4231" s="31"/>
      <c r="M4231" s="31" t="s">
        <v>854</v>
      </c>
      <c r="N4231" s="6" t="s">
        <v>856</v>
      </c>
    </row>
    <row r="4232" spans="1:14" ht="15" customHeight="1" x14ac:dyDescent="0.2">
      <c r="A4232" s="31">
        <v>0.58182756674416103</v>
      </c>
      <c r="B4232" s="31"/>
      <c r="C4232" s="2" t="s">
        <v>855</v>
      </c>
      <c r="D4232" s="31">
        <f t="shared" si="138"/>
        <v>0.11403820308185557</v>
      </c>
      <c r="F4232" s="2" t="s">
        <v>822</v>
      </c>
      <c r="G4232" s="23" t="s">
        <v>902</v>
      </c>
      <c r="H4232" s="2" t="s">
        <v>822</v>
      </c>
      <c r="J4232" s="31">
        <v>30.6788998</v>
      </c>
      <c r="K4232" s="31">
        <v>-41.205001799999998</v>
      </c>
      <c r="L4232" s="31"/>
      <c r="M4232" s="31" t="s">
        <v>854</v>
      </c>
      <c r="N4232" s="6" t="s">
        <v>856</v>
      </c>
    </row>
    <row r="4233" spans="1:14" ht="15" customHeight="1" x14ac:dyDescent="0.2">
      <c r="A4233" s="31">
        <v>0.58156570819213338</v>
      </c>
      <c r="B4233" s="31"/>
      <c r="C4233" s="2" t="s">
        <v>855</v>
      </c>
      <c r="D4233" s="31">
        <f t="shared" si="138"/>
        <v>0.11398687880565815</v>
      </c>
      <c r="F4233" s="2" t="s">
        <v>822</v>
      </c>
      <c r="G4233" s="23" t="s">
        <v>902</v>
      </c>
      <c r="H4233" s="2" t="s">
        <v>822</v>
      </c>
      <c r="J4233" s="31">
        <v>52.111698199999999</v>
      </c>
      <c r="K4233" s="31">
        <v>-19.0802002</v>
      </c>
      <c r="L4233" s="31"/>
      <c r="M4233" s="31" t="s">
        <v>854</v>
      </c>
      <c r="N4233" s="6" t="s">
        <v>856</v>
      </c>
    </row>
    <row r="4234" spans="1:14" ht="15" customHeight="1" x14ac:dyDescent="0.2">
      <c r="A4234" s="31">
        <v>0.58150129569865339</v>
      </c>
      <c r="B4234" s="31"/>
      <c r="C4234" s="2" t="s">
        <v>855</v>
      </c>
      <c r="D4234" s="31">
        <f t="shared" si="138"/>
        <v>0.11397425395693607</v>
      </c>
      <c r="F4234" s="2" t="s">
        <v>822</v>
      </c>
      <c r="G4234" s="23" t="s">
        <v>902</v>
      </c>
      <c r="H4234" s="2" t="s">
        <v>822</v>
      </c>
      <c r="J4234" s="31">
        <v>40.558498399999998</v>
      </c>
      <c r="K4234" s="31">
        <v>-42.550399800000001</v>
      </c>
      <c r="L4234" s="31"/>
      <c r="M4234" s="31" t="s">
        <v>854</v>
      </c>
      <c r="N4234" s="6" t="s">
        <v>856</v>
      </c>
    </row>
    <row r="4235" spans="1:14" ht="15" customHeight="1" x14ac:dyDescent="0.2">
      <c r="A4235" s="31">
        <v>0.58097088745629644</v>
      </c>
      <c r="B4235" s="31"/>
      <c r="C4235" s="2" t="s">
        <v>855</v>
      </c>
      <c r="D4235" s="31">
        <f t="shared" si="138"/>
        <v>0.11387029394143411</v>
      </c>
      <c r="F4235" s="2" t="s">
        <v>822</v>
      </c>
      <c r="G4235" s="23" t="s">
        <v>902</v>
      </c>
      <c r="H4235" s="2" t="s">
        <v>822</v>
      </c>
      <c r="J4235" s="31">
        <v>31.665000899999999</v>
      </c>
      <c r="K4235" s="31">
        <v>25.8500996</v>
      </c>
      <c r="L4235" s="31"/>
      <c r="M4235" s="31" t="s">
        <v>854</v>
      </c>
      <c r="N4235" s="6" t="s">
        <v>856</v>
      </c>
    </row>
    <row r="4236" spans="1:14" ht="15" customHeight="1" x14ac:dyDescent="0.2">
      <c r="A4236" s="31">
        <v>0.5808449124508982</v>
      </c>
      <c r="B4236" s="31"/>
      <c r="C4236" s="2" t="s">
        <v>855</v>
      </c>
      <c r="D4236" s="31">
        <f t="shared" si="138"/>
        <v>0.11384560284037605</v>
      </c>
      <c r="F4236" s="2" t="s">
        <v>822</v>
      </c>
      <c r="G4236" s="23" t="s">
        <v>902</v>
      </c>
      <c r="H4236" s="2" t="s">
        <v>822</v>
      </c>
      <c r="J4236" s="31">
        <v>50.322200799999997</v>
      </c>
      <c r="K4236" s="31">
        <v>-12.7363997</v>
      </c>
      <c r="L4236" s="31"/>
      <c r="M4236" s="31" t="s">
        <v>854</v>
      </c>
      <c r="N4236" s="6" t="s">
        <v>856</v>
      </c>
    </row>
    <row r="4237" spans="1:14" ht="15" customHeight="1" x14ac:dyDescent="0.2">
      <c r="A4237" s="31">
        <v>0.58078427312132297</v>
      </c>
      <c r="B4237" s="31"/>
      <c r="C4237" s="2" t="s">
        <v>855</v>
      </c>
      <c r="D4237" s="31">
        <f t="shared" si="138"/>
        <v>0.1138337175317793</v>
      </c>
      <c r="F4237" s="2" t="s">
        <v>822</v>
      </c>
      <c r="G4237" s="23" t="s">
        <v>902</v>
      </c>
      <c r="H4237" s="2" t="s">
        <v>822</v>
      </c>
      <c r="J4237" s="31">
        <v>46.748001100000003</v>
      </c>
      <c r="K4237" s="31">
        <v>-19.1800003</v>
      </c>
      <c r="L4237" s="31"/>
      <c r="M4237" s="31" t="s">
        <v>854</v>
      </c>
      <c r="N4237" s="6" t="s">
        <v>856</v>
      </c>
    </row>
    <row r="4238" spans="1:14" ht="15" customHeight="1" x14ac:dyDescent="0.2">
      <c r="A4238" s="31">
        <v>0.58016455069570894</v>
      </c>
      <c r="B4238" s="31"/>
      <c r="C4238" s="2" t="s">
        <v>855</v>
      </c>
      <c r="D4238" s="31">
        <f t="shared" si="138"/>
        <v>0.11371225193635895</v>
      </c>
      <c r="F4238" s="2" t="s">
        <v>822</v>
      </c>
      <c r="G4238" s="23" t="s">
        <v>902</v>
      </c>
      <c r="H4238" s="2" t="s">
        <v>822</v>
      </c>
      <c r="J4238" s="31">
        <v>32.051998099999999</v>
      </c>
      <c r="K4238" s="31">
        <v>-15.171999899999999</v>
      </c>
      <c r="L4238" s="31"/>
      <c r="M4238" s="31" t="s">
        <v>854</v>
      </c>
      <c r="N4238" s="6" t="s">
        <v>856</v>
      </c>
    </row>
    <row r="4239" spans="1:14" ht="15" customHeight="1" x14ac:dyDescent="0.2">
      <c r="A4239" s="31">
        <v>0.58004662951088459</v>
      </c>
      <c r="B4239" s="31"/>
      <c r="C4239" s="2" t="s">
        <v>855</v>
      </c>
      <c r="D4239" s="31">
        <f t="shared" si="138"/>
        <v>0.11368913938413339</v>
      </c>
      <c r="F4239" s="2" t="s">
        <v>822</v>
      </c>
      <c r="G4239" s="23" t="s">
        <v>902</v>
      </c>
      <c r="H4239" s="2" t="s">
        <v>822</v>
      </c>
      <c r="J4239" s="31">
        <v>41.111598999999998</v>
      </c>
      <c r="K4239" s="31">
        <v>-17.8439999</v>
      </c>
      <c r="L4239" s="31"/>
      <c r="M4239" s="31" t="s">
        <v>854</v>
      </c>
      <c r="N4239" s="6" t="s">
        <v>856</v>
      </c>
    </row>
    <row r="4240" spans="1:14" ht="15" customHeight="1" x14ac:dyDescent="0.2">
      <c r="A4240" s="31">
        <v>0.57999269163395928</v>
      </c>
      <c r="B4240" s="31"/>
      <c r="C4240" s="2" t="s">
        <v>855</v>
      </c>
      <c r="D4240" s="31">
        <f t="shared" si="138"/>
        <v>0.11367856756025602</v>
      </c>
      <c r="F4240" s="2" t="s">
        <v>822</v>
      </c>
      <c r="G4240" s="23" t="s">
        <v>902</v>
      </c>
      <c r="H4240" s="2" t="s">
        <v>822</v>
      </c>
      <c r="J4240" s="31">
        <v>56.049198199999999</v>
      </c>
      <c r="K4240" s="31">
        <v>-2.4772300999999999</v>
      </c>
      <c r="L4240" s="31"/>
      <c r="M4240" s="31" t="s">
        <v>854</v>
      </c>
      <c r="N4240" s="6" t="s">
        <v>856</v>
      </c>
    </row>
    <row r="4241" spans="1:14" ht="15" customHeight="1" x14ac:dyDescent="0.2">
      <c r="A4241" s="31">
        <v>0.5797352871596585</v>
      </c>
      <c r="B4241" s="31"/>
      <c r="C4241" s="2" t="s">
        <v>855</v>
      </c>
      <c r="D4241" s="31">
        <f t="shared" si="138"/>
        <v>0.11362811628329307</v>
      </c>
      <c r="F4241" s="2" t="s">
        <v>822</v>
      </c>
      <c r="G4241" s="23" t="s">
        <v>902</v>
      </c>
      <c r="H4241" s="2" t="s">
        <v>822</v>
      </c>
      <c r="J4241" s="31">
        <v>46.748001100000003</v>
      </c>
      <c r="K4241" s="31">
        <v>-33.208000200000001</v>
      </c>
      <c r="L4241" s="31"/>
      <c r="M4241" s="31" t="s">
        <v>854</v>
      </c>
      <c r="N4241" s="6" t="s">
        <v>856</v>
      </c>
    </row>
    <row r="4242" spans="1:14" ht="15" customHeight="1" x14ac:dyDescent="0.2">
      <c r="A4242" s="31">
        <v>0.57951787638577534</v>
      </c>
      <c r="B4242" s="31"/>
      <c r="C4242" s="2" t="s">
        <v>855</v>
      </c>
      <c r="D4242" s="31">
        <f t="shared" si="138"/>
        <v>0.11358550377161197</v>
      </c>
      <c r="F4242" s="2" t="s">
        <v>822</v>
      </c>
      <c r="G4242" s="23" t="s">
        <v>902</v>
      </c>
      <c r="H4242" s="2" t="s">
        <v>822</v>
      </c>
      <c r="J4242" s="31">
        <v>33.915401500000002</v>
      </c>
      <c r="K4242" s="31">
        <v>19.029499099999999</v>
      </c>
      <c r="L4242" s="31"/>
      <c r="M4242" s="31" t="s">
        <v>854</v>
      </c>
      <c r="N4242" s="6" t="s">
        <v>856</v>
      </c>
    </row>
    <row r="4243" spans="1:14" ht="15" customHeight="1" x14ac:dyDescent="0.2">
      <c r="A4243" s="31">
        <v>0.578649648878233</v>
      </c>
      <c r="B4243" s="31"/>
      <c r="C4243" s="2" t="s">
        <v>855</v>
      </c>
      <c r="D4243" s="31">
        <f t="shared" si="138"/>
        <v>0.11341533118013367</v>
      </c>
      <c r="F4243" s="2" t="s">
        <v>822</v>
      </c>
      <c r="G4243" s="23" t="s">
        <v>902</v>
      </c>
      <c r="H4243" s="2" t="s">
        <v>822</v>
      </c>
      <c r="J4243" s="31">
        <v>36.780399299999999</v>
      </c>
      <c r="K4243" s="31">
        <v>-23.1438007</v>
      </c>
      <c r="L4243" s="31"/>
      <c r="M4243" s="31" t="s">
        <v>854</v>
      </c>
      <c r="N4243" s="6" t="s">
        <v>856</v>
      </c>
    </row>
    <row r="4244" spans="1:14" ht="15" customHeight="1" x14ac:dyDescent="0.2">
      <c r="A4244" s="31">
        <v>0.57858263190100223</v>
      </c>
      <c r="B4244" s="31"/>
      <c r="C4244" s="2" t="s">
        <v>855</v>
      </c>
      <c r="D4244" s="31">
        <f t="shared" si="138"/>
        <v>0.11340219585259644</v>
      </c>
      <c r="F4244" s="2" t="s">
        <v>822</v>
      </c>
      <c r="G4244" s="23" t="s">
        <v>902</v>
      </c>
      <c r="H4244" s="2" t="s">
        <v>822</v>
      </c>
      <c r="J4244" s="31">
        <v>36.997501399999997</v>
      </c>
      <c r="K4244" s="31">
        <v>18.434600799999998</v>
      </c>
      <c r="L4244" s="31"/>
      <c r="M4244" s="31" t="s">
        <v>854</v>
      </c>
      <c r="N4244" s="6" t="s">
        <v>856</v>
      </c>
    </row>
    <row r="4245" spans="1:14" ht="15" customHeight="1" x14ac:dyDescent="0.2">
      <c r="A4245" s="31">
        <v>0.57843935194668872</v>
      </c>
      <c r="B4245" s="31"/>
      <c r="C4245" s="2" t="s">
        <v>855</v>
      </c>
      <c r="D4245" s="31">
        <f t="shared" si="138"/>
        <v>0.11337411298155099</v>
      </c>
      <c r="F4245" s="2" t="s">
        <v>822</v>
      </c>
      <c r="G4245" s="23" t="s">
        <v>902</v>
      </c>
      <c r="H4245" s="2" t="s">
        <v>822</v>
      </c>
      <c r="J4245" s="31">
        <v>33.391399399999997</v>
      </c>
      <c r="K4245" s="31">
        <v>29.580900199999999</v>
      </c>
      <c r="L4245" s="31"/>
      <c r="M4245" s="31" t="s">
        <v>854</v>
      </c>
      <c r="N4245" s="6" t="s">
        <v>856</v>
      </c>
    </row>
    <row r="4246" spans="1:14" ht="15" customHeight="1" x14ac:dyDescent="0.2">
      <c r="A4246" s="31">
        <v>0.57841829865870509</v>
      </c>
      <c r="B4246" s="31"/>
      <c r="C4246" s="2" t="s">
        <v>855</v>
      </c>
      <c r="D4246" s="31">
        <f t="shared" si="138"/>
        <v>0.1133699865371062</v>
      </c>
      <c r="F4246" s="2" t="s">
        <v>822</v>
      </c>
      <c r="G4246" s="23" t="s">
        <v>902</v>
      </c>
      <c r="H4246" s="2" t="s">
        <v>822</v>
      </c>
      <c r="J4246" s="31">
        <v>33.935501100000003</v>
      </c>
      <c r="K4246" s="31">
        <v>-25.3033009</v>
      </c>
      <c r="L4246" s="31"/>
      <c r="M4246" s="31" t="s">
        <v>854</v>
      </c>
      <c r="N4246" s="6" t="s">
        <v>856</v>
      </c>
    </row>
    <row r="4247" spans="1:14" ht="15" customHeight="1" x14ac:dyDescent="0.2">
      <c r="A4247" s="31">
        <v>0.57839010826428505</v>
      </c>
      <c r="B4247" s="31"/>
      <c r="C4247" s="2" t="s">
        <v>855</v>
      </c>
      <c r="D4247" s="31">
        <f t="shared" si="138"/>
        <v>0.11336446121979987</v>
      </c>
      <c r="F4247" s="2" t="s">
        <v>822</v>
      </c>
      <c r="G4247" s="23" t="s">
        <v>902</v>
      </c>
      <c r="H4247" s="2" t="s">
        <v>822</v>
      </c>
      <c r="J4247" s="31">
        <v>32.7942009</v>
      </c>
      <c r="K4247" s="31">
        <v>-35.910099000000002</v>
      </c>
      <c r="L4247" s="31"/>
      <c r="M4247" s="31" t="s">
        <v>854</v>
      </c>
      <c r="N4247" s="6" t="s">
        <v>856</v>
      </c>
    </row>
    <row r="4248" spans="1:14" ht="15" customHeight="1" x14ac:dyDescent="0.2">
      <c r="A4248" s="31">
        <v>0.57830611313441327</v>
      </c>
      <c r="B4248" s="31"/>
      <c r="C4248" s="2" t="s">
        <v>855</v>
      </c>
      <c r="D4248" s="31">
        <f t="shared" ref="D4248:D4279" si="139" xml:space="preserve"> A4248 * 0.196</f>
        <v>0.113347998174345</v>
      </c>
      <c r="F4248" s="2" t="s">
        <v>822</v>
      </c>
      <c r="G4248" s="23" t="s">
        <v>902</v>
      </c>
      <c r="H4248" s="2" t="s">
        <v>822</v>
      </c>
      <c r="J4248" s="31">
        <v>47.482601199999998</v>
      </c>
      <c r="K4248" s="31">
        <v>-9.1727504999999994</v>
      </c>
      <c r="L4248" s="31"/>
      <c r="M4248" s="31" t="s">
        <v>854</v>
      </c>
      <c r="N4248" s="6" t="s">
        <v>856</v>
      </c>
    </row>
    <row r="4249" spans="1:14" ht="15" customHeight="1" x14ac:dyDescent="0.2">
      <c r="A4249" s="31">
        <v>0.57826175441177274</v>
      </c>
      <c r="B4249" s="31"/>
      <c r="C4249" s="2" t="s">
        <v>855</v>
      </c>
      <c r="D4249" s="31">
        <f t="shared" si="139"/>
        <v>0.11333930386470746</v>
      </c>
      <c r="F4249" s="2" t="s">
        <v>822</v>
      </c>
      <c r="G4249" s="23" t="s">
        <v>902</v>
      </c>
      <c r="H4249" s="2" t="s">
        <v>822</v>
      </c>
      <c r="J4249" s="31">
        <v>46.080001799999998</v>
      </c>
      <c r="K4249" s="31">
        <v>-21.851999299999999</v>
      </c>
      <c r="L4249" s="31"/>
      <c r="M4249" s="31" t="s">
        <v>854</v>
      </c>
      <c r="N4249" s="6" t="s">
        <v>856</v>
      </c>
    </row>
    <row r="4250" spans="1:14" ht="15" customHeight="1" x14ac:dyDescent="0.2">
      <c r="A4250" s="31">
        <v>0.57813749244980039</v>
      </c>
      <c r="B4250" s="31"/>
      <c r="C4250" s="2" t="s">
        <v>855</v>
      </c>
      <c r="D4250" s="31">
        <f t="shared" si="139"/>
        <v>0.11331494852016089</v>
      </c>
      <c r="F4250" s="2" t="s">
        <v>822</v>
      </c>
      <c r="G4250" s="23" t="s">
        <v>902</v>
      </c>
      <c r="H4250" s="2" t="s">
        <v>822</v>
      </c>
      <c r="J4250" s="31">
        <v>30.7159996</v>
      </c>
      <c r="K4250" s="31">
        <v>-35.212001800000003</v>
      </c>
      <c r="L4250" s="31"/>
      <c r="M4250" s="31" t="s">
        <v>854</v>
      </c>
      <c r="N4250" s="6" t="s">
        <v>856</v>
      </c>
    </row>
    <row r="4251" spans="1:14" ht="15" customHeight="1" x14ac:dyDescent="0.2">
      <c r="A4251" s="31">
        <v>0.57803079538523794</v>
      </c>
      <c r="B4251" s="31"/>
      <c r="C4251" s="2" t="s">
        <v>855</v>
      </c>
      <c r="D4251" s="31">
        <f t="shared" si="139"/>
        <v>0.11329403589550664</v>
      </c>
      <c r="F4251" s="2" t="s">
        <v>822</v>
      </c>
      <c r="G4251" s="23" t="s">
        <v>902</v>
      </c>
      <c r="H4251" s="2" t="s">
        <v>822</v>
      </c>
      <c r="J4251" s="31">
        <v>39.046298999999998</v>
      </c>
      <c r="K4251" s="31">
        <v>-17.5177002</v>
      </c>
      <c r="L4251" s="31"/>
      <c r="M4251" s="31" t="s">
        <v>854</v>
      </c>
      <c r="N4251" s="6" t="s">
        <v>856</v>
      </c>
    </row>
    <row r="4252" spans="1:14" ht="15" customHeight="1" x14ac:dyDescent="0.2">
      <c r="A4252" s="31">
        <v>0.57789279382886549</v>
      </c>
      <c r="B4252" s="31"/>
      <c r="C4252" s="2" t="s">
        <v>855</v>
      </c>
      <c r="D4252" s="31">
        <f t="shared" si="139"/>
        <v>0.11326698759045764</v>
      </c>
      <c r="F4252" s="2" t="s">
        <v>822</v>
      </c>
      <c r="G4252" s="23" t="s">
        <v>902</v>
      </c>
      <c r="H4252" s="2" t="s">
        <v>822</v>
      </c>
      <c r="J4252" s="31">
        <v>51.6332016</v>
      </c>
      <c r="K4252" s="31">
        <v>-10.2102003</v>
      </c>
      <c r="L4252" s="31"/>
      <c r="M4252" s="31" t="s">
        <v>854</v>
      </c>
      <c r="N4252" s="6" t="s">
        <v>856</v>
      </c>
    </row>
    <row r="4253" spans="1:14" ht="15" customHeight="1" x14ac:dyDescent="0.2">
      <c r="A4253" s="31">
        <v>0.5775799914622628</v>
      </c>
      <c r="B4253" s="31"/>
      <c r="C4253" s="2" t="s">
        <v>855</v>
      </c>
      <c r="D4253" s="31">
        <f t="shared" si="139"/>
        <v>0.11320567832660351</v>
      </c>
      <c r="F4253" s="2" t="s">
        <v>822</v>
      </c>
      <c r="G4253" s="23" t="s">
        <v>902</v>
      </c>
      <c r="H4253" s="2" t="s">
        <v>822</v>
      </c>
      <c r="J4253" s="31">
        <v>45.339900999999998</v>
      </c>
      <c r="K4253" s="31">
        <v>-37.467498800000001</v>
      </c>
      <c r="L4253" s="31"/>
      <c r="M4253" s="31" t="s">
        <v>854</v>
      </c>
      <c r="N4253" s="6" t="s">
        <v>856</v>
      </c>
    </row>
    <row r="4254" spans="1:14" ht="15" customHeight="1" x14ac:dyDescent="0.2">
      <c r="A4254" s="31">
        <v>0.57756417340516597</v>
      </c>
      <c r="B4254" s="31"/>
      <c r="C4254" s="2" t="s">
        <v>855</v>
      </c>
      <c r="D4254" s="31">
        <f t="shared" si="139"/>
        <v>0.11320257798741254</v>
      </c>
      <c r="F4254" s="2" t="s">
        <v>822</v>
      </c>
      <c r="G4254" s="23" t="s">
        <v>902</v>
      </c>
      <c r="H4254" s="2" t="s">
        <v>822</v>
      </c>
      <c r="J4254" s="31">
        <v>47.416000400000001</v>
      </c>
      <c r="K4254" s="31">
        <v>-29.200000800000002</v>
      </c>
      <c r="L4254" s="31"/>
      <c r="M4254" s="31" t="s">
        <v>854</v>
      </c>
      <c r="N4254" s="6" t="s">
        <v>856</v>
      </c>
    </row>
    <row r="4255" spans="1:14" ht="15" customHeight="1" x14ac:dyDescent="0.2">
      <c r="A4255" s="31">
        <v>0.57715692218943138</v>
      </c>
      <c r="B4255" s="31"/>
      <c r="C4255" s="2" t="s">
        <v>855</v>
      </c>
      <c r="D4255" s="31">
        <f t="shared" si="139"/>
        <v>0.11312275674912856</v>
      </c>
      <c r="F4255" s="2" t="s">
        <v>822</v>
      </c>
      <c r="G4255" s="23" t="s">
        <v>902</v>
      </c>
      <c r="H4255" s="2" t="s">
        <v>822</v>
      </c>
      <c r="J4255" s="31">
        <v>42.740001700000001</v>
      </c>
      <c r="K4255" s="31">
        <v>-22.520000499999998</v>
      </c>
      <c r="L4255" s="31"/>
      <c r="M4255" s="31" t="s">
        <v>854</v>
      </c>
      <c r="N4255" s="6" t="s">
        <v>856</v>
      </c>
    </row>
    <row r="4256" spans="1:14" ht="15" customHeight="1" x14ac:dyDescent="0.2">
      <c r="A4256" s="31">
        <v>0.57698961976190888</v>
      </c>
      <c r="B4256" s="31"/>
      <c r="C4256" s="2" t="s">
        <v>855</v>
      </c>
      <c r="D4256" s="31">
        <f t="shared" si="139"/>
        <v>0.11308996547333415</v>
      </c>
      <c r="F4256" s="2" t="s">
        <v>822</v>
      </c>
      <c r="G4256" s="23" t="s">
        <v>902</v>
      </c>
      <c r="H4256" s="2" t="s">
        <v>822</v>
      </c>
      <c r="J4256" s="31">
        <v>32.037300100000003</v>
      </c>
      <c r="K4256" s="31">
        <v>28.656400699999999</v>
      </c>
      <c r="L4256" s="31"/>
      <c r="M4256" s="31" t="s">
        <v>854</v>
      </c>
      <c r="N4256" s="6" t="s">
        <v>856</v>
      </c>
    </row>
    <row r="4257" spans="1:14" ht="15" customHeight="1" x14ac:dyDescent="0.2">
      <c r="A4257" s="31">
        <v>0.57677055090471718</v>
      </c>
      <c r="B4257" s="31"/>
      <c r="C4257" s="2" t="s">
        <v>855</v>
      </c>
      <c r="D4257" s="31">
        <f t="shared" si="139"/>
        <v>0.11304702797732458</v>
      </c>
      <c r="F4257" s="2" t="s">
        <v>822</v>
      </c>
      <c r="G4257" s="23" t="s">
        <v>902</v>
      </c>
      <c r="H4257" s="2" t="s">
        <v>822</v>
      </c>
      <c r="J4257" s="31">
        <v>49.238498700000001</v>
      </c>
      <c r="K4257" s="31">
        <v>-18.584999100000001</v>
      </c>
      <c r="L4257" s="31"/>
      <c r="M4257" s="31" t="s">
        <v>854</v>
      </c>
      <c r="N4257" s="6" t="s">
        <v>856</v>
      </c>
    </row>
    <row r="4258" spans="1:14" ht="15" customHeight="1" x14ac:dyDescent="0.2">
      <c r="A4258" s="31">
        <v>0.57652610916272429</v>
      </c>
      <c r="B4258" s="31"/>
      <c r="C4258" s="2" t="s">
        <v>855</v>
      </c>
      <c r="D4258" s="31">
        <f t="shared" si="139"/>
        <v>0.11299911739589397</v>
      </c>
      <c r="F4258" s="2" t="s">
        <v>822</v>
      </c>
      <c r="G4258" s="23" t="s">
        <v>902</v>
      </c>
      <c r="H4258" s="2" t="s">
        <v>822</v>
      </c>
      <c r="J4258" s="31">
        <v>53.794498400000002</v>
      </c>
      <c r="K4258" s="31">
        <v>-4.0668302000000001</v>
      </c>
      <c r="L4258" s="31"/>
      <c r="M4258" s="31" t="s">
        <v>854</v>
      </c>
      <c r="N4258" s="6" t="s">
        <v>856</v>
      </c>
    </row>
    <row r="4259" spans="1:14" ht="15" customHeight="1" x14ac:dyDescent="0.2">
      <c r="A4259" s="31">
        <v>0.57647314434007491</v>
      </c>
      <c r="B4259" s="31"/>
      <c r="C4259" s="2" t="s">
        <v>855</v>
      </c>
      <c r="D4259" s="31">
        <f t="shared" si="139"/>
        <v>0.11298873629065469</v>
      </c>
      <c r="F4259" s="2" t="s">
        <v>822</v>
      </c>
      <c r="G4259" s="23" t="s">
        <v>902</v>
      </c>
      <c r="H4259" s="2" t="s">
        <v>822</v>
      </c>
      <c r="J4259" s="31">
        <v>37.401699100000002</v>
      </c>
      <c r="K4259" s="31">
        <v>-8.8252096000000009</v>
      </c>
      <c r="L4259" s="31"/>
      <c r="M4259" s="31" t="s">
        <v>854</v>
      </c>
      <c r="N4259" s="6" t="s">
        <v>856</v>
      </c>
    </row>
    <row r="4260" spans="1:14" ht="15" customHeight="1" x14ac:dyDescent="0.2">
      <c r="A4260" s="31">
        <v>0.57639487739724016</v>
      </c>
      <c r="B4260" s="31"/>
      <c r="C4260" s="2" t="s">
        <v>855</v>
      </c>
      <c r="D4260" s="31">
        <f t="shared" si="139"/>
        <v>0.11297339596985907</v>
      </c>
      <c r="F4260" s="2" t="s">
        <v>822</v>
      </c>
      <c r="G4260" s="23" t="s">
        <v>902</v>
      </c>
      <c r="H4260" s="2" t="s">
        <v>822</v>
      </c>
      <c r="J4260" s="31">
        <v>47.416000400000001</v>
      </c>
      <c r="K4260" s="31">
        <v>-34.543998700000003</v>
      </c>
      <c r="L4260" s="31"/>
      <c r="M4260" s="31" t="s">
        <v>854</v>
      </c>
      <c r="N4260" s="6" t="s">
        <v>856</v>
      </c>
    </row>
    <row r="4261" spans="1:14" ht="15" customHeight="1" x14ac:dyDescent="0.2">
      <c r="A4261" s="31">
        <v>0.57639052828751902</v>
      </c>
      <c r="B4261" s="31"/>
      <c r="C4261" s="2" t="s">
        <v>855</v>
      </c>
      <c r="D4261" s="31">
        <f t="shared" si="139"/>
        <v>0.11297254354435374</v>
      </c>
      <c r="F4261" s="2" t="s">
        <v>822</v>
      </c>
      <c r="G4261" s="23" t="s">
        <v>902</v>
      </c>
      <c r="H4261" s="2" t="s">
        <v>822</v>
      </c>
      <c r="J4261" s="31">
        <v>45.411998699999998</v>
      </c>
      <c r="K4261" s="31">
        <v>-33.875999499999999</v>
      </c>
      <c r="L4261" s="31"/>
      <c r="M4261" s="31" t="s">
        <v>854</v>
      </c>
      <c r="N4261" s="6" t="s">
        <v>856</v>
      </c>
    </row>
    <row r="4262" spans="1:14" ht="15" customHeight="1" x14ac:dyDescent="0.2">
      <c r="A4262" s="31">
        <v>0.57625316796233961</v>
      </c>
      <c r="B4262" s="31"/>
      <c r="C4262" s="2" t="s">
        <v>855</v>
      </c>
      <c r="D4262" s="31">
        <f t="shared" si="139"/>
        <v>0.11294562092061856</v>
      </c>
      <c r="F4262" s="2" t="s">
        <v>822</v>
      </c>
      <c r="G4262" s="23" t="s">
        <v>902</v>
      </c>
      <c r="H4262" s="2" t="s">
        <v>822</v>
      </c>
      <c r="J4262" s="31">
        <v>50.465599099999999</v>
      </c>
      <c r="K4262" s="31">
        <v>-5.2616100000000001</v>
      </c>
      <c r="L4262" s="31"/>
      <c r="M4262" s="31" t="s">
        <v>854</v>
      </c>
      <c r="N4262" s="6" t="s">
        <v>856</v>
      </c>
    </row>
    <row r="4263" spans="1:14" ht="15" customHeight="1" x14ac:dyDescent="0.2">
      <c r="A4263" s="31">
        <v>0.57607450139235439</v>
      </c>
      <c r="B4263" s="31"/>
      <c r="C4263" s="2" t="s">
        <v>855</v>
      </c>
      <c r="D4263" s="31">
        <f t="shared" si="139"/>
        <v>0.11291060227290146</v>
      </c>
      <c r="F4263" s="2" t="s">
        <v>822</v>
      </c>
      <c r="G4263" s="23" t="s">
        <v>902</v>
      </c>
      <c r="H4263" s="2" t="s">
        <v>822</v>
      </c>
      <c r="J4263" s="31">
        <v>49.582500500000002</v>
      </c>
      <c r="K4263" s="31">
        <v>-1.02793</v>
      </c>
      <c r="L4263" s="31"/>
      <c r="M4263" s="31" t="s">
        <v>854</v>
      </c>
      <c r="N4263" s="6" t="s">
        <v>856</v>
      </c>
    </row>
    <row r="4264" spans="1:14" ht="15" customHeight="1" x14ac:dyDescent="0.2">
      <c r="A4264" s="31">
        <v>0.57593083536648626</v>
      </c>
      <c r="B4264" s="31"/>
      <c r="C4264" s="2" t="s">
        <v>855</v>
      </c>
      <c r="D4264" s="31">
        <f t="shared" si="139"/>
        <v>0.11288244373183132</v>
      </c>
      <c r="F4264" s="2" t="s">
        <v>822</v>
      </c>
      <c r="G4264" s="23" t="s">
        <v>902</v>
      </c>
      <c r="H4264" s="2" t="s">
        <v>822</v>
      </c>
      <c r="J4264" s="31">
        <v>39.265098600000002</v>
      </c>
      <c r="K4264" s="31">
        <v>-15.628800399999999</v>
      </c>
      <c r="L4264" s="31"/>
      <c r="M4264" s="31" t="s">
        <v>854</v>
      </c>
      <c r="N4264" s="6" t="s">
        <v>856</v>
      </c>
    </row>
    <row r="4265" spans="1:14" ht="15" customHeight="1" x14ac:dyDescent="0.2">
      <c r="A4265" s="31">
        <v>0.57534002476669488</v>
      </c>
      <c r="B4265" s="31"/>
      <c r="C4265" s="2" t="s">
        <v>855</v>
      </c>
      <c r="D4265" s="31">
        <f t="shared" si="139"/>
        <v>0.11276664485427219</v>
      </c>
      <c r="F4265" s="2" t="s">
        <v>822</v>
      </c>
      <c r="G4265" s="23" t="s">
        <v>902</v>
      </c>
      <c r="H4265" s="2" t="s">
        <v>822</v>
      </c>
      <c r="J4265" s="31">
        <v>31.374399199999999</v>
      </c>
      <c r="K4265" s="31">
        <v>-27.3321991</v>
      </c>
      <c r="L4265" s="31"/>
      <c r="M4265" s="31" t="s">
        <v>854</v>
      </c>
      <c r="N4265" s="6" t="s">
        <v>856</v>
      </c>
    </row>
    <row r="4266" spans="1:14" ht="15" customHeight="1" x14ac:dyDescent="0.2">
      <c r="A4266" s="31">
        <v>0.57526512364669091</v>
      </c>
      <c r="B4266" s="31"/>
      <c r="C4266" s="2" t="s">
        <v>855</v>
      </c>
      <c r="D4266" s="31">
        <f t="shared" si="139"/>
        <v>0.11275196423475142</v>
      </c>
      <c r="F4266" s="2" t="s">
        <v>822</v>
      </c>
      <c r="G4266" s="23" t="s">
        <v>902</v>
      </c>
      <c r="H4266" s="2" t="s">
        <v>822</v>
      </c>
      <c r="J4266" s="31">
        <v>26.708000200000001</v>
      </c>
      <c r="K4266" s="31">
        <v>-38.551998099999999</v>
      </c>
      <c r="L4266" s="31"/>
      <c r="M4266" s="31" t="s">
        <v>854</v>
      </c>
      <c r="N4266" s="6" t="s">
        <v>856</v>
      </c>
    </row>
    <row r="4267" spans="1:14" ht="15" customHeight="1" x14ac:dyDescent="0.2">
      <c r="A4267" s="31">
        <v>0.57520630663900929</v>
      </c>
      <c r="B4267" s="31"/>
      <c r="C4267" s="2" t="s">
        <v>855</v>
      </c>
      <c r="D4267" s="31">
        <f t="shared" si="139"/>
        <v>0.11274043610124583</v>
      </c>
      <c r="F4267" s="2" t="s">
        <v>822</v>
      </c>
      <c r="G4267" s="23" t="s">
        <v>902</v>
      </c>
      <c r="H4267" s="2" t="s">
        <v>822</v>
      </c>
      <c r="J4267" s="31">
        <v>30.048000300000002</v>
      </c>
      <c r="K4267" s="31">
        <v>-39.888000499999997</v>
      </c>
      <c r="L4267" s="31"/>
      <c r="M4267" s="31" t="s">
        <v>854</v>
      </c>
      <c r="N4267" s="6" t="s">
        <v>856</v>
      </c>
    </row>
    <row r="4268" spans="1:14" ht="15" customHeight="1" x14ac:dyDescent="0.2">
      <c r="A4268" s="31">
        <v>0.57515183314387719</v>
      </c>
      <c r="B4268" s="31"/>
      <c r="C4268" s="2" t="s">
        <v>855</v>
      </c>
      <c r="D4268" s="31">
        <f t="shared" si="139"/>
        <v>0.11272975929619994</v>
      </c>
      <c r="F4268" s="2" t="s">
        <v>822</v>
      </c>
      <c r="G4268" s="23" t="s">
        <v>902</v>
      </c>
      <c r="H4268" s="2" t="s">
        <v>822</v>
      </c>
      <c r="J4268" s="31">
        <v>39.7240982</v>
      </c>
      <c r="K4268" s="31">
        <v>2.4748800000000002</v>
      </c>
      <c r="L4268" s="31"/>
      <c r="M4268" s="31" t="s">
        <v>854</v>
      </c>
      <c r="N4268" s="6" t="s">
        <v>856</v>
      </c>
    </row>
    <row r="4269" spans="1:14" ht="15" customHeight="1" x14ac:dyDescent="0.2">
      <c r="A4269" s="31">
        <v>0.57510223022183948</v>
      </c>
      <c r="B4269" s="31"/>
      <c r="C4269" s="2" t="s">
        <v>855</v>
      </c>
      <c r="D4269" s="31">
        <f t="shared" si="139"/>
        <v>0.11272003712348054</v>
      </c>
      <c r="F4269" s="2" t="s">
        <v>822</v>
      </c>
      <c r="G4269" s="23" t="s">
        <v>902</v>
      </c>
      <c r="H4269" s="2" t="s">
        <v>822</v>
      </c>
      <c r="J4269" s="31">
        <v>44.743999500000001</v>
      </c>
      <c r="K4269" s="31">
        <v>-19.847999600000001</v>
      </c>
      <c r="L4269" s="31"/>
      <c r="M4269" s="31" t="s">
        <v>854</v>
      </c>
      <c r="N4269" s="6" t="s">
        <v>856</v>
      </c>
    </row>
    <row r="4270" spans="1:14" ht="15" customHeight="1" x14ac:dyDescent="0.2">
      <c r="A4270" s="31">
        <v>0.57503809751441692</v>
      </c>
      <c r="B4270" s="31"/>
      <c r="C4270" s="2" t="s">
        <v>855</v>
      </c>
      <c r="D4270" s="31">
        <f t="shared" si="139"/>
        <v>0.11270746711282573</v>
      </c>
      <c r="F4270" s="2" t="s">
        <v>822</v>
      </c>
      <c r="G4270" s="23" t="s">
        <v>902</v>
      </c>
      <c r="H4270" s="2" t="s">
        <v>822</v>
      </c>
      <c r="J4270" s="31">
        <v>54.413600899999999</v>
      </c>
      <c r="K4270" s="31">
        <v>12.057700199999999</v>
      </c>
      <c r="L4270" s="31"/>
      <c r="M4270" s="31" t="s">
        <v>854</v>
      </c>
      <c r="N4270" s="6" t="s">
        <v>856</v>
      </c>
    </row>
    <row r="4271" spans="1:14" ht="15" customHeight="1" x14ac:dyDescent="0.2">
      <c r="A4271" s="31">
        <v>0.57500402529695605</v>
      </c>
      <c r="B4271" s="31"/>
      <c r="C4271" s="2" t="s">
        <v>855</v>
      </c>
      <c r="D4271" s="31">
        <f t="shared" si="139"/>
        <v>0.11270078895820339</v>
      </c>
      <c r="F4271" s="2" t="s">
        <v>822</v>
      </c>
      <c r="G4271" s="23" t="s">
        <v>902</v>
      </c>
      <c r="H4271" s="2" t="s">
        <v>822</v>
      </c>
      <c r="J4271" s="31">
        <v>44.078701000000002</v>
      </c>
      <c r="K4271" s="31">
        <v>-14.5077</v>
      </c>
      <c r="L4271" s="31"/>
      <c r="M4271" s="31" t="s">
        <v>854</v>
      </c>
      <c r="N4271" s="6" t="s">
        <v>856</v>
      </c>
    </row>
    <row r="4272" spans="1:14" ht="15" customHeight="1" x14ac:dyDescent="0.2">
      <c r="A4272" s="31">
        <v>0.57493254663251392</v>
      </c>
      <c r="B4272" s="31"/>
      <c r="C4272" s="2" t="s">
        <v>855</v>
      </c>
      <c r="D4272" s="31">
        <f t="shared" si="139"/>
        <v>0.11268677913997273</v>
      </c>
      <c r="F4272" s="2" t="s">
        <v>822</v>
      </c>
      <c r="G4272" s="23" t="s">
        <v>902</v>
      </c>
      <c r="H4272" s="2" t="s">
        <v>822</v>
      </c>
      <c r="J4272" s="31">
        <v>36.438999199999998</v>
      </c>
      <c r="K4272" s="31">
        <v>-19.0342007</v>
      </c>
      <c r="L4272" s="31"/>
      <c r="M4272" s="31" t="s">
        <v>854</v>
      </c>
      <c r="N4272" s="6" t="s">
        <v>856</v>
      </c>
    </row>
    <row r="4273" spans="1:14" ht="15" customHeight="1" x14ac:dyDescent="0.2">
      <c r="A4273" s="31">
        <v>0.57488163006473936</v>
      </c>
      <c r="B4273" s="31"/>
      <c r="C4273" s="2" t="s">
        <v>855</v>
      </c>
      <c r="D4273" s="31">
        <f t="shared" si="139"/>
        <v>0.11267679949268891</v>
      </c>
      <c r="F4273" s="2" t="s">
        <v>822</v>
      </c>
      <c r="G4273" s="23" t="s">
        <v>902</v>
      </c>
      <c r="H4273" s="2" t="s">
        <v>822</v>
      </c>
      <c r="J4273" s="31">
        <v>46.748001100000003</v>
      </c>
      <c r="K4273" s="31">
        <v>-15.171999899999999</v>
      </c>
      <c r="L4273" s="31"/>
      <c r="M4273" s="31" t="s">
        <v>854</v>
      </c>
      <c r="N4273" s="6" t="s">
        <v>856</v>
      </c>
    </row>
    <row r="4274" spans="1:14" ht="15" customHeight="1" x14ac:dyDescent="0.2">
      <c r="A4274" s="31">
        <v>0.57487292452402527</v>
      </c>
      <c r="B4274" s="31"/>
      <c r="C4274" s="2" t="s">
        <v>855</v>
      </c>
      <c r="D4274" s="31">
        <f t="shared" si="139"/>
        <v>0.11267509320670896</v>
      </c>
      <c r="F4274" s="2" t="s">
        <v>822</v>
      </c>
      <c r="G4274" s="23" t="s">
        <v>902</v>
      </c>
      <c r="H4274" s="2" t="s">
        <v>822</v>
      </c>
      <c r="J4274" s="31">
        <v>40.072399099999998</v>
      </c>
      <c r="K4274" s="31">
        <v>-15.175399799999999</v>
      </c>
      <c r="L4274" s="31"/>
      <c r="M4274" s="31" t="s">
        <v>854</v>
      </c>
      <c r="N4274" s="6" t="s">
        <v>856</v>
      </c>
    </row>
    <row r="4275" spans="1:14" ht="15" customHeight="1" x14ac:dyDescent="0.2">
      <c r="A4275" s="31">
        <v>0.57471754087581262</v>
      </c>
      <c r="B4275" s="31"/>
      <c r="C4275" s="2" t="s">
        <v>855</v>
      </c>
      <c r="D4275" s="31">
        <f t="shared" si="139"/>
        <v>0.11264463801165928</v>
      </c>
      <c r="F4275" s="2" t="s">
        <v>822</v>
      </c>
      <c r="G4275" s="23" t="s">
        <v>902</v>
      </c>
      <c r="H4275" s="2" t="s">
        <v>822</v>
      </c>
      <c r="J4275" s="31">
        <v>32.720001199999999</v>
      </c>
      <c r="K4275" s="31">
        <v>26.9120007</v>
      </c>
      <c r="L4275" s="31"/>
      <c r="M4275" s="31" t="s">
        <v>854</v>
      </c>
      <c r="N4275" s="6" t="s">
        <v>856</v>
      </c>
    </row>
    <row r="4276" spans="1:14" ht="15" customHeight="1" x14ac:dyDescent="0.2">
      <c r="A4276" s="31">
        <v>0.57469638655506861</v>
      </c>
      <c r="B4276" s="31"/>
      <c r="C4276" s="2" t="s">
        <v>855</v>
      </c>
      <c r="D4276" s="31">
        <f t="shared" si="139"/>
        <v>0.11264049176479345</v>
      </c>
      <c r="F4276" s="2" t="s">
        <v>822</v>
      </c>
      <c r="G4276" s="23" t="s">
        <v>902</v>
      </c>
      <c r="H4276" s="2" t="s">
        <v>822</v>
      </c>
      <c r="J4276" s="31">
        <v>55.018501299999997</v>
      </c>
      <c r="K4276" s="31">
        <v>13.4841003</v>
      </c>
      <c r="L4276" s="31"/>
      <c r="M4276" s="31" t="s">
        <v>854</v>
      </c>
      <c r="N4276" s="6" t="s">
        <v>856</v>
      </c>
    </row>
    <row r="4277" spans="1:14" ht="15" customHeight="1" x14ac:dyDescent="0.2">
      <c r="A4277" s="31">
        <v>0.57462704867996928</v>
      </c>
      <c r="B4277" s="31"/>
      <c r="C4277" s="2" t="s">
        <v>855</v>
      </c>
      <c r="D4277" s="31">
        <f t="shared" si="139"/>
        <v>0.11262690154127399</v>
      </c>
      <c r="F4277" s="2" t="s">
        <v>822</v>
      </c>
      <c r="G4277" s="23" t="s">
        <v>902</v>
      </c>
      <c r="H4277" s="2" t="s">
        <v>822</v>
      </c>
      <c r="J4277" s="31">
        <v>25.3719997</v>
      </c>
      <c r="K4277" s="31">
        <v>-41.891998299999997</v>
      </c>
      <c r="L4277" s="31"/>
      <c r="M4277" s="31" t="s">
        <v>854</v>
      </c>
      <c r="N4277" s="6" t="s">
        <v>856</v>
      </c>
    </row>
    <row r="4278" spans="1:14" ht="15" customHeight="1" x14ac:dyDescent="0.2">
      <c r="A4278" s="31">
        <v>0.57429983955029973</v>
      </c>
      <c r="B4278" s="31"/>
      <c r="C4278" s="2" t="s">
        <v>855</v>
      </c>
      <c r="D4278" s="31">
        <f t="shared" si="139"/>
        <v>0.11256276855185875</v>
      </c>
      <c r="F4278" s="2" t="s">
        <v>822</v>
      </c>
      <c r="G4278" s="23" t="s">
        <v>902</v>
      </c>
      <c r="H4278" s="2" t="s">
        <v>822</v>
      </c>
      <c r="J4278" s="31">
        <v>49.966701499999999</v>
      </c>
      <c r="K4278" s="31">
        <v>0.37599100000000002</v>
      </c>
      <c r="L4278" s="31"/>
      <c r="M4278" s="31" t="s">
        <v>854</v>
      </c>
      <c r="N4278" s="6" t="s">
        <v>856</v>
      </c>
    </row>
    <row r="4279" spans="1:14" ht="15" customHeight="1" x14ac:dyDescent="0.2">
      <c r="A4279" s="31">
        <v>0.57424971362991373</v>
      </c>
      <c r="B4279" s="31"/>
      <c r="C4279" s="2" t="s">
        <v>855</v>
      </c>
      <c r="D4279" s="31">
        <f t="shared" si="139"/>
        <v>0.1125529438714631</v>
      </c>
      <c r="F4279" s="2" t="s">
        <v>822</v>
      </c>
      <c r="G4279" s="23" t="s">
        <v>902</v>
      </c>
      <c r="H4279" s="2" t="s">
        <v>822</v>
      </c>
      <c r="J4279" s="31">
        <v>50.287601500000001</v>
      </c>
      <c r="K4279" s="31">
        <v>0.75683599999999995</v>
      </c>
      <c r="L4279" s="31"/>
      <c r="M4279" s="31" t="s">
        <v>854</v>
      </c>
      <c r="N4279" s="6" t="s">
        <v>856</v>
      </c>
    </row>
    <row r="4280" spans="1:14" ht="15" customHeight="1" x14ac:dyDescent="0.2">
      <c r="A4280" s="31">
        <v>0.57422364514503133</v>
      </c>
      <c r="B4280" s="31"/>
      <c r="C4280" s="2" t="s">
        <v>855</v>
      </c>
      <c r="D4280" s="31">
        <f t="shared" ref="D4280:D4311" si="140" xml:space="preserve"> A4280 * 0.196</f>
        <v>0.11254783444842614</v>
      </c>
      <c r="F4280" s="2" t="s">
        <v>822</v>
      </c>
      <c r="G4280" s="23" t="s">
        <v>902</v>
      </c>
      <c r="H4280" s="2" t="s">
        <v>822</v>
      </c>
      <c r="J4280" s="31">
        <v>55.339500399999999</v>
      </c>
      <c r="K4280" s="31">
        <v>1.1046799</v>
      </c>
      <c r="L4280" s="31"/>
      <c r="M4280" s="31" t="s">
        <v>854</v>
      </c>
      <c r="N4280" s="6" t="s">
        <v>856</v>
      </c>
    </row>
    <row r="4281" spans="1:14" ht="15" customHeight="1" x14ac:dyDescent="0.2">
      <c r="A4281" s="31">
        <v>0.57414139784070928</v>
      </c>
      <c r="B4281" s="31"/>
      <c r="C4281" s="2" t="s">
        <v>855</v>
      </c>
      <c r="D4281" s="31">
        <f t="shared" si="140"/>
        <v>0.11253171397677902</v>
      </c>
      <c r="F4281" s="2" t="s">
        <v>822</v>
      </c>
      <c r="G4281" s="23" t="s">
        <v>902</v>
      </c>
      <c r="H4281" s="2" t="s">
        <v>822</v>
      </c>
      <c r="J4281" s="31">
        <v>54.062698400000002</v>
      </c>
      <c r="K4281" s="31">
        <v>6.7904501000000002</v>
      </c>
      <c r="L4281" s="31"/>
      <c r="M4281" s="31" t="s">
        <v>854</v>
      </c>
      <c r="N4281" s="6" t="s">
        <v>856</v>
      </c>
    </row>
    <row r="4282" spans="1:14" ht="15" customHeight="1" x14ac:dyDescent="0.2">
      <c r="A4282" s="31">
        <v>0.57406055812172074</v>
      </c>
      <c r="B4282" s="31"/>
      <c r="C4282" s="2" t="s">
        <v>855</v>
      </c>
      <c r="D4282" s="31">
        <f t="shared" si="140"/>
        <v>0.11251586939185727</v>
      </c>
      <c r="F4282" s="2" t="s">
        <v>822</v>
      </c>
      <c r="G4282" s="23" t="s">
        <v>902</v>
      </c>
      <c r="H4282" s="2" t="s">
        <v>822</v>
      </c>
      <c r="J4282" s="31">
        <v>51.510700200000002</v>
      </c>
      <c r="K4282" s="31">
        <v>1.0891401000000001</v>
      </c>
      <c r="L4282" s="31"/>
      <c r="M4282" s="31" t="s">
        <v>854</v>
      </c>
      <c r="N4282" s="6" t="s">
        <v>856</v>
      </c>
    </row>
    <row r="4283" spans="1:14" ht="15" customHeight="1" x14ac:dyDescent="0.2">
      <c r="A4283" s="31">
        <v>0.57405552205450872</v>
      </c>
      <c r="B4283" s="31"/>
      <c r="C4283" s="2" t="s">
        <v>855</v>
      </c>
      <c r="D4283" s="31">
        <f t="shared" si="140"/>
        <v>0.11251488232268371</v>
      </c>
      <c r="F4283" s="2" t="s">
        <v>822</v>
      </c>
      <c r="G4283" s="23" t="s">
        <v>902</v>
      </c>
      <c r="H4283" s="2" t="s">
        <v>822</v>
      </c>
      <c r="J4283" s="31">
        <v>50.332000700000002</v>
      </c>
      <c r="K4283" s="31">
        <v>-5.3337998000000004</v>
      </c>
      <c r="L4283" s="31"/>
      <c r="M4283" s="31" t="s">
        <v>854</v>
      </c>
      <c r="N4283" s="6" t="s">
        <v>856</v>
      </c>
    </row>
    <row r="4284" spans="1:14" ht="15" customHeight="1" x14ac:dyDescent="0.2">
      <c r="A4284" s="31">
        <v>0.57401115189308782</v>
      </c>
      <c r="B4284" s="31"/>
      <c r="C4284" s="2" t="s">
        <v>855</v>
      </c>
      <c r="D4284" s="31">
        <f t="shared" si="140"/>
        <v>0.11250618577104522</v>
      </c>
      <c r="F4284" s="2" t="s">
        <v>822</v>
      </c>
      <c r="G4284" s="23" t="s">
        <v>902</v>
      </c>
      <c r="H4284" s="2" t="s">
        <v>822</v>
      </c>
      <c r="J4284" s="31">
        <v>54.359600100000002</v>
      </c>
      <c r="K4284" s="31">
        <v>1.72027</v>
      </c>
      <c r="L4284" s="31"/>
      <c r="M4284" s="31" t="s">
        <v>854</v>
      </c>
      <c r="N4284" s="6" t="s">
        <v>856</v>
      </c>
    </row>
    <row r="4285" spans="1:14" ht="15" customHeight="1" x14ac:dyDescent="0.2">
      <c r="A4285" s="31">
        <v>0.57371571824615109</v>
      </c>
      <c r="B4285" s="31"/>
      <c r="C4285" s="2" t="s">
        <v>855</v>
      </c>
      <c r="D4285" s="31">
        <f t="shared" si="140"/>
        <v>0.11244828077624562</v>
      </c>
      <c r="F4285" s="2" t="s">
        <v>822</v>
      </c>
      <c r="G4285" s="23" t="s">
        <v>902</v>
      </c>
      <c r="H4285" s="2" t="s">
        <v>822</v>
      </c>
      <c r="J4285" s="31">
        <v>30.7159996</v>
      </c>
      <c r="K4285" s="31">
        <v>-26.527999900000001</v>
      </c>
      <c r="L4285" s="31"/>
      <c r="M4285" s="31" t="s">
        <v>854</v>
      </c>
      <c r="N4285" s="6" t="s">
        <v>856</v>
      </c>
    </row>
    <row r="4286" spans="1:14" ht="15" customHeight="1" x14ac:dyDescent="0.2">
      <c r="A4286" s="31">
        <v>0.57368135450151969</v>
      </c>
      <c r="B4286" s="31"/>
      <c r="C4286" s="2" t="s">
        <v>855</v>
      </c>
      <c r="D4286" s="31">
        <f t="shared" si="140"/>
        <v>0.11244154548229786</v>
      </c>
      <c r="F4286" s="2" t="s">
        <v>822</v>
      </c>
      <c r="G4286" s="23" t="s">
        <v>902</v>
      </c>
      <c r="H4286" s="2" t="s">
        <v>822</v>
      </c>
      <c r="J4286" s="31">
        <v>53.708698300000002</v>
      </c>
      <c r="K4286" s="31">
        <v>-0.60392400000000002</v>
      </c>
      <c r="L4286" s="31"/>
      <c r="M4286" s="31" t="s">
        <v>854</v>
      </c>
      <c r="N4286" s="6" t="s">
        <v>856</v>
      </c>
    </row>
    <row r="4287" spans="1:14" ht="15" customHeight="1" x14ac:dyDescent="0.2">
      <c r="A4287" s="31">
        <v>0.5736543273134237</v>
      </c>
      <c r="B4287" s="31"/>
      <c r="C4287" s="2" t="s">
        <v>855</v>
      </c>
      <c r="D4287" s="31">
        <f t="shared" si="140"/>
        <v>0.11243624815343105</v>
      </c>
      <c r="F4287" s="2" t="s">
        <v>822</v>
      </c>
      <c r="G4287" s="23" t="s">
        <v>902</v>
      </c>
      <c r="H4287" s="2" t="s">
        <v>822</v>
      </c>
      <c r="J4287" s="31">
        <v>48.751998899999997</v>
      </c>
      <c r="K4287" s="31">
        <v>-41.223998999999999</v>
      </c>
      <c r="L4287" s="31"/>
      <c r="M4287" s="31" t="s">
        <v>854</v>
      </c>
      <c r="N4287" s="6" t="s">
        <v>856</v>
      </c>
    </row>
    <row r="4288" spans="1:14" ht="15" customHeight="1" x14ac:dyDescent="0.2">
      <c r="A4288" s="31">
        <v>0.57359378598500965</v>
      </c>
      <c r="B4288" s="31"/>
      <c r="C4288" s="2" t="s">
        <v>855</v>
      </c>
      <c r="D4288" s="31">
        <f t="shared" si="140"/>
        <v>0.11242438205306189</v>
      </c>
      <c r="F4288" s="2" t="s">
        <v>822</v>
      </c>
      <c r="G4288" s="23" t="s">
        <v>902</v>
      </c>
      <c r="H4288" s="2" t="s">
        <v>822</v>
      </c>
      <c r="J4288" s="31">
        <v>45.411998699999998</v>
      </c>
      <c r="K4288" s="31">
        <v>-35.880001100000001</v>
      </c>
      <c r="L4288" s="31"/>
      <c r="M4288" s="31" t="s">
        <v>854</v>
      </c>
      <c r="N4288" s="6" t="s">
        <v>856</v>
      </c>
    </row>
    <row r="4289" spans="1:14" ht="15" customHeight="1" x14ac:dyDescent="0.2">
      <c r="A4289" s="31">
        <v>0.57350418709160544</v>
      </c>
      <c r="B4289" s="31"/>
      <c r="C4289" s="2" t="s">
        <v>855</v>
      </c>
      <c r="D4289" s="31">
        <f t="shared" si="140"/>
        <v>0.11240682066995467</v>
      </c>
      <c r="F4289" s="2" t="s">
        <v>822</v>
      </c>
      <c r="G4289" s="23" t="s">
        <v>902</v>
      </c>
      <c r="H4289" s="2" t="s">
        <v>822</v>
      </c>
      <c r="J4289" s="31">
        <v>64.942703199999997</v>
      </c>
      <c r="K4289" s="31">
        <v>24.690300000000001</v>
      </c>
      <c r="L4289" s="31"/>
      <c r="M4289" s="31" t="s">
        <v>854</v>
      </c>
      <c r="N4289" s="6" t="s">
        <v>856</v>
      </c>
    </row>
    <row r="4290" spans="1:14" ht="15" customHeight="1" x14ac:dyDescent="0.2">
      <c r="A4290" s="31">
        <v>0.5734963087067545</v>
      </c>
      <c r="B4290" s="31"/>
      <c r="C4290" s="2" t="s">
        <v>855</v>
      </c>
      <c r="D4290" s="31">
        <f t="shared" si="140"/>
        <v>0.11240527650652389</v>
      </c>
      <c r="F4290" s="2" t="s">
        <v>822</v>
      </c>
      <c r="G4290" s="23" t="s">
        <v>902</v>
      </c>
      <c r="H4290" s="2" t="s">
        <v>822</v>
      </c>
      <c r="J4290" s="31">
        <v>42.071998600000001</v>
      </c>
      <c r="K4290" s="31">
        <v>-39.220001199999999</v>
      </c>
      <c r="L4290" s="31"/>
      <c r="M4290" s="31" t="s">
        <v>854</v>
      </c>
      <c r="N4290" s="6" t="s">
        <v>856</v>
      </c>
    </row>
    <row r="4291" spans="1:14" ht="15" customHeight="1" x14ac:dyDescent="0.2">
      <c r="A4291" s="31">
        <v>0.57347221614631683</v>
      </c>
      <c r="B4291" s="31"/>
      <c r="C4291" s="2" t="s">
        <v>855</v>
      </c>
      <c r="D4291" s="31">
        <f t="shared" si="140"/>
        <v>0.11240055436467811</v>
      </c>
      <c r="F4291" s="2" t="s">
        <v>822</v>
      </c>
      <c r="G4291" s="23" t="s">
        <v>902</v>
      </c>
      <c r="H4291" s="2" t="s">
        <v>822</v>
      </c>
      <c r="J4291" s="31">
        <v>54.550098400000003</v>
      </c>
      <c r="K4291" s="31">
        <v>12.772999799999999</v>
      </c>
      <c r="L4291" s="31"/>
      <c r="M4291" s="31" t="s">
        <v>854</v>
      </c>
      <c r="N4291" s="6" t="s">
        <v>856</v>
      </c>
    </row>
    <row r="4292" spans="1:14" ht="15" customHeight="1" x14ac:dyDescent="0.2">
      <c r="A4292" s="31">
        <v>0.57346047059781635</v>
      </c>
      <c r="B4292" s="31"/>
      <c r="C4292" s="2" t="s">
        <v>855</v>
      </c>
      <c r="D4292" s="31">
        <f t="shared" si="140"/>
        <v>0.11239825223717201</v>
      </c>
      <c r="F4292" s="2" t="s">
        <v>822</v>
      </c>
      <c r="G4292" s="23" t="s">
        <v>902</v>
      </c>
      <c r="H4292" s="2" t="s">
        <v>822</v>
      </c>
      <c r="J4292" s="31">
        <v>29.3799992</v>
      </c>
      <c r="K4292" s="31">
        <v>-41.223998999999999</v>
      </c>
      <c r="L4292" s="31"/>
      <c r="M4292" s="31" t="s">
        <v>854</v>
      </c>
      <c r="N4292" s="6" t="s">
        <v>856</v>
      </c>
    </row>
    <row r="4293" spans="1:14" ht="15" customHeight="1" x14ac:dyDescent="0.2">
      <c r="A4293" s="31">
        <v>0.57337496434399005</v>
      </c>
      <c r="B4293" s="31"/>
      <c r="C4293" s="2" t="s">
        <v>855</v>
      </c>
      <c r="D4293" s="31">
        <f t="shared" si="140"/>
        <v>0.11238149301142206</v>
      </c>
      <c r="F4293" s="2" t="s">
        <v>822</v>
      </c>
      <c r="G4293" s="23" t="s">
        <v>902</v>
      </c>
      <c r="H4293" s="2" t="s">
        <v>822</v>
      </c>
      <c r="J4293" s="31">
        <v>44.295299499999999</v>
      </c>
      <c r="K4293" s="31">
        <v>-18.960699099999999</v>
      </c>
      <c r="L4293" s="31"/>
      <c r="M4293" s="31" t="s">
        <v>854</v>
      </c>
      <c r="N4293" s="6" t="s">
        <v>856</v>
      </c>
    </row>
    <row r="4294" spans="1:14" ht="15" customHeight="1" x14ac:dyDescent="0.2">
      <c r="A4294" s="31">
        <v>0.57275638375792071</v>
      </c>
      <c r="B4294" s="31"/>
      <c r="C4294" s="2" t="s">
        <v>855</v>
      </c>
      <c r="D4294" s="31">
        <f t="shared" si="140"/>
        <v>0.11226025121655246</v>
      </c>
      <c r="F4294" s="2" t="s">
        <v>822</v>
      </c>
      <c r="G4294" s="23" t="s">
        <v>902</v>
      </c>
      <c r="H4294" s="2" t="s">
        <v>822</v>
      </c>
      <c r="J4294" s="31">
        <v>43.708900499999999</v>
      </c>
      <c r="K4294" s="31">
        <v>-39.352798499999999</v>
      </c>
      <c r="L4294" s="31"/>
      <c r="M4294" s="31" t="s">
        <v>854</v>
      </c>
      <c r="N4294" s="6" t="s">
        <v>856</v>
      </c>
    </row>
    <row r="4295" spans="1:14" ht="15" customHeight="1" x14ac:dyDescent="0.2">
      <c r="A4295" s="31">
        <v>0.57248533408189939</v>
      </c>
      <c r="B4295" s="31"/>
      <c r="C4295" s="2" t="s">
        <v>855</v>
      </c>
      <c r="D4295" s="31">
        <f t="shared" si="140"/>
        <v>0.11220712548005228</v>
      </c>
      <c r="F4295" s="2" t="s">
        <v>822</v>
      </c>
      <c r="G4295" s="23" t="s">
        <v>902</v>
      </c>
      <c r="H4295" s="2" t="s">
        <v>822</v>
      </c>
      <c r="J4295" s="31">
        <v>39.9883995</v>
      </c>
      <c r="K4295" s="31">
        <v>10.9294996</v>
      </c>
      <c r="L4295" s="31"/>
      <c r="M4295" s="31" t="s">
        <v>854</v>
      </c>
      <c r="N4295" s="6" t="s">
        <v>856</v>
      </c>
    </row>
    <row r="4296" spans="1:14" ht="15" customHeight="1" x14ac:dyDescent="0.2">
      <c r="A4296" s="31">
        <v>0.57223525365381878</v>
      </c>
      <c r="B4296" s="31"/>
      <c r="C4296" s="2" t="s">
        <v>855</v>
      </c>
      <c r="D4296" s="31">
        <f t="shared" si="140"/>
        <v>0.11215810971614848</v>
      </c>
      <c r="F4296" s="2" t="s">
        <v>822</v>
      </c>
      <c r="G4296" s="23" t="s">
        <v>902</v>
      </c>
      <c r="H4296" s="2" t="s">
        <v>822</v>
      </c>
      <c r="J4296" s="31">
        <v>32.640800499999997</v>
      </c>
      <c r="K4296" s="31">
        <v>-35.2588005</v>
      </c>
      <c r="L4296" s="31"/>
      <c r="M4296" s="31" t="s">
        <v>854</v>
      </c>
      <c r="N4296" s="6" t="s">
        <v>856</v>
      </c>
    </row>
    <row r="4297" spans="1:14" ht="15" customHeight="1" x14ac:dyDescent="0.2">
      <c r="A4297" s="31">
        <v>0.57215468716977469</v>
      </c>
      <c r="B4297" s="31"/>
      <c r="C4297" s="2" t="s">
        <v>855</v>
      </c>
      <c r="D4297" s="31">
        <f t="shared" si="140"/>
        <v>0.11214231868527584</v>
      </c>
      <c r="F4297" s="2" t="s">
        <v>822</v>
      </c>
      <c r="G4297" s="23" t="s">
        <v>902</v>
      </c>
      <c r="H4297" s="2" t="s">
        <v>822</v>
      </c>
      <c r="J4297" s="31">
        <v>50.044998200000002</v>
      </c>
      <c r="K4297" s="31">
        <v>-25.087600699999999</v>
      </c>
      <c r="L4297" s="31"/>
      <c r="M4297" s="31" t="s">
        <v>854</v>
      </c>
      <c r="N4297" s="6" t="s">
        <v>856</v>
      </c>
    </row>
    <row r="4298" spans="1:14" ht="15" customHeight="1" x14ac:dyDescent="0.2">
      <c r="A4298" s="31">
        <v>0.57209896414562655</v>
      </c>
      <c r="B4298" s="31"/>
      <c r="C4298" s="2" t="s">
        <v>855</v>
      </c>
      <c r="D4298" s="31">
        <f t="shared" si="140"/>
        <v>0.1121313969725428</v>
      </c>
      <c r="F4298" s="2" t="s">
        <v>822</v>
      </c>
      <c r="G4298" s="23" t="s">
        <v>902</v>
      </c>
      <c r="H4298" s="2" t="s">
        <v>822</v>
      </c>
      <c r="J4298" s="31">
        <v>30.7159996</v>
      </c>
      <c r="K4298" s="31">
        <v>-30.8700008</v>
      </c>
      <c r="L4298" s="31"/>
      <c r="M4298" s="31" t="s">
        <v>854</v>
      </c>
      <c r="N4298" s="6" t="s">
        <v>856</v>
      </c>
    </row>
    <row r="4299" spans="1:14" ht="15" customHeight="1" x14ac:dyDescent="0.2">
      <c r="A4299" s="31">
        <v>0.57177373036494616</v>
      </c>
      <c r="B4299" s="31"/>
      <c r="C4299" s="2" t="s">
        <v>855</v>
      </c>
      <c r="D4299" s="31">
        <f t="shared" si="140"/>
        <v>0.11206765115152945</v>
      </c>
      <c r="F4299" s="2" t="s">
        <v>822</v>
      </c>
      <c r="G4299" s="23" t="s">
        <v>902</v>
      </c>
      <c r="H4299" s="2" t="s">
        <v>822</v>
      </c>
      <c r="J4299" s="31">
        <v>50.4070015</v>
      </c>
      <c r="K4299" s="31">
        <v>-14.904800399999999</v>
      </c>
      <c r="L4299" s="31"/>
      <c r="M4299" s="31" t="s">
        <v>854</v>
      </c>
      <c r="N4299" s="6" t="s">
        <v>856</v>
      </c>
    </row>
    <row r="4300" spans="1:14" ht="15" customHeight="1" x14ac:dyDescent="0.2">
      <c r="A4300" s="31">
        <v>0.57153637642492439</v>
      </c>
      <c r="B4300" s="31"/>
      <c r="C4300" s="2" t="s">
        <v>855</v>
      </c>
      <c r="D4300" s="31">
        <f t="shared" si="140"/>
        <v>0.11202112977928519</v>
      </c>
      <c r="F4300" s="2" t="s">
        <v>822</v>
      </c>
      <c r="G4300" s="23" t="s">
        <v>902</v>
      </c>
      <c r="H4300" s="2" t="s">
        <v>822</v>
      </c>
      <c r="J4300" s="31">
        <v>31.304300300000001</v>
      </c>
      <c r="K4300" s="31">
        <v>-30.551500300000001</v>
      </c>
      <c r="L4300" s="31"/>
      <c r="M4300" s="31" t="s">
        <v>854</v>
      </c>
      <c r="N4300" s="6" t="s">
        <v>856</v>
      </c>
    </row>
    <row r="4301" spans="1:14" ht="15" customHeight="1" x14ac:dyDescent="0.2">
      <c r="A4301" s="31">
        <v>0.57105136644272902</v>
      </c>
      <c r="B4301" s="31"/>
      <c r="C4301" s="2" t="s">
        <v>855</v>
      </c>
      <c r="D4301" s="31">
        <f t="shared" si="140"/>
        <v>0.11192606782277489</v>
      </c>
      <c r="F4301" s="2" t="s">
        <v>822</v>
      </c>
      <c r="G4301" s="23" t="s">
        <v>902</v>
      </c>
      <c r="H4301" s="2" t="s">
        <v>822</v>
      </c>
      <c r="J4301" s="31">
        <v>32.720001199999999</v>
      </c>
      <c r="K4301" s="31">
        <v>-30.5359993</v>
      </c>
      <c r="L4301" s="31"/>
      <c r="M4301" s="31" t="s">
        <v>854</v>
      </c>
      <c r="N4301" s="6" t="s">
        <v>856</v>
      </c>
    </row>
    <row r="4302" spans="1:14" ht="15" customHeight="1" x14ac:dyDescent="0.2">
      <c r="A4302" s="31">
        <v>0.57083092702637028</v>
      </c>
      <c r="B4302" s="31"/>
      <c r="C4302" s="2" t="s">
        <v>855</v>
      </c>
      <c r="D4302" s="31">
        <f t="shared" si="140"/>
        <v>0.11188286169716857</v>
      </c>
      <c r="F4302" s="2" t="s">
        <v>822</v>
      </c>
      <c r="G4302" s="23" t="s">
        <v>902</v>
      </c>
      <c r="H4302" s="2" t="s">
        <v>822</v>
      </c>
      <c r="J4302" s="31">
        <v>59.803299000000003</v>
      </c>
      <c r="K4302" s="31">
        <v>19.879200000000001</v>
      </c>
      <c r="L4302" s="31"/>
      <c r="M4302" s="31" t="s">
        <v>854</v>
      </c>
      <c r="N4302" s="6" t="s">
        <v>856</v>
      </c>
    </row>
    <row r="4303" spans="1:14" ht="15" customHeight="1" x14ac:dyDescent="0.2">
      <c r="A4303" s="31">
        <v>0.570824166200669</v>
      </c>
      <c r="B4303" s="31"/>
      <c r="C4303" s="2" t="s">
        <v>855</v>
      </c>
      <c r="D4303" s="31">
        <f t="shared" si="140"/>
        <v>0.11188153657533113</v>
      </c>
      <c r="F4303" s="2" t="s">
        <v>822</v>
      </c>
      <c r="G4303" s="23" t="s">
        <v>902</v>
      </c>
      <c r="H4303" s="2" t="s">
        <v>822</v>
      </c>
      <c r="J4303" s="31">
        <v>47.278198199999999</v>
      </c>
      <c r="K4303" s="31">
        <v>-7.8052301000000002</v>
      </c>
      <c r="L4303" s="31"/>
      <c r="M4303" s="31" t="s">
        <v>854</v>
      </c>
      <c r="N4303" s="6" t="s">
        <v>856</v>
      </c>
    </row>
    <row r="4304" spans="1:14" ht="15" customHeight="1" x14ac:dyDescent="0.2">
      <c r="A4304" s="31">
        <v>0.57038126350687368</v>
      </c>
      <c r="B4304" s="31"/>
      <c r="C4304" s="2" t="s">
        <v>855</v>
      </c>
      <c r="D4304" s="31">
        <f t="shared" si="140"/>
        <v>0.11179472764734724</v>
      </c>
      <c r="F4304" s="2" t="s">
        <v>822</v>
      </c>
      <c r="G4304" s="23" t="s">
        <v>902</v>
      </c>
      <c r="H4304" s="2" t="s">
        <v>822</v>
      </c>
      <c r="J4304" s="31">
        <v>46.748001100000003</v>
      </c>
      <c r="K4304" s="31">
        <v>-21.851999299999999</v>
      </c>
      <c r="L4304" s="31"/>
      <c r="M4304" s="31" t="s">
        <v>854</v>
      </c>
      <c r="N4304" s="6" t="s">
        <v>856</v>
      </c>
    </row>
    <row r="4305" spans="1:14" ht="15" customHeight="1" x14ac:dyDescent="0.2">
      <c r="A4305" s="31">
        <v>0.57034813088383696</v>
      </c>
      <c r="B4305" s="31"/>
      <c r="C4305" s="2" t="s">
        <v>855</v>
      </c>
      <c r="D4305" s="31">
        <f t="shared" si="140"/>
        <v>0.11178823365323205</v>
      </c>
      <c r="F4305" s="2" t="s">
        <v>822</v>
      </c>
      <c r="G4305" s="23" t="s">
        <v>902</v>
      </c>
      <c r="H4305" s="2" t="s">
        <v>822</v>
      </c>
      <c r="J4305" s="31">
        <v>28.0440006</v>
      </c>
      <c r="K4305" s="31">
        <v>-35.212001800000003</v>
      </c>
      <c r="L4305" s="31"/>
      <c r="M4305" s="31" t="s">
        <v>854</v>
      </c>
      <c r="N4305" s="6" t="s">
        <v>856</v>
      </c>
    </row>
    <row r="4306" spans="1:14" ht="15" customHeight="1" x14ac:dyDescent="0.2">
      <c r="A4306" s="31">
        <v>0.569986565043063</v>
      </c>
      <c r="B4306" s="31"/>
      <c r="C4306" s="2" t="s">
        <v>855</v>
      </c>
      <c r="D4306" s="31">
        <f t="shared" si="140"/>
        <v>0.11171736674844035</v>
      </c>
      <c r="F4306" s="2" t="s">
        <v>822</v>
      </c>
      <c r="G4306" s="23" t="s">
        <v>902</v>
      </c>
      <c r="H4306" s="2" t="s">
        <v>822</v>
      </c>
      <c r="J4306" s="31">
        <v>30.048000300000002</v>
      </c>
      <c r="K4306" s="31">
        <v>-25.860000599999999</v>
      </c>
      <c r="L4306" s="31"/>
      <c r="M4306" s="31" t="s">
        <v>854</v>
      </c>
      <c r="N4306" s="6" t="s">
        <v>856</v>
      </c>
    </row>
    <row r="4307" spans="1:14" ht="15" customHeight="1" x14ac:dyDescent="0.2">
      <c r="A4307" s="31">
        <v>0.56964626711477317</v>
      </c>
      <c r="B4307" s="31"/>
      <c r="C4307" s="2" t="s">
        <v>855</v>
      </c>
      <c r="D4307" s="31">
        <f t="shared" si="140"/>
        <v>0.11165066835449555</v>
      </c>
      <c r="F4307" s="2" t="s">
        <v>822</v>
      </c>
      <c r="G4307" s="23" t="s">
        <v>902</v>
      </c>
      <c r="H4307" s="2" t="s">
        <v>822</v>
      </c>
      <c r="J4307" s="31">
        <v>34.2787018</v>
      </c>
      <c r="K4307" s="31">
        <v>18.5298996</v>
      </c>
      <c r="L4307" s="31"/>
      <c r="M4307" s="31" t="s">
        <v>854</v>
      </c>
      <c r="N4307" s="6" t="s">
        <v>856</v>
      </c>
    </row>
    <row r="4308" spans="1:14" ht="15" customHeight="1" x14ac:dyDescent="0.2">
      <c r="A4308" s="31">
        <v>0.56945239218334553</v>
      </c>
      <c r="B4308" s="31"/>
      <c r="C4308" s="2" t="s">
        <v>855</v>
      </c>
      <c r="D4308" s="31">
        <f t="shared" si="140"/>
        <v>0.11161266886793574</v>
      </c>
      <c r="F4308" s="2" t="s">
        <v>822</v>
      </c>
      <c r="G4308" s="23" t="s">
        <v>902</v>
      </c>
      <c r="H4308" s="2" t="s">
        <v>822</v>
      </c>
      <c r="J4308" s="31">
        <v>34.314701100000001</v>
      </c>
      <c r="K4308" s="31">
        <v>22.507400499999999</v>
      </c>
      <c r="L4308" s="31"/>
      <c r="M4308" s="31" t="s">
        <v>854</v>
      </c>
      <c r="N4308" s="6" t="s">
        <v>856</v>
      </c>
    </row>
    <row r="4309" spans="1:14" ht="15" customHeight="1" x14ac:dyDescent="0.2">
      <c r="A4309" s="31">
        <v>0.56936584729818984</v>
      </c>
      <c r="B4309" s="31"/>
      <c r="C4309" s="2" t="s">
        <v>855</v>
      </c>
      <c r="D4309" s="31">
        <f t="shared" si="140"/>
        <v>0.11159570607044521</v>
      </c>
      <c r="F4309" s="2" t="s">
        <v>822</v>
      </c>
      <c r="G4309" s="23" t="s">
        <v>902</v>
      </c>
      <c r="H4309" s="2" t="s">
        <v>822</v>
      </c>
      <c r="J4309" s="31">
        <v>46.748001100000003</v>
      </c>
      <c r="K4309" s="31">
        <v>-17.8439999</v>
      </c>
      <c r="L4309" s="31"/>
      <c r="M4309" s="31" t="s">
        <v>854</v>
      </c>
      <c r="N4309" s="6" t="s">
        <v>856</v>
      </c>
    </row>
    <row r="4310" spans="1:14" ht="15" customHeight="1" x14ac:dyDescent="0.2">
      <c r="A4310" s="31">
        <v>0.56933455881283324</v>
      </c>
      <c r="B4310" s="31"/>
      <c r="C4310" s="2" t="s">
        <v>855</v>
      </c>
      <c r="D4310" s="31">
        <f t="shared" si="140"/>
        <v>0.11158957352731531</v>
      </c>
      <c r="F4310" s="2" t="s">
        <v>822</v>
      </c>
      <c r="G4310" s="23" t="s">
        <v>902</v>
      </c>
      <c r="H4310" s="2" t="s">
        <v>822</v>
      </c>
      <c r="J4310" s="31">
        <v>46.748001100000003</v>
      </c>
      <c r="K4310" s="31">
        <v>-25.860000599999999</v>
      </c>
      <c r="L4310" s="31"/>
      <c r="M4310" s="31" t="s">
        <v>854</v>
      </c>
      <c r="N4310" s="6" t="s">
        <v>856</v>
      </c>
    </row>
    <row r="4311" spans="1:14" ht="15" customHeight="1" x14ac:dyDescent="0.2">
      <c r="A4311" s="31">
        <v>0.5693234955384282</v>
      </c>
      <c r="B4311" s="31"/>
      <c r="C4311" s="2" t="s">
        <v>855</v>
      </c>
      <c r="D4311" s="31">
        <f t="shared" si="140"/>
        <v>0.11158740512553193</v>
      </c>
      <c r="F4311" s="2" t="s">
        <v>822</v>
      </c>
      <c r="G4311" s="23" t="s">
        <v>902</v>
      </c>
      <c r="H4311" s="2" t="s">
        <v>822</v>
      </c>
      <c r="J4311" s="31">
        <v>45.074199700000001</v>
      </c>
      <c r="K4311" s="31">
        <v>-42.902900700000004</v>
      </c>
      <c r="L4311" s="31"/>
      <c r="M4311" s="31" t="s">
        <v>854</v>
      </c>
      <c r="N4311" s="6" t="s">
        <v>856</v>
      </c>
    </row>
    <row r="4312" spans="1:14" ht="15" customHeight="1" x14ac:dyDescent="0.2">
      <c r="A4312" s="31">
        <v>0.56925129621082315</v>
      </c>
      <c r="B4312" s="31"/>
      <c r="C4312" s="2" t="s">
        <v>855</v>
      </c>
      <c r="D4312" s="31">
        <f t="shared" ref="D4312:D4348" si="141" xml:space="preserve"> A4312 * 0.196</f>
        <v>0.11157325405732134</v>
      </c>
      <c r="F4312" s="2" t="s">
        <v>822</v>
      </c>
      <c r="G4312" s="23" t="s">
        <v>902</v>
      </c>
      <c r="H4312" s="2" t="s">
        <v>822</v>
      </c>
      <c r="J4312" s="31">
        <v>57.266300200000003</v>
      </c>
      <c r="K4312" s="31">
        <v>-5.4587897999999999</v>
      </c>
      <c r="L4312" s="31"/>
      <c r="M4312" s="31" t="s">
        <v>854</v>
      </c>
      <c r="N4312" s="6" t="s">
        <v>856</v>
      </c>
    </row>
    <row r="4313" spans="1:14" ht="15" customHeight="1" x14ac:dyDescent="0.2">
      <c r="A4313" s="31">
        <v>0.569047647246952</v>
      </c>
      <c r="B4313" s="31"/>
      <c r="C4313" s="2" t="s">
        <v>855</v>
      </c>
      <c r="D4313" s="31">
        <f t="shared" si="141"/>
        <v>0.11153333886040259</v>
      </c>
      <c r="F4313" s="2" t="s">
        <v>822</v>
      </c>
      <c r="G4313" s="23" t="s">
        <v>902</v>
      </c>
      <c r="H4313" s="2" t="s">
        <v>822</v>
      </c>
      <c r="J4313" s="31">
        <v>46.093299899999998</v>
      </c>
      <c r="K4313" s="31">
        <v>-42.473998999999999</v>
      </c>
      <c r="L4313" s="31"/>
      <c r="M4313" s="31" t="s">
        <v>854</v>
      </c>
      <c r="N4313" s="6" t="s">
        <v>856</v>
      </c>
    </row>
    <row r="4314" spans="1:14" ht="15" customHeight="1" x14ac:dyDescent="0.2">
      <c r="A4314" s="31">
        <v>0.56863606973191994</v>
      </c>
      <c r="B4314" s="31"/>
      <c r="C4314" s="2" t="s">
        <v>855</v>
      </c>
      <c r="D4314" s="31">
        <f t="shared" si="141"/>
        <v>0.11145266966745632</v>
      </c>
      <c r="F4314" s="2" t="s">
        <v>822</v>
      </c>
      <c r="G4314" s="23" t="s">
        <v>902</v>
      </c>
      <c r="H4314" s="2" t="s">
        <v>822</v>
      </c>
      <c r="J4314" s="31">
        <v>52.759998299999999</v>
      </c>
      <c r="K4314" s="31">
        <v>-21.184000000000001</v>
      </c>
      <c r="L4314" s="31"/>
      <c r="M4314" s="31" t="s">
        <v>854</v>
      </c>
      <c r="N4314" s="6" t="s">
        <v>856</v>
      </c>
    </row>
    <row r="4315" spans="1:14" ht="15" customHeight="1" x14ac:dyDescent="0.2">
      <c r="A4315" s="31">
        <v>0.56851603302701925</v>
      </c>
      <c r="B4315" s="31"/>
      <c r="C4315" s="2" t="s">
        <v>855</v>
      </c>
      <c r="D4315" s="31">
        <f t="shared" si="141"/>
        <v>0.11142914247329577</v>
      </c>
      <c r="F4315" s="2" t="s">
        <v>822</v>
      </c>
      <c r="G4315" s="23" t="s">
        <v>902</v>
      </c>
      <c r="H4315" s="2" t="s">
        <v>822</v>
      </c>
      <c r="J4315" s="31">
        <v>57.377601599999998</v>
      </c>
      <c r="K4315" s="31">
        <v>10.641799900000001</v>
      </c>
      <c r="L4315" s="31"/>
      <c r="M4315" s="31" t="s">
        <v>854</v>
      </c>
      <c r="N4315" s="6" t="s">
        <v>856</v>
      </c>
    </row>
    <row r="4316" spans="1:14" ht="15" customHeight="1" x14ac:dyDescent="0.2">
      <c r="A4316" s="31">
        <v>0.56843763197178554</v>
      </c>
      <c r="B4316" s="31"/>
      <c r="C4316" s="2" t="s">
        <v>855</v>
      </c>
      <c r="D4316" s="31">
        <f t="shared" si="141"/>
        <v>0.11141377586646997</v>
      </c>
      <c r="F4316" s="2" t="s">
        <v>822</v>
      </c>
      <c r="G4316" s="23" t="s">
        <v>902</v>
      </c>
      <c r="H4316" s="2" t="s">
        <v>822</v>
      </c>
      <c r="J4316" s="31">
        <v>53.832599600000002</v>
      </c>
      <c r="K4316" s="31">
        <v>-4.5103302000000003</v>
      </c>
      <c r="L4316" s="31"/>
      <c r="M4316" s="31" t="s">
        <v>854</v>
      </c>
      <c r="N4316" s="6" t="s">
        <v>856</v>
      </c>
    </row>
    <row r="4317" spans="1:14" ht="15" customHeight="1" x14ac:dyDescent="0.2">
      <c r="A4317" s="31">
        <v>0.56842163135593915</v>
      </c>
      <c r="B4317" s="31"/>
      <c r="C4317" s="2" t="s">
        <v>855</v>
      </c>
      <c r="D4317" s="31">
        <f t="shared" si="141"/>
        <v>0.11141063974576408</v>
      </c>
      <c r="F4317" s="2" t="s">
        <v>822</v>
      </c>
      <c r="G4317" s="23" t="s">
        <v>902</v>
      </c>
      <c r="H4317" s="2" t="s">
        <v>822</v>
      </c>
      <c r="J4317" s="31">
        <v>49.419998200000002</v>
      </c>
      <c r="K4317" s="31">
        <v>-35.880001100000001</v>
      </c>
      <c r="L4317" s="31"/>
      <c r="M4317" s="31" t="s">
        <v>854</v>
      </c>
      <c r="N4317" s="6" t="s">
        <v>856</v>
      </c>
    </row>
    <row r="4318" spans="1:14" ht="15" customHeight="1" x14ac:dyDescent="0.2">
      <c r="A4318" s="31">
        <v>0.56832835289857353</v>
      </c>
      <c r="B4318" s="31"/>
      <c r="C4318" s="2" t="s">
        <v>855</v>
      </c>
      <c r="D4318" s="31">
        <f t="shared" si="141"/>
        <v>0.11139235716812042</v>
      </c>
      <c r="F4318" s="2" t="s">
        <v>822</v>
      </c>
      <c r="G4318" s="23" t="s">
        <v>902</v>
      </c>
      <c r="H4318" s="2" t="s">
        <v>822</v>
      </c>
      <c r="J4318" s="31">
        <v>35.501701400000002</v>
      </c>
      <c r="K4318" s="31">
        <v>-18.938499499999999</v>
      </c>
      <c r="L4318" s="31"/>
      <c r="M4318" s="31" t="s">
        <v>854</v>
      </c>
      <c r="N4318" s="6" t="s">
        <v>856</v>
      </c>
    </row>
    <row r="4319" spans="1:14" ht="15" customHeight="1" x14ac:dyDescent="0.2">
      <c r="A4319" s="31">
        <v>0.56806217175468698</v>
      </c>
      <c r="B4319" s="31"/>
      <c r="C4319" s="2" t="s">
        <v>855</v>
      </c>
      <c r="D4319" s="31">
        <f t="shared" si="141"/>
        <v>0.11134018566391865</v>
      </c>
      <c r="F4319" s="2" t="s">
        <v>822</v>
      </c>
      <c r="G4319" s="23" t="s">
        <v>902</v>
      </c>
      <c r="H4319" s="2" t="s">
        <v>822</v>
      </c>
      <c r="J4319" s="31">
        <v>30.261999100000001</v>
      </c>
      <c r="K4319" s="31">
        <v>-27.700000800000002</v>
      </c>
      <c r="L4319" s="31"/>
      <c r="M4319" s="31" t="s">
        <v>854</v>
      </c>
      <c r="N4319" s="6" t="s">
        <v>856</v>
      </c>
    </row>
    <row r="4320" spans="1:14" ht="15" customHeight="1" x14ac:dyDescent="0.2">
      <c r="A4320" s="31">
        <v>0.56785144610671112</v>
      </c>
      <c r="B4320" s="31"/>
      <c r="C4320" s="2" t="s">
        <v>855</v>
      </c>
      <c r="D4320" s="31">
        <f t="shared" si="141"/>
        <v>0.11129888343691538</v>
      </c>
      <c r="F4320" s="2" t="s">
        <v>822</v>
      </c>
      <c r="G4320" s="23" t="s">
        <v>902</v>
      </c>
      <c r="H4320" s="2" t="s">
        <v>822</v>
      </c>
      <c r="J4320" s="31">
        <v>50.924400300000002</v>
      </c>
      <c r="K4320" s="31">
        <v>0.86432799999999999</v>
      </c>
      <c r="L4320" s="31"/>
      <c r="M4320" s="31" t="s">
        <v>854</v>
      </c>
      <c r="N4320" s="6" t="s">
        <v>856</v>
      </c>
    </row>
    <row r="4321" spans="1:14" ht="15" customHeight="1" x14ac:dyDescent="0.2">
      <c r="A4321" s="31">
        <v>0.56783680907292944</v>
      </c>
      <c r="B4321" s="31"/>
      <c r="C4321" s="2" t="s">
        <v>855</v>
      </c>
      <c r="D4321" s="31">
        <f t="shared" si="141"/>
        <v>0.11129601457829418</v>
      </c>
      <c r="F4321" s="2" t="s">
        <v>822</v>
      </c>
      <c r="G4321" s="23" t="s">
        <v>902</v>
      </c>
      <c r="H4321" s="2" t="s">
        <v>822</v>
      </c>
      <c r="J4321" s="31">
        <v>38.063999199999998</v>
      </c>
      <c r="K4321" s="31">
        <v>19.563999200000001</v>
      </c>
      <c r="L4321" s="31"/>
      <c r="M4321" s="31" t="s">
        <v>854</v>
      </c>
      <c r="N4321" s="6" t="s">
        <v>856</v>
      </c>
    </row>
    <row r="4322" spans="1:14" ht="15" customHeight="1" x14ac:dyDescent="0.2">
      <c r="A4322" s="31">
        <v>0.56771108165459383</v>
      </c>
      <c r="B4322" s="31"/>
      <c r="C4322" s="2" t="s">
        <v>855</v>
      </c>
      <c r="D4322" s="31">
        <f t="shared" si="141"/>
        <v>0.1112713720043004</v>
      </c>
      <c r="F4322" s="2" t="s">
        <v>822</v>
      </c>
      <c r="G4322" s="23" t="s">
        <v>902</v>
      </c>
      <c r="H4322" s="2" t="s">
        <v>822</v>
      </c>
      <c r="J4322" s="31">
        <v>48.751998899999997</v>
      </c>
      <c r="K4322" s="31">
        <v>-14.838000299999999</v>
      </c>
      <c r="L4322" s="31"/>
      <c r="M4322" s="31" t="s">
        <v>854</v>
      </c>
      <c r="N4322" s="6" t="s">
        <v>856</v>
      </c>
    </row>
    <row r="4323" spans="1:14" ht="15" customHeight="1" x14ac:dyDescent="0.2">
      <c r="A4323" s="31">
        <v>0.56757684060260105</v>
      </c>
      <c r="B4323" s="31"/>
      <c r="C4323" s="2" t="s">
        <v>855</v>
      </c>
      <c r="D4323" s="31">
        <f t="shared" si="141"/>
        <v>0.1112450607581098</v>
      </c>
      <c r="F4323" s="2" t="s">
        <v>822</v>
      </c>
      <c r="G4323" s="23" t="s">
        <v>902</v>
      </c>
      <c r="H4323" s="2" t="s">
        <v>822</v>
      </c>
      <c r="J4323" s="31">
        <v>38.138500200000003</v>
      </c>
      <c r="K4323" s="31">
        <v>-26.388500199999999</v>
      </c>
      <c r="L4323" s="31"/>
      <c r="M4323" s="31" t="s">
        <v>854</v>
      </c>
      <c r="N4323" s="6" t="s">
        <v>856</v>
      </c>
    </row>
    <row r="4324" spans="1:14" ht="15" customHeight="1" x14ac:dyDescent="0.2">
      <c r="A4324" s="31">
        <v>0.56746203083654045</v>
      </c>
      <c r="B4324" s="31"/>
      <c r="C4324" s="2" t="s">
        <v>855</v>
      </c>
      <c r="D4324" s="31">
        <f t="shared" si="141"/>
        <v>0.11122255804396193</v>
      </c>
      <c r="F4324" s="2" t="s">
        <v>822</v>
      </c>
      <c r="G4324" s="23" t="s">
        <v>902</v>
      </c>
      <c r="H4324" s="2" t="s">
        <v>822</v>
      </c>
      <c r="J4324" s="31">
        <v>55.816001900000003</v>
      </c>
      <c r="K4324" s="31">
        <v>3.9298899</v>
      </c>
      <c r="L4324" s="31"/>
      <c r="M4324" s="31" t="s">
        <v>854</v>
      </c>
      <c r="N4324" s="6" t="s">
        <v>856</v>
      </c>
    </row>
    <row r="4325" spans="1:14" ht="15" customHeight="1" x14ac:dyDescent="0.2">
      <c r="A4325" s="31">
        <v>0.56745463475412461</v>
      </c>
      <c r="B4325" s="31"/>
      <c r="C4325" s="2" t="s">
        <v>855</v>
      </c>
      <c r="D4325" s="31">
        <f t="shared" si="141"/>
        <v>0.11122110841180843</v>
      </c>
      <c r="F4325" s="2" t="s">
        <v>822</v>
      </c>
      <c r="G4325" s="23" t="s">
        <v>902</v>
      </c>
      <c r="H4325" s="2" t="s">
        <v>822</v>
      </c>
      <c r="J4325" s="31">
        <v>36.733299299999999</v>
      </c>
      <c r="K4325" s="31">
        <v>-38.553901699999997</v>
      </c>
      <c r="L4325" s="31"/>
      <c r="M4325" s="31" t="s">
        <v>854</v>
      </c>
      <c r="N4325" s="6" t="s">
        <v>856</v>
      </c>
    </row>
    <row r="4326" spans="1:14" ht="15" customHeight="1" x14ac:dyDescent="0.2">
      <c r="A4326" s="31">
        <v>0.56729374994243753</v>
      </c>
      <c r="B4326" s="31"/>
      <c r="C4326" s="2" t="s">
        <v>855</v>
      </c>
      <c r="D4326" s="31">
        <f t="shared" si="141"/>
        <v>0.11118957498871776</v>
      </c>
      <c r="F4326" s="2" t="s">
        <v>822</v>
      </c>
      <c r="G4326" s="23" t="s">
        <v>902</v>
      </c>
      <c r="H4326" s="2" t="s">
        <v>822</v>
      </c>
      <c r="J4326" s="31">
        <v>37.092601799999997</v>
      </c>
      <c r="K4326" s="31">
        <v>-31.076999699999998</v>
      </c>
      <c r="L4326" s="31"/>
      <c r="M4326" s="31" t="s">
        <v>854</v>
      </c>
      <c r="N4326" s="6" t="s">
        <v>856</v>
      </c>
    </row>
    <row r="4327" spans="1:14" ht="15" customHeight="1" x14ac:dyDescent="0.2">
      <c r="A4327" s="31">
        <v>0.56723101764048534</v>
      </c>
      <c r="B4327" s="31"/>
      <c r="C4327" s="2" t="s">
        <v>855</v>
      </c>
      <c r="D4327" s="31">
        <f t="shared" si="141"/>
        <v>0.11117727945753512</v>
      </c>
      <c r="F4327" s="2" t="s">
        <v>822</v>
      </c>
      <c r="G4327" s="23" t="s">
        <v>902</v>
      </c>
      <c r="H4327" s="2" t="s">
        <v>822</v>
      </c>
      <c r="J4327" s="31">
        <v>46.080001799999998</v>
      </c>
      <c r="K4327" s="31">
        <v>-16.507999399999999</v>
      </c>
      <c r="L4327" s="31"/>
      <c r="M4327" s="31" t="s">
        <v>854</v>
      </c>
      <c r="N4327" s="6" t="s">
        <v>856</v>
      </c>
    </row>
    <row r="4328" spans="1:14" ht="15" customHeight="1" x14ac:dyDescent="0.2">
      <c r="A4328" s="31">
        <v>0.56718184910241554</v>
      </c>
      <c r="B4328" s="31"/>
      <c r="C4328" s="2" t="s">
        <v>855</v>
      </c>
      <c r="D4328" s="31">
        <f t="shared" si="141"/>
        <v>0.11116764242407345</v>
      </c>
      <c r="F4328" s="2" t="s">
        <v>822</v>
      </c>
      <c r="G4328" s="23" t="s">
        <v>902</v>
      </c>
      <c r="H4328" s="2" t="s">
        <v>822</v>
      </c>
      <c r="J4328" s="31">
        <v>44.722099299999996</v>
      </c>
      <c r="K4328" s="31">
        <v>-27.165199300000001</v>
      </c>
      <c r="L4328" s="31"/>
      <c r="M4328" s="31" t="s">
        <v>854</v>
      </c>
      <c r="N4328" s="6" t="s">
        <v>856</v>
      </c>
    </row>
    <row r="4329" spans="1:14" ht="15" customHeight="1" x14ac:dyDescent="0.2">
      <c r="A4329" s="31">
        <v>0.56698280074299878</v>
      </c>
      <c r="B4329" s="31"/>
      <c r="C4329" s="2" t="s">
        <v>855</v>
      </c>
      <c r="D4329" s="31">
        <f t="shared" si="141"/>
        <v>0.11112862894562776</v>
      </c>
      <c r="F4329" s="2" t="s">
        <v>822</v>
      </c>
      <c r="G4329" s="23" t="s">
        <v>902</v>
      </c>
      <c r="H4329" s="2" t="s">
        <v>822</v>
      </c>
      <c r="J4329" s="31">
        <v>31.384000799999999</v>
      </c>
      <c r="K4329" s="31">
        <v>-38.551998099999999</v>
      </c>
      <c r="L4329" s="31"/>
      <c r="M4329" s="31" t="s">
        <v>854</v>
      </c>
      <c r="N4329" s="6" t="s">
        <v>856</v>
      </c>
    </row>
    <row r="4330" spans="1:14" ht="15" customHeight="1" x14ac:dyDescent="0.2">
      <c r="A4330" s="31">
        <v>0.56665533309385419</v>
      </c>
      <c r="B4330" s="31"/>
      <c r="C4330" s="2" t="s">
        <v>855</v>
      </c>
      <c r="D4330" s="31">
        <f t="shared" si="141"/>
        <v>0.11106444528639542</v>
      </c>
      <c r="F4330" s="2" t="s">
        <v>822</v>
      </c>
      <c r="G4330" s="23" t="s">
        <v>902</v>
      </c>
      <c r="H4330" s="2" t="s">
        <v>822</v>
      </c>
      <c r="J4330" s="31">
        <v>53.571399700000001</v>
      </c>
      <c r="K4330" s="31">
        <v>-5.2570100000000002</v>
      </c>
      <c r="L4330" s="31"/>
      <c r="M4330" s="31" t="s">
        <v>854</v>
      </c>
      <c r="N4330" s="6" t="s">
        <v>856</v>
      </c>
    </row>
    <row r="4331" spans="1:14" ht="15" customHeight="1" x14ac:dyDescent="0.2">
      <c r="A4331" s="31">
        <v>0.56658874648231805</v>
      </c>
      <c r="B4331" s="31"/>
      <c r="C4331" s="2" t="s">
        <v>855</v>
      </c>
      <c r="D4331" s="31">
        <f t="shared" si="141"/>
        <v>0.11105139431053435</v>
      </c>
      <c r="F4331" s="2" t="s">
        <v>822</v>
      </c>
      <c r="G4331" s="23" t="s">
        <v>902</v>
      </c>
      <c r="H4331" s="2" t="s">
        <v>822</v>
      </c>
      <c r="J4331" s="31">
        <v>43.417701700000002</v>
      </c>
      <c r="K4331" s="31">
        <v>-15.833700199999999</v>
      </c>
      <c r="L4331" s="31"/>
      <c r="M4331" s="31" t="s">
        <v>854</v>
      </c>
      <c r="N4331" s="6" t="s">
        <v>856</v>
      </c>
    </row>
    <row r="4332" spans="1:14" ht="15" customHeight="1" x14ac:dyDescent="0.2">
      <c r="A4332" s="31">
        <v>0.56641341939769274</v>
      </c>
      <c r="B4332" s="31"/>
      <c r="C4332" s="2" t="s">
        <v>855</v>
      </c>
      <c r="D4332" s="31">
        <f t="shared" si="141"/>
        <v>0.11101703020194778</v>
      </c>
      <c r="F4332" s="2" t="s">
        <v>822</v>
      </c>
      <c r="G4332" s="23" t="s">
        <v>902</v>
      </c>
      <c r="H4332" s="2" t="s">
        <v>822</v>
      </c>
      <c r="J4332" s="31">
        <v>45.239299799999998</v>
      </c>
      <c r="K4332" s="31">
        <v>-27.086099600000001</v>
      </c>
      <c r="L4332" s="31"/>
      <c r="M4332" s="31" t="s">
        <v>854</v>
      </c>
      <c r="N4332" s="6" t="s">
        <v>856</v>
      </c>
    </row>
    <row r="4333" spans="1:14" ht="15" customHeight="1" x14ac:dyDescent="0.2">
      <c r="A4333" s="31">
        <v>0.56633839341444525</v>
      </c>
      <c r="B4333" s="31"/>
      <c r="C4333" s="2" t="s">
        <v>855</v>
      </c>
      <c r="D4333" s="31">
        <f t="shared" si="141"/>
        <v>0.11100232510923128</v>
      </c>
      <c r="F4333" s="2" t="s">
        <v>822</v>
      </c>
      <c r="G4333" s="23" t="s">
        <v>902</v>
      </c>
      <c r="H4333" s="2" t="s">
        <v>822</v>
      </c>
      <c r="J4333" s="31">
        <v>30.048000300000002</v>
      </c>
      <c r="K4333" s="31">
        <v>-29.867999999999999</v>
      </c>
      <c r="L4333" s="31"/>
      <c r="M4333" s="31" t="s">
        <v>854</v>
      </c>
      <c r="N4333" s="6" t="s">
        <v>856</v>
      </c>
    </row>
    <row r="4334" spans="1:14" ht="15" customHeight="1" x14ac:dyDescent="0.2">
      <c r="A4334" s="31">
        <v>0.56630800739010723</v>
      </c>
      <c r="B4334" s="31"/>
      <c r="C4334" s="2" t="s">
        <v>855</v>
      </c>
      <c r="D4334" s="31">
        <f t="shared" si="141"/>
        <v>0.11099636944846102</v>
      </c>
      <c r="F4334" s="2" t="s">
        <v>822</v>
      </c>
      <c r="G4334" s="23" t="s">
        <v>902</v>
      </c>
      <c r="H4334" s="2" t="s">
        <v>822</v>
      </c>
      <c r="J4334" s="31">
        <v>54.763999900000002</v>
      </c>
      <c r="K4334" s="31">
        <v>-20.516000699999999</v>
      </c>
      <c r="L4334" s="31"/>
      <c r="M4334" s="31" t="s">
        <v>854</v>
      </c>
      <c r="N4334" s="6" t="s">
        <v>856</v>
      </c>
    </row>
    <row r="4335" spans="1:14" ht="15" customHeight="1" x14ac:dyDescent="0.2">
      <c r="A4335" s="31">
        <v>0.56621521568180055</v>
      </c>
      <c r="B4335" s="31"/>
      <c r="C4335" s="2" t="s">
        <v>855</v>
      </c>
      <c r="D4335" s="31">
        <f t="shared" si="141"/>
        <v>0.11097818227363292</v>
      </c>
      <c r="F4335" s="2" t="s">
        <v>822</v>
      </c>
      <c r="G4335" s="23" t="s">
        <v>902</v>
      </c>
      <c r="H4335" s="2" t="s">
        <v>822</v>
      </c>
      <c r="J4335" s="31">
        <v>50.777198800000001</v>
      </c>
      <c r="K4335" s="31">
        <v>-16.5202007</v>
      </c>
      <c r="L4335" s="31"/>
      <c r="M4335" s="31" t="s">
        <v>854</v>
      </c>
      <c r="N4335" s="6" t="s">
        <v>856</v>
      </c>
    </row>
    <row r="4336" spans="1:14" ht="15" customHeight="1" x14ac:dyDescent="0.2">
      <c r="A4336" s="31">
        <v>0.56608995338330048</v>
      </c>
      <c r="B4336" s="31"/>
      <c r="C4336" s="2" t="s">
        <v>855</v>
      </c>
      <c r="D4336" s="31">
        <f t="shared" si="141"/>
        <v>0.1109536308631269</v>
      </c>
      <c r="F4336" s="2" t="s">
        <v>822</v>
      </c>
      <c r="G4336" s="23" t="s">
        <v>902</v>
      </c>
      <c r="H4336" s="2" t="s">
        <v>822</v>
      </c>
      <c r="J4336" s="31">
        <v>43.407299000000002</v>
      </c>
      <c r="K4336" s="31">
        <v>-30.535200100000001</v>
      </c>
      <c r="L4336" s="31"/>
      <c r="M4336" s="31" t="s">
        <v>854</v>
      </c>
      <c r="N4336" s="6" t="s">
        <v>856</v>
      </c>
    </row>
    <row r="4337" spans="1:14" ht="15" customHeight="1" x14ac:dyDescent="0.2">
      <c r="A4337" s="31">
        <v>0.56605745726085344</v>
      </c>
      <c r="B4337" s="31"/>
      <c r="C4337" s="2" t="s">
        <v>855</v>
      </c>
      <c r="D4337" s="31">
        <f t="shared" si="141"/>
        <v>0.11094726162312728</v>
      </c>
      <c r="F4337" s="2" t="s">
        <v>822</v>
      </c>
      <c r="G4337" s="23" t="s">
        <v>902</v>
      </c>
      <c r="H4337" s="2" t="s">
        <v>822</v>
      </c>
      <c r="J4337" s="31">
        <v>54.763999900000002</v>
      </c>
      <c r="K4337" s="31">
        <v>-19.847999600000001</v>
      </c>
      <c r="L4337" s="31"/>
      <c r="M4337" s="31" t="s">
        <v>854</v>
      </c>
      <c r="N4337" s="6" t="s">
        <v>856</v>
      </c>
    </row>
    <row r="4338" spans="1:14" ht="15" customHeight="1" x14ac:dyDescent="0.2">
      <c r="A4338" s="31">
        <v>0.56579771646309152</v>
      </c>
      <c r="B4338" s="31"/>
      <c r="C4338" s="2" t="s">
        <v>855</v>
      </c>
      <c r="D4338" s="31">
        <f t="shared" si="141"/>
        <v>0.11089635242676595</v>
      </c>
      <c r="F4338" s="2" t="s">
        <v>822</v>
      </c>
      <c r="G4338" s="23" t="s">
        <v>902</v>
      </c>
      <c r="H4338" s="2" t="s">
        <v>822</v>
      </c>
      <c r="J4338" s="31">
        <v>42.177398699999998</v>
      </c>
      <c r="K4338" s="31">
        <v>-26.485000599999999</v>
      </c>
      <c r="L4338" s="31"/>
      <c r="M4338" s="31" t="s">
        <v>854</v>
      </c>
      <c r="N4338" s="6" t="s">
        <v>856</v>
      </c>
    </row>
    <row r="4339" spans="1:14" ht="15" customHeight="1" x14ac:dyDescent="0.2">
      <c r="A4339" s="31">
        <v>0.56571049327595169</v>
      </c>
      <c r="B4339" s="31"/>
      <c r="C4339" s="2" t="s">
        <v>855</v>
      </c>
      <c r="D4339" s="31">
        <f t="shared" si="141"/>
        <v>0.11087925668208654</v>
      </c>
      <c r="F4339" s="2" t="s">
        <v>822</v>
      </c>
      <c r="G4339" s="23" t="s">
        <v>902</v>
      </c>
      <c r="H4339" s="2" t="s">
        <v>822</v>
      </c>
      <c r="J4339" s="31">
        <v>63.008598300000003</v>
      </c>
      <c r="K4339" s="31">
        <v>-20.516000699999999</v>
      </c>
      <c r="L4339" s="31"/>
      <c r="M4339" s="31" t="s">
        <v>854</v>
      </c>
      <c r="N4339" s="6" t="s">
        <v>856</v>
      </c>
    </row>
    <row r="4340" spans="1:14" ht="15" customHeight="1" x14ac:dyDescent="0.2">
      <c r="A4340" s="31">
        <v>0.56533778382727229</v>
      </c>
      <c r="B4340" s="31"/>
      <c r="C4340" s="2" t="s">
        <v>855</v>
      </c>
      <c r="D4340" s="31">
        <f t="shared" si="141"/>
        <v>0.11080620563014537</v>
      </c>
      <c r="F4340" s="2" t="s">
        <v>822</v>
      </c>
      <c r="G4340" s="23" t="s">
        <v>902</v>
      </c>
      <c r="H4340" s="2" t="s">
        <v>822</v>
      </c>
      <c r="J4340" s="31">
        <v>34.775100700000003</v>
      </c>
      <c r="K4340" s="31">
        <v>-25.322000500000001</v>
      </c>
      <c r="L4340" s="31"/>
      <c r="M4340" s="31" t="s">
        <v>854</v>
      </c>
      <c r="N4340" s="6" t="s">
        <v>856</v>
      </c>
    </row>
    <row r="4341" spans="1:14" ht="15" customHeight="1" x14ac:dyDescent="0.2">
      <c r="A4341" s="31">
        <v>0.565329919229558</v>
      </c>
      <c r="B4341" s="31"/>
      <c r="C4341" s="2" t="s">
        <v>855</v>
      </c>
      <c r="D4341" s="31">
        <f t="shared" si="141"/>
        <v>0.11080466416899337</v>
      </c>
      <c r="F4341" s="2" t="s">
        <v>822</v>
      </c>
      <c r="G4341" s="23" t="s">
        <v>902</v>
      </c>
      <c r="H4341" s="2" t="s">
        <v>822</v>
      </c>
      <c r="J4341" s="31">
        <v>30.974300400000001</v>
      </c>
      <c r="K4341" s="31">
        <v>17.766399400000001</v>
      </c>
      <c r="L4341" s="31"/>
      <c r="M4341" s="31" t="s">
        <v>854</v>
      </c>
      <c r="N4341" s="6" t="s">
        <v>856</v>
      </c>
    </row>
    <row r="4342" spans="1:14" ht="15" customHeight="1" x14ac:dyDescent="0.2">
      <c r="A4342" s="31">
        <v>0.56519954105492953</v>
      </c>
      <c r="B4342" s="31"/>
      <c r="C4342" s="2" t="s">
        <v>855</v>
      </c>
      <c r="D4342" s="31">
        <f t="shared" si="141"/>
        <v>0.11077911004676619</v>
      </c>
      <c r="F4342" s="2" t="s">
        <v>822</v>
      </c>
      <c r="G4342" s="23" t="s">
        <v>902</v>
      </c>
      <c r="H4342" s="2" t="s">
        <v>822</v>
      </c>
      <c r="J4342" s="31">
        <v>35.800998700000001</v>
      </c>
      <c r="K4342" s="31">
        <v>11.244700399999999</v>
      </c>
      <c r="L4342" s="31"/>
      <c r="M4342" s="31" t="s">
        <v>854</v>
      </c>
      <c r="N4342" s="6" t="s">
        <v>856</v>
      </c>
    </row>
    <row r="4343" spans="1:14" ht="15" customHeight="1" x14ac:dyDescent="0.2">
      <c r="A4343" s="31">
        <v>0.56514100088403252</v>
      </c>
      <c r="B4343" s="31"/>
      <c r="C4343" s="2" t="s">
        <v>855</v>
      </c>
      <c r="D4343" s="31">
        <f t="shared" si="141"/>
        <v>0.11076763617327037</v>
      </c>
      <c r="F4343" s="2" t="s">
        <v>822</v>
      </c>
      <c r="G4343" s="23" t="s">
        <v>902</v>
      </c>
      <c r="H4343" s="2" t="s">
        <v>822</v>
      </c>
      <c r="J4343" s="31">
        <v>52.1587982</v>
      </c>
      <c r="K4343" s="31">
        <v>-19.933200800000002</v>
      </c>
      <c r="L4343" s="31"/>
      <c r="M4343" s="31" t="s">
        <v>854</v>
      </c>
      <c r="N4343" s="6" t="s">
        <v>856</v>
      </c>
    </row>
    <row r="4344" spans="1:14" ht="15" customHeight="1" x14ac:dyDescent="0.2">
      <c r="A4344" s="31">
        <v>0.56513216319319048</v>
      </c>
      <c r="B4344" s="31"/>
      <c r="C4344" s="2" t="s">
        <v>855</v>
      </c>
      <c r="D4344" s="31">
        <f t="shared" si="141"/>
        <v>0.11076590398586533</v>
      </c>
      <c r="F4344" s="2" t="s">
        <v>822</v>
      </c>
      <c r="G4344" s="23" t="s">
        <v>902</v>
      </c>
      <c r="H4344" s="2" t="s">
        <v>822</v>
      </c>
      <c r="J4344" s="31">
        <v>37.3959999</v>
      </c>
      <c r="K4344" s="31">
        <v>-21.851999299999999</v>
      </c>
      <c r="L4344" s="31"/>
      <c r="M4344" s="31" t="s">
        <v>854</v>
      </c>
      <c r="N4344" s="6" t="s">
        <v>856</v>
      </c>
    </row>
    <row r="4345" spans="1:14" ht="15" customHeight="1" x14ac:dyDescent="0.2">
      <c r="A4345" s="31">
        <v>0.56501140473205358</v>
      </c>
      <c r="B4345" s="31"/>
      <c r="C4345" s="2" t="s">
        <v>855</v>
      </c>
      <c r="D4345" s="31">
        <f t="shared" si="141"/>
        <v>0.11074223532748251</v>
      </c>
      <c r="F4345" s="2" t="s">
        <v>822</v>
      </c>
      <c r="G4345" s="23" t="s">
        <v>902</v>
      </c>
      <c r="H4345" s="2" t="s">
        <v>822</v>
      </c>
      <c r="J4345" s="31">
        <v>46.078601800000001</v>
      </c>
      <c r="K4345" s="31">
        <v>-9.1524695999999999</v>
      </c>
      <c r="L4345" s="31"/>
      <c r="M4345" s="31" t="s">
        <v>854</v>
      </c>
      <c r="N4345" s="6" t="s">
        <v>856</v>
      </c>
    </row>
    <row r="4346" spans="1:14" ht="15" customHeight="1" x14ac:dyDescent="0.2">
      <c r="A4346" s="31">
        <v>0.56496304714835399</v>
      </c>
      <c r="B4346" s="31"/>
      <c r="C4346" s="2" t="s">
        <v>855</v>
      </c>
      <c r="D4346" s="31">
        <f t="shared" si="141"/>
        <v>0.11073275724107738</v>
      </c>
      <c r="F4346" s="2" t="s">
        <v>822</v>
      </c>
      <c r="G4346" s="23" t="s">
        <v>902</v>
      </c>
      <c r="H4346" s="2" t="s">
        <v>822</v>
      </c>
      <c r="J4346" s="31">
        <v>49.419998200000002</v>
      </c>
      <c r="K4346" s="31">
        <v>-37.883998900000002</v>
      </c>
      <c r="L4346" s="31"/>
      <c r="M4346" s="31" t="s">
        <v>854</v>
      </c>
      <c r="N4346" s="6" t="s">
        <v>856</v>
      </c>
    </row>
    <row r="4347" spans="1:14" ht="15" customHeight="1" x14ac:dyDescent="0.2">
      <c r="A4347" s="31">
        <v>0.56492663506580953</v>
      </c>
      <c r="B4347" s="31"/>
      <c r="C4347" s="2" t="s">
        <v>855</v>
      </c>
      <c r="D4347" s="31">
        <f t="shared" si="141"/>
        <v>0.11072562047289868</v>
      </c>
      <c r="F4347" s="2" t="s">
        <v>822</v>
      </c>
      <c r="G4347" s="23" t="s">
        <v>902</v>
      </c>
      <c r="H4347" s="2" t="s">
        <v>822</v>
      </c>
      <c r="J4347" s="31">
        <v>61.765998799999998</v>
      </c>
      <c r="K4347" s="31">
        <v>19.2339001</v>
      </c>
      <c r="L4347" s="31"/>
      <c r="M4347" s="31" t="s">
        <v>854</v>
      </c>
      <c r="N4347" s="6" t="s">
        <v>856</v>
      </c>
    </row>
    <row r="4348" spans="1:14" ht="15" customHeight="1" x14ac:dyDescent="0.2">
      <c r="A4348" s="31">
        <v>0.56449836639565854</v>
      </c>
      <c r="B4348" s="31"/>
      <c r="C4348" s="2" t="s">
        <v>855</v>
      </c>
      <c r="D4348" s="31">
        <f t="shared" si="141"/>
        <v>0.11064167981354908</v>
      </c>
      <c r="F4348" s="2" t="s">
        <v>822</v>
      </c>
      <c r="G4348" s="23" t="s">
        <v>902</v>
      </c>
      <c r="H4348" s="2" t="s">
        <v>822</v>
      </c>
      <c r="J4348" s="31">
        <v>44.2345009</v>
      </c>
      <c r="K4348" s="31">
        <v>-4.6263199000000004</v>
      </c>
      <c r="L4348" s="31"/>
      <c r="M4348" s="31" t="s">
        <v>854</v>
      </c>
      <c r="N4348" s="6" t="s">
        <v>856</v>
      </c>
    </row>
    <row r="4349" spans="1:14" ht="15" customHeight="1" x14ac:dyDescent="0.2">
      <c r="A4349" s="22">
        <v>0.11063358107801489</v>
      </c>
      <c r="B4349" s="22"/>
      <c r="C4349" s="2" t="s">
        <v>891</v>
      </c>
      <c r="D4349" s="2">
        <f>A4349</f>
        <v>0.11063358107801489</v>
      </c>
      <c r="F4349" s="2">
        <v>2023</v>
      </c>
      <c r="G4349" s="23" t="s">
        <v>902</v>
      </c>
      <c r="H4349" s="2" t="s">
        <v>771</v>
      </c>
      <c r="I4349" s="23" t="s">
        <v>189</v>
      </c>
      <c r="J4349" s="23">
        <v>58077389</v>
      </c>
      <c r="K4349" s="23">
        <v>11813535</v>
      </c>
      <c r="L4349" s="23" t="s">
        <v>819</v>
      </c>
      <c r="M4349" s="2" t="s">
        <v>825</v>
      </c>
      <c r="N4349" s="6" t="s">
        <v>828</v>
      </c>
    </row>
    <row r="4350" spans="1:14" ht="15" customHeight="1" x14ac:dyDescent="0.2">
      <c r="A4350" s="31">
        <v>0.56441098543000456</v>
      </c>
      <c r="B4350" s="31"/>
      <c r="C4350" s="2" t="s">
        <v>855</v>
      </c>
      <c r="D4350" s="31">
        <f t="shared" ref="D4350:D4381" si="142" xml:space="preserve"> A4350 * 0.196</f>
        <v>0.11062455314428089</v>
      </c>
      <c r="F4350" s="2" t="s">
        <v>822</v>
      </c>
      <c r="G4350" s="23" t="s">
        <v>902</v>
      </c>
      <c r="H4350" s="2" t="s">
        <v>822</v>
      </c>
      <c r="J4350" s="31">
        <v>63.008598300000003</v>
      </c>
      <c r="K4350" s="31">
        <v>-21.851999299999999</v>
      </c>
      <c r="L4350" s="31"/>
      <c r="M4350" s="31" t="s">
        <v>854</v>
      </c>
      <c r="N4350" s="6" t="s">
        <v>856</v>
      </c>
    </row>
    <row r="4351" spans="1:14" ht="15" customHeight="1" x14ac:dyDescent="0.2">
      <c r="A4351" s="31">
        <v>0.56435262606285297</v>
      </c>
      <c r="B4351" s="31"/>
      <c r="C4351" s="2" t="s">
        <v>855</v>
      </c>
      <c r="D4351" s="31">
        <f t="shared" si="142"/>
        <v>0.11061311470831918</v>
      </c>
      <c r="F4351" s="2" t="s">
        <v>822</v>
      </c>
      <c r="G4351" s="23" t="s">
        <v>902</v>
      </c>
      <c r="H4351" s="2" t="s">
        <v>822</v>
      </c>
      <c r="J4351" s="31">
        <v>33.105499299999998</v>
      </c>
      <c r="K4351" s="31">
        <v>23.927999499999999</v>
      </c>
      <c r="L4351" s="31"/>
      <c r="M4351" s="31" t="s">
        <v>854</v>
      </c>
      <c r="N4351" s="6" t="s">
        <v>856</v>
      </c>
    </row>
    <row r="4352" spans="1:14" ht="15" customHeight="1" x14ac:dyDescent="0.2">
      <c r="A4352" s="31">
        <v>0.56423624279170403</v>
      </c>
      <c r="B4352" s="31"/>
      <c r="C4352" s="2" t="s">
        <v>855</v>
      </c>
      <c r="D4352" s="31">
        <f t="shared" si="142"/>
        <v>0.11059030358717399</v>
      </c>
      <c r="F4352" s="2" t="s">
        <v>822</v>
      </c>
      <c r="G4352" s="23" t="s">
        <v>902</v>
      </c>
      <c r="H4352" s="2" t="s">
        <v>822</v>
      </c>
      <c r="J4352" s="31">
        <v>29.996500000000001</v>
      </c>
      <c r="K4352" s="31">
        <v>-27.9034996</v>
      </c>
      <c r="L4352" s="31"/>
      <c r="M4352" s="31" t="s">
        <v>854</v>
      </c>
      <c r="N4352" s="6" t="s">
        <v>856</v>
      </c>
    </row>
    <row r="4353" spans="1:14" ht="15" customHeight="1" x14ac:dyDescent="0.2">
      <c r="A4353" s="31">
        <v>0.56397761998751161</v>
      </c>
      <c r="B4353" s="31"/>
      <c r="C4353" s="2" t="s">
        <v>855</v>
      </c>
      <c r="D4353" s="31">
        <f t="shared" si="142"/>
        <v>0.11053961351755227</v>
      </c>
      <c r="F4353" s="2" t="s">
        <v>822</v>
      </c>
      <c r="G4353" s="23" t="s">
        <v>902</v>
      </c>
      <c r="H4353" s="2" t="s">
        <v>822</v>
      </c>
      <c r="J4353" s="31">
        <v>53.7372017</v>
      </c>
      <c r="K4353" s="31">
        <v>-5.8555498000000004</v>
      </c>
      <c r="L4353" s="31"/>
      <c r="M4353" s="31" t="s">
        <v>854</v>
      </c>
      <c r="N4353" s="6" t="s">
        <v>856</v>
      </c>
    </row>
    <row r="4354" spans="1:14" ht="15" customHeight="1" x14ac:dyDescent="0.2">
      <c r="A4354" s="31">
        <v>0.56378540096286411</v>
      </c>
      <c r="B4354" s="31"/>
      <c r="C4354" s="2" t="s">
        <v>855</v>
      </c>
      <c r="D4354" s="31">
        <f t="shared" si="142"/>
        <v>0.11050193858872137</v>
      </c>
      <c r="F4354" s="2" t="s">
        <v>822</v>
      </c>
      <c r="G4354" s="23" t="s">
        <v>902</v>
      </c>
      <c r="H4354" s="2" t="s">
        <v>822</v>
      </c>
      <c r="J4354" s="31">
        <v>28.0440006</v>
      </c>
      <c r="K4354" s="31">
        <v>-31.8719997</v>
      </c>
      <c r="L4354" s="31"/>
      <c r="M4354" s="31" t="s">
        <v>854</v>
      </c>
      <c r="N4354" s="6" t="s">
        <v>856</v>
      </c>
    </row>
    <row r="4355" spans="1:14" ht="15" customHeight="1" x14ac:dyDescent="0.2">
      <c r="A4355" s="31">
        <v>0.56376146335953647</v>
      </c>
      <c r="B4355" s="31"/>
      <c r="C4355" s="2" t="s">
        <v>855</v>
      </c>
      <c r="D4355" s="31">
        <f t="shared" si="142"/>
        <v>0.11049724681846915</v>
      </c>
      <c r="F4355" s="2" t="s">
        <v>822</v>
      </c>
      <c r="G4355" s="23" t="s">
        <v>902</v>
      </c>
      <c r="H4355" s="2" t="s">
        <v>822</v>
      </c>
      <c r="J4355" s="31">
        <v>44.743999500000001</v>
      </c>
      <c r="K4355" s="31">
        <v>-39.220001199999999</v>
      </c>
      <c r="L4355" s="31"/>
      <c r="M4355" s="31" t="s">
        <v>854</v>
      </c>
      <c r="N4355" s="6" t="s">
        <v>856</v>
      </c>
    </row>
    <row r="4356" spans="1:14" ht="15" customHeight="1" x14ac:dyDescent="0.2">
      <c r="A4356" s="31">
        <v>0.56309944413832602</v>
      </c>
      <c r="B4356" s="31"/>
      <c r="C4356" s="2" t="s">
        <v>855</v>
      </c>
      <c r="D4356" s="31">
        <f t="shared" si="142"/>
        <v>0.1103674910511119</v>
      </c>
      <c r="F4356" s="2" t="s">
        <v>822</v>
      </c>
      <c r="G4356" s="23" t="s">
        <v>902</v>
      </c>
      <c r="H4356" s="2" t="s">
        <v>822</v>
      </c>
      <c r="J4356" s="31">
        <v>53.833698300000002</v>
      </c>
      <c r="K4356" s="31">
        <v>7.4676999999999998</v>
      </c>
      <c r="L4356" s="31"/>
      <c r="M4356" s="31" t="s">
        <v>854</v>
      </c>
      <c r="N4356" s="6" t="s">
        <v>856</v>
      </c>
    </row>
    <row r="4357" spans="1:14" ht="15" customHeight="1" x14ac:dyDescent="0.2">
      <c r="A4357" s="31">
        <v>0.56299129997129371</v>
      </c>
      <c r="B4357" s="31"/>
      <c r="C4357" s="2" t="s">
        <v>855</v>
      </c>
      <c r="D4357" s="31">
        <f t="shared" si="142"/>
        <v>0.11034629479437358</v>
      </c>
      <c r="F4357" s="2" t="s">
        <v>822</v>
      </c>
      <c r="G4357" s="23" t="s">
        <v>902</v>
      </c>
      <c r="H4357" s="2" t="s">
        <v>822</v>
      </c>
      <c r="J4357" s="31">
        <v>53.594898200000003</v>
      </c>
      <c r="K4357" s="31">
        <v>-15.8146</v>
      </c>
      <c r="L4357" s="31"/>
      <c r="M4357" s="31" t="s">
        <v>854</v>
      </c>
      <c r="N4357" s="6" t="s">
        <v>856</v>
      </c>
    </row>
    <row r="4358" spans="1:14" ht="15" customHeight="1" x14ac:dyDescent="0.2">
      <c r="A4358" s="31">
        <v>0.56293464028551954</v>
      </c>
      <c r="B4358" s="31"/>
      <c r="C4358" s="2" t="s">
        <v>855</v>
      </c>
      <c r="D4358" s="31">
        <f t="shared" si="142"/>
        <v>0.11033518949596183</v>
      </c>
      <c r="F4358" s="2" t="s">
        <v>822</v>
      </c>
      <c r="G4358" s="23" t="s">
        <v>902</v>
      </c>
      <c r="H4358" s="2" t="s">
        <v>822</v>
      </c>
      <c r="J4358" s="31">
        <v>47.117599499999997</v>
      </c>
      <c r="K4358" s="31">
        <v>-6.6651702000000004</v>
      </c>
      <c r="L4358" s="31"/>
      <c r="M4358" s="31" t="s">
        <v>854</v>
      </c>
      <c r="N4358" s="6" t="s">
        <v>856</v>
      </c>
    </row>
    <row r="4359" spans="1:14" ht="15" customHeight="1" x14ac:dyDescent="0.2">
      <c r="A4359" s="31">
        <v>0.56289656421767775</v>
      </c>
      <c r="B4359" s="31"/>
      <c r="C4359" s="2" t="s">
        <v>855</v>
      </c>
      <c r="D4359" s="31">
        <f t="shared" si="142"/>
        <v>0.11032772658666484</v>
      </c>
      <c r="F4359" s="2" t="s">
        <v>822</v>
      </c>
      <c r="G4359" s="23" t="s">
        <v>902</v>
      </c>
      <c r="H4359" s="2" t="s">
        <v>822</v>
      </c>
      <c r="J4359" s="31">
        <v>52.436000800000002</v>
      </c>
      <c r="K4359" s="31">
        <v>-5.7226701000000002</v>
      </c>
      <c r="L4359" s="31"/>
      <c r="M4359" s="31" t="s">
        <v>854</v>
      </c>
      <c r="N4359" s="6" t="s">
        <v>856</v>
      </c>
    </row>
    <row r="4360" spans="1:14" ht="15" customHeight="1" x14ac:dyDescent="0.2">
      <c r="A4360" s="31">
        <v>0.56272327360333341</v>
      </c>
      <c r="B4360" s="31"/>
      <c r="C4360" s="2" t="s">
        <v>855</v>
      </c>
      <c r="D4360" s="31">
        <f t="shared" si="142"/>
        <v>0.11029376162625336</v>
      </c>
      <c r="F4360" s="2" t="s">
        <v>822</v>
      </c>
      <c r="G4360" s="23" t="s">
        <v>902</v>
      </c>
      <c r="H4360" s="2" t="s">
        <v>822</v>
      </c>
      <c r="J4360" s="31">
        <v>35.413200400000001</v>
      </c>
      <c r="K4360" s="31">
        <v>17.555799499999999</v>
      </c>
      <c r="L4360" s="31"/>
      <c r="M4360" s="31" t="s">
        <v>854</v>
      </c>
      <c r="N4360" s="6" t="s">
        <v>856</v>
      </c>
    </row>
    <row r="4361" spans="1:14" ht="15" customHeight="1" x14ac:dyDescent="0.2">
      <c r="A4361" s="31">
        <v>0.56270929937815117</v>
      </c>
      <c r="B4361" s="31"/>
      <c r="C4361" s="2" t="s">
        <v>855</v>
      </c>
      <c r="D4361" s="31">
        <f t="shared" si="142"/>
        <v>0.11029102267811763</v>
      </c>
      <c r="F4361" s="2" t="s">
        <v>822</v>
      </c>
      <c r="G4361" s="23" t="s">
        <v>902</v>
      </c>
      <c r="H4361" s="2" t="s">
        <v>822</v>
      </c>
      <c r="J4361" s="31">
        <v>47.416000400000001</v>
      </c>
      <c r="K4361" s="31">
        <v>-42.560001399999997</v>
      </c>
      <c r="L4361" s="31"/>
      <c r="M4361" s="31" t="s">
        <v>854</v>
      </c>
      <c r="N4361" s="6" t="s">
        <v>856</v>
      </c>
    </row>
    <row r="4362" spans="1:14" ht="15" customHeight="1" x14ac:dyDescent="0.2">
      <c r="A4362" s="31">
        <v>0.56200205453336904</v>
      </c>
      <c r="B4362" s="31"/>
      <c r="C4362" s="2" t="s">
        <v>855</v>
      </c>
      <c r="D4362" s="31">
        <f t="shared" si="142"/>
        <v>0.11015240268854033</v>
      </c>
      <c r="F4362" s="2" t="s">
        <v>822</v>
      </c>
      <c r="G4362" s="23" t="s">
        <v>902</v>
      </c>
      <c r="H4362" s="2" t="s">
        <v>822</v>
      </c>
      <c r="J4362" s="31">
        <v>36.388698599999998</v>
      </c>
      <c r="K4362" s="31">
        <v>-32.397800400000001</v>
      </c>
      <c r="L4362" s="31"/>
      <c r="M4362" s="31" t="s">
        <v>854</v>
      </c>
      <c r="N4362" s="6" t="s">
        <v>856</v>
      </c>
    </row>
    <row r="4363" spans="1:14" ht="15" customHeight="1" x14ac:dyDescent="0.2">
      <c r="A4363" s="31">
        <v>0.56163555993195291</v>
      </c>
      <c r="B4363" s="31"/>
      <c r="C4363" s="2" t="s">
        <v>855</v>
      </c>
      <c r="D4363" s="31">
        <f t="shared" si="142"/>
        <v>0.11008056974666278</v>
      </c>
      <c r="F4363" s="2" t="s">
        <v>822</v>
      </c>
      <c r="G4363" s="23" t="s">
        <v>902</v>
      </c>
      <c r="H4363" s="2" t="s">
        <v>822</v>
      </c>
      <c r="J4363" s="31">
        <v>39.400001500000002</v>
      </c>
      <c r="K4363" s="31">
        <v>-12.5</v>
      </c>
      <c r="L4363" s="31"/>
      <c r="M4363" s="31" t="s">
        <v>854</v>
      </c>
      <c r="N4363" s="6" t="s">
        <v>856</v>
      </c>
    </row>
    <row r="4364" spans="1:14" ht="15" customHeight="1" x14ac:dyDescent="0.2">
      <c r="A4364" s="31">
        <v>0.56141266300048642</v>
      </c>
      <c r="B4364" s="31"/>
      <c r="C4364" s="2" t="s">
        <v>855</v>
      </c>
      <c r="D4364" s="31">
        <f t="shared" si="142"/>
        <v>0.11003688194809534</v>
      </c>
      <c r="F4364" s="2" t="s">
        <v>822</v>
      </c>
      <c r="G4364" s="23" t="s">
        <v>902</v>
      </c>
      <c r="H4364" s="2" t="s">
        <v>822</v>
      </c>
      <c r="J4364" s="31">
        <v>43.253398900000001</v>
      </c>
      <c r="K4364" s="31">
        <v>-17.8619995</v>
      </c>
      <c r="L4364" s="31"/>
      <c r="M4364" s="31" t="s">
        <v>854</v>
      </c>
      <c r="N4364" s="6" t="s">
        <v>856</v>
      </c>
    </row>
    <row r="4365" spans="1:14" ht="15" customHeight="1" x14ac:dyDescent="0.2">
      <c r="A4365" s="31">
        <v>0.56138037282048758</v>
      </c>
      <c r="B4365" s="31"/>
      <c r="C4365" s="2" t="s">
        <v>855</v>
      </c>
      <c r="D4365" s="31">
        <f t="shared" si="142"/>
        <v>0.11003055307281558</v>
      </c>
      <c r="F4365" s="2" t="s">
        <v>822</v>
      </c>
      <c r="G4365" s="23" t="s">
        <v>902</v>
      </c>
      <c r="H4365" s="2" t="s">
        <v>822</v>
      </c>
      <c r="J4365" s="31">
        <v>44.104400599999998</v>
      </c>
      <c r="K4365" s="31">
        <v>-38.558498399999998</v>
      </c>
      <c r="L4365" s="31"/>
      <c r="M4365" s="31" t="s">
        <v>854</v>
      </c>
      <c r="N4365" s="6" t="s">
        <v>856</v>
      </c>
    </row>
    <row r="4366" spans="1:14" ht="15" customHeight="1" x14ac:dyDescent="0.2">
      <c r="A4366" s="31">
        <v>0.56136431485462368</v>
      </c>
      <c r="B4366" s="31"/>
      <c r="C4366" s="2" t="s">
        <v>855</v>
      </c>
      <c r="D4366" s="31">
        <f t="shared" si="142"/>
        <v>0.11002740571150625</v>
      </c>
      <c r="F4366" s="2" t="s">
        <v>822</v>
      </c>
      <c r="G4366" s="23" t="s">
        <v>902</v>
      </c>
      <c r="H4366" s="2" t="s">
        <v>822</v>
      </c>
      <c r="J4366" s="31">
        <v>34.055999800000002</v>
      </c>
      <c r="K4366" s="31">
        <v>-16.507999399999999</v>
      </c>
      <c r="L4366" s="31"/>
      <c r="M4366" s="31" t="s">
        <v>854</v>
      </c>
      <c r="N4366" s="6" t="s">
        <v>856</v>
      </c>
    </row>
    <row r="4367" spans="1:14" ht="15" customHeight="1" x14ac:dyDescent="0.2">
      <c r="A4367" s="31">
        <v>0.56131844002444076</v>
      </c>
      <c r="B4367" s="31"/>
      <c r="C4367" s="2" t="s">
        <v>855</v>
      </c>
      <c r="D4367" s="31">
        <f t="shared" si="142"/>
        <v>0.11001841424479039</v>
      </c>
      <c r="F4367" s="2" t="s">
        <v>822</v>
      </c>
      <c r="G4367" s="23" t="s">
        <v>902</v>
      </c>
      <c r="H4367" s="2" t="s">
        <v>822</v>
      </c>
      <c r="J4367" s="31">
        <v>54.419101699999999</v>
      </c>
      <c r="K4367" s="31">
        <v>-4.6224700000000001E-2</v>
      </c>
      <c r="L4367" s="31"/>
      <c r="M4367" s="31" t="s">
        <v>854</v>
      </c>
      <c r="N4367" s="6" t="s">
        <v>856</v>
      </c>
    </row>
    <row r="4368" spans="1:14" ht="15" customHeight="1" x14ac:dyDescent="0.2">
      <c r="A4368" s="31">
        <v>0.56112882136949893</v>
      </c>
      <c r="B4368" s="31"/>
      <c r="C4368" s="2" t="s">
        <v>855</v>
      </c>
      <c r="D4368" s="31">
        <f t="shared" si="142"/>
        <v>0.10998124898842179</v>
      </c>
      <c r="F4368" s="2" t="s">
        <v>822</v>
      </c>
      <c r="G4368" s="23" t="s">
        <v>902</v>
      </c>
      <c r="H4368" s="2" t="s">
        <v>822</v>
      </c>
      <c r="J4368" s="31">
        <v>46.057498899999999</v>
      </c>
      <c r="K4368" s="31">
        <v>-5.1680102000000003</v>
      </c>
      <c r="L4368" s="31"/>
      <c r="M4368" s="31" t="s">
        <v>854</v>
      </c>
      <c r="N4368" s="6" t="s">
        <v>856</v>
      </c>
    </row>
    <row r="4369" spans="1:14" ht="15" customHeight="1" x14ac:dyDescent="0.2">
      <c r="A4369" s="31">
        <v>0.56110847680639064</v>
      </c>
      <c r="B4369" s="31"/>
      <c r="C4369" s="2" t="s">
        <v>855</v>
      </c>
      <c r="D4369" s="31">
        <f t="shared" si="142"/>
        <v>0.10997726145405257</v>
      </c>
      <c r="F4369" s="2" t="s">
        <v>822</v>
      </c>
      <c r="G4369" s="23" t="s">
        <v>902</v>
      </c>
      <c r="H4369" s="2" t="s">
        <v>822</v>
      </c>
      <c r="J4369" s="31">
        <v>51.709701500000001</v>
      </c>
      <c r="K4369" s="31">
        <v>1.0249900000000001</v>
      </c>
      <c r="L4369" s="31"/>
      <c r="M4369" s="31" t="s">
        <v>854</v>
      </c>
      <c r="N4369" s="6" t="s">
        <v>856</v>
      </c>
    </row>
    <row r="4370" spans="1:14" ht="15" customHeight="1" x14ac:dyDescent="0.2">
      <c r="A4370" s="31">
        <v>0.5610777780331343</v>
      </c>
      <c r="B4370" s="31"/>
      <c r="C4370" s="2" t="s">
        <v>855</v>
      </c>
      <c r="D4370" s="31">
        <f t="shared" si="142"/>
        <v>0.10997124449449433</v>
      </c>
      <c r="F4370" s="2" t="s">
        <v>822</v>
      </c>
      <c r="G4370" s="23" t="s">
        <v>902</v>
      </c>
      <c r="H4370" s="2" t="s">
        <v>822</v>
      </c>
      <c r="J4370" s="31">
        <v>46.080001799999998</v>
      </c>
      <c r="K4370" s="31">
        <v>-22.520000499999998</v>
      </c>
      <c r="L4370" s="31"/>
      <c r="M4370" s="31" t="s">
        <v>854</v>
      </c>
      <c r="N4370" s="6" t="s">
        <v>856</v>
      </c>
    </row>
    <row r="4371" spans="1:14" ht="15" customHeight="1" x14ac:dyDescent="0.2">
      <c r="A4371" s="31">
        <v>0.56061757120413791</v>
      </c>
      <c r="B4371" s="31"/>
      <c r="C4371" s="2" t="s">
        <v>855</v>
      </c>
      <c r="D4371" s="31">
        <f t="shared" si="142"/>
        <v>0.10988104395601103</v>
      </c>
      <c r="F4371" s="2" t="s">
        <v>822</v>
      </c>
      <c r="G4371" s="23" t="s">
        <v>902</v>
      </c>
      <c r="H4371" s="2" t="s">
        <v>822</v>
      </c>
      <c r="J4371" s="31">
        <v>34.539199799999999</v>
      </c>
      <c r="K4371" s="31">
        <v>-32.482101399999998</v>
      </c>
      <c r="L4371" s="31"/>
      <c r="M4371" s="31" t="s">
        <v>854</v>
      </c>
      <c r="N4371" s="6" t="s">
        <v>856</v>
      </c>
    </row>
    <row r="4372" spans="1:14" ht="15" customHeight="1" x14ac:dyDescent="0.2">
      <c r="A4372" s="31">
        <v>0.56055826120327856</v>
      </c>
      <c r="B4372" s="31"/>
      <c r="C4372" s="2" t="s">
        <v>855</v>
      </c>
      <c r="D4372" s="31">
        <f t="shared" si="142"/>
        <v>0.1098694191958426</v>
      </c>
      <c r="F4372" s="2" t="s">
        <v>822</v>
      </c>
      <c r="G4372" s="23" t="s">
        <v>902</v>
      </c>
      <c r="H4372" s="2" t="s">
        <v>822</v>
      </c>
      <c r="J4372" s="31">
        <v>35.391998299999997</v>
      </c>
      <c r="K4372" s="31">
        <v>-21.184000000000001</v>
      </c>
      <c r="L4372" s="31"/>
      <c r="M4372" s="31" t="s">
        <v>854</v>
      </c>
      <c r="N4372" s="6" t="s">
        <v>856</v>
      </c>
    </row>
    <row r="4373" spans="1:14" ht="15" customHeight="1" x14ac:dyDescent="0.2">
      <c r="A4373" s="31">
        <v>0.56042713680521161</v>
      </c>
      <c r="B4373" s="31"/>
      <c r="C4373" s="2" t="s">
        <v>855</v>
      </c>
      <c r="D4373" s="31">
        <f t="shared" si="142"/>
        <v>0.10984371881382148</v>
      </c>
      <c r="F4373" s="2" t="s">
        <v>822</v>
      </c>
      <c r="G4373" s="23" t="s">
        <v>902</v>
      </c>
      <c r="H4373" s="2" t="s">
        <v>822</v>
      </c>
      <c r="J4373" s="31">
        <v>54.538200400000001</v>
      </c>
      <c r="K4373" s="31">
        <v>-8.5078001000000008</v>
      </c>
      <c r="L4373" s="31"/>
      <c r="M4373" s="31" t="s">
        <v>854</v>
      </c>
      <c r="N4373" s="6" t="s">
        <v>856</v>
      </c>
    </row>
    <row r="4374" spans="1:14" ht="15" customHeight="1" x14ac:dyDescent="0.2">
      <c r="A4374" s="31">
        <v>0.56018041229479876</v>
      </c>
      <c r="B4374" s="31"/>
      <c r="C4374" s="2" t="s">
        <v>855</v>
      </c>
      <c r="D4374" s="31">
        <f t="shared" si="142"/>
        <v>0.10979536080978056</v>
      </c>
      <c r="F4374" s="2" t="s">
        <v>822</v>
      </c>
      <c r="G4374" s="23" t="s">
        <v>902</v>
      </c>
      <c r="H4374" s="2" t="s">
        <v>822</v>
      </c>
      <c r="J4374" s="31">
        <v>38.433601400000001</v>
      </c>
      <c r="K4374" s="31">
        <v>-15.8333998</v>
      </c>
      <c r="L4374" s="31"/>
      <c r="M4374" s="31" t="s">
        <v>854</v>
      </c>
      <c r="N4374" s="6" t="s">
        <v>856</v>
      </c>
    </row>
    <row r="4375" spans="1:14" ht="15" customHeight="1" x14ac:dyDescent="0.2">
      <c r="A4375" s="31">
        <v>0.56004577069132477</v>
      </c>
      <c r="B4375" s="31"/>
      <c r="C4375" s="2" t="s">
        <v>855</v>
      </c>
      <c r="D4375" s="31">
        <f t="shared" si="142"/>
        <v>0.10976897105549965</v>
      </c>
      <c r="F4375" s="2" t="s">
        <v>822</v>
      </c>
      <c r="G4375" s="23" t="s">
        <v>902</v>
      </c>
      <c r="H4375" s="2" t="s">
        <v>822</v>
      </c>
      <c r="J4375" s="31">
        <v>32.673301700000003</v>
      </c>
      <c r="K4375" s="31">
        <v>24.780399299999999</v>
      </c>
      <c r="L4375" s="31"/>
      <c r="M4375" s="31" t="s">
        <v>854</v>
      </c>
      <c r="N4375" s="6" t="s">
        <v>856</v>
      </c>
    </row>
    <row r="4376" spans="1:14" ht="15" customHeight="1" x14ac:dyDescent="0.2">
      <c r="A4376" s="31">
        <v>0.55994875583741055</v>
      </c>
      <c r="B4376" s="31"/>
      <c r="C4376" s="2" t="s">
        <v>855</v>
      </c>
      <c r="D4376" s="31">
        <f t="shared" si="142"/>
        <v>0.10974995614413247</v>
      </c>
      <c r="F4376" s="2" t="s">
        <v>822</v>
      </c>
      <c r="G4376" s="23" t="s">
        <v>902</v>
      </c>
      <c r="H4376" s="2" t="s">
        <v>822</v>
      </c>
      <c r="J4376" s="31">
        <v>54.8755989</v>
      </c>
      <c r="K4376" s="31">
        <v>4.9698399999999996</v>
      </c>
      <c r="L4376" s="31"/>
      <c r="M4376" s="31" t="s">
        <v>854</v>
      </c>
      <c r="N4376" s="6" t="s">
        <v>856</v>
      </c>
    </row>
    <row r="4377" spans="1:14" ht="15" customHeight="1" x14ac:dyDescent="0.2">
      <c r="A4377" s="31">
        <v>0.55991284553634668</v>
      </c>
      <c r="B4377" s="31"/>
      <c r="C4377" s="2" t="s">
        <v>855</v>
      </c>
      <c r="D4377" s="31">
        <f t="shared" si="142"/>
        <v>0.10974291772512396</v>
      </c>
      <c r="F4377" s="2" t="s">
        <v>822</v>
      </c>
      <c r="G4377" s="23" t="s">
        <v>902</v>
      </c>
      <c r="H4377" s="2" t="s">
        <v>822</v>
      </c>
      <c r="J4377" s="31">
        <v>50.831199599999998</v>
      </c>
      <c r="K4377" s="31">
        <v>-15.8369999</v>
      </c>
      <c r="L4377" s="31"/>
      <c r="M4377" s="31" t="s">
        <v>854</v>
      </c>
      <c r="N4377" s="6" t="s">
        <v>856</v>
      </c>
    </row>
    <row r="4378" spans="1:14" ht="15" customHeight="1" x14ac:dyDescent="0.2">
      <c r="A4378" s="31">
        <v>0.55974703180607999</v>
      </c>
      <c r="B4378" s="31"/>
      <c r="C4378" s="2" t="s">
        <v>855</v>
      </c>
      <c r="D4378" s="31">
        <f t="shared" si="142"/>
        <v>0.10971041823399168</v>
      </c>
      <c r="F4378" s="2" t="s">
        <v>822</v>
      </c>
      <c r="G4378" s="23" t="s">
        <v>902</v>
      </c>
      <c r="H4378" s="2" t="s">
        <v>822</v>
      </c>
      <c r="J4378" s="31">
        <v>39.936298399999998</v>
      </c>
      <c r="K4378" s="31">
        <v>17.768999099999998</v>
      </c>
      <c r="L4378" s="31"/>
      <c r="M4378" s="31" t="s">
        <v>854</v>
      </c>
      <c r="N4378" s="6" t="s">
        <v>856</v>
      </c>
    </row>
    <row r="4379" spans="1:14" ht="15" customHeight="1" x14ac:dyDescent="0.2">
      <c r="A4379" s="31">
        <v>0.55894534250327088</v>
      </c>
      <c r="B4379" s="31"/>
      <c r="C4379" s="2" t="s">
        <v>855</v>
      </c>
      <c r="D4379" s="31">
        <f t="shared" si="142"/>
        <v>0.10955328713064109</v>
      </c>
      <c r="F4379" s="2" t="s">
        <v>822</v>
      </c>
      <c r="G4379" s="23" t="s">
        <v>902</v>
      </c>
      <c r="H4379" s="2" t="s">
        <v>822</v>
      </c>
      <c r="J4379" s="31">
        <v>57.678001399999999</v>
      </c>
      <c r="K4379" s="31">
        <v>-3.8340999999999998</v>
      </c>
      <c r="L4379" s="31"/>
      <c r="M4379" s="31" t="s">
        <v>854</v>
      </c>
      <c r="N4379" s="6" t="s">
        <v>856</v>
      </c>
    </row>
    <row r="4380" spans="1:14" ht="15" customHeight="1" x14ac:dyDescent="0.2">
      <c r="A4380" s="31">
        <v>0.55892638940085371</v>
      </c>
      <c r="B4380" s="31"/>
      <c r="C4380" s="2" t="s">
        <v>855</v>
      </c>
      <c r="D4380" s="31">
        <f t="shared" si="142"/>
        <v>0.10954957232256733</v>
      </c>
      <c r="F4380" s="2" t="s">
        <v>822</v>
      </c>
      <c r="G4380" s="23" t="s">
        <v>902</v>
      </c>
      <c r="H4380" s="2" t="s">
        <v>822</v>
      </c>
      <c r="J4380" s="31">
        <v>52.927299499999997</v>
      </c>
      <c r="K4380" s="31">
        <v>0.165327</v>
      </c>
      <c r="L4380" s="31"/>
      <c r="M4380" s="31" t="s">
        <v>854</v>
      </c>
      <c r="N4380" s="6" t="s">
        <v>856</v>
      </c>
    </row>
    <row r="4381" spans="1:14" ht="15" customHeight="1" x14ac:dyDescent="0.2">
      <c r="A4381" s="31">
        <v>0.558486947925382</v>
      </c>
      <c r="B4381" s="31"/>
      <c r="C4381" s="2" t="s">
        <v>855</v>
      </c>
      <c r="D4381" s="31">
        <f t="shared" si="142"/>
        <v>0.10946344179337487</v>
      </c>
      <c r="F4381" s="2" t="s">
        <v>822</v>
      </c>
      <c r="G4381" s="23" t="s">
        <v>902</v>
      </c>
      <c r="H4381" s="2" t="s">
        <v>822</v>
      </c>
      <c r="J4381" s="31">
        <v>46.080001799999998</v>
      </c>
      <c r="K4381" s="31">
        <v>-30.5359993</v>
      </c>
      <c r="L4381" s="31"/>
      <c r="M4381" s="31" t="s">
        <v>854</v>
      </c>
      <c r="N4381" s="6" t="s">
        <v>856</v>
      </c>
    </row>
    <row r="4382" spans="1:14" ht="15" customHeight="1" x14ac:dyDescent="0.2">
      <c r="A4382" s="31">
        <v>0.55831547179205687</v>
      </c>
      <c r="B4382" s="31"/>
      <c r="C4382" s="2" t="s">
        <v>855</v>
      </c>
      <c r="D4382" s="31">
        <f t="shared" ref="D4382:D4413" si="143" xml:space="preserve"> A4382 * 0.196</f>
        <v>0.10942983247124315</v>
      </c>
      <c r="F4382" s="2" t="s">
        <v>822</v>
      </c>
      <c r="G4382" s="23" t="s">
        <v>902</v>
      </c>
      <c r="H4382" s="2" t="s">
        <v>822</v>
      </c>
      <c r="J4382" s="31">
        <v>47.416000400000001</v>
      </c>
      <c r="K4382" s="31">
        <v>-31.204000499999999</v>
      </c>
      <c r="L4382" s="31"/>
      <c r="M4382" s="31" t="s">
        <v>854</v>
      </c>
      <c r="N4382" s="6" t="s">
        <v>856</v>
      </c>
    </row>
    <row r="4383" spans="1:14" ht="15" customHeight="1" x14ac:dyDescent="0.2">
      <c r="A4383" s="31">
        <v>0.558222195133937</v>
      </c>
      <c r="B4383" s="31"/>
      <c r="C4383" s="2" t="s">
        <v>855</v>
      </c>
      <c r="D4383" s="31">
        <f t="shared" si="143"/>
        <v>0.10941155024625165</v>
      </c>
      <c r="F4383" s="2" t="s">
        <v>822</v>
      </c>
      <c r="G4383" s="23" t="s">
        <v>902</v>
      </c>
      <c r="H4383" s="2" t="s">
        <v>822</v>
      </c>
      <c r="J4383" s="31">
        <v>34.579799700000002</v>
      </c>
      <c r="K4383" s="31">
        <v>-18.552600900000002</v>
      </c>
      <c r="L4383" s="31"/>
      <c r="M4383" s="31" t="s">
        <v>854</v>
      </c>
      <c r="N4383" s="6" t="s">
        <v>856</v>
      </c>
    </row>
    <row r="4384" spans="1:14" ht="15" customHeight="1" x14ac:dyDescent="0.2">
      <c r="A4384" s="31">
        <v>0.55821640536581918</v>
      </c>
      <c r="B4384" s="31"/>
      <c r="C4384" s="2" t="s">
        <v>855</v>
      </c>
      <c r="D4384" s="31">
        <f t="shared" si="143"/>
        <v>0.10941041545170056</v>
      </c>
      <c r="F4384" s="2" t="s">
        <v>822</v>
      </c>
      <c r="G4384" s="23" t="s">
        <v>902</v>
      </c>
      <c r="H4384" s="2" t="s">
        <v>822</v>
      </c>
      <c r="J4384" s="31">
        <v>47.416000400000001</v>
      </c>
      <c r="K4384" s="31">
        <v>-37.215999600000004</v>
      </c>
      <c r="L4384" s="31"/>
      <c r="M4384" s="31" t="s">
        <v>854</v>
      </c>
      <c r="N4384" s="6" t="s">
        <v>856</v>
      </c>
    </row>
    <row r="4385" spans="1:14" ht="15" customHeight="1" x14ac:dyDescent="0.2">
      <c r="A4385" s="31">
        <v>0.55821566512964271</v>
      </c>
      <c r="B4385" s="31"/>
      <c r="C4385" s="2" t="s">
        <v>855</v>
      </c>
      <c r="D4385" s="31">
        <f t="shared" si="143"/>
        <v>0.10941027036540997</v>
      </c>
      <c r="F4385" s="2" t="s">
        <v>822</v>
      </c>
      <c r="G4385" s="23" t="s">
        <v>902</v>
      </c>
      <c r="H4385" s="2" t="s">
        <v>822</v>
      </c>
      <c r="J4385" s="31">
        <v>50.084701500000001</v>
      </c>
      <c r="K4385" s="31">
        <v>-14.501000400000001</v>
      </c>
      <c r="L4385" s="31"/>
      <c r="M4385" s="31" t="s">
        <v>854</v>
      </c>
      <c r="N4385" s="6" t="s">
        <v>856</v>
      </c>
    </row>
    <row r="4386" spans="1:14" ht="15" customHeight="1" x14ac:dyDescent="0.2">
      <c r="A4386" s="31">
        <v>0.55815237599002765</v>
      </c>
      <c r="B4386" s="31"/>
      <c r="C4386" s="2" t="s">
        <v>855</v>
      </c>
      <c r="D4386" s="31">
        <f t="shared" si="143"/>
        <v>0.10939786569404543</v>
      </c>
      <c r="F4386" s="2" t="s">
        <v>822</v>
      </c>
      <c r="G4386" s="23" t="s">
        <v>902</v>
      </c>
      <c r="H4386" s="2" t="s">
        <v>822</v>
      </c>
      <c r="J4386" s="31">
        <v>27.360500300000002</v>
      </c>
      <c r="K4386" s="31">
        <v>-26.540199300000001</v>
      </c>
      <c r="L4386" s="31"/>
      <c r="M4386" s="31" t="s">
        <v>854</v>
      </c>
      <c r="N4386" s="6" t="s">
        <v>856</v>
      </c>
    </row>
    <row r="4387" spans="1:14" ht="15" customHeight="1" x14ac:dyDescent="0.2">
      <c r="A4387" s="31">
        <v>0.5579977448340615</v>
      </c>
      <c r="B4387" s="31"/>
      <c r="C4387" s="2" t="s">
        <v>855</v>
      </c>
      <c r="D4387" s="31">
        <f t="shared" si="143"/>
        <v>0.10936755798747606</v>
      </c>
      <c r="F4387" s="2" t="s">
        <v>822</v>
      </c>
      <c r="G4387" s="23" t="s">
        <v>902</v>
      </c>
      <c r="H4387" s="2" t="s">
        <v>822</v>
      </c>
      <c r="J4387" s="31">
        <v>46.080001799999998</v>
      </c>
      <c r="K4387" s="31">
        <v>-17.8439999</v>
      </c>
      <c r="L4387" s="31"/>
      <c r="M4387" s="31" t="s">
        <v>854</v>
      </c>
      <c r="N4387" s="6" t="s">
        <v>856</v>
      </c>
    </row>
    <row r="4388" spans="1:14" ht="15" customHeight="1" x14ac:dyDescent="0.2">
      <c r="A4388" s="31">
        <v>0.55749977670088169</v>
      </c>
      <c r="B4388" s="31"/>
      <c r="C4388" s="2" t="s">
        <v>855</v>
      </c>
      <c r="D4388" s="31">
        <f t="shared" si="143"/>
        <v>0.10926995623337281</v>
      </c>
      <c r="F4388" s="2" t="s">
        <v>822</v>
      </c>
      <c r="G4388" s="23" t="s">
        <v>902</v>
      </c>
      <c r="H4388" s="2" t="s">
        <v>822</v>
      </c>
      <c r="J4388" s="31">
        <v>39.206901600000002</v>
      </c>
      <c r="K4388" s="31">
        <v>10.473400099999999</v>
      </c>
      <c r="L4388" s="31"/>
      <c r="M4388" s="31" t="s">
        <v>854</v>
      </c>
      <c r="N4388" s="6" t="s">
        <v>856</v>
      </c>
    </row>
    <row r="4389" spans="1:14" ht="15" customHeight="1" x14ac:dyDescent="0.2">
      <c r="A4389" s="31">
        <v>0.55720358719932694</v>
      </c>
      <c r="B4389" s="31"/>
      <c r="C4389" s="2" t="s">
        <v>855</v>
      </c>
      <c r="D4389" s="31">
        <f t="shared" si="143"/>
        <v>0.10921190309106808</v>
      </c>
      <c r="F4389" s="2" t="s">
        <v>822</v>
      </c>
      <c r="G4389" s="23" t="s">
        <v>902</v>
      </c>
      <c r="H4389" s="2" t="s">
        <v>822</v>
      </c>
      <c r="J4389" s="31">
        <v>34.908000899999998</v>
      </c>
      <c r="K4389" s="31">
        <v>27.5179996</v>
      </c>
      <c r="L4389" s="31"/>
      <c r="M4389" s="31" t="s">
        <v>854</v>
      </c>
      <c r="N4389" s="6" t="s">
        <v>856</v>
      </c>
    </row>
    <row r="4390" spans="1:14" ht="15" customHeight="1" x14ac:dyDescent="0.2">
      <c r="A4390" s="31">
        <v>0.55653603960174669</v>
      </c>
      <c r="B4390" s="31"/>
      <c r="C4390" s="2" t="s">
        <v>855</v>
      </c>
      <c r="D4390" s="31">
        <f t="shared" si="143"/>
        <v>0.10908106376194236</v>
      </c>
      <c r="F4390" s="2" t="s">
        <v>822</v>
      </c>
      <c r="G4390" s="23" t="s">
        <v>902</v>
      </c>
      <c r="H4390" s="2" t="s">
        <v>822</v>
      </c>
      <c r="J4390" s="31">
        <v>30.588699299999998</v>
      </c>
      <c r="K4390" s="31">
        <v>-41.905601500000003</v>
      </c>
      <c r="L4390" s="31"/>
      <c r="M4390" s="31" t="s">
        <v>854</v>
      </c>
      <c r="N4390" s="6" t="s">
        <v>856</v>
      </c>
    </row>
    <row r="4391" spans="1:14" ht="15" customHeight="1" x14ac:dyDescent="0.2">
      <c r="A4391" s="31">
        <v>0.55629820443819844</v>
      </c>
      <c r="B4391" s="31"/>
      <c r="C4391" s="2" t="s">
        <v>855</v>
      </c>
      <c r="D4391" s="31">
        <f t="shared" si="143"/>
        <v>0.10903444806988689</v>
      </c>
      <c r="F4391" s="2" t="s">
        <v>822</v>
      </c>
      <c r="G4391" s="23" t="s">
        <v>902</v>
      </c>
      <c r="H4391" s="2" t="s">
        <v>822</v>
      </c>
      <c r="J4391" s="31">
        <v>35.472801199999999</v>
      </c>
      <c r="K4391" s="31">
        <v>-31.2362003</v>
      </c>
      <c r="L4391" s="31"/>
      <c r="M4391" s="31" t="s">
        <v>854</v>
      </c>
      <c r="N4391" s="6" t="s">
        <v>856</v>
      </c>
    </row>
    <row r="4392" spans="1:14" ht="15" customHeight="1" x14ac:dyDescent="0.2">
      <c r="A4392" s="31">
        <v>0.55626252734586767</v>
      </c>
      <c r="B4392" s="31"/>
      <c r="C4392" s="2" t="s">
        <v>855</v>
      </c>
      <c r="D4392" s="31">
        <f t="shared" si="143"/>
        <v>0.10902745535979007</v>
      </c>
      <c r="F4392" s="2" t="s">
        <v>822</v>
      </c>
      <c r="G4392" s="23" t="s">
        <v>902</v>
      </c>
      <c r="H4392" s="2" t="s">
        <v>822</v>
      </c>
      <c r="J4392" s="31">
        <v>30.048000300000002</v>
      </c>
      <c r="K4392" s="31">
        <v>-30.5359993</v>
      </c>
      <c r="L4392" s="31"/>
      <c r="M4392" s="31" t="s">
        <v>854</v>
      </c>
      <c r="N4392" s="6" t="s">
        <v>856</v>
      </c>
    </row>
    <row r="4393" spans="1:14" ht="15" customHeight="1" x14ac:dyDescent="0.2">
      <c r="A4393" s="31">
        <v>0.556114164463545</v>
      </c>
      <c r="B4393" s="31"/>
      <c r="C4393" s="2" t="s">
        <v>855</v>
      </c>
      <c r="D4393" s="31">
        <f t="shared" si="143"/>
        <v>0.10899837623485482</v>
      </c>
      <c r="F4393" s="2" t="s">
        <v>822</v>
      </c>
      <c r="G4393" s="23" t="s">
        <v>902</v>
      </c>
      <c r="H4393" s="2" t="s">
        <v>822</v>
      </c>
      <c r="J4393" s="31">
        <v>32.658000899999998</v>
      </c>
      <c r="K4393" s="31">
        <v>-36.382900200000002</v>
      </c>
      <c r="L4393" s="31"/>
      <c r="M4393" s="31" t="s">
        <v>854</v>
      </c>
      <c r="N4393" s="6" t="s">
        <v>856</v>
      </c>
    </row>
    <row r="4394" spans="1:14" ht="15" customHeight="1" x14ac:dyDescent="0.2">
      <c r="A4394" s="31">
        <v>0.55587864449235824</v>
      </c>
      <c r="B4394" s="31"/>
      <c r="C4394" s="2" t="s">
        <v>855</v>
      </c>
      <c r="D4394" s="31">
        <f t="shared" si="143"/>
        <v>0.10895221432050221</v>
      </c>
      <c r="F4394" s="2" t="s">
        <v>822</v>
      </c>
      <c r="G4394" s="23" t="s">
        <v>902</v>
      </c>
      <c r="H4394" s="2" t="s">
        <v>822</v>
      </c>
      <c r="J4394" s="31">
        <v>41.442501100000001</v>
      </c>
      <c r="K4394" s="31">
        <v>4.8647799000000003</v>
      </c>
      <c r="L4394" s="31"/>
      <c r="M4394" s="31" t="s">
        <v>854</v>
      </c>
      <c r="N4394" s="6" t="s">
        <v>856</v>
      </c>
    </row>
    <row r="4395" spans="1:14" ht="15" customHeight="1" x14ac:dyDescent="0.2">
      <c r="A4395" s="31">
        <v>0.55586575916680547</v>
      </c>
      <c r="B4395" s="31"/>
      <c r="C4395" s="2" t="s">
        <v>855</v>
      </c>
      <c r="D4395" s="31">
        <f t="shared" si="143"/>
        <v>0.10894968879669388</v>
      </c>
      <c r="F4395" s="2" t="s">
        <v>822</v>
      </c>
      <c r="G4395" s="23" t="s">
        <v>902</v>
      </c>
      <c r="H4395" s="2" t="s">
        <v>822</v>
      </c>
      <c r="J4395" s="31">
        <v>37.358398399999999</v>
      </c>
      <c r="K4395" s="31">
        <v>-32.344398499999997</v>
      </c>
      <c r="L4395" s="31"/>
      <c r="M4395" s="31" t="s">
        <v>854</v>
      </c>
      <c r="N4395" s="6" t="s">
        <v>856</v>
      </c>
    </row>
    <row r="4396" spans="1:14" ht="15" customHeight="1" x14ac:dyDescent="0.2">
      <c r="A4396" s="31">
        <v>0.55559531802689233</v>
      </c>
      <c r="B4396" s="31"/>
      <c r="C4396" s="2" t="s">
        <v>855</v>
      </c>
      <c r="D4396" s="31">
        <f t="shared" si="143"/>
        <v>0.10889668233327091</v>
      </c>
      <c r="F4396" s="2" t="s">
        <v>822</v>
      </c>
      <c r="G4396" s="23" t="s">
        <v>902</v>
      </c>
      <c r="H4396" s="2" t="s">
        <v>822</v>
      </c>
      <c r="J4396" s="31">
        <v>40.912300100000003</v>
      </c>
      <c r="K4396" s="31">
        <v>3.9373300000000002</v>
      </c>
      <c r="L4396" s="31"/>
      <c r="M4396" s="31" t="s">
        <v>854</v>
      </c>
      <c r="N4396" s="6" t="s">
        <v>856</v>
      </c>
    </row>
    <row r="4397" spans="1:14" ht="15" customHeight="1" x14ac:dyDescent="0.2">
      <c r="A4397" s="31">
        <v>0.55530744454048853</v>
      </c>
      <c r="B4397" s="31"/>
      <c r="C4397" s="2" t="s">
        <v>855</v>
      </c>
      <c r="D4397" s="31">
        <f t="shared" si="143"/>
        <v>0.10884025912993575</v>
      </c>
      <c r="F4397" s="2" t="s">
        <v>822</v>
      </c>
      <c r="G4397" s="23" t="s">
        <v>902</v>
      </c>
      <c r="H4397" s="2" t="s">
        <v>822</v>
      </c>
      <c r="J4397" s="31">
        <v>63.408401499999997</v>
      </c>
      <c r="K4397" s="31">
        <v>-20.5417004</v>
      </c>
      <c r="L4397" s="31"/>
      <c r="M4397" s="31" t="s">
        <v>854</v>
      </c>
      <c r="N4397" s="6" t="s">
        <v>856</v>
      </c>
    </row>
    <row r="4398" spans="1:14" ht="15" customHeight="1" x14ac:dyDescent="0.2">
      <c r="A4398" s="31">
        <v>0.55513045062862809</v>
      </c>
      <c r="B4398" s="31"/>
      <c r="C4398" s="2" t="s">
        <v>855</v>
      </c>
      <c r="D4398" s="31">
        <f t="shared" si="143"/>
        <v>0.10880556832321112</v>
      </c>
      <c r="F4398" s="2" t="s">
        <v>822</v>
      </c>
      <c r="G4398" s="23" t="s">
        <v>902</v>
      </c>
      <c r="H4398" s="2" t="s">
        <v>822</v>
      </c>
      <c r="J4398" s="31">
        <v>58.172100100000002</v>
      </c>
      <c r="K4398" s="31">
        <v>-3.16804</v>
      </c>
      <c r="L4398" s="31"/>
      <c r="M4398" s="31" t="s">
        <v>854</v>
      </c>
      <c r="N4398" s="6" t="s">
        <v>856</v>
      </c>
    </row>
    <row r="4399" spans="1:14" ht="15" customHeight="1" x14ac:dyDescent="0.2">
      <c r="A4399" s="31">
        <v>0.55506530302534962</v>
      </c>
      <c r="B4399" s="31"/>
      <c r="C4399" s="2" t="s">
        <v>855</v>
      </c>
      <c r="D4399" s="31">
        <f t="shared" si="143"/>
        <v>0.10879279939296853</v>
      </c>
      <c r="F4399" s="2" t="s">
        <v>822</v>
      </c>
      <c r="G4399" s="23" t="s">
        <v>902</v>
      </c>
      <c r="H4399" s="2" t="s">
        <v>822</v>
      </c>
      <c r="J4399" s="31">
        <v>37.476799</v>
      </c>
      <c r="K4399" s="31">
        <v>17.540500600000001</v>
      </c>
      <c r="L4399" s="31"/>
      <c r="M4399" s="31" t="s">
        <v>854</v>
      </c>
      <c r="N4399" s="6" t="s">
        <v>856</v>
      </c>
    </row>
    <row r="4400" spans="1:14" ht="15" customHeight="1" x14ac:dyDescent="0.2">
      <c r="A4400" s="31">
        <v>0.55479481095093852</v>
      </c>
      <c r="B4400" s="31"/>
      <c r="C4400" s="2" t="s">
        <v>855</v>
      </c>
      <c r="D4400" s="31">
        <f t="shared" si="143"/>
        <v>0.10873978294638395</v>
      </c>
      <c r="F4400" s="2" t="s">
        <v>822</v>
      </c>
      <c r="G4400" s="23" t="s">
        <v>902</v>
      </c>
      <c r="H4400" s="2" t="s">
        <v>822</v>
      </c>
      <c r="J4400" s="31">
        <v>42.7090988</v>
      </c>
      <c r="K4400" s="31">
        <v>-28.728500400000001</v>
      </c>
      <c r="L4400" s="31"/>
      <c r="M4400" s="31" t="s">
        <v>854</v>
      </c>
      <c r="N4400" s="6" t="s">
        <v>856</v>
      </c>
    </row>
    <row r="4401" spans="1:14" ht="15" customHeight="1" x14ac:dyDescent="0.2">
      <c r="A4401" s="31">
        <v>0.55436707556672216</v>
      </c>
      <c r="B4401" s="31"/>
      <c r="C4401" s="2" t="s">
        <v>855</v>
      </c>
      <c r="D4401" s="31">
        <f t="shared" si="143"/>
        <v>0.10865594681107754</v>
      </c>
      <c r="F4401" s="2" t="s">
        <v>822</v>
      </c>
      <c r="G4401" s="23" t="s">
        <v>902</v>
      </c>
      <c r="H4401" s="2" t="s">
        <v>822</v>
      </c>
      <c r="J4401" s="31">
        <v>48.083999599999999</v>
      </c>
      <c r="K4401" s="31">
        <v>-29.867999999999999</v>
      </c>
      <c r="L4401" s="31"/>
      <c r="M4401" s="31" t="s">
        <v>854</v>
      </c>
      <c r="N4401" s="6" t="s">
        <v>856</v>
      </c>
    </row>
    <row r="4402" spans="1:14" ht="15" customHeight="1" x14ac:dyDescent="0.2">
      <c r="A4402" s="31">
        <v>0.55424271753532983</v>
      </c>
      <c r="B4402" s="31"/>
      <c r="C4402" s="2" t="s">
        <v>855</v>
      </c>
      <c r="D4402" s="31">
        <f t="shared" si="143"/>
        <v>0.10863157263692465</v>
      </c>
      <c r="F4402" s="2" t="s">
        <v>822</v>
      </c>
      <c r="G4402" s="23" t="s">
        <v>902</v>
      </c>
      <c r="H4402" s="2" t="s">
        <v>822</v>
      </c>
      <c r="J4402" s="31">
        <v>51.546298999999998</v>
      </c>
      <c r="K4402" s="31">
        <v>-9.0942802</v>
      </c>
      <c r="L4402" s="31"/>
      <c r="M4402" s="31" t="s">
        <v>854</v>
      </c>
      <c r="N4402" s="6" t="s">
        <v>856</v>
      </c>
    </row>
    <row r="4403" spans="1:14" ht="15" customHeight="1" x14ac:dyDescent="0.2">
      <c r="A4403" s="31">
        <v>0.55414303798812359</v>
      </c>
      <c r="B4403" s="31"/>
      <c r="C4403" s="2" t="s">
        <v>855</v>
      </c>
      <c r="D4403" s="31">
        <f t="shared" si="143"/>
        <v>0.10861203544567223</v>
      </c>
      <c r="F4403" s="2" t="s">
        <v>822</v>
      </c>
      <c r="G4403" s="23" t="s">
        <v>902</v>
      </c>
      <c r="H4403" s="2" t="s">
        <v>822</v>
      </c>
      <c r="J4403" s="31">
        <v>55.591899900000001</v>
      </c>
      <c r="K4403" s="31">
        <v>-7.0372601000000001</v>
      </c>
      <c r="L4403" s="31"/>
      <c r="M4403" s="31" t="s">
        <v>854</v>
      </c>
      <c r="N4403" s="6" t="s">
        <v>856</v>
      </c>
    </row>
    <row r="4404" spans="1:14" ht="15" customHeight="1" x14ac:dyDescent="0.2">
      <c r="A4404" s="31">
        <v>0.55406580771163161</v>
      </c>
      <c r="B4404" s="31"/>
      <c r="C4404" s="2" t="s">
        <v>855</v>
      </c>
      <c r="D4404" s="31">
        <f t="shared" si="143"/>
        <v>0.1085968983114798</v>
      </c>
      <c r="F4404" s="2" t="s">
        <v>822</v>
      </c>
      <c r="G4404" s="23" t="s">
        <v>902</v>
      </c>
      <c r="H4404" s="2" t="s">
        <v>822</v>
      </c>
      <c r="J4404" s="31">
        <v>40.082698800000003</v>
      </c>
      <c r="K4404" s="31">
        <v>12.9048996</v>
      </c>
      <c r="L4404" s="31"/>
      <c r="M4404" s="31" t="s">
        <v>854</v>
      </c>
      <c r="N4404" s="6" t="s">
        <v>856</v>
      </c>
    </row>
    <row r="4405" spans="1:14" ht="15" customHeight="1" x14ac:dyDescent="0.2">
      <c r="A4405" s="31">
        <v>0.55355235766550603</v>
      </c>
      <c r="B4405" s="31"/>
      <c r="C4405" s="2" t="s">
        <v>855</v>
      </c>
      <c r="D4405" s="31">
        <f t="shared" si="143"/>
        <v>0.10849626210243919</v>
      </c>
      <c r="F4405" s="2" t="s">
        <v>822</v>
      </c>
      <c r="G4405" s="23" t="s">
        <v>902</v>
      </c>
      <c r="H4405" s="2" t="s">
        <v>822</v>
      </c>
      <c r="J4405" s="31">
        <v>39.491901400000003</v>
      </c>
      <c r="K4405" s="31">
        <v>-17.603099799999999</v>
      </c>
      <c r="L4405" s="31"/>
      <c r="M4405" s="31" t="s">
        <v>854</v>
      </c>
      <c r="N4405" s="6" t="s">
        <v>856</v>
      </c>
    </row>
    <row r="4406" spans="1:14" ht="15" customHeight="1" x14ac:dyDescent="0.2">
      <c r="A4406" s="31">
        <v>0.55336305973244848</v>
      </c>
      <c r="B4406" s="31"/>
      <c r="C4406" s="2" t="s">
        <v>855</v>
      </c>
      <c r="D4406" s="31">
        <f t="shared" si="143"/>
        <v>0.10845915970755991</v>
      </c>
      <c r="F4406" s="2" t="s">
        <v>822</v>
      </c>
      <c r="G4406" s="23" t="s">
        <v>902</v>
      </c>
      <c r="H4406" s="2" t="s">
        <v>822</v>
      </c>
      <c r="J4406" s="31">
        <v>41.417999299999998</v>
      </c>
      <c r="K4406" s="31">
        <v>7.9779600999999998</v>
      </c>
      <c r="L4406" s="31"/>
      <c r="M4406" s="31" t="s">
        <v>854</v>
      </c>
      <c r="N4406" s="6" t="s">
        <v>856</v>
      </c>
    </row>
    <row r="4407" spans="1:14" ht="15" customHeight="1" x14ac:dyDescent="0.2">
      <c r="A4407" s="31">
        <v>0.5533568394383297</v>
      </c>
      <c r="B4407" s="31"/>
      <c r="C4407" s="2" t="s">
        <v>855</v>
      </c>
      <c r="D4407" s="31">
        <f t="shared" si="143"/>
        <v>0.10845794052991263</v>
      </c>
      <c r="F4407" s="2" t="s">
        <v>822</v>
      </c>
      <c r="G4407" s="23" t="s">
        <v>902</v>
      </c>
      <c r="H4407" s="2" t="s">
        <v>822</v>
      </c>
      <c r="J4407" s="31">
        <v>45.759601600000003</v>
      </c>
      <c r="K4407" s="31">
        <v>-37.563598599999999</v>
      </c>
      <c r="L4407" s="31"/>
      <c r="M4407" s="31" t="s">
        <v>854</v>
      </c>
      <c r="N4407" s="6" t="s">
        <v>856</v>
      </c>
    </row>
    <row r="4408" spans="1:14" ht="15" customHeight="1" x14ac:dyDescent="0.2">
      <c r="A4408" s="31">
        <v>0.55332740200050745</v>
      </c>
      <c r="B4408" s="31"/>
      <c r="C4408" s="2" t="s">
        <v>855</v>
      </c>
      <c r="D4408" s="31">
        <f t="shared" si="143"/>
        <v>0.10845217079209947</v>
      </c>
      <c r="F4408" s="2" t="s">
        <v>822</v>
      </c>
      <c r="G4408" s="23" t="s">
        <v>902</v>
      </c>
      <c r="H4408" s="2" t="s">
        <v>822</v>
      </c>
      <c r="J4408" s="31">
        <v>46.748001100000003</v>
      </c>
      <c r="K4408" s="31">
        <v>-9.1599997999999996</v>
      </c>
      <c r="L4408" s="31"/>
      <c r="M4408" s="31" t="s">
        <v>854</v>
      </c>
      <c r="N4408" s="6" t="s">
        <v>856</v>
      </c>
    </row>
    <row r="4409" spans="1:14" ht="15" customHeight="1" x14ac:dyDescent="0.2">
      <c r="A4409" s="31">
        <v>0.55319986060003434</v>
      </c>
      <c r="B4409" s="31"/>
      <c r="C4409" s="2" t="s">
        <v>855</v>
      </c>
      <c r="D4409" s="31">
        <f t="shared" si="143"/>
        <v>0.10842717267760674</v>
      </c>
      <c r="F4409" s="2" t="s">
        <v>822</v>
      </c>
      <c r="G4409" s="23" t="s">
        <v>902</v>
      </c>
      <c r="H4409" s="2" t="s">
        <v>822</v>
      </c>
      <c r="J4409" s="31">
        <v>27.376300799999999</v>
      </c>
      <c r="K4409" s="31">
        <v>-29.867900800000001</v>
      </c>
      <c r="L4409" s="31"/>
      <c r="M4409" s="31" t="s">
        <v>854</v>
      </c>
      <c r="N4409" s="6" t="s">
        <v>856</v>
      </c>
    </row>
    <row r="4410" spans="1:14" ht="15" customHeight="1" x14ac:dyDescent="0.2">
      <c r="A4410" s="31">
        <v>0.55295672421318054</v>
      </c>
      <c r="B4410" s="31"/>
      <c r="C4410" s="2" t="s">
        <v>855</v>
      </c>
      <c r="D4410" s="31">
        <f t="shared" si="143"/>
        <v>0.10837951794578339</v>
      </c>
      <c r="F4410" s="2" t="s">
        <v>822</v>
      </c>
      <c r="G4410" s="23" t="s">
        <v>902</v>
      </c>
      <c r="H4410" s="2" t="s">
        <v>822</v>
      </c>
      <c r="J4410" s="31">
        <v>44.587398499999999</v>
      </c>
      <c r="K4410" s="31">
        <v>-19.0694008</v>
      </c>
      <c r="L4410" s="31"/>
      <c r="M4410" s="31" t="s">
        <v>854</v>
      </c>
      <c r="N4410" s="6" t="s">
        <v>856</v>
      </c>
    </row>
    <row r="4411" spans="1:14" ht="15" customHeight="1" x14ac:dyDescent="0.2">
      <c r="A4411" s="31">
        <v>0.55293909097812899</v>
      </c>
      <c r="B4411" s="31"/>
      <c r="C4411" s="2" t="s">
        <v>855</v>
      </c>
      <c r="D4411" s="31">
        <f t="shared" si="143"/>
        <v>0.10837606183171329</v>
      </c>
      <c r="F4411" s="2" t="s">
        <v>822</v>
      </c>
      <c r="G4411" s="23" t="s">
        <v>902</v>
      </c>
      <c r="H4411" s="2" t="s">
        <v>822</v>
      </c>
      <c r="J4411" s="31">
        <v>31.952499400000001</v>
      </c>
      <c r="K4411" s="31">
        <v>27.241800300000001</v>
      </c>
      <c r="L4411" s="31"/>
      <c r="M4411" s="31" t="s">
        <v>854</v>
      </c>
      <c r="N4411" s="6" t="s">
        <v>856</v>
      </c>
    </row>
    <row r="4412" spans="1:14" ht="15" customHeight="1" x14ac:dyDescent="0.2">
      <c r="A4412" s="31">
        <v>0.55276867304602817</v>
      </c>
      <c r="B4412" s="31"/>
      <c r="C4412" s="2" t="s">
        <v>855</v>
      </c>
      <c r="D4412" s="31">
        <f t="shared" si="143"/>
        <v>0.10834265991702152</v>
      </c>
      <c r="F4412" s="2" t="s">
        <v>822</v>
      </c>
      <c r="G4412" s="23" t="s">
        <v>902</v>
      </c>
      <c r="H4412" s="2" t="s">
        <v>822</v>
      </c>
      <c r="J4412" s="31">
        <v>28.711999899999999</v>
      </c>
      <c r="K4412" s="31">
        <v>-31.8719997</v>
      </c>
      <c r="L4412" s="31"/>
      <c r="M4412" s="31" t="s">
        <v>854</v>
      </c>
      <c r="N4412" s="6" t="s">
        <v>856</v>
      </c>
    </row>
    <row r="4413" spans="1:14" ht="15" customHeight="1" x14ac:dyDescent="0.2">
      <c r="A4413" s="31">
        <v>0.55248711954170215</v>
      </c>
      <c r="B4413" s="31"/>
      <c r="C4413" s="2" t="s">
        <v>855</v>
      </c>
      <c r="D4413" s="31">
        <f t="shared" si="143"/>
        <v>0.10828747543017363</v>
      </c>
      <c r="F4413" s="2" t="s">
        <v>822</v>
      </c>
      <c r="G4413" s="23" t="s">
        <v>902</v>
      </c>
      <c r="H4413" s="2" t="s">
        <v>822</v>
      </c>
      <c r="J4413" s="31">
        <v>56.106498700000003</v>
      </c>
      <c r="K4413" s="31">
        <v>-11.826000199999999</v>
      </c>
      <c r="L4413" s="31"/>
      <c r="M4413" s="31" t="s">
        <v>854</v>
      </c>
      <c r="N4413" s="6" t="s">
        <v>856</v>
      </c>
    </row>
    <row r="4414" spans="1:14" ht="15" customHeight="1" x14ac:dyDescent="0.2">
      <c r="A4414" s="22">
        <v>0.1082404052421152</v>
      </c>
      <c r="B4414" s="22"/>
      <c r="C4414" s="2" t="s">
        <v>891</v>
      </c>
      <c r="D4414" s="2">
        <f>A4414</f>
        <v>0.1082404052421152</v>
      </c>
      <c r="F4414" s="2">
        <v>2023</v>
      </c>
      <c r="G4414" s="23" t="s">
        <v>902</v>
      </c>
      <c r="H4414" s="2" t="s">
        <v>771</v>
      </c>
      <c r="I4414" s="23" t="s">
        <v>189</v>
      </c>
      <c r="J4414" s="23">
        <v>58077385</v>
      </c>
      <c r="K4414" s="23">
        <v>11813534</v>
      </c>
      <c r="L4414" s="23" t="s">
        <v>819</v>
      </c>
      <c r="M4414" s="2" t="s">
        <v>825</v>
      </c>
      <c r="N4414" s="6" t="s">
        <v>828</v>
      </c>
    </row>
    <row r="4415" spans="1:14" ht="15" customHeight="1" x14ac:dyDescent="0.2">
      <c r="A4415" s="31">
        <v>0.55220272977685625</v>
      </c>
      <c r="B4415" s="31"/>
      <c r="C4415" s="2" t="s">
        <v>855</v>
      </c>
      <c r="D4415" s="31">
        <f t="shared" ref="D4415:D4431" si="144" xml:space="preserve"> A4415 * 0.196</f>
        <v>0.10823173503626383</v>
      </c>
      <c r="F4415" s="2" t="s">
        <v>822</v>
      </c>
      <c r="G4415" s="23" t="s">
        <v>902</v>
      </c>
      <c r="H4415" s="2" t="s">
        <v>822</v>
      </c>
      <c r="J4415" s="31">
        <v>28.0440006</v>
      </c>
      <c r="K4415" s="31">
        <v>-19.847999600000001</v>
      </c>
      <c r="L4415" s="31"/>
      <c r="M4415" s="31" t="s">
        <v>854</v>
      </c>
      <c r="N4415" s="6" t="s">
        <v>856</v>
      </c>
    </row>
    <row r="4416" spans="1:14" ht="15" customHeight="1" x14ac:dyDescent="0.2">
      <c r="A4416" s="31">
        <v>0.55184963117313457</v>
      </c>
      <c r="B4416" s="31"/>
      <c r="C4416" s="2" t="s">
        <v>855</v>
      </c>
      <c r="D4416" s="31">
        <f t="shared" si="144"/>
        <v>0.10816252770993438</v>
      </c>
      <c r="F4416" s="2" t="s">
        <v>822</v>
      </c>
      <c r="G4416" s="23" t="s">
        <v>902</v>
      </c>
      <c r="H4416" s="2" t="s">
        <v>822</v>
      </c>
      <c r="J4416" s="31">
        <v>39.165401500000002</v>
      </c>
      <c r="K4416" s="31">
        <v>23.6930008</v>
      </c>
      <c r="L4416" s="31"/>
      <c r="M4416" s="31" t="s">
        <v>854</v>
      </c>
      <c r="N4416" s="6" t="s">
        <v>856</v>
      </c>
    </row>
    <row r="4417" spans="1:14" ht="15" customHeight="1" x14ac:dyDescent="0.2">
      <c r="A4417" s="31">
        <v>0.55168903017797788</v>
      </c>
      <c r="B4417" s="31"/>
      <c r="C4417" s="2" t="s">
        <v>855</v>
      </c>
      <c r="D4417" s="31">
        <f t="shared" si="144"/>
        <v>0.10813104991488366</v>
      </c>
      <c r="F4417" s="2" t="s">
        <v>822</v>
      </c>
      <c r="G4417" s="23" t="s">
        <v>902</v>
      </c>
      <c r="H4417" s="2" t="s">
        <v>822</v>
      </c>
      <c r="J4417" s="31">
        <v>33.659500100000002</v>
      </c>
      <c r="K4417" s="31">
        <v>17.727699300000001</v>
      </c>
      <c r="L4417" s="31"/>
      <c r="M4417" s="31" t="s">
        <v>854</v>
      </c>
      <c r="N4417" s="6" t="s">
        <v>856</v>
      </c>
    </row>
    <row r="4418" spans="1:14" ht="15" customHeight="1" x14ac:dyDescent="0.2">
      <c r="A4418" s="31">
        <v>0.55160152430536868</v>
      </c>
      <c r="B4418" s="31"/>
      <c r="C4418" s="2" t="s">
        <v>855</v>
      </c>
      <c r="D4418" s="31">
        <f t="shared" si="144"/>
        <v>0.10811389876385227</v>
      </c>
      <c r="F4418" s="2" t="s">
        <v>822</v>
      </c>
      <c r="G4418" s="23" t="s">
        <v>902</v>
      </c>
      <c r="H4418" s="2" t="s">
        <v>822</v>
      </c>
      <c r="J4418" s="31">
        <v>36.703998599999998</v>
      </c>
      <c r="K4418" s="31">
        <v>-24.508499100000002</v>
      </c>
      <c r="L4418" s="31"/>
      <c r="M4418" s="31" t="s">
        <v>854</v>
      </c>
      <c r="N4418" s="6" t="s">
        <v>856</v>
      </c>
    </row>
    <row r="4419" spans="1:14" ht="15" customHeight="1" x14ac:dyDescent="0.2">
      <c r="A4419" s="31">
        <v>0.55150940691882711</v>
      </c>
      <c r="B4419" s="31"/>
      <c r="C4419" s="2" t="s">
        <v>855</v>
      </c>
      <c r="D4419" s="31">
        <f t="shared" si="144"/>
        <v>0.10809584375609012</v>
      </c>
      <c r="F4419" s="2" t="s">
        <v>822</v>
      </c>
      <c r="G4419" s="23" t="s">
        <v>902</v>
      </c>
      <c r="H4419" s="2" t="s">
        <v>822</v>
      </c>
      <c r="J4419" s="31">
        <v>29.3799992</v>
      </c>
      <c r="K4419" s="31">
        <v>-25.1919994</v>
      </c>
      <c r="L4419" s="31"/>
      <c r="M4419" s="31" t="s">
        <v>854</v>
      </c>
      <c r="N4419" s="6" t="s">
        <v>856</v>
      </c>
    </row>
    <row r="4420" spans="1:14" ht="15" customHeight="1" x14ac:dyDescent="0.2">
      <c r="A4420" s="31">
        <v>0.55121962506566846</v>
      </c>
      <c r="B4420" s="31"/>
      <c r="C4420" s="2" t="s">
        <v>855</v>
      </c>
      <c r="D4420" s="31">
        <f t="shared" si="144"/>
        <v>0.10803904651287102</v>
      </c>
      <c r="F4420" s="2" t="s">
        <v>822</v>
      </c>
      <c r="G4420" s="23" t="s">
        <v>902</v>
      </c>
      <c r="H4420" s="2" t="s">
        <v>822</v>
      </c>
      <c r="J4420" s="31">
        <v>52.1183014</v>
      </c>
      <c r="K4420" s="31">
        <v>-5.4452100000000003</v>
      </c>
      <c r="L4420" s="31"/>
      <c r="M4420" s="31" t="s">
        <v>854</v>
      </c>
      <c r="N4420" s="6" t="s">
        <v>856</v>
      </c>
    </row>
    <row r="4421" spans="1:14" ht="15" customHeight="1" x14ac:dyDescent="0.2">
      <c r="A4421" s="31">
        <v>0.55083037451550143</v>
      </c>
      <c r="B4421" s="31"/>
      <c r="C4421" s="2" t="s">
        <v>855</v>
      </c>
      <c r="D4421" s="31">
        <f t="shared" si="144"/>
        <v>0.10796275340503829</v>
      </c>
      <c r="F4421" s="2" t="s">
        <v>822</v>
      </c>
      <c r="G4421" s="23" t="s">
        <v>902</v>
      </c>
      <c r="H4421" s="2" t="s">
        <v>822</v>
      </c>
      <c r="J4421" s="31">
        <v>53.832599600000002</v>
      </c>
      <c r="K4421" s="31">
        <v>6.8720001999999996</v>
      </c>
      <c r="L4421" s="31"/>
      <c r="M4421" s="31" t="s">
        <v>854</v>
      </c>
      <c r="N4421" s="6" t="s">
        <v>856</v>
      </c>
    </row>
    <row r="4422" spans="1:14" ht="15" customHeight="1" x14ac:dyDescent="0.2">
      <c r="A4422" s="31">
        <v>0.55079998571725941</v>
      </c>
      <c r="B4422" s="31"/>
      <c r="C4422" s="2" t="s">
        <v>855</v>
      </c>
      <c r="D4422" s="31">
        <f t="shared" si="144"/>
        <v>0.10795679720058285</v>
      </c>
      <c r="F4422" s="2" t="s">
        <v>822</v>
      </c>
      <c r="G4422" s="23" t="s">
        <v>902</v>
      </c>
      <c r="H4422" s="2" t="s">
        <v>822</v>
      </c>
      <c r="J4422" s="31">
        <v>35.520900699999999</v>
      </c>
      <c r="K4422" s="31">
        <v>-15.9766998</v>
      </c>
      <c r="L4422" s="31"/>
      <c r="M4422" s="31" t="s">
        <v>854</v>
      </c>
      <c r="N4422" s="6" t="s">
        <v>856</v>
      </c>
    </row>
    <row r="4423" spans="1:14" ht="15" customHeight="1" x14ac:dyDescent="0.2">
      <c r="A4423" s="31">
        <v>0.55061988898241176</v>
      </c>
      <c r="B4423" s="31"/>
      <c r="C4423" s="2" t="s">
        <v>855</v>
      </c>
      <c r="D4423" s="31">
        <f t="shared" si="144"/>
        <v>0.10792149824055271</v>
      </c>
      <c r="F4423" s="2" t="s">
        <v>822</v>
      </c>
      <c r="G4423" s="23" t="s">
        <v>902</v>
      </c>
      <c r="H4423" s="2" t="s">
        <v>822</v>
      </c>
      <c r="J4423" s="31">
        <v>38.691200299999998</v>
      </c>
      <c r="K4423" s="31">
        <v>-21.838399899999999</v>
      </c>
      <c r="L4423" s="31"/>
      <c r="M4423" s="31" t="s">
        <v>854</v>
      </c>
      <c r="N4423" s="6" t="s">
        <v>856</v>
      </c>
    </row>
    <row r="4424" spans="1:14" ht="15" customHeight="1" x14ac:dyDescent="0.2">
      <c r="A4424" s="31">
        <v>0.55045088504761408</v>
      </c>
      <c r="B4424" s="31"/>
      <c r="C4424" s="2" t="s">
        <v>855</v>
      </c>
      <c r="D4424" s="31">
        <f t="shared" si="144"/>
        <v>0.10788837346933236</v>
      </c>
      <c r="F4424" s="2" t="s">
        <v>822</v>
      </c>
      <c r="G4424" s="23" t="s">
        <v>902</v>
      </c>
      <c r="H4424" s="2" t="s">
        <v>822</v>
      </c>
      <c r="J4424" s="31">
        <v>32.051998099999999</v>
      </c>
      <c r="K4424" s="31">
        <v>-24.5240002</v>
      </c>
      <c r="L4424" s="31"/>
      <c r="M4424" s="31" t="s">
        <v>854</v>
      </c>
      <c r="N4424" s="6" t="s">
        <v>856</v>
      </c>
    </row>
    <row r="4425" spans="1:14" ht="15" customHeight="1" x14ac:dyDescent="0.2">
      <c r="A4425" s="31">
        <v>0.55037489601041567</v>
      </c>
      <c r="B4425" s="31"/>
      <c r="C4425" s="2" t="s">
        <v>855</v>
      </c>
      <c r="D4425" s="31">
        <f t="shared" si="144"/>
        <v>0.10787347961804147</v>
      </c>
      <c r="F4425" s="2" t="s">
        <v>822</v>
      </c>
      <c r="G4425" s="23" t="s">
        <v>902</v>
      </c>
      <c r="H4425" s="2" t="s">
        <v>822</v>
      </c>
      <c r="J4425" s="31">
        <v>54.088798500000003</v>
      </c>
      <c r="K4425" s="31">
        <v>-10.2115002</v>
      </c>
      <c r="L4425" s="31"/>
      <c r="M4425" s="31" t="s">
        <v>854</v>
      </c>
      <c r="N4425" s="6" t="s">
        <v>856</v>
      </c>
    </row>
    <row r="4426" spans="1:14" ht="15" customHeight="1" x14ac:dyDescent="0.2">
      <c r="A4426" s="31">
        <v>0.54989616467714553</v>
      </c>
      <c r="B4426" s="31"/>
      <c r="C4426" s="2" t="s">
        <v>855</v>
      </c>
      <c r="D4426" s="31">
        <f t="shared" si="144"/>
        <v>0.10777964827672053</v>
      </c>
      <c r="F4426" s="2" t="s">
        <v>822</v>
      </c>
      <c r="G4426" s="23" t="s">
        <v>902</v>
      </c>
      <c r="H4426" s="2" t="s">
        <v>822</v>
      </c>
      <c r="J4426" s="31">
        <v>46.080001799999998</v>
      </c>
      <c r="K4426" s="31">
        <v>-39.888000499999997</v>
      </c>
      <c r="L4426" s="31"/>
      <c r="M4426" s="31" t="s">
        <v>854</v>
      </c>
      <c r="N4426" s="6" t="s">
        <v>856</v>
      </c>
    </row>
    <row r="4427" spans="1:14" ht="15" customHeight="1" x14ac:dyDescent="0.2">
      <c r="A4427" s="31">
        <v>0.54986741768645764</v>
      </c>
      <c r="B4427" s="31"/>
      <c r="C4427" s="2" t="s">
        <v>855</v>
      </c>
      <c r="D4427" s="31">
        <f t="shared" si="144"/>
        <v>0.1077740138665457</v>
      </c>
      <c r="F4427" s="2" t="s">
        <v>822</v>
      </c>
      <c r="G4427" s="23" t="s">
        <v>902</v>
      </c>
      <c r="H4427" s="2" t="s">
        <v>822</v>
      </c>
      <c r="J4427" s="31">
        <v>40.736598999999998</v>
      </c>
      <c r="K4427" s="31">
        <v>-33.875999499999999</v>
      </c>
      <c r="L4427" s="31"/>
      <c r="M4427" s="31" t="s">
        <v>854</v>
      </c>
      <c r="N4427" s="6" t="s">
        <v>856</v>
      </c>
    </row>
    <row r="4428" spans="1:14" ht="15" customHeight="1" x14ac:dyDescent="0.2">
      <c r="A4428" s="31">
        <v>0.54963003996064397</v>
      </c>
      <c r="B4428" s="31"/>
      <c r="C4428" s="2" t="s">
        <v>855</v>
      </c>
      <c r="D4428" s="31">
        <f t="shared" si="144"/>
        <v>0.10772748783228622</v>
      </c>
      <c r="F4428" s="2" t="s">
        <v>822</v>
      </c>
      <c r="G4428" s="23" t="s">
        <v>902</v>
      </c>
      <c r="H4428" s="2" t="s">
        <v>822</v>
      </c>
      <c r="J4428" s="31">
        <v>30.8218994</v>
      </c>
      <c r="K4428" s="31">
        <v>-13.168600100000001</v>
      </c>
      <c r="L4428" s="31"/>
      <c r="M4428" s="31" t="s">
        <v>854</v>
      </c>
      <c r="N4428" s="6" t="s">
        <v>856</v>
      </c>
    </row>
    <row r="4429" spans="1:14" ht="15" customHeight="1" x14ac:dyDescent="0.2">
      <c r="A4429" s="31">
        <v>0.54949805852676226</v>
      </c>
      <c r="B4429" s="31"/>
      <c r="C4429" s="2" t="s">
        <v>855</v>
      </c>
      <c r="D4429" s="31">
        <f t="shared" si="144"/>
        <v>0.1077016194712454</v>
      </c>
      <c r="F4429" s="2" t="s">
        <v>822</v>
      </c>
      <c r="G4429" s="23" t="s">
        <v>902</v>
      </c>
      <c r="H4429" s="2" t="s">
        <v>822</v>
      </c>
      <c r="J4429" s="31">
        <v>54.398300200000001</v>
      </c>
      <c r="K4429" s="31">
        <v>12.7581997</v>
      </c>
      <c r="L4429" s="31"/>
      <c r="M4429" s="31" t="s">
        <v>854</v>
      </c>
      <c r="N4429" s="6" t="s">
        <v>856</v>
      </c>
    </row>
    <row r="4430" spans="1:14" ht="15" customHeight="1" x14ac:dyDescent="0.2">
      <c r="A4430" s="31">
        <v>0.54946130169144591</v>
      </c>
      <c r="B4430" s="31"/>
      <c r="C4430" s="2" t="s">
        <v>855</v>
      </c>
      <c r="D4430" s="31">
        <f t="shared" si="144"/>
        <v>0.1076944151315234</v>
      </c>
      <c r="F4430" s="2" t="s">
        <v>822</v>
      </c>
      <c r="G4430" s="23" t="s">
        <v>902</v>
      </c>
      <c r="H4430" s="2" t="s">
        <v>822</v>
      </c>
      <c r="J4430" s="31">
        <v>50.088001300000002</v>
      </c>
      <c r="K4430" s="31">
        <v>-21.184000000000001</v>
      </c>
      <c r="L4430" s="31"/>
      <c r="M4430" s="31" t="s">
        <v>854</v>
      </c>
      <c r="N4430" s="6" t="s">
        <v>856</v>
      </c>
    </row>
    <row r="4431" spans="1:14" ht="15" customHeight="1" x14ac:dyDescent="0.2">
      <c r="A4431" s="31">
        <v>0.5493185859644516</v>
      </c>
      <c r="B4431" s="31"/>
      <c r="C4431" s="2" t="s">
        <v>855</v>
      </c>
      <c r="D4431" s="31">
        <f t="shared" si="144"/>
        <v>0.10766644284903251</v>
      </c>
      <c r="F4431" s="2" t="s">
        <v>822</v>
      </c>
      <c r="G4431" s="23" t="s">
        <v>902</v>
      </c>
      <c r="H4431" s="2" t="s">
        <v>822</v>
      </c>
      <c r="J4431" s="31">
        <v>40.736598999999998</v>
      </c>
      <c r="K4431" s="31">
        <v>-35.654201499999999</v>
      </c>
      <c r="L4431" s="31"/>
      <c r="M4431" s="31" t="s">
        <v>854</v>
      </c>
      <c r="N4431" s="6" t="s">
        <v>856</v>
      </c>
    </row>
    <row r="4432" spans="1:14" ht="15" customHeight="1" x14ac:dyDescent="0.2">
      <c r="A4432" s="22">
        <v>0.10765397052577713</v>
      </c>
      <c r="B4432" s="22"/>
      <c r="C4432" s="2" t="s">
        <v>891</v>
      </c>
      <c r="D4432" s="2">
        <f>A4432</f>
        <v>0.10765397052577713</v>
      </c>
      <c r="F4432" s="2">
        <v>2023</v>
      </c>
      <c r="G4432" s="23" t="s">
        <v>902</v>
      </c>
      <c r="H4432" s="2" t="s">
        <v>771</v>
      </c>
      <c r="I4432" s="23" t="s">
        <v>189</v>
      </c>
      <c r="J4432" s="23">
        <v>58077392</v>
      </c>
      <c r="K4432" s="23">
        <v>11813522</v>
      </c>
      <c r="L4432" s="23" t="s">
        <v>819</v>
      </c>
      <c r="M4432" s="2" t="s">
        <v>825</v>
      </c>
      <c r="N4432" s="6" t="s">
        <v>828</v>
      </c>
    </row>
    <row r="4433" spans="1:14" ht="15" customHeight="1" x14ac:dyDescent="0.2">
      <c r="A4433" s="31">
        <v>0.54882707795019658</v>
      </c>
      <c r="B4433" s="31"/>
      <c r="C4433" s="2" t="s">
        <v>855</v>
      </c>
      <c r="D4433" s="31">
        <f t="shared" ref="D4433:D4464" si="145" xml:space="preserve"> A4433 * 0.196</f>
        <v>0.10757010727823854</v>
      </c>
      <c r="F4433" s="2" t="s">
        <v>822</v>
      </c>
      <c r="G4433" s="23" t="s">
        <v>902</v>
      </c>
      <c r="H4433" s="2" t="s">
        <v>822</v>
      </c>
      <c r="J4433" s="31">
        <v>57.595500899999998</v>
      </c>
      <c r="K4433" s="31">
        <v>-4.2511600999999999</v>
      </c>
      <c r="L4433" s="31"/>
      <c r="M4433" s="31" t="s">
        <v>854</v>
      </c>
      <c r="N4433" s="6" t="s">
        <v>856</v>
      </c>
    </row>
    <row r="4434" spans="1:14" ht="15" customHeight="1" x14ac:dyDescent="0.2">
      <c r="A4434" s="31">
        <v>0.54879124071916774</v>
      </c>
      <c r="B4434" s="31"/>
      <c r="C4434" s="2" t="s">
        <v>855</v>
      </c>
      <c r="D4434" s="31">
        <f t="shared" si="145"/>
        <v>0.10756308318095688</v>
      </c>
      <c r="F4434" s="2" t="s">
        <v>822</v>
      </c>
      <c r="G4434" s="23" t="s">
        <v>902</v>
      </c>
      <c r="H4434" s="2" t="s">
        <v>822</v>
      </c>
      <c r="J4434" s="31">
        <v>27.121200600000002</v>
      </c>
      <c r="K4434" s="31">
        <v>-25.343299900000002</v>
      </c>
      <c r="L4434" s="31"/>
      <c r="M4434" s="31" t="s">
        <v>854</v>
      </c>
      <c r="N4434" s="6" t="s">
        <v>856</v>
      </c>
    </row>
    <row r="4435" spans="1:14" ht="15" customHeight="1" x14ac:dyDescent="0.2">
      <c r="A4435" s="31">
        <v>0.54869236644501651</v>
      </c>
      <c r="B4435" s="31"/>
      <c r="C4435" s="2" t="s">
        <v>855</v>
      </c>
      <c r="D4435" s="31">
        <f t="shared" si="145"/>
        <v>0.10754370382322324</v>
      </c>
      <c r="F4435" s="2" t="s">
        <v>822</v>
      </c>
      <c r="G4435" s="23" t="s">
        <v>902</v>
      </c>
      <c r="H4435" s="2" t="s">
        <v>822</v>
      </c>
      <c r="J4435" s="31">
        <v>45.389598800000002</v>
      </c>
      <c r="K4435" s="31">
        <v>-42.745998399999998</v>
      </c>
      <c r="L4435" s="31"/>
      <c r="M4435" s="31" t="s">
        <v>854</v>
      </c>
      <c r="N4435" s="6" t="s">
        <v>856</v>
      </c>
    </row>
    <row r="4436" spans="1:14" ht="15" customHeight="1" x14ac:dyDescent="0.2">
      <c r="A4436" s="31">
        <v>0.54842922177133258</v>
      </c>
      <c r="B4436" s="31"/>
      <c r="C4436" s="2" t="s">
        <v>855</v>
      </c>
      <c r="D4436" s="31">
        <f t="shared" si="145"/>
        <v>0.10749212746718119</v>
      </c>
      <c r="F4436" s="2" t="s">
        <v>822</v>
      </c>
      <c r="G4436" s="23" t="s">
        <v>902</v>
      </c>
      <c r="H4436" s="2" t="s">
        <v>822</v>
      </c>
      <c r="J4436" s="31">
        <v>44.109001200000002</v>
      </c>
      <c r="K4436" s="31">
        <v>-29.236600899999999</v>
      </c>
      <c r="L4436" s="31"/>
      <c r="M4436" s="31" t="s">
        <v>854</v>
      </c>
      <c r="N4436" s="6" t="s">
        <v>856</v>
      </c>
    </row>
    <row r="4437" spans="1:14" ht="15" customHeight="1" x14ac:dyDescent="0.2">
      <c r="A4437" s="31">
        <v>0.54840645683145117</v>
      </c>
      <c r="B4437" s="31"/>
      <c r="C4437" s="2" t="s">
        <v>855</v>
      </c>
      <c r="D4437" s="31">
        <f t="shared" si="145"/>
        <v>0.10748766553896444</v>
      </c>
      <c r="F4437" s="2" t="s">
        <v>822</v>
      </c>
      <c r="G4437" s="23" t="s">
        <v>902</v>
      </c>
      <c r="H4437" s="2" t="s">
        <v>822</v>
      </c>
      <c r="J4437" s="31">
        <v>33.188999199999998</v>
      </c>
      <c r="K4437" s="31">
        <v>23.786699299999999</v>
      </c>
      <c r="L4437" s="31"/>
      <c r="M4437" s="31" t="s">
        <v>854</v>
      </c>
      <c r="N4437" s="6" t="s">
        <v>856</v>
      </c>
    </row>
    <row r="4438" spans="1:14" ht="15" customHeight="1" x14ac:dyDescent="0.2">
      <c r="A4438" s="31">
        <v>0.5480653533746227</v>
      </c>
      <c r="B4438" s="31"/>
      <c r="C4438" s="2" t="s">
        <v>855</v>
      </c>
      <c r="D4438" s="31">
        <f t="shared" si="145"/>
        <v>0.10742080926142605</v>
      </c>
      <c r="F4438" s="2" t="s">
        <v>822</v>
      </c>
      <c r="G4438" s="23" t="s">
        <v>902</v>
      </c>
      <c r="H4438" s="2" t="s">
        <v>822</v>
      </c>
      <c r="J4438" s="31">
        <v>30.048000300000002</v>
      </c>
      <c r="K4438" s="31">
        <v>-33.875999499999999</v>
      </c>
      <c r="L4438" s="31"/>
      <c r="M4438" s="31" t="s">
        <v>854</v>
      </c>
      <c r="N4438" s="6" t="s">
        <v>856</v>
      </c>
    </row>
    <row r="4439" spans="1:14" ht="15" customHeight="1" x14ac:dyDescent="0.2">
      <c r="A4439" s="31">
        <v>0.54756776023755693</v>
      </c>
      <c r="B4439" s="31"/>
      <c r="C4439" s="2" t="s">
        <v>855</v>
      </c>
      <c r="D4439" s="31">
        <f t="shared" si="145"/>
        <v>0.10732328100656116</v>
      </c>
      <c r="F4439" s="2" t="s">
        <v>822</v>
      </c>
      <c r="G4439" s="23" t="s">
        <v>902</v>
      </c>
      <c r="H4439" s="2" t="s">
        <v>822</v>
      </c>
      <c r="J4439" s="31">
        <v>56.322299999999998</v>
      </c>
      <c r="K4439" s="31">
        <v>5.7052101999999998</v>
      </c>
      <c r="L4439" s="31"/>
      <c r="M4439" s="31" t="s">
        <v>854</v>
      </c>
      <c r="N4439" s="6" t="s">
        <v>856</v>
      </c>
    </row>
    <row r="4440" spans="1:14" ht="15" customHeight="1" x14ac:dyDescent="0.2">
      <c r="A4440" s="31">
        <v>0.5475534407288809</v>
      </c>
      <c r="B4440" s="31"/>
      <c r="C4440" s="2" t="s">
        <v>855</v>
      </c>
      <c r="D4440" s="31">
        <f t="shared" si="145"/>
        <v>0.10732047438286066</v>
      </c>
      <c r="F4440" s="2" t="s">
        <v>822</v>
      </c>
      <c r="G4440" s="23" t="s">
        <v>902</v>
      </c>
      <c r="H4440" s="2" t="s">
        <v>822</v>
      </c>
      <c r="J4440" s="31">
        <v>50.015899699999999</v>
      </c>
      <c r="K4440" s="31">
        <v>0.74594899999999997</v>
      </c>
      <c r="L4440" s="31"/>
      <c r="M4440" s="31" t="s">
        <v>854</v>
      </c>
      <c r="N4440" s="6" t="s">
        <v>856</v>
      </c>
    </row>
    <row r="4441" spans="1:14" ht="15" customHeight="1" x14ac:dyDescent="0.2">
      <c r="A4441" s="31">
        <v>0.54747465739872059</v>
      </c>
      <c r="B4441" s="31"/>
      <c r="C4441" s="2" t="s">
        <v>855</v>
      </c>
      <c r="D4441" s="31">
        <f t="shared" si="145"/>
        <v>0.10730503285014924</v>
      </c>
      <c r="F4441" s="2" t="s">
        <v>822</v>
      </c>
      <c r="G4441" s="23" t="s">
        <v>902</v>
      </c>
      <c r="H4441" s="2" t="s">
        <v>822</v>
      </c>
      <c r="J4441" s="31">
        <v>45.726699799999999</v>
      </c>
      <c r="K4441" s="31">
        <v>-16.124799700000001</v>
      </c>
      <c r="L4441" s="31"/>
      <c r="M4441" s="31" t="s">
        <v>854</v>
      </c>
      <c r="N4441" s="6" t="s">
        <v>856</v>
      </c>
    </row>
    <row r="4442" spans="1:14" ht="15" customHeight="1" x14ac:dyDescent="0.2">
      <c r="A4442" s="31">
        <v>0.54699568827475242</v>
      </c>
      <c r="B4442" s="31"/>
      <c r="C4442" s="2" t="s">
        <v>855</v>
      </c>
      <c r="D4442" s="31">
        <f t="shared" si="145"/>
        <v>0.10721115490185149</v>
      </c>
      <c r="F4442" s="2" t="s">
        <v>822</v>
      </c>
      <c r="G4442" s="23" t="s">
        <v>902</v>
      </c>
      <c r="H4442" s="2" t="s">
        <v>822</v>
      </c>
      <c r="J4442" s="31">
        <v>54.9253006</v>
      </c>
      <c r="K4442" s="31">
        <v>-5.9028901999999999</v>
      </c>
      <c r="L4442" s="31"/>
      <c r="M4442" s="31" t="s">
        <v>854</v>
      </c>
      <c r="N4442" s="6" t="s">
        <v>856</v>
      </c>
    </row>
    <row r="4443" spans="1:14" ht="15" customHeight="1" x14ac:dyDescent="0.2">
      <c r="A4443" s="31">
        <v>0.54695641825129959</v>
      </c>
      <c r="B4443" s="31"/>
      <c r="C4443" s="2" t="s">
        <v>855</v>
      </c>
      <c r="D4443" s="31">
        <f t="shared" si="145"/>
        <v>0.10720345797725472</v>
      </c>
      <c r="F4443" s="2" t="s">
        <v>822</v>
      </c>
      <c r="G4443" s="23" t="s">
        <v>902</v>
      </c>
      <c r="H4443" s="2" t="s">
        <v>822</v>
      </c>
      <c r="J4443" s="31">
        <v>55.4225998</v>
      </c>
      <c r="K4443" s="31">
        <v>-13.179699899999999</v>
      </c>
      <c r="L4443" s="31"/>
      <c r="M4443" s="31" t="s">
        <v>854</v>
      </c>
      <c r="N4443" s="6" t="s">
        <v>856</v>
      </c>
    </row>
    <row r="4444" spans="1:14" ht="15" customHeight="1" x14ac:dyDescent="0.2">
      <c r="A4444" s="31">
        <v>0.5468669960324708</v>
      </c>
      <c r="B4444" s="31"/>
      <c r="C4444" s="2" t="s">
        <v>855</v>
      </c>
      <c r="D4444" s="31">
        <f t="shared" si="145"/>
        <v>0.10718593122236428</v>
      </c>
      <c r="F4444" s="2" t="s">
        <v>822</v>
      </c>
      <c r="G4444" s="23" t="s">
        <v>902</v>
      </c>
      <c r="H4444" s="2" t="s">
        <v>822</v>
      </c>
      <c r="J4444" s="31">
        <v>46.748001100000003</v>
      </c>
      <c r="K4444" s="31">
        <v>-35.212001800000003</v>
      </c>
      <c r="L4444" s="31"/>
      <c r="M4444" s="31" t="s">
        <v>854</v>
      </c>
      <c r="N4444" s="6" t="s">
        <v>856</v>
      </c>
    </row>
    <row r="4445" spans="1:14" ht="15" customHeight="1" x14ac:dyDescent="0.2">
      <c r="A4445" s="31">
        <v>0.54679048812225073</v>
      </c>
      <c r="B4445" s="31"/>
      <c r="C4445" s="2" t="s">
        <v>855</v>
      </c>
      <c r="D4445" s="31">
        <f t="shared" si="145"/>
        <v>0.10717093567196115</v>
      </c>
      <c r="F4445" s="2" t="s">
        <v>822</v>
      </c>
      <c r="G4445" s="23" t="s">
        <v>902</v>
      </c>
      <c r="H4445" s="2" t="s">
        <v>822</v>
      </c>
      <c r="J4445" s="31">
        <v>34.055999800000002</v>
      </c>
      <c r="K4445" s="31">
        <v>28.916000400000001</v>
      </c>
      <c r="L4445" s="31"/>
      <c r="M4445" s="31" t="s">
        <v>854</v>
      </c>
      <c r="N4445" s="6" t="s">
        <v>856</v>
      </c>
    </row>
    <row r="4446" spans="1:14" ht="15" customHeight="1" x14ac:dyDescent="0.2">
      <c r="A4446" s="31">
        <v>0.54664518461994815</v>
      </c>
      <c r="B4446" s="31"/>
      <c r="C4446" s="2" t="s">
        <v>855</v>
      </c>
      <c r="D4446" s="31">
        <f t="shared" si="145"/>
        <v>0.10714245618550984</v>
      </c>
      <c r="F4446" s="2" t="s">
        <v>822</v>
      </c>
      <c r="G4446" s="23" t="s">
        <v>902</v>
      </c>
      <c r="H4446" s="2" t="s">
        <v>822</v>
      </c>
      <c r="J4446" s="31">
        <v>41.112701399999999</v>
      </c>
      <c r="K4446" s="31">
        <v>4.9866599999999996</v>
      </c>
      <c r="L4446" s="31"/>
      <c r="M4446" s="31" t="s">
        <v>854</v>
      </c>
      <c r="N4446" s="6" t="s">
        <v>856</v>
      </c>
    </row>
    <row r="4447" spans="1:14" ht="15" customHeight="1" x14ac:dyDescent="0.2">
      <c r="A4447" s="31">
        <v>0.54653374684276923</v>
      </c>
      <c r="B4447" s="31"/>
      <c r="C4447" s="2" t="s">
        <v>855</v>
      </c>
      <c r="D4447" s="31">
        <f t="shared" si="145"/>
        <v>0.10712061438118277</v>
      </c>
      <c r="F4447" s="2" t="s">
        <v>822</v>
      </c>
      <c r="G4447" s="23" t="s">
        <v>902</v>
      </c>
      <c r="H4447" s="2" t="s">
        <v>822</v>
      </c>
      <c r="J4447" s="31">
        <v>32.831401800000002</v>
      </c>
      <c r="K4447" s="31">
        <v>29.545400600000001</v>
      </c>
      <c r="L4447" s="31"/>
      <c r="M4447" s="31" t="s">
        <v>854</v>
      </c>
      <c r="N4447" s="6" t="s">
        <v>856</v>
      </c>
    </row>
    <row r="4448" spans="1:14" ht="15" customHeight="1" x14ac:dyDescent="0.2">
      <c r="A4448" s="31">
        <v>0.54652651669487495</v>
      </c>
      <c r="B4448" s="31"/>
      <c r="C4448" s="2" t="s">
        <v>855</v>
      </c>
      <c r="D4448" s="31">
        <f t="shared" si="145"/>
        <v>0.1071191972721955</v>
      </c>
      <c r="F4448" s="2" t="s">
        <v>822</v>
      </c>
      <c r="G4448" s="23" t="s">
        <v>902</v>
      </c>
      <c r="H4448" s="2" t="s">
        <v>822</v>
      </c>
      <c r="J4448" s="31">
        <v>54.257099199999999</v>
      </c>
      <c r="K4448" s="31">
        <v>-5.2865700999999996</v>
      </c>
      <c r="L4448" s="31"/>
      <c r="M4448" s="31" t="s">
        <v>854</v>
      </c>
      <c r="N4448" s="6" t="s">
        <v>856</v>
      </c>
    </row>
    <row r="4449" spans="1:14" ht="15" customHeight="1" x14ac:dyDescent="0.2">
      <c r="A4449" s="31">
        <v>0.54650766157823472</v>
      </c>
      <c r="B4449" s="31"/>
      <c r="C4449" s="2" t="s">
        <v>855</v>
      </c>
      <c r="D4449" s="31">
        <f t="shared" si="145"/>
        <v>0.10711550166933401</v>
      </c>
      <c r="F4449" s="2" t="s">
        <v>822</v>
      </c>
      <c r="G4449" s="23" t="s">
        <v>902</v>
      </c>
      <c r="H4449" s="2" t="s">
        <v>822</v>
      </c>
      <c r="J4449" s="31">
        <v>55.860801700000003</v>
      </c>
      <c r="K4449" s="31">
        <v>4.2945399000000002</v>
      </c>
      <c r="L4449" s="31"/>
      <c r="M4449" s="31" t="s">
        <v>854</v>
      </c>
      <c r="N4449" s="6" t="s">
        <v>856</v>
      </c>
    </row>
    <row r="4450" spans="1:14" ht="15" customHeight="1" x14ac:dyDescent="0.2">
      <c r="A4450" s="31">
        <v>0.54649386532691935</v>
      </c>
      <c r="B4450" s="31"/>
      <c r="C4450" s="2" t="s">
        <v>855</v>
      </c>
      <c r="D4450" s="31">
        <f t="shared" si="145"/>
        <v>0.1071127976040762</v>
      </c>
      <c r="F4450" s="2" t="s">
        <v>822</v>
      </c>
      <c r="G4450" s="23" t="s">
        <v>902</v>
      </c>
      <c r="H4450" s="2" t="s">
        <v>822</v>
      </c>
      <c r="J4450" s="31">
        <v>32.746799500000002</v>
      </c>
      <c r="K4450" s="31">
        <v>-28.6128006</v>
      </c>
      <c r="L4450" s="31"/>
      <c r="M4450" s="31" t="s">
        <v>854</v>
      </c>
      <c r="N4450" s="6" t="s">
        <v>856</v>
      </c>
    </row>
    <row r="4451" spans="1:14" ht="15" customHeight="1" x14ac:dyDescent="0.2">
      <c r="A4451" s="31">
        <v>0.54639463574544822</v>
      </c>
      <c r="B4451" s="31"/>
      <c r="C4451" s="2" t="s">
        <v>855</v>
      </c>
      <c r="D4451" s="31">
        <f t="shared" si="145"/>
        <v>0.10709334860610785</v>
      </c>
      <c r="F4451" s="2" t="s">
        <v>822</v>
      </c>
      <c r="G4451" s="23" t="s">
        <v>902</v>
      </c>
      <c r="H4451" s="2" t="s">
        <v>822</v>
      </c>
      <c r="J4451" s="31">
        <v>26.8069992</v>
      </c>
      <c r="K4451" s="31">
        <v>-25.897499100000001</v>
      </c>
      <c r="L4451" s="31"/>
      <c r="M4451" s="31" t="s">
        <v>854</v>
      </c>
      <c r="N4451" s="6" t="s">
        <v>856</v>
      </c>
    </row>
    <row r="4452" spans="1:14" ht="15" customHeight="1" x14ac:dyDescent="0.2">
      <c r="A4452" s="31">
        <v>0.54638180850786944</v>
      </c>
      <c r="B4452" s="31"/>
      <c r="C4452" s="2" t="s">
        <v>855</v>
      </c>
      <c r="D4452" s="31">
        <f t="shared" si="145"/>
        <v>0.10709083446754242</v>
      </c>
      <c r="F4452" s="2" t="s">
        <v>822</v>
      </c>
      <c r="G4452" s="23" t="s">
        <v>902</v>
      </c>
      <c r="H4452" s="2" t="s">
        <v>822</v>
      </c>
      <c r="J4452" s="31">
        <v>30.467500699999999</v>
      </c>
      <c r="K4452" s="31">
        <v>-27.632999399999999</v>
      </c>
      <c r="L4452" s="31"/>
      <c r="M4452" s="31" t="s">
        <v>854</v>
      </c>
      <c r="N4452" s="6" t="s">
        <v>856</v>
      </c>
    </row>
    <row r="4453" spans="1:14" ht="15" customHeight="1" x14ac:dyDescent="0.2">
      <c r="A4453" s="31">
        <v>0.54628239648703314</v>
      </c>
      <c r="B4453" s="31"/>
      <c r="C4453" s="2" t="s">
        <v>855</v>
      </c>
      <c r="D4453" s="31">
        <f t="shared" si="145"/>
        <v>0.1070713497114585</v>
      </c>
      <c r="F4453" s="2" t="s">
        <v>822</v>
      </c>
      <c r="G4453" s="23" t="s">
        <v>902</v>
      </c>
      <c r="H4453" s="2" t="s">
        <v>822</v>
      </c>
      <c r="J4453" s="31">
        <v>53.832599600000002</v>
      </c>
      <c r="K4453" s="31">
        <v>-10.2102003</v>
      </c>
      <c r="L4453" s="31"/>
      <c r="M4453" s="31" t="s">
        <v>854</v>
      </c>
      <c r="N4453" s="6" t="s">
        <v>856</v>
      </c>
    </row>
    <row r="4454" spans="1:14" ht="15" customHeight="1" x14ac:dyDescent="0.2">
      <c r="A4454" s="31">
        <v>0.54607371972341057</v>
      </c>
      <c r="B4454" s="31"/>
      <c r="C4454" s="2" t="s">
        <v>855</v>
      </c>
      <c r="D4454" s="31">
        <f t="shared" si="145"/>
        <v>0.10703044906578847</v>
      </c>
      <c r="F4454" s="2" t="s">
        <v>822</v>
      </c>
      <c r="G4454" s="23" t="s">
        <v>902</v>
      </c>
      <c r="H4454" s="2" t="s">
        <v>822</v>
      </c>
      <c r="J4454" s="31">
        <v>45.411998699999998</v>
      </c>
      <c r="K4454" s="31">
        <v>-31.204000499999999</v>
      </c>
      <c r="L4454" s="31"/>
      <c r="M4454" s="31" t="s">
        <v>854</v>
      </c>
      <c r="N4454" s="6" t="s">
        <v>856</v>
      </c>
    </row>
    <row r="4455" spans="1:14" ht="15" customHeight="1" x14ac:dyDescent="0.2">
      <c r="A4455" s="31">
        <v>0.5453069188796047</v>
      </c>
      <c r="B4455" s="31"/>
      <c r="C4455" s="2" t="s">
        <v>855</v>
      </c>
      <c r="D4455" s="31">
        <f t="shared" si="145"/>
        <v>0.10688015610040252</v>
      </c>
      <c r="F4455" s="2" t="s">
        <v>822</v>
      </c>
      <c r="G4455" s="23" t="s">
        <v>902</v>
      </c>
      <c r="H4455" s="2" t="s">
        <v>822</v>
      </c>
      <c r="J4455" s="31">
        <v>34.450599699999998</v>
      </c>
      <c r="K4455" s="31">
        <v>-17.1476994</v>
      </c>
      <c r="L4455" s="31"/>
      <c r="M4455" s="31" t="s">
        <v>854</v>
      </c>
      <c r="N4455" s="6" t="s">
        <v>856</v>
      </c>
    </row>
    <row r="4456" spans="1:14" ht="15" customHeight="1" x14ac:dyDescent="0.2">
      <c r="A4456" s="31">
        <v>0.54529948809309092</v>
      </c>
      <c r="B4456" s="31"/>
      <c r="C4456" s="2" t="s">
        <v>855</v>
      </c>
      <c r="D4456" s="31">
        <f t="shared" si="145"/>
        <v>0.10687869966624583</v>
      </c>
      <c r="F4456" s="2" t="s">
        <v>822</v>
      </c>
      <c r="G4456" s="23" t="s">
        <v>902</v>
      </c>
      <c r="H4456" s="2" t="s">
        <v>822</v>
      </c>
      <c r="J4456" s="31">
        <v>54.0536995</v>
      </c>
      <c r="K4456" s="31">
        <v>-5.9312100000000001</v>
      </c>
      <c r="L4456" s="31"/>
      <c r="M4456" s="31" t="s">
        <v>854</v>
      </c>
      <c r="N4456" s="6" t="s">
        <v>856</v>
      </c>
    </row>
    <row r="4457" spans="1:14" ht="15" customHeight="1" x14ac:dyDescent="0.2">
      <c r="A4457" s="31">
        <v>0.54472574890648529</v>
      </c>
      <c r="B4457" s="31"/>
      <c r="C4457" s="2" t="s">
        <v>855</v>
      </c>
      <c r="D4457" s="31">
        <f t="shared" si="145"/>
        <v>0.10676624678567112</v>
      </c>
      <c r="F4457" s="2" t="s">
        <v>822</v>
      </c>
      <c r="G4457" s="23" t="s">
        <v>902</v>
      </c>
      <c r="H4457" s="2" t="s">
        <v>822</v>
      </c>
      <c r="J4457" s="31">
        <v>47.8058014</v>
      </c>
      <c r="K4457" s="31">
        <v>-8.6959105000000001</v>
      </c>
      <c r="L4457" s="31"/>
      <c r="M4457" s="31" t="s">
        <v>854</v>
      </c>
      <c r="N4457" s="6" t="s">
        <v>856</v>
      </c>
    </row>
    <row r="4458" spans="1:14" ht="15" customHeight="1" x14ac:dyDescent="0.2">
      <c r="A4458" s="31">
        <v>0.54468811525477512</v>
      </c>
      <c r="B4458" s="31"/>
      <c r="C4458" s="2" t="s">
        <v>855</v>
      </c>
      <c r="D4458" s="31">
        <f t="shared" si="145"/>
        <v>0.10675887058993593</v>
      </c>
      <c r="F4458" s="2" t="s">
        <v>822</v>
      </c>
      <c r="G4458" s="23" t="s">
        <v>902</v>
      </c>
      <c r="H4458" s="2" t="s">
        <v>822</v>
      </c>
      <c r="J4458" s="31">
        <v>33.139800999999999</v>
      </c>
      <c r="K4458" s="31">
        <v>-36.2582016</v>
      </c>
      <c r="L4458" s="31"/>
      <c r="M4458" s="31" t="s">
        <v>854</v>
      </c>
      <c r="N4458" s="6" t="s">
        <v>856</v>
      </c>
    </row>
    <row r="4459" spans="1:14" ht="15" customHeight="1" x14ac:dyDescent="0.2">
      <c r="A4459" s="31">
        <v>0.54452108723466031</v>
      </c>
      <c r="B4459" s="31"/>
      <c r="C4459" s="2" t="s">
        <v>855</v>
      </c>
      <c r="D4459" s="31">
        <f t="shared" si="145"/>
        <v>0.10672613309799342</v>
      </c>
      <c r="F4459" s="2" t="s">
        <v>822</v>
      </c>
      <c r="G4459" s="23" t="s">
        <v>902</v>
      </c>
      <c r="H4459" s="2" t="s">
        <v>822</v>
      </c>
      <c r="J4459" s="31">
        <v>28.711999899999999</v>
      </c>
      <c r="K4459" s="31">
        <v>-29.200000800000002</v>
      </c>
      <c r="L4459" s="31"/>
      <c r="M4459" s="31" t="s">
        <v>854</v>
      </c>
      <c r="N4459" s="6" t="s">
        <v>856</v>
      </c>
    </row>
    <row r="4460" spans="1:14" ht="15" customHeight="1" x14ac:dyDescent="0.2">
      <c r="A4460" s="31">
        <v>0.54420556316911317</v>
      </c>
      <c r="B4460" s="31"/>
      <c r="C4460" s="2" t="s">
        <v>855</v>
      </c>
      <c r="D4460" s="31">
        <f t="shared" si="145"/>
        <v>0.10666429038114618</v>
      </c>
      <c r="F4460" s="2" t="s">
        <v>822</v>
      </c>
      <c r="G4460" s="23" t="s">
        <v>902</v>
      </c>
      <c r="H4460" s="2" t="s">
        <v>822</v>
      </c>
      <c r="J4460" s="31">
        <v>54.713501000000001</v>
      </c>
      <c r="K4460" s="31">
        <v>14.3893003</v>
      </c>
      <c r="L4460" s="31"/>
      <c r="M4460" s="31" t="s">
        <v>854</v>
      </c>
      <c r="N4460" s="6" t="s">
        <v>856</v>
      </c>
    </row>
    <row r="4461" spans="1:14" ht="15" customHeight="1" x14ac:dyDescent="0.2">
      <c r="A4461" s="31">
        <v>0.54378840504560211</v>
      </c>
      <c r="B4461" s="31"/>
      <c r="C4461" s="2" t="s">
        <v>855</v>
      </c>
      <c r="D4461" s="31">
        <f t="shared" si="145"/>
        <v>0.10658252738893802</v>
      </c>
      <c r="F4461" s="2" t="s">
        <v>822</v>
      </c>
      <c r="G4461" s="23" t="s">
        <v>902</v>
      </c>
      <c r="H4461" s="2" t="s">
        <v>822</v>
      </c>
      <c r="J4461" s="31">
        <v>49.9557991</v>
      </c>
      <c r="K4461" s="31">
        <v>-1.6373301</v>
      </c>
      <c r="L4461" s="31"/>
      <c r="M4461" s="31" t="s">
        <v>854</v>
      </c>
      <c r="N4461" s="6" t="s">
        <v>856</v>
      </c>
    </row>
    <row r="4462" spans="1:14" ht="15" customHeight="1" x14ac:dyDescent="0.2">
      <c r="A4462" s="31">
        <v>0.5437080058023277</v>
      </c>
      <c r="B4462" s="31"/>
      <c r="C4462" s="2" t="s">
        <v>855</v>
      </c>
      <c r="D4462" s="31">
        <f t="shared" si="145"/>
        <v>0.10656676913725624</v>
      </c>
      <c r="F4462" s="2" t="s">
        <v>822</v>
      </c>
      <c r="G4462" s="23" t="s">
        <v>902</v>
      </c>
      <c r="H4462" s="2" t="s">
        <v>822</v>
      </c>
      <c r="J4462" s="31">
        <v>38.731998400000002</v>
      </c>
      <c r="K4462" s="31">
        <v>6.2039999999999997</v>
      </c>
      <c r="L4462" s="31"/>
      <c r="M4462" s="31" t="s">
        <v>854</v>
      </c>
      <c r="N4462" s="6" t="s">
        <v>856</v>
      </c>
    </row>
    <row r="4463" spans="1:14" ht="15" customHeight="1" x14ac:dyDescent="0.2">
      <c r="A4463" s="31">
        <v>0.54363469139089582</v>
      </c>
      <c r="B4463" s="31"/>
      <c r="C4463" s="2" t="s">
        <v>855</v>
      </c>
      <c r="D4463" s="31">
        <f t="shared" si="145"/>
        <v>0.10655239951261558</v>
      </c>
      <c r="F4463" s="2" t="s">
        <v>822</v>
      </c>
      <c r="G4463" s="23" t="s">
        <v>902</v>
      </c>
      <c r="H4463" s="2" t="s">
        <v>822</v>
      </c>
      <c r="J4463" s="31">
        <v>51.423999799999997</v>
      </c>
      <c r="K4463" s="31">
        <v>-15.171999899999999</v>
      </c>
      <c r="L4463" s="31"/>
      <c r="M4463" s="31" t="s">
        <v>854</v>
      </c>
      <c r="N4463" s="6" t="s">
        <v>856</v>
      </c>
    </row>
    <row r="4464" spans="1:14" ht="15" customHeight="1" x14ac:dyDescent="0.2">
      <c r="A4464" s="31">
        <v>0.54356576613864038</v>
      </c>
      <c r="B4464" s="31"/>
      <c r="C4464" s="2" t="s">
        <v>855</v>
      </c>
      <c r="D4464" s="31">
        <f t="shared" si="145"/>
        <v>0.10653889016317351</v>
      </c>
      <c r="F4464" s="2" t="s">
        <v>822</v>
      </c>
      <c r="G4464" s="23" t="s">
        <v>902</v>
      </c>
      <c r="H4464" s="2" t="s">
        <v>822</v>
      </c>
      <c r="J4464" s="31">
        <v>40.457801799999999</v>
      </c>
      <c r="K4464" s="31">
        <v>18.3705997</v>
      </c>
      <c r="L4464" s="31"/>
      <c r="M4464" s="31" t="s">
        <v>854</v>
      </c>
      <c r="N4464" s="6" t="s">
        <v>856</v>
      </c>
    </row>
    <row r="4465" spans="1:14" ht="15" customHeight="1" x14ac:dyDescent="0.2">
      <c r="A4465" s="31">
        <v>0.54347651650950279</v>
      </c>
      <c r="B4465" s="31"/>
      <c r="C4465" s="2" t="s">
        <v>855</v>
      </c>
      <c r="D4465" s="31">
        <f t="shared" ref="D4465:D4496" si="146" xml:space="preserve"> A4465 * 0.196</f>
        <v>0.10652139723586256</v>
      </c>
      <c r="F4465" s="2" t="s">
        <v>822</v>
      </c>
      <c r="G4465" s="23" t="s">
        <v>902</v>
      </c>
      <c r="H4465" s="2" t="s">
        <v>822</v>
      </c>
      <c r="J4465" s="31">
        <v>37.559299500000002</v>
      </c>
      <c r="K4465" s="31">
        <v>-20.289199799999999</v>
      </c>
      <c r="L4465" s="31"/>
      <c r="M4465" s="31" t="s">
        <v>854</v>
      </c>
      <c r="N4465" s="6" t="s">
        <v>856</v>
      </c>
    </row>
    <row r="4466" spans="1:14" ht="15" customHeight="1" x14ac:dyDescent="0.2">
      <c r="A4466" s="31">
        <v>0.54295568323943122</v>
      </c>
      <c r="B4466" s="31"/>
      <c r="C4466" s="2" t="s">
        <v>855</v>
      </c>
      <c r="D4466" s="31">
        <f t="shared" si="146"/>
        <v>0.10641931391492852</v>
      </c>
      <c r="F4466" s="2" t="s">
        <v>822</v>
      </c>
      <c r="G4466" s="23" t="s">
        <v>902</v>
      </c>
      <c r="H4466" s="2" t="s">
        <v>822</v>
      </c>
      <c r="J4466" s="31">
        <v>25.644800199999999</v>
      </c>
      <c r="K4466" s="31">
        <v>-31.5370998</v>
      </c>
      <c r="L4466" s="31"/>
      <c r="M4466" s="31" t="s">
        <v>854</v>
      </c>
      <c r="N4466" s="6" t="s">
        <v>856</v>
      </c>
    </row>
    <row r="4467" spans="1:14" ht="15" customHeight="1" x14ac:dyDescent="0.2">
      <c r="A4467" s="31">
        <v>0.54266548539918458</v>
      </c>
      <c r="B4467" s="31"/>
      <c r="C4467" s="2" t="s">
        <v>855</v>
      </c>
      <c r="D4467" s="31">
        <f t="shared" si="146"/>
        <v>0.10636243513824017</v>
      </c>
      <c r="F4467" s="2" t="s">
        <v>822</v>
      </c>
      <c r="G4467" s="23" t="s">
        <v>902</v>
      </c>
      <c r="H4467" s="2" t="s">
        <v>822</v>
      </c>
      <c r="J4467" s="31">
        <v>55.751201600000002</v>
      </c>
      <c r="K4467" s="31">
        <v>11.2708998</v>
      </c>
      <c r="L4467" s="31"/>
      <c r="M4467" s="31" t="s">
        <v>854</v>
      </c>
      <c r="N4467" s="6" t="s">
        <v>856</v>
      </c>
    </row>
    <row r="4468" spans="1:14" ht="15" customHeight="1" x14ac:dyDescent="0.2">
      <c r="A4468" s="31">
        <v>0.54257708252550785</v>
      </c>
      <c r="B4468" s="31"/>
      <c r="C4468" s="2" t="s">
        <v>855</v>
      </c>
      <c r="D4468" s="31">
        <f t="shared" si="146"/>
        <v>0.10634510817499954</v>
      </c>
      <c r="F4468" s="2" t="s">
        <v>822</v>
      </c>
      <c r="G4468" s="23" t="s">
        <v>902</v>
      </c>
      <c r="H4468" s="2" t="s">
        <v>822</v>
      </c>
      <c r="J4468" s="31">
        <v>48.776001000000001</v>
      </c>
      <c r="K4468" s="31">
        <v>-24.489000300000001</v>
      </c>
      <c r="L4468" s="31"/>
      <c r="M4468" s="31" t="s">
        <v>854</v>
      </c>
      <c r="N4468" s="6" t="s">
        <v>856</v>
      </c>
    </row>
    <row r="4469" spans="1:14" ht="15" customHeight="1" x14ac:dyDescent="0.2">
      <c r="A4469" s="31">
        <v>0.5423137451937633</v>
      </c>
      <c r="B4469" s="31"/>
      <c r="C4469" s="2" t="s">
        <v>855</v>
      </c>
      <c r="D4469" s="31">
        <f t="shared" si="146"/>
        <v>0.10629349405797761</v>
      </c>
      <c r="F4469" s="2" t="s">
        <v>822</v>
      </c>
      <c r="G4469" s="23" t="s">
        <v>902</v>
      </c>
      <c r="H4469" s="2" t="s">
        <v>822</v>
      </c>
      <c r="J4469" s="31">
        <v>47.416000400000001</v>
      </c>
      <c r="K4469" s="31">
        <v>-17.176000599999998</v>
      </c>
      <c r="L4469" s="31"/>
      <c r="M4469" s="31" t="s">
        <v>854</v>
      </c>
      <c r="N4469" s="6" t="s">
        <v>856</v>
      </c>
    </row>
    <row r="4470" spans="1:14" ht="15" customHeight="1" x14ac:dyDescent="0.2">
      <c r="A4470" s="31">
        <v>0.54225122760710498</v>
      </c>
      <c r="B4470" s="31"/>
      <c r="C4470" s="2" t="s">
        <v>855</v>
      </c>
      <c r="D4470" s="31">
        <f t="shared" si="146"/>
        <v>0.10628124061099258</v>
      </c>
      <c r="F4470" s="2" t="s">
        <v>822</v>
      </c>
      <c r="G4470" s="23" t="s">
        <v>902</v>
      </c>
      <c r="H4470" s="2" t="s">
        <v>822</v>
      </c>
      <c r="J4470" s="31">
        <v>44.7328987</v>
      </c>
      <c r="K4470" s="31">
        <v>-37.8921013</v>
      </c>
      <c r="L4470" s="31"/>
      <c r="M4470" s="31" t="s">
        <v>854</v>
      </c>
      <c r="N4470" s="6" t="s">
        <v>856</v>
      </c>
    </row>
    <row r="4471" spans="1:14" ht="15" customHeight="1" x14ac:dyDescent="0.2">
      <c r="A4471" s="31">
        <v>0.54215086620198116</v>
      </c>
      <c r="B4471" s="31"/>
      <c r="C4471" s="2" t="s">
        <v>855</v>
      </c>
      <c r="D4471" s="31">
        <f t="shared" si="146"/>
        <v>0.10626156977558832</v>
      </c>
      <c r="F4471" s="2" t="s">
        <v>822</v>
      </c>
      <c r="G4471" s="23" t="s">
        <v>902</v>
      </c>
      <c r="H4471" s="2" t="s">
        <v>822</v>
      </c>
      <c r="J4471" s="31">
        <v>45.086200699999999</v>
      </c>
      <c r="K4471" s="31">
        <v>-20.892799400000001</v>
      </c>
      <c r="L4471" s="31"/>
      <c r="M4471" s="31" t="s">
        <v>854</v>
      </c>
      <c r="N4471" s="6" t="s">
        <v>856</v>
      </c>
    </row>
    <row r="4472" spans="1:14" ht="15" customHeight="1" x14ac:dyDescent="0.2">
      <c r="A4472" s="31">
        <v>0.54204596738949495</v>
      </c>
      <c r="B4472" s="31"/>
      <c r="C4472" s="2" t="s">
        <v>855</v>
      </c>
      <c r="D4472" s="31">
        <f t="shared" si="146"/>
        <v>0.10624100960834101</v>
      </c>
      <c r="F4472" s="2" t="s">
        <v>822</v>
      </c>
      <c r="G4472" s="23" t="s">
        <v>902</v>
      </c>
      <c r="H4472" s="2" t="s">
        <v>822</v>
      </c>
      <c r="J4472" s="31">
        <v>33.660499600000001</v>
      </c>
      <c r="K4472" s="31">
        <v>-29.657199899999998</v>
      </c>
      <c r="L4472" s="31"/>
      <c r="M4472" s="31" t="s">
        <v>854</v>
      </c>
      <c r="N4472" s="6" t="s">
        <v>856</v>
      </c>
    </row>
    <row r="4473" spans="1:14" ht="15" customHeight="1" x14ac:dyDescent="0.2">
      <c r="A4473" s="31">
        <v>0.54196481916868655</v>
      </c>
      <c r="B4473" s="31"/>
      <c r="C4473" s="2" t="s">
        <v>855</v>
      </c>
      <c r="D4473" s="31">
        <f t="shared" si="146"/>
        <v>0.10622510455706256</v>
      </c>
      <c r="F4473" s="2" t="s">
        <v>822</v>
      </c>
      <c r="G4473" s="23" t="s">
        <v>902</v>
      </c>
      <c r="H4473" s="2" t="s">
        <v>822</v>
      </c>
      <c r="J4473" s="31">
        <v>43.277400999999998</v>
      </c>
      <c r="K4473" s="31">
        <v>-40.5409012</v>
      </c>
      <c r="L4473" s="31"/>
      <c r="M4473" s="31" t="s">
        <v>854</v>
      </c>
      <c r="N4473" s="6" t="s">
        <v>856</v>
      </c>
    </row>
    <row r="4474" spans="1:14" ht="15" customHeight="1" x14ac:dyDescent="0.2">
      <c r="A4474" s="31">
        <v>0.54191272330729223</v>
      </c>
      <c r="B4474" s="31"/>
      <c r="C4474" s="2" t="s">
        <v>855</v>
      </c>
      <c r="D4474" s="31">
        <f t="shared" si="146"/>
        <v>0.10621489376822928</v>
      </c>
      <c r="F4474" s="2" t="s">
        <v>822</v>
      </c>
      <c r="G4474" s="23" t="s">
        <v>902</v>
      </c>
      <c r="H4474" s="2" t="s">
        <v>822</v>
      </c>
      <c r="J4474" s="31">
        <v>46.080001799999998</v>
      </c>
      <c r="K4474" s="31">
        <v>-33.875999499999999</v>
      </c>
      <c r="L4474" s="31"/>
      <c r="M4474" s="31" t="s">
        <v>854</v>
      </c>
      <c r="N4474" s="6" t="s">
        <v>856</v>
      </c>
    </row>
    <row r="4475" spans="1:14" ht="15" customHeight="1" x14ac:dyDescent="0.2">
      <c r="A4475" s="31">
        <v>0.54169634196372407</v>
      </c>
      <c r="B4475" s="31"/>
      <c r="C4475" s="2" t="s">
        <v>855</v>
      </c>
      <c r="D4475" s="31">
        <f t="shared" si="146"/>
        <v>0.10617248302488992</v>
      </c>
      <c r="F4475" s="2" t="s">
        <v>822</v>
      </c>
      <c r="G4475" s="23" t="s">
        <v>902</v>
      </c>
      <c r="H4475" s="2" t="s">
        <v>822</v>
      </c>
      <c r="J4475" s="31">
        <v>39.044399300000002</v>
      </c>
      <c r="K4475" s="31">
        <v>26.042699800000001</v>
      </c>
      <c r="L4475" s="31"/>
      <c r="M4475" s="31" t="s">
        <v>854</v>
      </c>
      <c r="N4475" s="6" t="s">
        <v>856</v>
      </c>
    </row>
    <row r="4476" spans="1:14" ht="15" customHeight="1" x14ac:dyDescent="0.2">
      <c r="A4476" s="31">
        <v>0.54154987923101927</v>
      </c>
      <c r="B4476" s="31"/>
      <c r="C4476" s="2" t="s">
        <v>855</v>
      </c>
      <c r="D4476" s="31">
        <f t="shared" si="146"/>
        <v>0.10614377632927978</v>
      </c>
      <c r="F4476" s="2" t="s">
        <v>822</v>
      </c>
      <c r="G4476" s="23" t="s">
        <v>902</v>
      </c>
      <c r="H4476" s="2" t="s">
        <v>822</v>
      </c>
      <c r="J4476" s="31">
        <v>28.0440006</v>
      </c>
      <c r="K4476" s="31">
        <v>-40.555999800000002</v>
      </c>
      <c r="L4476" s="31"/>
      <c r="M4476" s="31" t="s">
        <v>854</v>
      </c>
      <c r="N4476" s="6" t="s">
        <v>856</v>
      </c>
    </row>
    <row r="4477" spans="1:14" ht="15" customHeight="1" x14ac:dyDescent="0.2">
      <c r="A4477" s="31">
        <v>0.54149850018599377</v>
      </c>
      <c r="B4477" s="31"/>
      <c r="C4477" s="2" t="s">
        <v>855</v>
      </c>
      <c r="D4477" s="31">
        <f t="shared" si="146"/>
        <v>0.10613370603645478</v>
      </c>
      <c r="F4477" s="2" t="s">
        <v>822</v>
      </c>
      <c r="G4477" s="23" t="s">
        <v>902</v>
      </c>
      <c r="H4477" s="2" t="s">
        <v>822</v>
      </c>
      <c r="J4477" s="31">
        <v>48.064399700000003</v>
      </c>
      <c r="K4477" s="31">
        <v>-11.818300199999999</v>
      </c>
      <c r="L4477" s="31"/>
      <c r="M4477" s="31" t="s">
        <v>854</v>
      </c>
      <c r="N4477" s="6" t="s">
        <v>856</v>
      </c>
    </row>
    <row r="4478" spans="1:14" ht="15" customHeight="1" x14ac:dyDescent="0.2">
      <c r="A4478" s="31">
        <v>0.5413551191081194</v>
      </c>
      <c r="B4478" s="31"/>
      <c r="C4478" s="2" t="s">
        <v>855</v>
      </c>
      <c r="D4478" s="31">
        <f t="shared" si="146"/>
        <v>0.10610560334519141</v>
      </c>
      <c r="F4478" s="2" t="s">
        <v>822</v>
      </c>
      <c r="G4478" s="23" t="s">
        <v>902</v>
      </c>
      <c r="H4478" s="2" t="s">
        <v>822</v>
      </c>
      <c r="J4478" s="31">
        <v>30.048000300000002</v>
      </c>
      <c r="K4478" s="31">
        <v>-35.880001100000001</v>
      </c>
      <c r="L4478" s="31"/>
      <c r="M4478" s="31" t="s">
        <v>854</v>
      </c>
      <c r="N4478" s="6" t="s">
        <v>856</v>
      </c>
    </row>
    <row r="4479" spans="1:14" ht="15" customHeight="1" x14ac:dyDescent="0.2">
      <c r="A4479" s="31">
        <v>0.54063380526698179</v>
      </c>
      <c r="B4479" s="31"/>
      <c r="C4479" s="2" t="s">
        <v>855</v>
      </c>
      <c r="D4479" s="31">
        <f t="shared" si="146"/>
        <v>0.10596422583232844</v>
      </c>
      <c r="F4479" s="2" t="s">
        <v>822</v>
      </c>
      <c r="G4479" s="23" t="s">
        <v>902</v>
      </c>
      <c r="H4479" s="2" t="s">
        <v>822</v>
      </c>
      <c r="J4479" s="31">
        <v>55.2505989</v>
      </c>
      <c r="K4479" s="31">
        <v>2.8640001000000002</v>
      </c>
      <c r="L4479" s="31"/>
      <c r="M4479" s="31" t="s">
        <v>854</v>
      </c>
      <c r="N4479" s="6" t="s">
        <v>856</v>
      </c>
    </row>
    <row r="4480" spans="1:14" ht="15" customHeight="1" x14ac:dyDescent="0.2">
      <c r="A4480" s="31">
        <v>0.5405015648764443</v>
      </c>
      <c r="B4480" s="31"/>
      <c r="C4480" s="2" t="s">
        <v>855</v>
      </c>
      <c r="D4480" s="31">
        <f t="shared" si="146"/>
        <v>0.10593830671578308</v>
      </c>
      <c r="F4480" s="2" t="s">
        <v>822</v>
      </c>
      <c r="G4480" s="23" t="s">
        <v>902</v>
      </c>
      <c r="H4480" s="2" t="s">
        <v>822</v>
      </c>
      <c r="J4480" s="31">
        <v>47.455398600000002</v>
      </c>
      <c r="K4480" s="31">
        <v>-37.8899002</v>
      </c>
      <c r="L4480" s="31"/>
      <c r="M4480" s="31" t="s">
        <v>854</v>
      </c>
      <c r="N4480" s="6" t="s">
        <v>856</v>
      </c>
    </row>
    <row r="4481" spans="1:14" ht="15" customHeight="1" x14ac:dyDescent="0.2">
      <c r="A4481" s="31">
        <v>0.54038069008126188</v>
      </c>
      <c r="B4481" s="31"/>
      <c r="C4481" s="2" t="s">
        <v>855</v>
      </c>
      <c r="D4481" s="31">
        <f t="shared" si="146"/>
        <v>0.10591461525592734</v>
      </c>
      <c r="F4481" s="2" t="s">
        <v>822</v>
      </c>
      <c r="G4481" s="23" t="s">
        <v>902</v>
      </c>
      <c r="H4481" s="2" t="s">
        <v>822</v>
      </c>
      <c r="J4481" s="31">
        <v>42.767600999999999</v>
      </c>
      <c r="K4481" s="31">
        <v>-31.1667995</v>
      </c>
      <c r="L4481" s="31"/>
      <c r="M4481" s="31" t="s">
        <v>854</v>
      </c>
      <c r="N4481" s="6" t="s">
        <v>856</v>
      </c>
    </row>
    <row r="4482" spans="1:14" ht="15" customHeight="1" x14ac:dyDescent="0.2">
      <c r="A4482" s="31">
        <v>0.53977955810092471</v>
      </c>
      <c r="B4482" s="31"/>
      <c r="C4482" s="2" t="s">
        <v>855</v>
      </c>
      <c r="D4482" s="31">
        <f t="shared" si="146"/>
        <v>0.10579679338778125</v>
      </c>
      <c r="F4482" s="2" t="s">
        <v>822</v>
      </c>
      <c r="G4482" s="23" t="s">
        <v>902</v>
      </c>
      <c r="H4482" s="2" t="s">
        <v>822</v>
      </c>
      <c r="J4482" s="31">
        <v>33.541900599999998</v>
      </c>
      <c r="K4482" s="31">
        <v>18.9491005</v>
      </c>
      <c r="L4482" s="31"/>
      <c r="M4482" s="31" t="s">
        <v>854</v>
      </c>
      <c r="N4482" s="6" t="s">
        <v>856</v>
      </c>
    </row>
    <row r="4483" spans="1:14" ht="15" customHeight="1" x14ac:dyDescent="0.2">
      <c r="A4483" s="31">
        <v>0.53927580289187038</v>
      </c>
      <c r="B4483" s="31"/>
      <c r="C4483" s="2" t="s">
        <v>855</v>
      </c>
      <c r="D4483" s="31">
        <f t="shared" si="146"/>
        <v>0.1056980573668066</v>
      </c>
      <c r="F4483" s="2" t="s">
        <v>822</v>
      </c>
      <c r="G4483" s="23" t="s">
        <v>902</v>
      </c>
      <c r="H4483" s="2" t="s">
        <v>822</v>
      </c>
      <c r="J4483" s="31">
        <v>48.751998899999997</v>
      </c>
      <c r="K4483" s="31">
        <v>-19.847999600000001</v>
      </c>
      <c r="L4483" s="31"/>
      <c r="M4483" s="31" t="s">
        <v>854</v>
      </c>
      <c r="N4483" s="6" t="s">
        <v>856</v>
      </c>
    </row>
    <row r="4484" spans="1:14" ht="15" customHeight="1" x14ac:dyDescent="0.2">
      <c r="A4484" s="31">
        <v>0.53915246666203365</v>
      </c>
      <c r="B4484" s="31"/>
      <c r="C4484" s="2" t="s">
        <v>855</v>
      </c>
      <c r="D4484" s="31">
        <f t="shared" si="146"/>
        <v>0.10567388346575859</v>
      </c>
      <c r="F4484" s="2" t="s">
        <v>822</v>
      </c>
      <c r="G4484" s="23" t="s">
        <v>902</v>
      </c>
      <c r="H4484" s="2" t="s">
        <v>822</v>
      </c>
      <c r="J4484" s="31">
        <v>36.049598699999997</v>
      </c>
      <c r="K4484" s="31">
        <v>-21.066200299999998</v>
      </c>
      <c r="L4484" s="31"/>
      <c r="M4484" s="31" t="s">
        <v>854</v>
      </c>
      <c r="N4484" s="6" t="s">
        <v>856</v>
      </c>
    </row>
    <row r="4485" spans="1:14" ht="15" customHeight="1" x14ac:dyDescent="0.2">
      <c r="A4485" s="31">
        <v>0.53886635146188888</v>
      </c>
      <c r="B4485" s="31"/>
      <c r="C4485" s="2" t="s">
        <v>855</v>
      </c>
      <c r="D4485" s="31">
        <f t="shared" si="146"/>
        <v>0.10561780488653022</v>
      </c>
      <c r="F4485" s="2" t="s">
        <v>822</v>
      </c>
      <c r="G4485" s="23" t="s">
        <v>902</v>
      </c>
      <c r="H4485" s="2" t="s">
        <v>822</v>
      </c>
      <c r="J4485" s="31">
        <v>56.138301800000001</v>
      </c>
      <c r="K4485" s="31">
        <v>-6.3418397999999998</v>
      </c>
      <c r="L4485" s="31"/>
      <c r="M4485" s="31" t="s">
        <v>854</v>
      </c>
      <c r="N4485" s="6" t="s">
        <v>856</v>
      </c>
    </row>
    <row r="4486" spans="1:14" ht="15" customHeight="1" x14ac:dyDescent="0.2">
      <c r="A4486" s="31">
        <v>0.53876386578688351</v>
      </c>
      <c r="B4486" s="31"/>
      <c r="C4486" s="2" t="s">
        <v>855</v>
      </c>
      <c r="D4486" s="31">
        <f t="shared" si="146"/>
        <v>0.10559771769422917</v>
      </c>
      <c r="F4486" s="2" t="s">
        <v>822</v>
      </c>
      <c r="G4486" s="23" t="s">
        <v>902</v>
      </c>
      <c r="H4486" s="2" t="s">
        <v>822</v>
      </c>
      <c r="J4486" s="31">
        <v>54.521801000000004</v>
      </c>
      <c r="K4486" s="31">
        <v>0.93022800000000005</v>
      </c>
      <c r="L4486" s="31"/>
      <c r="M4486" s="31" t="s">
        <v>854</v>
      </c>
      <c r="N4486" s="6" t="s">
        <v>856</v>
      </c>
    </row>
    <row r="4487" spans="1:14" ht="15" customHeight="1" x14ac:dyDescent="0.2">
      <c r="A4487" s="31">
        <v>0.53873599174470854</v>
      </c>
      <c r="B4487" s="31"/>
      <c r="C4487" s="2" t="s">
        <v>855</v>
      </c>
      <c r="D4487" s="31">
        <f t="shared" si="146"/>
        <v>0.10559225438196287</v>
      </c>
      <c r="F4487" s="2" t="s">
        <v>822</v>
      </c>
      <c r="G4487" s="23" t="s">
        <v>902</v>
      </c>
      <c r="H4487" s="2" t="s">
        <v>822</v>
      </c>
      <c r="J4487" s="31">
        <v>31.168300599999998</v>
      </c>
      <c r="K4487" s="31">
        <v>28.247199999999999</v>
      </c>
      <c r="L4487" s="31"/>
      <c r="M4487" s="31" t="s">
        <v>854</v>
      </c>
      <c r="N4487" s="6" t="s">
        <v>856</v>
      </c>
    </row>
    <row r="4488" spans="1:14" ht="15" customHeight="1" x14ac:dyDescent="0.2">
      <c r="A4488" s="31">
        <v>0.53870423848512217</v>
      </c>
      <c r="B4488" s="31"/>
      <c r="C4488" s="2" t="s">
        <v>855</v>
      </c>
      <c r="D4488" s="31">
        <f t="shared" si="146"/>
        <v>0.10558603074308395</v>
      </c>
      <c r="F4488" s="2" t="s">
        <v>822</v>
      </c>
      <c r="G4488" s="23" t="s">
        <v>902</v>
      </c>
      <c r="H4488" s="2" t="s">
        <v>822</v>
      </c>
      <c r="J4488" s="31">
        <v>54.910900099999999</v>
      </c>
      <c r="K4488" s="31">
        <v>-3.3538598999999998</v>
      </c>
      <c r="L4488" s="31"/>
      <c r="M4488" s="31" t="s">
        <v>854</v>
      </c>
      <c r="N4488" s="6" t="s">
        <v>856</v>
      </c>
    </row>
    <row r="4489" spans="1:14" ht="15" customHeight="1" x14ac:dyDescent="0.2">
      <c r="A4489" s="31">
        <v>0.53852111523363977</v>
      </c>
      <c r="B4489" s="31"/>
      <c r="C4489" s="2" t="s">
        <v>855</v>
      </c>
      <c r="D4489" s="31">
        <f t="shared" si="146"/>
        <v>0.1055501385857934</v>
      </c>
      <c r="F4489" s="2" t="s">
        <v>822</v>
      </c>
      <c r="G4489" s="23" t="s">
        <v>902</v>
      </c>
      <c r="H4489" s="2" t="s">
        <v>822</v>
      </c>
      <c r="J4489" s="31">
        <v>39.298099499999999</v>
      </c>
      <c r="K4489" s="31">
        <v>14.784500100000001</v>
      </c>
      <c r="L4489" s="31"/>
      <c r="M4489" s="31" t="s">
        <v>854</v>
      </c>
      <c r="N4489" s="6" t="s">
        <v>856</v>
      </c>
    </row>
    <row r="4490" spans="1:14" ht="15" customHeight="1" x14ac:dyDescent="0.2">
      <c r="A4490" s="31">
        <v>0.53845485937387372</v>
      </c>
      <c r="B4490" s="31"/>
      <c r="C4490" s="2" t="s">
        <v>855</v>
      </c>
      <c r="D4490" s="31">
        <f t="shared" si="146"/>
        <v>0.10553715243727925</v>
      </c>
      <c r="F4490" s="2" t="s">
        <v>822</v>
      </c>
      <c r="G4490" s="23" t="s">
        <v>902</v>
      </c>
      <c r="H4490" s="2" t="s">
        <v>822</v>
      </c>
      <c r="J4490" s="31">
        <v>51.5475998</v>
      </c>
      <c r="K4490" s="31">
        <v>-27.124599499999999</v>
      </c>
      <c r="L4490" s="31"/>
      <c r="M4490" s="31" t="s">
        <v>854</v>
      </c>
      <c r="N4490" s="6" t="s">
        <v>856</v>
      </c>
    </row>
    <row r="4491" spans="1:14" ht="15" customHeight="1" x14ac:dyDescent="0.2">
      <c r="A4491" s="31">
        <v>0.53837329036179982</v>
      </c>
      <c r="B4491" s="31"/>
      <c r="C4491" s="2" t="s">
        <v>855</v>
      </c>
      <c r="D4491" s="31">
        <f t="shared" si="146"/>
        <v>0.10552116491091276</v>
      </c>
      <c r="F4491" s="2" t="s">
        <v>822</v>
      </c>
      <c r="G4491" s="23" t="s">
        <v>902</v>
      </c>
      <c r="H4491" s="2" t="s">
        <v>822</v>
      </c>
      <c r="J4491" s="31">
        <v>55.256198900000001</v>
      </c>
      <c r="K4491" s="31">
        <v>-7.0540199000000001</v>
      </c>
      <c r="L4491" s="31"/>
      <c r="M4491" s="31" t="s">
        <v>854</v>
      </c>
      <c r="N4491" s="6" t="s">
        <v>856</v>
      </c>
    </row>
    <row r="4492" spans="1:14" ht="15" customHeight="1" x14ac:dyDescent="0.2">
      <c r="A4492" s="31">
        <v>0.53837199374740241</v>
      </c>
      <c r="B4492" s="31"/>
      <c r="C4492" s="2" t="s">
        <v>855</v>
      </c>
      <c r="D4492" s="31">
        <f t="shared" si="146"/>
        <v>0.10552091077449087</v>
      </c>
      <c r="F4492" s="2" t="s">
        <v>822</v>
      </c>
      <c r="G4492" s="23" t="s">
        <v>902</v>
      </c>
      <c r="H4492" s="2" t="s">
        <v>822</v>
      </c>
      <c r="J4492" s="31">
        <v>58.185501100000003</v>
      </c>
      <c r="K4492" s="31">
        <v>4.2282801000000001</v>
      </c>
      <c r="L4492" s="31"/>
      <c r="M4492" s="31" t="s">
        <v>854</v>
      </c>
      <c r="N4492" s="6" t="s">
        <v>856</v>
      </c>
    </row>
    <row r="4493" spans="1:14" ht="15" customHeight="1" x14ac:dyDescent="0.2">
      <c r="A4493" s="31">
        <v>0.53825732026827533</v>
      </c>
      <c r="B4493" s="31"/>
      <c r="C4493" s="2" t="s">
        <v>855</v>
      </c>
      <c r="D4493" s="31">
        <f t="shared" si="146"/>
        <v>0.10549843477258197</v>
      </c>
      <c r="F4493" s="2" t="s">
        <v>822</v>
      </c>
      <c r="G4493" s="23" t="s">
        <v>902</v>
      </c>
      <c r="H4493" s="2" t="s">
        <v>822</v>
      </c>
      <c r="J4493" s="31">
        <v>37.3959999</v>
      </c>
      <c r="K4493" s="31">
        <v>-16.507999399999999</v>
      </c>
      <c r="L4493" s="31"/>
      <c r="M4493" s="31" t="s">
        <v>854</v>
      </c>
      <c r="N4493" s="6" t="s">
        <v>856</v>
      </c>
    </row>
    <row r="4494" spans="1:14" ht="15" customHeight="1" x14ac:dyDescent="0.2">
      <c r="A4494" s="31">
        <v>0.53803490825100353</v>
      </c>
      <c r="B4494" s="31"/>
      <c r="C4494" s="2" t="s">
        <v>855</v>
      </c>
      <c r="D4494" s="31">
        <f t="shared" si="146"/>
        <v>0.1054548420171967</v>
      </c>
      <c r="F4494" s="2" t="s">
        <v>822</v>
      </c>
      <c r="G4494" s="23" t="s">
        <v>902</v>
      </c>
      <c r="H4494" s="2" t="s">
        <v>822</v>
      </c>
      <c r="J4494" s="31">
        <v>43.736499799999997</v>
      </c>
      <c r="K4494" s="31">
        <v>13.209400199999999</v>
      </c>
      <c r="L4494" s="31"/>
      <c r="M4494" s="31" t="s">
        <v>854</v>
      </c>
      <c r="N4494" s="6" t="s">
        <v>856</v>
      </c>
    </row>
    <row r="4495" spans="1:14" ht="15" customHeight="1" x14ac:dyDescent="0.2">
      <c r="A4495" s="31">
        <v>0.53799649840875075</v>
      </c>
      <c r="B4495" s="31"/>
      <c r="C4495" s="2" t="s">
        <v>855</v>
      </c>
      <c r="D4495" s="31">
        <f t="shared" si="146"/>
        <v>0.10544731368811515</v>
      </c>
      <c r="F4495" s="2" t="s">
        <v>822</v>
      </c>
      <c r="G4495" s="23" t="s">
        <v>902</v>
      </c>
      <c r="H4495" s="2" t="s">
        <v>822</v>
      </c>
      <c r="J4495" s="31">
        <v>44.076000200000003</v>
      </c>
      <c r="K4495" s="31">
        <v>-41.891998299999997</v>
      </c>
      <c r="L4495" s="31"/>
      <c r="M4495" s="31" t="s">
        <v>854</v>
      </c>
      <c r="N4495" s="6" t="s">
        <v>856</v>
      </c>
    </row>
    <row r="4496" spans="1:14" ht="15" customHeight="1" x14ac:dyDescent="0.2">
      <c r="A4496" s="31">
        <v>0.53798480512244229</v>
      </c>
      <c r="B4496" s="31"/>
      <c r="C4496" s="2" t="s">
        <v>855</v>
      </c>
      <c r="D4496" s="31">
        <f t="shared" si="146"/>
        <v>0.10544502180399869</v>
      </c>
      <c r="F4496" s="2" t="s">
        <v>822</v>
      </c>
      <c r="G4496" s="23" t="s">
        <v>902</v>
      </c>
      <c r="H4496" s="2" t="s">
        <v>822</v>
      </c>
      <c r="J4496" s="31">
        <v>32.7715988</v>
      </c>
      <c r="K4496" s="31">
        <v>-36.6853981</v>
      </c>
      <c r="L4496" s="31"/>
      <c r="M4496" s="31" t="s">
        <v>854</v>
      </c>
      <c r="N4496" s="6" t="s">
        <v>856</v>
      </c>
    </row>
    <row r="4497" spans="1:14" ht="15" customHeight="1" x14ac:dyDescent="0.2">
      <c r="A4497" s="31">
        <v>0.53791838998480301</v>
      </c>
      <c r="B4497" s="31"/>
      <c r="C4497" s="2" t="s">
        <v>855</v>
      </c>
      <c r="D4497" s="31">
        <f t="shared" ref="D4497:D4528" si="147" xml:space="preserve"> A4497 * 0.196</f>
        <v>0.1054320044370214</v>
      </c>
      <c r="F4497" s="2" t="s">
        <v>822</v>
      </c>
      <c r="G4497" s="23" t="s">
        <v>902</v>
      </c>
      <c r="H4497" s="2" t="s">
        <v>822</v>
      </c>
      <c r="J4497" s="31">
        <v>54.140399899999998</v>
      </c>
      <c r="K4497" s="31">
        <v>7.1010399</v>
      </c>
      <c r="L4497" s="31"/>
      <c r="M4497" s="31" t="s">
        <v>854</v>
      </c>
      <c r="N4497" s="6" t="s">
        <v>856</v>
      </c>
    </row>
    <row r="4498" spans="1:14" ht="15" customHeight="1" x14ac:dyDescent="0.2">
      <c r="A4498" s="31">
        <v>0.5377077467228355</v>
      </c>
      <c r="B4498" s="31"/>
      <c r="C4498" s="2" t="s">
        <v>855</v>
      </c>
      <c r="D4498" s="31">
        <f t="shared" si="147"/>
        <v>0.10539071835767576</v>
      </c>
      <c r="F4498" s="2" t="s">
        <v>822</v>
      </c>
      <c r="G4498" s="23" t="s">
        <v>902</v>
      </c>
      <c r="H4498" s="2" t="s">
        <v>822</v>
      </c>
      <c r="J4498" s="31">
        <v>46.748001100000003</v>
      </c>
      <c r="K4498" s="31">
        <v>-23.856000900000002</v>
      </c>
      <c r="L4498" s="31"/>
      <c r="M4498" s="31" t="s">
        <v>854</v>
      </c>
      <c r="N4498" s="6" t="s">
        <v>856</v>
      </c>
    </row>
    <row r="4499" spans="1:14" ht="15" customHeight="1" x14ac:dyDescent="0.2">
      <c r="A4499" s="31">
        <v>0.53754735221201555</v>
      </c>
      <c r="B4499" s="31"/>
      <c r="C4499" s="2" t="s">
        <v>855</v>
      </c>
      <c r="D4499" s="31">
        <f t="shared" si="147"/>
        <v>0.10535928103355505</v>
      </c>
      <c r="F4499" s="2" t="s">
        <v>822</v>
      </c>
      <c r="G4499" s="23" t="s">
        <v>902</v>
      </c>
      <c r="H4499" s="2" t="s">
        <v>822</v>
      </c>
      <c r="J4499" s="31">
        <v>47.106899300000002</v>
      </c>
      <c r="K4499" s="31">
        <v>-9.6302298999999998</v>
      </c>
      <c r="L4499" s="31"/>
      <c r="M4499" s="31" t="s">
        <v>854</v>
      </c>
      <c r="N4499" s="6" t="s">
        <v>856</v>
      </c>
    </row>
    <row r="4500" spans="1:14" ht="15" customHeight="1" x14ac:dyDescent="0.2">
      <c r="A4500" s="31">
        <v>0.53753745754603433</v>
      </c>
      <c r="B4500" s="31"/>
      <c r="C4500" s="2" t="s">
        <v>855</v>
      </c>
      <c r="D4500" s="31">
        <f t="shared" si="147"/>
        <v>0.10535734167902273</v>
      </c>
      <c r="F4500" s="2" t="s">
        <v>822</v>
      </c>
      <c r="G4500" s="23" t="s">
        <v>902</v>
      </c>
      <c r="H4500" s="2" t="s">
        <v>822</v>
      </c>
      <c r="J4500" s="31">
        <v>54.541599300000001</v>
      </c>
      <c r="K4500" s="31">
        <v>7.8058399999999999</v>
      </c>
      <c r="L4500" s="31"/>
      <c r="M4500" s="31" t="s">
        <v>854</v>
      </c>
      <c r="N4500" s="6" t="s">
        <v>856</v>
      </c>
    </row>
    <row r="4501" spans="1:14" ht="15" customHeight="1" x14ac:dyDescent="0.2">
      <c r="A4501" s="31">
        <v>0.53753151730469018</v>
      </c>
      <c r="B4501" s="31"/>
      <c r="C4501" s="2" t="s">
        <v>855</v>
      </c>
      <c r="D4501" s="31">
        <f t="shared" si="147"/>
        <v>0.10535617739171928</v>
      </c>
      <c r="F4501" s="2" t="s">
        <v>822</v>
      </c>
      <c r="G4501" s="23" t="s">
        <v>902</v>
      </c>
      <c r="H4501" s="2" t="s">
        <v>822</v>
      </c>
      <c r="J4501" s="31">
        <v>54.096000699999998</v>
      </c>
      <c r="K4501" s="31">
        <v>-17.8439999</v>
      </c>
      <c r="L4501" s="31"/>
      <c r="M4501" s="31" t="s">
        <v>854</v>
      </c>
      <c r="N4501" s="6" t="s">
        <v>856</v>
      </c>
    </row>
    <row r="4502" spans="1:14" ht="15" customHeight="1" x14ac:dyDescent="0.2">
      <c r="A4502" s="31">
        <v>0.53725487825112839</v>
      </c>
      <c r="B4502" s="31"/>
      <c r="C4502" s="2" t="s">
        <v>855</v>
      </c>
      <c r="D4502" s="31">
        <f t="shared" si="147"/>
        <v>0.10530195613722117</v>
      </c>
      <c r="F4502" s="2" t="s">
        <v>822</v>
      </c>
      <c r="G4502" s="23" t="s">
        <v>902</v>
      </c>
      <c r="H4502" s="2" t="s">
        <v>822</v>
      </c>
      <c r="J4502" s="31">
        <v>43.408000899999998</v>
      </c>
      <c r="K4502" s="31">
        <v>-25.1919994</v>
      </c>
      <c r="L4502" s="31"/>
      <c r="M4502" s="31" t="s">
        <v>854</v>
      </c>
      <c r="N4502" s="6" t="s">
        <v>856</v>
      </c>
    </row>
    <row r="4503" spans="1:14" ht="15" customHeight="1" x14ac:dyDescent="0.2">
      <c r="A4503" s="31">
        <v>0.53724821362761377</v>
      </c>
      <c r="B4503" s="31"/>
      <c r="C4503" s="2" t="s">
        <v>855</v>
      </c>
      <c r="D4503" s="31">
        <f t="shared" si="147"/>
        <v>0.1053006498710123</v>
      </c>
      <c r="F4503" s="2" t="s">
        <v>822</v>
      </c>
      <c r="G4503" s="23" t="s">
        <v>902</v>
      </c>
      <c r="H4503" s="2" t="s">
        <v>822</v>
      </c>
      <c r="J4503" s="31">
        <v>36.129100800000003</v>
      </c>
      <c r="K4503" s="31">
        <v>-19.436599699999999</v>
      </c>
      <c r="L4503" s="31"/>
      <c r="M4503" s="31" t="s">
        <v>854</v>
      </c>
      <c r="N4503" s="6" t="s">
        <v>856</v>
      </c>
    </row>
    <row r="4504" spans="1:14" ht="15" customHeight="1" x14ac:dyDescent="0.2">
      <c r="A4504" s="31">
        <v>0.53693609768115147</v>
      </c>
      <c r="B4504" s="31"/>
      <c r="C4504" s="2" t="s">
        <v>855</v>
      </c>
      <c r="D4504" s="31">
        <f t="shared" si="147"/>
        <v>0.10523947514550569</v>
      </c>
      <c r="F4504" s="2" t="s">
        <v>822</v>
      </c>
      <c r="G4504" s="23" t="s">
        <v>902</v>
      </c>
      <c r="H4504" s="2" t="s">
        <v>822</v>
      </c>
      <c r="J4504" s="31">
        <v>54.763999900000002</v>
      </c>
      <c r="K4504" s="31">
        <v>-13.1680002</v>
      </c>
      <c r="L4504" s="31"/>
      <c r="M4504" s="31" t="s">
        <v>854</v>
      </c>
      <c r="N4504" s="6" t="s">
        <v>856</v>
      </c>
    </row>
    <row r="4505" spans="1:14" ht="15" customHeight="1" x14ac:dyDescent="0.2">
      <c r="A4505" s="31">
        <v>0.53676083698800392</v>
      </c>
      <c r="B4505" s="31"/>
      <c r="C4505" s="2" t="s">
        <v>855</v>
      </c>
      <c r="D4505" s="31">
        <f t="shared" si="147"/>
        <v>0.10520512404964877</v>
      </c>
      <c r="F4505" s="2" t="s">
        <v>822</v>
      </c>
      <c r="G4505" s="23" t="s">
        <v>902</v>
      </c>
      <c r="H4505" s="2" t="s">
        <v>822</v>
      </c>
      <c r="J4505" s="31">
        <v>51.6167984</v>
      </c>
      <c r="K4505" s="31">
        <v>-9.8922501</v>
      </c>
      <c r="L4505" s="31"/>
      <c r="M4505" s="31" t="s">
        <v>854</v>
      </c>
      <c r="N4505" s="6" t="s">
        <v>856</v>
      </c>
    </row>
    <row r="4506" spans="1:14" ht="15" customHeight="1" x14ac:dyDescent="0.2">
      <c r="A4506" s="31">
        <v>0.53643795871562017</v>
      </c>
      <c r="B4506" s="31"/>
      <c r="C4506" s="2" t="s">
        <v>855</v>
      </c>
      <c r="D4506" s="31">
        <f t="shared" si="147"/>
        <v>0.10514183990826155</v>
      </c>
      <c r="F4506" s="2" t="s">
        <v>822</v>
      </c>
      <c r="G4506" s="23" t="s">
        <v>902</v>
      </c>
      <c r="H4506" s="2" t="s">
        <v>822</v>
      </c>
      <c r="J4506" s="31">
        <v>52.135898599999997</v>
      </c>
      <c r="K4506" s="31">
        <v>-27.224300400000001</v>
      </c>
      <c r="L4506" s="31"/>
      <c r="M4506" s="31" t="s">
        <v>854</v>
      </c>
      <c r="N4506" s="6" t="s">
        <v>856</v>
      </c>
    </row>
    <row r="4507" spans="1:14" ht="15" customHeight="1" x14ac:dyDescent="0.2">
      <c r="A4507" s="31">
        <v>0.53636302401095526</v>
      </c>
      <c r="B4507" s="31"/>
      <c r="C4507" s="2" t="s">
        <v>855</v>
      </c>
      <c r="D4507" s="31">
        <f t="shared" si="147"/>
        <v>0.10512715270614724</v>
      </c>
      <c r="F4507" s="2" t="s">
        <v>822</v>
      </c>
      <c r="G4507" s="23" t="s">
        <v>902</v>
      </c>
      <c r="H4507" s="2" t="s">
        <v>822</v>
      </c>
      <c r="J4507" s="31">
        <v>54.8755989</v>
      </c>
      <c r="K4507" s="31">
        <v>7.8058399999999999</v>
      </c>
      <c r="L4507" s="31"/>
      <c r="M4507" s="31" t="s">
        <v>854</v>
      </c>
      <c r="N4507" s="6" t="s">
        <v>856</v>
      </c>
    </row>
    <row r="4508" spans="1:14" ht="15" customHeight="1" x14ac:dyDescent="0.2">
      <c r="A4508" s="31">
        <v>0.53631051421081311</v>
      </c>
      <c r="B4508" s="31"/>
      <c r="C4508" s="2" t="s">
        <v>855</v>
      </c>
      <c r="D4508" s="31">
        <f t="shared" si="147"/>
        <v>0.10511686078531937</v>
      </c>
      <c r="F4508" s="2" t="s">
        <v>822</v>
      </c>
      <c r="G4508" s="23" t="s">
        <v>902</v>
      </c>
      <c r="H4508" s="2" t="s">
        <v>822</v>
      </c>
      <c r="J4508" s="31">
        <v>47.154399900000001</v>
      </c>
      <c r="K4508" s="31">
        <v>-9.1099300000000003</v>
      </c>
      <c r="L4508" s="31"/>
      <c r="M4508" s="31" t="s">
        <v>854</v>
      </c>
      <c r="N4508" s="6" t="s">
        <v>856</v>
      </c>
    </row>
    <row r="4509" spans="1:14" ht="15" customHeight="1" x14ac:dyDescent="0.2">
      <c r="A4509" s="31">
        <v>0.53595796747861046</v>
      </c>
      <c r="B4509" s="31"/>
      <c r="C4509" s="2" t="s">
        <v>855</v>
      </c>
      <c r="D4509" s="31">
        <f t="shared" si="147"/>
        <v>0.10504776162580766</v>
      </c>
      <c r="F4509" s="2" t="s">
        <v>822</v>
      </c>
      <c r="G4509" s="23" t="s">
        <v>902</v>
      </c>
      <c r="H4509" s="2" t="s">
        <v>822</v>
      </c>
      <c r="J4509" s="31">
        <v>44.729198500000003</v>
      </c>
      <c r="K4509" s="31">
        <v>-18.451700200000001</v>
      </c>
      <c r="L4509" s="31"/>
      <c r="M4509" s="31" t="s">
        <v>854</v>
      </c>
      <c r="N4509" s="6" t="s">
        <v>856</v>
      </c>
    </row>
    <row r="4510" spans="1:14" ht="15" customHeight="1" x14ac:dyDescent="0.2">
      <c r="A4510" s="31">
        <v>0.53593598550511168</v>
      </c>
      <c r="B4510" s="31"/>
      <c r="C4510" s="2" t="s">
        <v>855</v>
      </c>
      <c r="D4510" s="31">
        <f t="shared" si="147"/>
        <v>0.10504345315900189</v>
      </c>
      <c r="F4510" s="2" t="s">
        <v>822</v>
      </c>
      <c r="G4510" s="23" t="s">
        <v>902</v>
      </c>
      <c r="H4510" s="2" t="s">
        <v>822</v>
      </c>
      <c r="J4510" s="31">
        <v>55.061199199999997</v>
      </c>
      <c r="K4510" s="31">
        <v>12.3565998</v>
      </c>
      <c r="L4510" s="31"/>
      <c r="M4510" s="31" t="s">
        <v>854</v>
      </c>
      <c r="N4510" s="6" t="s">
        <v>856</v>
      </c>
    </row>
    <row r="4511" spans="1:14" ht="15" customHeight="1" x14ac:dyDescent="0.2">
      <c r="A4511" s="31">
        <v>0.53592068958727024</v>
      </c>
      <c r="B4511" s="31"/>
      <c r="C4511" s="2" t="s">
        <v>855</v>
      </c>
      <c r="D4511" s="31">
        <f t="shared" si="147"/>
        <v>0.10504045515910497</v>
      </c>
      <c r="F4511" s="2" t="s">
        <v>822</v>
      </c>
      <c r="G4511" s="23" t="s">
        <v>902</v>
      </c>
      <c r="H4511" s="2" t="s">
        <v>822</v>
      </c>
      <c r="J4511" s="31">
        <v>53.949298900000002</v>
      </c>
      <c r="K4511" s="31">
        <v>2.1798400999999998</v>
      </c>
      <c r="L4511" s="31"/>
      <c r="M4511" s="31" t="s">
        <v>854</v>
      </c>
      <c r="N4511" s="6" t="s">
        <v>856</v>
      </c>
    </row>
    <row r="4512" spans="1:14" ht="15" customHeight="1" x14ac:dyDescent="0.2">
      <c r="A4512" s="31">
        <v>0.53548633027493797</v>
      </c>
      <c r="B4512" s="31"/>
      <c r="C4512" s="2" t="s">
        <v>855</v>
      </c>
      <c r="D4512" s="31">
        <f t="shared" si="147"/>
        <v>0.10495532073388784</v>
      </c>
      <c r="F4512" s="2" t="s">
        <v>822</v>
      </c>
      <c r="G4512" s="23" t="s">
        <v>902</v>
      </c>
      <c r="H4512" s="2" t="s">
        <v>822</v>
      </c>
      <c r="J4512" s="31">
        <v>56.429698899999998</v>
      </c>
      <c r="K4512" s="31">
        <v>-2.1739199</v>
      </c>
      <c r="L4512" s="31"/>
      <c r="M4512" s="31" t="s">
        <v>854</v>
      </c>
      <c r="N4512" s="6" t="s">
        <v>856</v>
      </c>
    </row>
    <row r="4513" spans="1:14" ht="15" customHeight="1" x14ac:dyDescent="0.2">
      <c r="A4513" s="31">
        <v>0.53526781938161005</v>
      </c>
      <c r="B4513" s="31"/>
      <c r="C4513" s="2" t="s">
        <v>855</v>
      </c>
      <c r="D4513" s="31">
        <f t="shared" si="147"/>
        <v>0.10491249259879558</v>
      </c>
      <c r="F4513" s="2" t="s">
        <v>822</v>
      </c>
      <c r="G4513" s="23" t="s">
        <v>902</v>
      </c>
      <c r="H4513" s="2" t="s">
        <v>822</v>
      </c>
      <c r="J4513" s="31">
        <v>53.832599600000002</v>
      </c>
      <c r="K4513" s="31">
        <v>4.6358398999999997</v>
      </c>
      <c r="L4513" s="31"/>
      <c r="M4513" s="31" t="s">
        <v>854</v>
      </c>
      <c r="N4513" s="6" t="s">
        <v>856</v>
      </c>
    </row>
    <row r="4514" spans="1:14" ht="15" customHeight="1" x14ac:dyDescent="0.2">
      <c r="A4514" s="31">
        <v>0.53513235351410937</v>
      </c>
      <c r="B4514" s="31"/>
      <c r="C4514" s="2" t="s">
        <v>855</v>
      </c>
      <c r="D4514" s="31">
        <f t="shared" si="147"/>
        <v>0.10488594128876544</v>
      </c>
      <c r="F4514" s="2" t="s">
        <v>822</v>
      </c>
      <c r="G4514" s="23" t="s">
        <v>902</v>
      </c>
      <c r="H4514" s="2" t="s">
        <v>822</v>
      </c>
      <c r="J4514" s="31">
        <v>52.081199599999998</v>
      </c>
      <c r="K4514" s="31">
        <v>3.6113900999999999</v>
      </c>
      <c r="L4514" s="31"/>
      <c r="M4514" s="31" t="s">
        <v>854</v>
      </c>
      <c r="N4514" s="6" t="s">
        <v>856</v>
      </c>
    </row>
    <row r="4515" spans="1:14" ht="15" customHeight="1" x14ac:dyDescent="0.2">
      <c r="A4515" s="31">
        <v>0.53483647850227112</v>
      </c>
      <c r="B4515" s="31"/>
      <c r="C4515" s="2" t="s">
        <v>855</v>
      </c>
      <c r="D4515" s="31">
        <f t="shared" si="147"/>
        <v>0.10482794978644515</v>
      </c>
      <c r="F4515" s="2" t="s">
        <v>822</v>
      </c>
      <c r="G4515" s="23" t="s">
        <v>902</v>
      </c>
      <c r="H4515" s="2" t="s">
        <v>822</v>
      </c>
      <c r="J4515" s="31">
        <v>42.008998900000002</v>
      </c>
      <c r="K4515" s="31">
        <v>-11.0165997</v>
      </c>
      <c r="L4515" s="31"/>
      <c r="M4515" s="31" t="s">
        <v>854</v>
      </c>
      <c r="N4515" s="6" t="s">
        <v>856</v>
      </c>
    </row>
    <row r="4516" spans="1:14" ht="15" customHeight="1" x14ac:dyDescent="0.2">
      <c r="A4516" s="31">
        <v>0.53478750128411356</v>
      </c>
      <c r="B4516" s="31"/>
      <c r="C4516" s="2" t="s">
        <v>855</v>
      </c>
      <c r="D4516" s="31">
        <f t="shared" si="147"/>
        <v>0.10481835025168626</v>
      </c>
      <c r="F4516" s="2" t="s">
        <v>822</v>
      </c>
      <c r="G4516" s="23" t="s">
        <v>902</v>
      </c>
      <c r="H4516" s="2" t="s">
        <v>822</v>
      </c>
      <c r="J4516" s="31">
        <v>57.002201100000001</v>
      </c>
      <c r="K4516" s="31">
        <v>6.8720597999999997</v>
      </c>
      <c r="L4516" s="31"/>
      <c r="M4516" s="31" t="s">
        <v>854</v>
      </c>
      <c r="N4516" s="6" t="s">
        <v>856</v>
      </c>
    </row>
    <row r="4517" spans="1:14" ht="15" customHeight="1" x14ac:dyDescent="0.2">
      <c r="A4517" s="31">
        <v>0.53384748195449294</v>
      </c>
      <c r="B4517" s="31"/>
      <c r="C4517" s="2" t="s">
        <v>855</v>
      </c>
      <c r="D4517" s="31">
        <f t="shared" si="147"/>
        <v>0.10463410646308062</v>
      </c>
      <c r="F4517" s="2" t="s">
        <v>822</v>
      </c>
      <c r="G4517" s="23" t="s">
        <v>902</v>
      </c>
      <c r="H4517" s="2" t="s">
        <v>822</v>
      </c>
      <c r="J4517" s="31">
        <v>46.080001799999998</v>
      </c>
      <c r="K4517" s="31">
        <v>-32.540000900000003</v>
      </c>
      <c r="L4517" s="31"/>
      <c r="M4517" s="31" t="s">
        <v>854</v>
      </c>
      <c r="N4517" s="6" t="s">
        <v>856</v>
      </c>
    </row>
    <row r="4518" spans="1:14" ht="15" customHeight="1" x14ac:dyDescent="0.2">
      <c r="A4518" s="31">
        <v>0.53376235012815054</v>
      </c>
      <c r="B4518" s="31"/>
      <c r="C4518" s="2" t="s">
        <v>855</v>
      </c>
      <c r="D4518" s="31">
        <f t="shared" si="147"/>
        <v>0.10461742062511752</v>
      </c>
      <c r="F4518" s="2" t="s">
        <v>822</v>
      </c>
      <c r="G4518" s="23" t="s">
        <v>902</v>
      </c>
      <c r="H4518" s="2" t="s">
        <v>822</v>
      </c>
      <c r="J4518" s="31">
        <v>28.711999899999999</v>
      </c>
      <c r="K4518" s="31">
        <v>-40.555999800000002</v>
      </c>
      <c r="L4518" s="31"/>
      <c r="M4518" s="31" t="s">
        <v>854</v>
      </c>
      <c r="N4518" s="6" t="s">
        <v>856</v>
      </c>
    </row>
    <row r="4519" spans="1:14" ht="15" customHeight="1" x14ac:dyDescent="0.2">
      <c r="A4519" s="31">
        <v>0.53369524870588136</v>
      </c>
      <c r="B4519" s="31"/>
      <c r="C4519" s="2" t="s">
        <v>855</v>
      </c>
      <c r="D4519" s="31">
        <f t="shared" si="147"/>
        <v>0.10460426874635276</v>
      </c>
      <c r="F4519" s="2" t="s">
        <v>822</v>
      </c>
      <c r="G4519" s="23" t="s">
        <v>902</v>
      </c>
      <c r="H4519" s="2" t="s">
        <v>822</v>
      </c>
      <c r="J4519" s="31">
        <v>43.478298199999998</v>
      </c>
      <c r="K4519" s="31">
        <v>-3.9194</v>
      </c>
      <c r="L4519" s="31"/>
      <c r="M4519" s="31" t="s">
        <v>854</v>
      </c>
      <c r="N4519" s="6" t="s">
        <v>856</v>
      </c>
    </row>
    <row r="4520" spans="1:14" ht="15" customHeight="1" x14ac:dyDescent="0.2">
      <c r="A4520" s="31">
        <v>0.53361956414078149</v>
      </c>
      <c r="B4520" s="31"/>
      <c r="C4520" s="2" t="s">
        <v>855</v>
      </c>
      <c r="D4520" s="31">
        <f t="shared" si="147"/>
        <v>0.10458943457159317</v>
      </c>
      <c r="F4520" s="2" t="s">
        <v>822</v>
      </c>
      <c r="G4520" s="23" t="s">
        <v>902</v>
      </c>
      <c r="H4520" s="2" t="s">
        <v>822</v>
      </c>
      <c r="J4520" s="31">
        <v>34.492401100000002</v>
      </c>
      <c r="K4520" s="31">
        <v>20.102500899999999</v>
      </c>
      <c r="L4520" s="31"/>
      <c r="M4520" s="31" t="s">
        <v>854</v>
      </c>
      <c r="N4520" s="6" t="s">
        <v>856</v>
      </c>
    </row>
    <row r="4521" spans="1:14" ht="15" customHeight="1" x14ac:dyDescent="0.2">
      <c r="A4521" s="31">
        <v>0.53361724799797916</v>
      </c>
      <c r="B4521" s="31"/>
      <c r="C4521" s="2" t="s">
        <v>855</v>
      </c>
      <c r="D4521" s="31">
        <f t="shared" si="147"/>
        <v>0.10458898060760392</v>
      </c>
      <c r="F4521" s="2" t="s">
        <v>822</v>
      </c>
      <c r="G4521" s="23" t="s">
        <v>902</v>
      </c>
      <c r="H4521" s="2" t="s">
        <v>822</v>
      </c>
      <c r="J4521" s="31">
        <v>46.080001799999998</v>
      </c>
      <c r="K4521" s="31">
        <v>-11.8319998</v>
      </c>
      <c r="L4521" s="31"/>
      <c r="M4521" s="31" t="s">
        <v>854</v>
      </c>
      <c r="N4521" s="6" t="s">
        <v>856</v>
      </c>
    </row>
    <row r="4522" spans="1:14" ht="15" customHeight="1" x14ac:dyDescent="0.2">
      <c r="A4522" s="31">
        <v>0.53339467686866116</v>
      </c>
      <c r="B4522" s="31"/>
      <c r="C4522" s="2" t="s">
        <v>855</v>
      </c>
      <c r="D4522" s="31">
        <f t="shared" si="147"/>
        <v>0.1045453566662576</v>
      </c>
      <c r="F4522" s="2" t="s">
        <v>822</v>
      </c>
      <c r="G4522" s="23" t="s">
        <v>902</v>
      </c>
      <c r="H4522" s="2" t="s">
        <v>822</v>
      </c>
      <c r="J4522" s="31">
        <v>50.080600699999998</v>
      </c>
      <c r="K4522" s="31">
        <v>-4.9149199000000001</v>
      </c>
      <c r="L4522" s="31"/>
      <c r="M4522" s="31" t="s">
        <v>854</v>
      </c>
      <c r="N4522" s="6" t="s">
        <v>856</v>
      </c>
    </row>
    <row r="4523" spans="1:14" ht="15" customHeight="1" x14ac:dyDescent="0.2">
      <c r="A4523" s="31">
        <v>0.53277169231485788</v>
      </c>
      <c r="B4523" s="31"/>
      <c r="C4523" s="2" t="s">
        <v>855</v>
      </c>
      <c r="D4523" s="31">
        <f t="shared" si="147"/>
        <v>0.10442325169371215</v>
      </c>
      <c r="F4523" s="2" t="s">
        <v>822</v>
      </c>
      <c r="G4523" s="23" t="s">
        <v>902</v>
      </c>
      <c r="H4523" s="2" t="s">
        <v>822</v>
      </c>
      <c r="J4523" s="31">
        <v>54.195098899999998</v>
      </c>
      <c r="K4523" s="31">
        <v>11.021100000000001</v>
      </c>
      <c r="L4523" s="31"/>
      <c r="M4523" s="31" t="s">
        <v>854</v>
      </c>
      <c r="N4523" s="6" t="s">
        <v>856</v>
      </c>
    </row>
    <row r="4524" spans="1:14" ht="15" customHeight="1" x14ac:dyDescent="0.2">
      <c r="A4524" s="31">
        <v>0.53251611541128052</v>
      </c>
      <c r="B4524" s="31"/>
      <c r="C4524" s="2" t="s">
        <v>855</v>
      </c>
      <c r="D4524" s="31">
        <f t="shared" si="147"/>
        <v>0.10437315862061099</v>
      </c>
      <c r="F4524" s="2" t="s">
        <v>822</v>
      </c>
      <c r="G4524" s="23" t="s">
        <v>902</v>
      </c>
      <c r="H4524" s="2" t="s">
        <v>822</v>
      </c>
      <c r="J4524" s="31">
        <v>26.708000200000001</v>
      </c>
      <c r="K4524" s="31">
        <v>-33.208000200000001</v>
      </c>
      <c r="L4524" s="31"/>
      <c r="M4524" s="31" t="s">
        <v>854</v>
      </c>
      <c r="N4524" s="6" t="s">
        <v>856</v>
      </c>
    </row>
    <row r="4525" spans="1:14" ht="15" customHeight="1" x14ac:dyDescent="0.2">
      <c r="A4525" s="31">
        <v>0.53251310521869666</v>
      </c>
      <c r="B4525" s="31"/>
      <c r="C4525" s="2" t="s">
        <v>855</v>
      </c>
      <c r="D4525" s="31">
        <f t="shared" si="147"/>
        <v>0.10437256862286455</v>
      </c>
      <c r="F4525" s="2" t="s">
        <v>822</v>
      </c>
      <c r="G4525" s="23" t="s">
        <v>902</v>
      </c>
      <c r="H4525" s="2" t="s">
        <v>822</v>
      </c>
      <c r="J4525" s="31">
        <v>44.741001099999998</v>
      </c>
      <c r="K4525" s="31">
        <v>-3.8198298999999998</v>
      </c>
      <c r="L4525" s="31"/>
      <c r="M4525" s="31" t="s">
        <v>854</v>
      </c>
      <c r="N4525" s="6" t="s">
        <v>856</v>
      </c>
    </row>
    <row r="4526" spans="1:14" ht="15" customHeight="1" x14ac:dyDescent="0.2">
      <c r="A4526" s="31">
        <v>0.53228564320927219</v>
      </c>
      <c r="B4526" s="31"/>
      <c r="C4526" s="2" t="s">
        <v>855</v>
      </c>
      <c r="D4526" s="31">
        <f t="shared" si="147"/>
        <v>0.10432798606901736</v>
      </c>
      <c r="F4526" s="2" t="s">
        <v>822</v>
      </c>
      <c r="G4526" s="23" t="s">
        <v>902</v>
      </c>
      <c r="H4526" s="2" t="s">
        <v>822</v>
      </c>
      <c r="J4526" s="31">
        <v>53.266498599999998</v>
      </c>
      <c r="K4526" s="31">
        <v>-15.8645</v>
      </c>
      <c r="L4526" s="31"/>
      <c r="M4526" s="31" t="s">
        <v>854</v>
      </c>
      <c r="N4526" s="6" t="s">
        <v>856</v>
      </c>
    </row>
    <row r="4527" spans="1:14" ht="15" customHeight="1" x14ac:dyDescent="0.2">
      <c r="A4527" s="31">
        <v>0.53212467008172826</v>
      </c>
      <c r="B4527" s="31"/>
      <c r="C4527" s="2" t="s">
        <v>855</v>
      </c>
      <c r="D4527" s="31">
        <f t="shared" si="147"/>
        <v>0.10429643533601875</v>
      </c>
      <c r="F4527" s="2" t="s">
        <v>822</v>
      </c>
      <c r="G4527" s="23" t="s">
        <v>902</v>
      </c>
      <c r="H4527" s="2" t="s">
        <v>822</v>
      </c>
      <c r="J4527" s="31">
        <v>37.396099100000001</v>
      </c>
      <c r="K4527" s="31">
        <v>-35.880100300000002</v>
      </c>
      <c r="L4527" s="31"/>
      <c r="M4527" s="31" t="s">
        <v>854</v>
      </c>
      <c r="N4527" s="6" t="s">
        <v>856</v>
      </c>
    </row>
    <row r="4528" spans="1:14" ht="15" customHeight="1" x14ac:dyDescent="0.2">
      <c r="A4528" s="31">
        <v>0.5314714782445995</v>
      </c>
      <c r="B4528" s="31"/>
      <c r="C4528" s="2" t="s">
        <v>855</v>
      </c>
      <c r="D4528" s="31">
        <f t="shared" si="147"/>
        <v>0.10416840973594151</v>
      </c>
      <c r="F4528" s="2" t="s">
        <v>822</v>
      </c>
      <c r="G4528" s="23" t="s">
        <v>902</v>
      </c>
      <c r="H4528" s="2" t="s">
        <v>822</v>
      </c>
      <c r="J4528" s="31">
        <v>48.751998899999997</v>
      </c>
      <c r="K4528" s="31">
        <v>-34.543998700000003</v>
      </c>
      <c r="L4528" s="31"/>
      <c r="M4528" s="31" t="s">
        <v>854</v>
      </c>
      <c r="N4528" s="6" t="s">
        <v>856</v>
      </c>
    </row>
    <row r="4529" spans="1:14" ht="15" customHeight="1" x14ac:dyDescent="0.2">
      <c r="A4529" s="31">
        <v>0.53087522232816398</v>
      </c>
      <c r="B4529" s="31"/>
      <c r="C4529" s="2" t="s">
        <v>855</v>
      </c>
      <c r="D4529" s="31">
        <f t="shared" ref="D4529:D4537" si="148" xml:space="preserve"> A4529 * 0.196</f>
        <v>0.10405154357632014</v>
      </c>
      <c r="F4529" s="2" t="s">
        <v>822</v>
      </c>
      <c r="G4529" s="23" t="s">
        <v>902</v>
      </c>
      <c r="H4529" s="2" t="s">
        <v>822</v>
      </c>
      <c r="J4529" s="31">
        <v>29.3395996</v>
      </c>
      <c r="K4529" s="31">
        <v>-23.762899399999998</v>
      </c>
      <c r="L4529" s="31"/>
      <c r="M4529" s="31" t="s">
        <v>854</v>
      </c>
      <c r="N4529" s="6" t="s">
        <v>856</v>
      </c>
    </row>
    <row r="4530" spans="1:14" ht="15" customHeight="1" x14ac:dyDescent="0.2">
      <c r="A4530" s="31">
        <v>0.53054703372297751</v>
      </c>
      <c r="B4530" s="31"/>
      <c r="C4530" s="2" t="s">
        <v>855</v>
      </c>
      <c r="D4530" s="31">
        <f t="shared" si="148"/>
        <v>0.1039872186097036</v>
      </c>
      <c r="F4530" s="2" t="s">
        <v>822</v>
      </c>
      <c r="G4530" s="23" t="s">
        <v>902</v>
      </c>
      <c r="H4530" s="2" t="s">
        <v>822</v>
      </c>
      <c r="J4530" s="31">
        <v>31.589099900000001</v>
      </c>
      <c r="K4530" s="31">
        <v>28.178600299999999</v>
      </c>
      <c r="L4530" s="31"/>
      <c r="M4530" s="31" t="s">
        <v>854</v>
      </c>
      <c r="N4530" s="6" t="s">
        <v>856</v>
      </c>
    </row>
    <row r="4531" spans="1:14" ht="15" customHeight="1" x14ac:dyDescent="0.2">
      <c r="A4531" s="31">
        <v>0.53045727360350503</v>
      </c>
      <c r="B4531" s="31"/>
      <c r="C4531" s="2" t="s">
        <v>855</v>
      </c>
      <c r="D4531" s="31">
        <f t="shared" si="148"/>
        <v>0.10396962562628699</v>
      </c>
      <c r="F4531" s="2" t="s">
        <v>822</v>
      </c>
      <c r="G4531" s="23" t="s">
        <v>902</v>
      </c>
      <c r="H4531" s="2" t="s">
        <v>822</v>
      </c>
      <c r="J4531" s="31">
        <v>45.578899399999997</v>
      </c>
      <c r="K4531" s="31">
        <v>-19.193300199999999</v>
      </c>
      <c r="L4531" s="31"/>
      <c r="M4531" s="31" t="s">
        <v>854</v>
      </c>
      <c r="N4531" s="6" t="s">
        <v>856</v>
      </c>
    </row>
    <row r="4532" spans="1:14" ht="15" customHeight="1" x14ac:dyDescent="0.2">
      <c r="A4532" s="31">
        <v>0.53045257043191063</v>
      </c>
      <c r="B4532" s="31"/>
      <c r="C4532" s="2" t="s">
        <v>855</v>
      </c>
      <c r="D4532" s="31">
        <f t="shared" si="148"/>
        <v>0.10396870380465449</v>
      </c>
      <c r="F4532" s="2" t="s">
        <v>822</v>
      </c>
      <c r="G4532" s="23" t="s">
        <v>902</v>
      </c>
      <c r="H4532" s="2" t="s">
        <v>822</v>
      </c>
      <c r="J4532" s="31">
        <v>31.384000799999999</v>
      </c>
      <c r="K4532" s="31">
        <v>-34.543998700000003</v>
      </c>
      <c r="L4532" s="31"/>
      <c r="M4532" s="31" t="s">
        <v>854</v>
      </c>
      <c r="N4532" s="6" t="s">
        <v>856</v>
      </c>
    </row>
    <row r="4533" spans="1:14" ht="15" customHeight="1" x14ac:dyDescent="0.2">
      <c r="A4533" s="31">
        <v>0.5302279982028747</v>
      </c>
      <c r="B4533" s="31"/>
      <c r="C4533" s="2" t="s">
        <v>855</v>
      </c>
      <c r="D4533" s="31">
        <f t="shared" si="148"/>
        <v>0.10392468764776344</v>
      </c>
      <c r="F4533" s="2" t="s">
        <v>822</v>
      </c>
      <c r="G4533" s="23" t="s">
        <v>902</v>
      </c>
      <c r="H4533" s="2" t="s">
        <v>822</v>
      </c>
      <c r="J4533" s="31">
        <v>50.287601500000001</v>
      </c>
      <c r="K4533" s="31">
        <v>0.38183600000000001</v>
      </c>
      <c r="L4533" s="31"/>
      <c r="M4533" s="31" t="s">
        <v>854</v>
      </c>
      <c r="N4533" s="6" t="s">
        <v>856</v>
      </c>
    </row>
    <row r="4534" spans="1:14" ht="15" customHeight="1" x14ac:dyDescent="0.2">
      <c r="A4534" s="31">
        <v>0.53019186909722515</v>
      </c>
      <c r="B4534" s="31"/>
      <c r="C4534" s="2" t="s">
        <v>855</v>
      </c>
      <c r="D4534" s="31">
        <f t="shared" si="148"/>
        <v>0.10391760634305613</v>
      </c>
      <c r="F4534" s="2" t="s">
        <v>822</v>
      </c>
      <c r="G4534" s="23" t="s">
        <v>902</v>
      </c>
      <c r="H4534" s="2" t="s">
        <v>822</v>
      </c>
      <c r="J4534" s="31">
        <v>46.435001399999997</v>
      </c>
      <c r="K4534" s="31">
        <v>-27.264799100000001</v>
      </c>
      <c r="L4534" s="31"/>
      <c r="M4534" s="31" t="s">
        <v>854</v>
      </c>
      <c r="N4534" s="6" t="s">
        <v>856</v>
      </c>
    </row>
    <row r="4535" spans="1:14" ht="15" customHeight="1" x14ac:dyDescent="0.2">
      <c r="A4535" s="31">
        <v>0.53010963144779588</v>
      </c>
      <c r="B4535" s="31"/>
      <c r="C4535" s="2" t="s">
        <v>855</v>
      </c>
      <c r="D4535" s="31">
        <f t="shared" si="148"/>
        <v>0.10390148776376799</v>
      </c>
      <c r="F4535" s="2" t="s">
        <v>822</v>
      </c>
      <c r="G4535" s="23" t="s">
        <v>902</v>
      </c>
      <c r="H4535" s="2" t="s">
        <v>822</v>
      </c>
      <c r="J4535" s="31">
        <v>33.2848015</v>
      </c>
      <c r="K4535" s="31">
        <v>-32.374000500000001</v>
      </c>
      <c r="L4535" s="31"/>
      <c r="M4535" s="31" t="s">
        <v>854</v>
      </c>
      <c r="N4535" s="6" t="s">
        <v>856</v>
      </c>
    </row>
    <row r="4536" spans="1:14" ht="15" customHeight="1" x14ac:dyDescent="0.2">
      <c r="A4536" s="31">
        <v>0.52956636199253382</v>
      </c>
      <c r="B4536" s="31"/>
      <c r="C4536" s="2" t="s">
        <v>855</v>
      </c>
      <c r="D4536" s="31">
        <f t="shared" si="148"/>
        <v>0.10379500695053663</v>
      </c>
      <c r="F4536" s="2" t="s">
        <v>822</v>
      </c>
      <c r="G4536" s="23" t="s">
        <v>902</v>
      </c>
      <c r="H4536" s="2" t="s">
        <v>822</v>
      </c>
      <c r="J4536" s="31">
        <v>48.751998899999997</v>
      </c>
      <c r="K4536" s="31">
        <v>-32.540000900000003</v>
      </c>
      <c r="L4536" s="31"/>
      <c r="M4536" s="31" t="s">
        <v>854</v>
      </c>
      <c r="N4536" s="6" t="s">
        <v>856</v>
      </c>
    </row>
    <row r="4537" spans="1:14" ht="15" customHeight="1" x14ac:dyDescent="0.2">
      <c r="A4537" s="31">
        <v>0.52953670711254863</v>
      </c>
      <c r="B4537" s="31"/>
      <c r="C4537" s="2" t="s">
        <v>855</v>
      </c>
      <c r="D4537" s="31">
        <f t="shared" si="148"/>
        <v>0.10378919459405954</v>
      </c>
      <c r="F4537" s="2" t="s">
        <v>822</v>
      </c>
      <c r="G4537" s="23" t="s">
        <v>902</v>
      </c>
      <c r="H4537" s="2" t="s">
        <v>822</v>
      </c>
      <c r="J4537" s="31">
        <v>40.447700500000003</v>
      </c>
      <c r="K4537" s="31">
        <v>16.968399000000002</v>
      </c>
      <c r="L4537" s="31"/>
      <c r="M4537" s="31" t="s">
        <v>854</v>
      </c>
      <c r="N4537" s="6" t="s">
        <v>856</v>
      </c>
    </row>
    <row r="4538" spans="1:14" ht="15" customHeight="1" x14ac:dyDescent="0.2">
      <c r="A4538" s="22">
        <v>0.1037843001678251</v>
      </c>
      <c r="B4538" s="22"/>
      <c r="C4538" s="2" t="s">
        <v>891</v>
      </c>
      <c r="D4538" s="2">
        <f>A4538</f>
        <v>0.1037843001678251</v>
      </c>
      <c r="F4538" s="2">
        <v>2023</v>
      </c>
      <c r="G4538" s="23" t="s">
        <v>902</v>
      </c>
      <c r="H4538" s="2" t="s">
        <v>769</v>
      </c>
      <c r="I4538" s="23" t="s">
        <v>189</v>
      </c>
      <c r="J4538" s="23">
        <v>57932174</v>
      </c>
      <c r="K4538" s="23">
        <v>11676289</v>
      </c>
      <c r="L4538" s="23" t="s">
        <v>819</v>
      </c>
      <c r="M4538" s="2" t="s">
        <v>825</v>
      </c>
      <c r="N4538" s="6" t="s">
        <v>828</v>
      </c>
    </row>
    <row r="4539" spans="1:14" ht="15" customHeight="1" x14ac:dyDescent="0.2">
      <c r="A4539" s="31">
        <v>0.5293589846811475</v>
      </c>
      <c r="B4539" s="31"/>
      <c r="C4539" s="2" t="s">
        <v>855</v>
      </c>
      <c r="D4539" s="31">
        <f t="shared" ref="D4539:D4546" si="149" xml:space="preserve"> A4539 * 0.196</f>
        <v>0.10375436099750492</v>
      </c>
      <c r="F4539" s="2" t="s">
        <v>822</v>
      </c>
      <c r="G4539" s="23" t="s">
        <v>902</v>
      </c>
      <c r="H4539" s="2" t="s">
        <v>822</v>
      </c>
      <c r="J4539" s="31">
        <v>51.166801499999998</v>
      </c>
      <c r="K4539" s="31">
        <v>-20.6009007</v>
      </c>
      <c r="L4539" s="31"/>
      <c r="M4539" s="31" t="s">
        <v>854</v>
      </c>
      <c r="N4539" s="6" t="s">
        <v>856</v>
      </c>
    </row>
    <row r="4540" spans="1:14" ht="15" customHeight="1" x14ac:dyDescent="0.2">
      <c r="A4540" s="31">
        <v>0.52928930131096164</v>
      </c>
      <c r="B4540" s="31"/>
      <c r="C4540" s="2" t="s">
        <v>855</v>
      </c>
      <c r="D4540" s="31">
        <f t="shared" si="149"/>
        <v>0.10374070305694849</v>
      </c>
      <c r="F4540" s="2" t="s">
        <v>822</v>
      </c>
      <c r="G4540" s="23" t="s">
        <v>902</v>
      </c>
      <c r="H4540" s="2" t="s">
        <v>822</v>
      </c>
      <c r="J4540" s="31">
        <v>56.804099999999998</v>
      </c>
      <c r="K4540" s="31">
        <v>-5.91045</v>
      </c>
      <c r="L4540" s="31"/>
      <c r="M4540" s="31" t="s">
        <v>854</v>
      </c>
      <c r="N4540" s="6" t="s">
        <v>856</v>
      </c>
    </row>
    <row r="4541" spans="1:14" ht="15" customHeight="1" x14ac:dyDescent="0.2">
      <c r="A4541" s="31">
        <v>0.52919657195648206</v>
      </c>
      <c r="B4541" s="31"/>
      <c r="C4541" s="2" t="s">
        <v>855</v>
      </c>
      <c r="D4541" s="31">
        <f t="shared" si="149"/>
        <v>0.10372252810347049</v>
      </c>
      <c r="F4541" s="2" t="s">
        <v>822</v>
      </c>
      <c r="G4541" s="23" t="s">
        <v>902</v>
      </c>
      <c r="H4541" s="2" t="s">
        <v>822</v>
      </c>
      <c r="J4541" s="31">
        <v>47.416000400000001</v>
      </c>
      <c r="K4541" s="31">
        <v>-30.5359993</v>
      </c>
      <c r="L4541" s="31"/>
      <c r="M4541" s="31" t="s">
        <v>854</v>
      </c>
      <c r="N4541" s="6" t="s">
        <v>856</v>
      </c>
    </row>
    <row r="4542" spans="1:14" ht="15" customHeight="1" x14ac:dyDescent="0.2">
      <c r="A4542" s="31">
        <v>0.52918530586514234</v>
      </c>
      <c r="B4542" s="31"/>
      <c r="C4542" s="2" t="s">
        <v>855</v>
      </c>
      <c r="D4542" s="31">
        <f t="shared" si="149"/>
        <v>0.1037203199495679</v>
      </c>
      <c r="F4542" s="2" t="s">
        <v>822</v>
      </c>
      <c r="G4542" s="23" t="s">
        <v>902</v>
      </c>
      <c r="H4542" s="2" t="s">
        <v>822</v>
      </c>
      <c r="J4542" s="31">
        <v>26.708000200000001</v>
      </c>
      <c r="K4542" s="31">
        <v>-27.195999100000002</v>
      </c>
      <c r="L4542" s="31"/>
      <c r="M4542" s="31" t="s">
        <v>854</v>
      </c>
      <c r="N4542" s="6" t="s">
        <v>856</v>
      </c>
    </row>
    <row r="4543" spans="1:14" ht="15" customHeight="1" x14ac:dyDescent="0.2">
      <c r="A4543" s="31">
        <v>0.52917858321310274</v>
      </c>
      <c r="B4543" s="31"/>
      <c r="C4543" s="2" t="s">
        <v>855</v>
      </c>
      <c r="D4543" s="31">
        <f t="shared" si="149"/>
        <v>0.10371900230976815</v>
      </c>
      <c r="F4543" s="2" t="s">
        <v>822</v>
      </c>
      <c r="G4543" s="23" t="s">
        <v>902</v>
      </c>
      <c r="H4543" s="2" t="s">
        <v>822</v>
      </c>
      <c r="J4543" s="31">
        <v>57.711601299999998</v>
      </c>
      <c r="K4543" s="31">
        <v>-8.4601603000000001</v>
      </c>
      <c r="L4543" s="31"/>
      <c r="M4543" s="31" t="s">
        <v>854</v>
      </c>
      <c r="N4543" s="6" t="s">
        <v>856</v>
      </c>
    </row>
    <row r="4544" spans="1:14" ht="15" customHeight="1" x14ac:dyDescent="0.2">
      <c r="A4544" s="31">
        <v>0.52911693402536619</v>
      </c>
      <c r="B4544" s="31"/>
      <c r="C4544" s="2" t="s">
        <v>855</v>
      </c>
      <c r="D4544" s="31">
        <f t="shared" si="149"/>
        <v>0.10370691906897178</v>
      </c>
      <c r="F4544" s="2" t="s">
        <v>822</v>
      </c>
      <c r="G4544" s="23" t="s">
        <v>902</v>
      </c>
      <c r="H4544" s="2" t="s">
        <v>822</v>
      </c>
      <c r="J4544" s="31">
        <v>58.3213005</v>
      </c>
      <c r="K4544" s="31">
        <v>3.6375000000000002</v>
      </c>
      <c r="L4544" s="31"/>
      <c r="M4544" s="31" t="s">
        <v>854</v>
      </c>
      <c r="N4544" s="6" t="s">
        <v>856</v>
      </c>
    </row>
    <row r="4545" spans="1:14" ht="15" customHeight="1" x14ac:dyDescent="0.2">
      <c r="A4545" s="31">
        <v>0.52910532876794536</v>
      </c>
      <c r="B4545" s="31"/>
      <c r="C4545" s="2" t="s">
        <v>855</v>
      </c>
      <c r="D4545" s="31">
        <f t="shared" si="149"/>
        <v>0.10370464443851729</v>
      </c>
      <c r="F4545" s="2" t="s">
        <v>822</v>
      </c>
      <c r="G4545" s="23" t="s">
        <v>902</v>
      </c>
      <c r="H4545" s="2" t="s">
        <v>822</v>
      </c>
      <c r="J4545" s="31">
        <v>30.040199300000001</v>
      </c>
      <c r="K4545" s="31">
        <v>-41.868499800000002</v>
      </c>
      <c r="L4545" s="31"/>
      <c r="M4545" s="31" t="s">
        <v>854</v>
      </c>
      <c r="N4545" s="6" t="s">
        <v>856</v>
      </c>
    </row>
    <row r="4546" spans="1:14" ht="15" customHeight="1" x14ac:dyDescent="0.2">
      <c r="A4546" s="31">
        <v>0.52908883495590653</v>
      </c>
      <c r="B4546" s="31"/>
      <c r="C4546" s="2" t="s">
        <v>855</v>
      </c>
      <c r="D4546" s="31">
        <f t="shared" si="149"/>
        <v>0.10370141165135768</v>
      </c>
      <c r="F4546" s="2" t="s">
        <v>822</v>
      </c>
      <c r="G4546" s="23" t="s">
        <v>902</v>
      </c>
      <c r="H4546" s="2" t="s">
        <v>822</v>
      </c>
      <c r="J4546" s="31">
        <v>44.076000200000003</v>
      </c>
      <c r="K4546" s="31">
        <v>-29.867999999999999</v>
      </c>
      <c r="L4546" s="31"/>
      <c r="M4546" s="31" t="s">
        <v>854</v>
      </c>
      <c r="N4546" s="6" t="s">
        <v>856</v>
      </c>
    </row>
    <row r="4547" spans="1:14" ht="15" customHeight="1" x14ac:dyDescent="0.2">
      <c r="A4547" s="2">
        <v>1.1999999999999999E-3</v>
      </c>
      <c r="C4547" s="2" t="s">
        <v>59</v>
      </c>
      <c r="D4547" s="2">
        <f>A4547 * 86.4</f>
        <v>0.10367999999999999</v>
      </c>
      <c r="F4547" s="2">
        <v>1993</v>
      </c>
      <c r="G4547" s="2" t="s">
        <v>902</v>
      </c>
      <c r="H4547" s="2" t="s">
        <v>48</v>
      </c>
      <c r="I4547" s="2" t="s">
        <v>75</v>
      </c>
      <c r="J4547" s="2">
        <v>38.974440000000001</v>
      </c>
      <c r="K4547" s="2">
        <v>20.354179999999999</v>
      </c>
      <c r="L4547" s="2" t="s">
        <v>50</v>
      </c>
      <c r="N4547" s="6" t="s">
        <v>195</v>
      </c>
    </row>
    <row r="4548" spans="1:14" ht="15" customHeight="1" x14ac:dyDescent="0.2">
      <c r="A4548" s="31">
        <v>0.5284475294959885</v>
      </c>
      <c r="B4548" s="31"/>
      <c r="C4548" s="2" t="s">
        <v>855</v>
      </c>
      <c r="D4548" s="31">
        <f t="shared" ref="D4548:D4579" si="150" xml:space="preserve"> A4548 * 0.196</f>
        <v>0.10357571578121375</v>
      </c>
      <c r="F4548" s="2" t="s">
        <v>822</v>
      </c>
      <c r="G4548" s="23" t="s">
        <v>902</v>
      </c>
      <c r="H4548" s="2" t="s">
        <v>822</v>
      </c>
      <c r="J4548" s="31">
        <v>57.726600599999998</v>
      </c>
      <c r="K4548" s="31">
        <v>-3.4996098999999998</v>
      </c>
      <c r="L4548" s="31"/>
      <c r="M4548" s="31" t="s">
        <v>854</v>
      </c>
      <c r="N4548" s="6" t="s">
        <v>856</v>
      </c>
    </row>
    <row r="4549" spans="1:14" ht="15" customHeight="1" x14ac:dyDescent="0.2">
      <c r="A4549" s="31">
        <v>0.52840183662066098</v>
      </c>
      <c r="B4549" s="31"/>
      <c r="C4549" s="2" t="s">
        <v>855</v>
      </c>
      <c r="D4549" s="31">
        <f t="shared" si="150"/>
        <v>0.10356675997764955</v>
      </c>
      <c r="F4549" s="2" t="s">
        <v>822</v>
      </c>
      <c r="G4549" s="23" t="s">
        <v>902</v>
      </c>
      <c r="H4549" s="2" t="s">
        <v>822</v>
      </c>
      <c r="J4549" s="31">
        <v>54.167301199999997</v>
      </c>
      <c r="K4549" s="31">
        <v>-13.287699699999999</v>
      </c>
      <c r="L4549" s="31"/>
      <c r="M4549" s="31" t="s">
        <v>854</v>
      </c>
      <c r="N4549" s="6" t="s">
        <v>856</v>
      </c>
    </row>
    <row r="4550" spans="1:14" ht="15" customHeight="1" x14ac:dyDescent="0.2">
      <c r="A4550" s="31">
        <v>0.52829689807838209</v>
      </c>
      <c r="B4550" s="31"/>
      <c r="C4550" s="2" t="s">
        <v>855</v>
      </c>
      <c r="D4550" s="31">
        <f t="shared" si="150"/>
        <v>0.10354619202336289</v>
      </c>
      <c r="F4550" s="2" t="s">
        <v>822</v>
      </c>
      <c r="G4550" s="23" t="s">
        <v>902</v>
      </c>
      <c r="H4550" s="2" t="s">
        <v>822</v>
      </c>
      <c r="J4550" s="31">
        <v>52.091999100000002</v>
      </c>
      <c r="K4550" s="31">
        <v>-22.186000799999999</v>
      </c>
      <c r="L4550" s="31"/>
      <c r="M4550" s="31" t="s">
        <v>854</v>
      </c>
      <c r="N4550" s="6" t="s">
        <v>856</v>
      </c>
    </row>
    <row r="4551" spans="1:14" ht="15" customHeight="1" x14ac:dyDescent="0.2">
      <c r="A4551" s="31">
        <v>0.52818408959299468</v>
      </c>
      <c r="B4551" s="31"/>
      <c r="C4551" s="2" t="s">
        <v>855</v>
      </c>
      <c r="D4551" s="31">
        <f t="shared" si="150"/>
        <v>0.10352408156022697</v>
      </c>
      <c r="F4551" s="2" t="s">
        <v>822</v>
      </c>
      <c r="G4551" s="23" t="s">
        <v>902</v>
      </c>
      <c r="H4551" s="2" t="s">
        <v>822</v>
      </c>
      <c r="J4551" s="31">
        <v>50.088001300000002</v>
      </c>
      <c r="K4551" s="31">
        <v>-13.8360004</v>
      </c>
      <c r="L4551" s="31"/>
      <c r="M4551" s="31" t="s">
        <v>854</v>
      </c>
      <c r="N4551" s="6" t="s">
        <v>856</v>
      </c>
    </row>
    <row r="4552" spans="1:14" ht="15" customHeight="1" x14ac:dyDescent="0.2">
      <c r="A4552" s="31">
        <v>0.52807659543752006</v>
      </c>
      <c r="B4552" s="31"/>
      <c r="C4552" s="2" t="s">
        <v>855</v>
      </c>
      <c r="D4552" s="31">
        <f t="shared" si="150"/>
        <v>0.10350301270575393</v>
      </c>
      <c r="F4552" s="2" t="s">
        <v>822</v>
      </c>
      <c r="G4552" s="23" t="s">
        <v>902</v>
      </c>
      <c r="H4552" s="2" t="s">
        <v>822</v>
      </c>
      <c r="J4552" s="31">
        <v>53.837001800000003</v>
      </c>
      <c r="K4552" s="31">
        <v>7.8077401999999996</v>
      </c>
      <c r="L4552" s="31"/>
      <c r="M4552" s="31" t="s">
        <v>854</v>
      </c>
      <c r="N4552" s="6" t="s">
        <v>856</v>
      </c>
    </row>
    <row r="4553" spans="1:14" ht="15" customHeight="1" x14ac:dyDescent="0.2">
      <c r="A4553" s="31">
        <v>0.52803590326130001</v>
      </c>
      <c r="B4553" s="31"/>
      <c r="C4553" s="2" t="s">
        <v>855</v>
      </c>
      <c r="D4553" s="31">
        <f t="shared" si="150"/>
        <v>0.10349503703921481</v>
      </c>
      <c r="F4553" s="2" t="s">
        <v>822</v>
      </c>
      <c r="G4553" s="23" t="s">
        <v>902</v>
      </c>
      <c r="H4553" s="2" t="s">
        <v>822</v>
      </c>
      <c r="J4553" s="31">
        <v>54.8755989</v>
      </c>
      <c r="K4553" s="31">
        <v>5.3448399999999996</v>
      </c>
      <c r="L4553" s="31"/>
      <c r="M4553" s="31" t="s">
        <v>854</v>
      </c>
      <c r="N4553" s="6" t="s">
        <v>856</v>
      </c>
    </row>
    <row r="4554" spans="1:14" ht="15" customHeight="1" x14ac:dyDescent="0.2">
      <c r="A4554" s="31">
        <v>0.52788958380284168</v>
      </c>
      <c r="B4554" s="31"/>
      <c r="C4554" s="2" t="s">
        <v>855</v>
      </c>
      <c r="D4554" s="31">
        <f t="shared" si="150"/>
        <v>0.10346635842535697</v>
      </c>
      <c r="F4554" s="2" t="s">
        <v>822</v>
      </c>
      <c r="G4554" s="23" t="s">
        <v>902</v>
      </c>
      <c r="H4554" s="2" t="s">
        <v>822</v>
      </c>
      <c r="J4554" s="31">
        <v>36.339401199999998</v>
      </c>
      <c r="K4554" s="31">
        <v>-28.738000899999999</v>
      </c>
      <c r="L4554" s="31"/>
      <c r="M4554" s="31" t="s">
        <v>854</v>
      </c>
      <c r="N4554" s="6" t="s">
        <v>856</v>
      </c>
    </row>
    <row r="4555" spans="1:14" ht="15" customHeight="1" x14ac:dyDescent="0.2">
      <c r="A4555" s="31">
        <v>0.52776833016494729</v>
      </c>
      <c r="B4555" s="31"/>
      <c r="C4555" s="2" t="s">
        <v>855</v>
      </c>
      <c r="D4555" s="31">
        <f t="shared" si="150"/>
        <v>0.10344259271232967</v>
      </c>
      <c r="F4555" s="2" t="s">
        <v>822</v>
      </c>
      <c r="G4555" s="23" t="s">
        <v>902</v>
      </c>
      <c r="H4555" s="2" t="s">
        <v>822</v>
      </c>
      <c r="J4555" s="31">
        <v>57.4104004</v>
      </c>
      <c r="K4555" s="31">
        <v>-5.8973098000000004</v>
      </c>
      <c r="L4555" s="31"/>
      <c r="M4555" s="31" t="s">
        <v>854</v>
      </c>
      <c r="N4555" s="6" t="s">
        <v>856</v>
      </c>
    </row>
    <row r="4556" spans="1:14" ht="15" customHeight="1" x14ac:dyDescent="0.2">
      <c r="A4556" s="31">
        <v>0.5276862249960893</v>
      </c>
      <c r="B4556" s="31"/>
      <c r="C4556" s="2" t="s">
        <v>855</v>
      </c>
      <c r="D4556" s="31">
        <f t="shared" si="150"/>
        <v>0.1034265000992335</v>
      </c>
      <c r="F4556" s="2" t="s">
        <v>822</v>
      </c>
      <c r="G4556" s="23" t="s">
        <v>902</v>
      </c>
      <c r="H4556" s="2" t="s">
        <v>822</v>
      </c>
      <c r="J4556" s="31">
        <v>34.056899999999999</v>
      </c>
      <c r="K4556" s="31">
        <v>19.563499499999999</v>
      </c>
      <c r="L4556" s="31"/>
      <c r="M4556" s="31" t="s">
        <v>854</v>
      </c>
      <c r="N4556" s="6" t="s">
        <v>856</v>
      </c>
    </row>
    <row r="4557" spans="1:14" ht="15" customHeight="1" x14ac:dyDescent="0.2">
      <c r="A4557" s="31">
        <v>0.5276719146771236</v>
      </c>
      <c r="B4557" s="31"/>
      <c r="C4557" s="2" t="s">
        <v>855</v>
      </c>
      <c r="D4557" s="31">
        <f t="shared" si="150"/>
        <v>0.10342369527671623</v>
      </c>
      <c r="F4557" s="2" t="s">
        <v>822</v>
      </c>
      <c r="G4557" s="23" t="s">
        <v>902</v>
      </c>
      <c r="H4557" s="2" t="s">
        <v>822</v>
      </c>
      <c r="J4557" s="31">
        <v>30.112499199999998</v>
      </c>
      <c r="K4557" s="31">
        <v>-28.5370998</v>
      </c>
      <c r="L4557" s="31"/>
      <c r="M4557" s="31" t="s">
        <v>854</v>
      </c>
      <c r="N4557" s="6" t="s">
        <v>856</v>
      </c>
    </row>
    <row r="4558" spans="1:14" ht="15" customHeight="1" x14ac:dyDescent="0.2">
      <c r="A4558" s="31">
        <v>0.52761775847110715</v>
      </c>
      <c r="B4558" s="31"/>
      <c r="C4558" s="2" t="s">
        <v>855</v>
      </c>
      <c r="D4558" s="31">
        <f t="shared" si="150"/>
        <v>0.103413080660337</v>
      </c>
      <c r="F4558" s="2" t="s">
        <v>822</v>
      </c>
      <c r="G4558" s="23" t="s">
        <v>902</v>
      </c>
      <c r="H4558" s="2" t="s">
        <v>822</v>
      </c>
      <c r="J4558" s="31">
        <v>35.404998800000001</v>
      </c>
      <c r="K4558" s="31">
        <v>-32.583099400000002</v>
      </c>
      <c r="L4558" s="31"/>
      <c r="M4558" s="31" t="s">
        <v>854</v>
      </c>
      <c r="N4558" s="6" t="s">
        <v>856</v>
      </c>
    </row>
    <row r="4559" spans="1:14" ht="15" customHeight="1" x14ac:dyDescent="0.2">
      <c r="A4559" s="31">
        <v>0.52744453099204058</v>
      </c>
      <c r="B4559" s="31"/>
      <c r="C4559" s="2" t="s">
        <v>855</v>
      </c>
      <c r="D4559" s="31">
        <f t="shared" si="150"/>
        <v>0.10337912807443995</v>
      </c>
      <c r="F4559" s="2" t="s">
        <v>822</v>
      </c>
      <c r="G4559" s="23" t="s">
        <v>902</v>
      </c>
      <c r="H4559" s="2" t="s">
        <v>822</v>
      </c>
      <c r="J4559" s="31">
        <v>54.793498999999997</v>
      </c>
      <c r="K4559" s="31">
        <v>1.1147499999999999</v>
      </c>
      <c r="L4559" s="31"/>
      <c r="M4559" s="31" t="s">
        <v>854</v>
      </c>
      <c r="N4559" s="6" t="s">
        <v>856</v>
      </c>
    </row>
    <row r="4560" spans="1:14" ht="15" customHeight="1" x14ac:dyDescent="0.2">
      <c r="A4560" s="31">
        <v>0.52729502353998159</v>
      </c>
      <c r="B4560" s="31"/>
      <c r="C4560" s="2" t="s">
        <v>855</v>
      </c>
      <c r="D4560" s="31">
        <f t="shared" si="150"/>
        <v>0.10334982461383639</v>
      </c>
      <c r="F4560" s="2" t="s">
        <v>822</v>
      </c>
      <c r="G4560" s="23" t="s">
        <v>902</v>
      </c>
      <c r="H4560" s="2" t="s">
        <v>822</v>
      </c>
      <c r="J4560" s="31">
        <v>32.468101500000003</v>
      </c>
      <c r="K4560" s="31">
        <v>14.9261999</v>
      </c>
      <c r="L4560" s="31"/>
      <c r="M4560" s="31" t="s">
        <v>854</v>
      </c>
      <c r="N4560" s="6" t="s">
        <v>856</v>
      </c>
    </row>
    <row r="4561" spans="1:14" ht="15" customHeight="1" x14ac:dyDescent="0.2">
      <c r="A4561" s="31">
        <v>0.5272910142067837</v>
      </c>
      <c r="B4561" s="31"/>
      <c r="C4561" s="2" t="s">
        <v>855</v>
      </c>
      <c r="D4561" s="31">
        <f t="shared" si="150"/>
        <v>0.10334903878452961</v>
      </c>
      <c r="F4561" s="2" t="s">
        <v>822</v>
      </c>
      <c r="G4561" s="23" t="s">
        <v>902</v>
      </c>
      <c r="H4561" s="2" t="s">
        <v>822</v>
      </c>
      <c r="J4561" s="31">
        <v>46.748001100000003</v>
      </c>
      <c r="K4561" s="31">
        <v>-41.891998299999997</v>
      </c>
      <c r="L4561" s="31"/>
      <c r="M4561" s="31" t="s">
        <v>854</v>
      </c>
      <c r="N4561" s="6" t="s">
        <v>856</v>
      </c>
    </row>
    <row r="4562" spans="1:14" ht="15" customHeight="1" x14ac:dyDescent="0.2">
      <c r="A4562" s="31">
        <v>0.52716968125250885</v>
      </c>
      <c r="B4562" s="31"/>
      <c r="C4562" s="2" t="s">
        <v>855</v>
      </c>
      <c r="D4562" s="31">
        <f t="shared" si="150"/>
        <v>0.10332525752549174</v>
      </c>
      <c r="F4562" s="2" t="s">
        <v>822</v>
      </c>
      <c r="G4562" s="23" t="s">
        <v>902</v>
      </c>
      <c r="H4562" s="2" t="s">
        <v>822</v>
      </c>
      <c r="J4562" s="31">
        <v>47.822601300000002</v>
      </c>
      <c r="K4562" s="31">
        <v>-4.4123101</v>
      </c>
      <c r="L4562" s="31"/>
      <c r="M4562" s="31" t="s">
        <v>854</v>
      </c>
      <c r="N4562" s="6" t="s">
        <v>856</v>
      </c>
    </row>
    <row r="4563" spans="1:14" ht="15" customHeight="1" x14ac:dyDescent="0.2">
      <c r="A4563" s="31">
        <v>0.52710417625828077</v>
      </c>
      <c r="B4563" s="31"/>
      <c r="C4563" s="2" t="s">
        <v>855</v>
      </c>
      <c r="D4563" s="31">
        <f t="shared" si="150"/>
        <v>0.10331241854662303</v>
      </c>
      <c r="F4563" s="2" t="s">
        <v>822</v>
      </c>
      <c r="G4563" s="23" t="s">
        <v>902</v>
      </c>
      <c r="H4563" s="2" t="s">
        <v>822</v>
      </c>
      <c r="J4563" s="31">
        <v>29.3799992</v>
      </c>
      <c r="K4563" s="31">
        <v>-36.548000299999998</v>
      </c>
      <c r="L4563" s="31"/>
      <c r="M4563" s="31" t="s">
        <v>854</v>
      </c>
      <c r="N4563" s="6" t="s">
        <v>856</v>
      </c>
    </row>
    <row r="4564" spans="1:14" ht="15" customHeight="1" x14ac:dyDescent="0.2">
      <c r="A4564" s="31">
        <v>0.52685672813665518</v>
      </c>
      <c r="B4564" s="31"/>
      <c r="C4564" s="2" t="s">
        <v>855</v>
      </c>
      <c r="D4564" s="31">
        <f t="shared" si="150"/>
        <v>0.10326391871478442</v>
      </c>
      <c r="F4564" s="2" t="s">
        <v>822</v>
      </c>
      <c r="G4564" s="23" t="s">
        <v>902</v>
      </c>
      <c r="H4564" s="2" t="s">
        <v>822</v>
      </c>
      <c r="J4564" s="31">
        <v>42.740001700000001</v>
      </c>
      <c r="K4564" s="31">
        <v>-42.369201699999998</v>
      </c>
      <c r="L4564" s="31"/>
      <c r="M4564" s="31" t="s">
        <v>854</v>
      </c>
      <c r="N4564" s="6" t="s">
        <v>856</v>
      </c>
    </row>
    <row r="4565" spans="1:14" ht="15" customHeight="1" x14ac:dyDescent="0.2">
      <c r="A4565" s="31">
        <v>0.52684587902825308</v>
      </c>
      <c r="B4565" s="31"/>
      <c r="C4565" s="2" t="s">
        <v>855</v>
      </c>
      <c r="D4565" s="31">
        <f t="shared" si="150"/>
        <v>0.10326179228953761</v>
      </c>
      <c r="F4565" s="2" t="s">
        <v>822</v>
      </c>
      <c r="G4565" s="23" t="s">
        <v>902</v>
      </c>
      <c r="H4565" s="2" t="s">
        <v>822</v>
      </c>
      <c r="J4565" s="31">
        <v>44.663799300000001</v>
      </c>
      <c r="K4565" s="31">
        <v>13.5221996</v>
      </c>
      <c r="L4565" s="31"/>
      <c r="M4565" s="31" t="s">
        <v>854</v>
      </c>
      <c r="N4565" s="6" t="s">
        <v>856</v>
      </c>
    </row>
    <row r="4566" spans="1:14" ht="15" customHeight="1" x14ac:dyDescent="0.2">
      <c r="A4566" s="31">
        <v>0.52671615413613992</v>
      </c>
      <c r="B4566" s="31"/>
      <c r="C4566" s="2" t="s">
        <v>855</v>
      </c>
      <c r="D4566" s="31">
        <f t="shared" si="150"/>
        <v>0.10323636621068343</v>
      </c>
      <c r="F4566" s="2" t="s">
        <v>822</v>
      </c>
      <c r="G4566" s="23" t="s">
        <v>902</v>
      </c>
      <c r="H4566" s="2" t="s">
        <v>822</v>
      </c>
      <c r="J4566" s="31">
        <v>33.439998600000003</v>
      </c>
      <c r="K4566" s="31">
        <v>-32.623600000000003</v>
      </c>
      <c r="L4566" s="31"/>
      <c r="M4566" s="31" t="s">
        <v>854</v>
      </c>
      <c r="N4566" s="6" t="s">
        <v>856</v>
      </c>
    </row>
    <row r="4567" spans="1:14" ht="15" customHeight="1" x14ac:dyDescent="0.2">
      <c r="A4567" s="31">
        <v>0.52664965044015577</v>
      </c>
      <c r="B4567" s="31"/>
      <c r="C4567" s="2" t="s">
        <v>855</v>
      </c>
      <c r="D4567" s="31">
        <f t="shared" si="150"/>
        <v>0.10322333148627054</v>
      </c>
      <c r="F4567" s="2" t="s">
        <v>822</v>
      </c>
      <c r="G4567" s="23" t="s">
        <v>902</v>
      </c>
      <c r="H4567" s="2" t="s">
        <v>822</v>
      </c>
      <c r="J4567" s="31">
        <v>34.925701099999998</v>
      </c>
      <c r="K4567" s="31">
        <v>18.267099399999999</v>
      </c>
      <c r="L4567" s="31"/>
      <c r="M4567" s="31" t="s">
        <v>854</v>
      </c>
      <c r="N4567" s="6" t="s">
        <v>856</v>
      </c>
    </row>
    <row r="4568" spans="1:14" ht="15" customHeight="1" x14ac:dyDescent="0.2">
      <c r="A4568" s="31">
        <v>0.52622565510644903</v>
      </c>
      <c r="B4568" s="31"/>
      <c r="C4568" s="2" t="s">
        <v>855</v>
      </c>
      <c r="D4568" s="31">
        <f t="shared" si="150"/>
        <v>0.10314022840086401</v>
      </c>
      <c r="F4568" s="2" t="s">
        <v>822</v>
      </c>
      <c r="G4568" s="23" t="s">
        <v>902</v>
      </c>
      <c r="H4568" s="2" t="s">
        <v>822</v>
      </c>
      <c r="J4568" s="31">
        <v>57.686698900000003</v>
      </c>
      <c r="K4568" s="31">
        <v>9.2240895999999992</v>
      </c>
      <c r="L4568" s="31"/>
      <c r="M4568" s="31" t="s">
        <v>854</v>
      </c>
      <c r="N4568" s="6" t="s">
        <v>856</v>
      </c>
    </row>
    <row r="4569" spans="1:14" ht="15" customHeight="1" x14ac:dyDescent="0.2">
      <c r="A4569" s="31">
        <v>0.52614730586483793</v>
      </c>
      <c r="B4569" s="31"/>
      <c r="C4569" s="2" t="s">
        <v>855</v>
      </c>
      <c r="D4569" s="31">
        <f t="shared" si="150"/>
        <v>0.10312487194950824</v>
      </c>
      <c r="F4569" s="2" t="s">
        <v>822</v>
      </c>
      <c r="G4569" s="23" t="s">
        <v>902</v>
      </c>
      <c r="H4569" s="2" t="s">
        <v>822</v>
      </c>
      <c r="J4569" s="31">
        <v>51.882099199999999</v>
      </c>
      <c r="K4569" s="31">
        <v>-5.3266802000000002</v>
      </c>
      <c r="L4569" s="31"/>
      <c r="M4569" s="31" t="s">
        <v>854</v>
      </c>
      <c r="N4569" s="6" t="s">
        <v>856</v>
      </c>
    </row>
    <row r="4570" spans="1:14" ht="15" customHeight="1" x14ac:dyDescent="0.2">
      <c r="A4570" s="31">
        <v>0.52609335031164361</v>
      </c>
      <c r="B4570" s="31"/>
      <c r="C4570" s="2" t="s">
        <v>855</v>
      </c>
      <c r="D4570" s="31">
        <f t="shared" si="150"/>
        <v>0.10311429666108216</v>
      </c>
      <c r="F4570" s="2" t="s">
        <v>822</v>
      </c>
      <c r="G4570" s="23" t="s">
        <v>902</v>
      </c>
      <c r="H4570" s="2" t="s">
        <v>822</v>
      </c>
      <c r="J4570" s="31">
        <v>31.384000799999999</v>
      </c>
      <c r="K4570" s="31">
        <v>-26.527999900000001</v>
      </c>
      <c r="L4570" s="31"/>
      <c r="M4570" s="31" t="s">
        <v>854</v>
      </c>
      <c r="N4570" s="6" t="s">
        <v>856</v>
      </c>
    </row>
    <row r="4571" spans="1:14" ht="15" customHeight="1" x14ac:dyDescent="0.2">
      <c r="A4571" s="31">
        <v>0.52587611198560924</v>
      </c>
      <c r="B4571" s="31"/>
      <c r="C4571" s="2" t="s">
        <v>855</v>
      </c>
      <c r="D4571" s="31">
        <f t="shared" si="150"/>
        <v>0.10307171794917941</v>
      </c>
      <c r="F4571" s="2" t="s">
        <v>822</v>
      </c>
      <c r="G4571" s="23" t="s">
        <v>902</v>
      </c>
      <c r="H4571" s="2" t="s">
        <v>822</v>
      </c>
      <c r="J4571" s="31">
        <v>34.013301800000001</v>
      </c>
      <c r="K4571" s="31">
        <v>-35.425598100000002</v>
      </c>
      <c r="L4571" s="31"/>
      <c r="M4571" s="31" t="s">
        <v>854</v>
      </c>
      <c r="N4571" s="6" t="s">
        <v>856</v>
      </c>
    </row>
    <row r="4572" spans="1:14" ht="15" customHeight="1" x14ac:dyDescent="0.2">
      <c r="A4572" s="31">
        <v>0.5258234979890819</v>
      </c>
      <c r="B4572" s="31"/>
      <c r="C4572" s="2" t="s">
        <v>855</v>
      </c>
      <c r="D4572" s="31">
        <f t="shared" si="150"/>
        <v>0.10306140560586005</v>
      </c>
      <c r="F4572" s="2" t="s">
        <v>822</v>
      </c>
      <c r="G4572" s="23" t="s">
        <v>902</v>
      </c>
      <c r="H4572" s="2" t="s">
        <v>822</v>
      </c>
      <c r="J4572" s="31">
        <v>44.723998999999999</v>
      </c>
      <c r="K4572" s="31">
        <v>-21.1737003</v>
      </c>
      <c r="L4572" s="31"/>
      <c r="M4572" s="31" t="s">
        <v>854</v>
      </c>
      <c r="N4572" s="6" t="s">
        <v>856</v>
      </c>
    </row>
    <row r="4573" spans="1:14" ht="15" customHeight="1" x14ac:dyDescent="0.2">
      <c r="A4573" s="31">
        <v>0.52571403857422705</v>
      </c>
      <c r="B4573" s="31"/>
      <c r="C4573" s="2" t="s">
        <v>855</v>
      </c>
      <c r="D4573" s="31">
        <f t="shared" si="150"/>
        <v>0.1030399515605485</v>
      </c>
      <c r="F4573" s="2" t="s">
        <v>822</v>
      </c>
      <c r="G4573" s="23" t="s">
        <v>902</v>
      </c>
      <c r="H4573" s="2" t="s">
        <v>822</v>
      </c>
      <c r="J4573" s="31">
        <v>55.584598499999998</v>
      </c>
      <c r="K4573" s="31">
        <v>-8.4601603000000001</v>
      </c>
      <c r="L4573" s="31"/>
      <c r="M4573" s="31" t="s">
        <v>854</v>
      </c>
      <c r="N4573" s="6" t="s">
        <v>856</v>
      </c>
    </row>
    <row r="4574" spans="1:14" ht="15" customHeight="1" x14ac:dyDescent="0.2">
      <c r="A4574" s="31">
        <v>0.52566416533025695</v>
      </c>
      <c r="B4574" s="31"/>
      <c r="C4574" s="2" t="s">
        <v>855</v>
      </c>
      <c r="D4574" s="31">
        <f t="shared" si="150"/>
        <v>0.10303017640473036</v>
      </c>
      <c r="F4574" s="2" t="s">
        <v>822</v>
      </c>
      <c r="G4574" s="23" t="s">
        <v>902</v>
      </c>
      <c r="H4574" s="2" t="s">
        <v>822</v>
      </c>
      <c r="J4574" s="31">
        <v>32.903198199999999</v>
      </c>
      <c r="K4574" s="31">
        <v>-23.134700800000001</v>
      </c>
      <c r="L4574" s="31"/>
      <c r="M4574" s="31" t="s">
        <v>854</v>
      </c>
      <c r="N4574" s="6" t="s">
        <v>856</v>
      </c>
    </row>
    <row r="4575" spans="1:14" ht="15" customHeight="1" x14ac:dyDescent="0.2">
      <c r="A4575" s="31">
        <v>0.52554191657577309</v>
      </c>
      <c r="B4575" s="31"/>
      <c r="C4575" s="2" t="s">
        <v>855</v>
      </c>
      <c r="D4575" s="31">
        <f t="shared" si="150"/>
        <v>0.10300621564885153</v>
      </c>
      <c r="F4575" s="2" t="s">
        <v>822</v>
      </c>
      <c r="G4575" s="23" t="s">
        <v>902</v>
      </c>
      <c r="H4575" s="2" t="s">
        <v>822</v>
      </c>
      <c r="J4575" s="31">
        <v>50.4651985</v>
      </c>
      <c r="K4575" s="31">
        <v>-5.6241598000000002</v>
      </c>
      <c r="L4575" s="31"/>
      <c r="M4575" s="31" t="s">
        <v>854</v>
      </c>
      <c r="N4575" s="6" t="s">
        <v>856</v>
      </c>
    </row>
    <row r="4576" spans="1:14" ht="15" customHeight="1" x14ac:dyDescent="0.2">
      <c r="A4576" s="31">
        <v>0.52551095461375874</v>
      </c>
      <c r="B4576" s="31"/>
      <c r="C4576" s="2" t="s">
        <v>855</v>
      </c>
      <c r="D4576" s="31">
        <f t="shared" si="150"/>
        <v>0.10300014710429671</v>
      </c>
      <c r="F4576" s="2" t="s">
        <v>822</v>
      </c>
      <c r="G4576" s="23" t="s">
        <v>902</v>
      </c>
      <c r="H4576" s="2" t="s">
        <v>822</v>
      </c>
      <c r="J4576" s="31">
        <v>47.416000400000001</v>
      </c>
      <c r="K4576" s="31">
        <v>-41.223998999999999</v>
      </c>
      <c r="L4576" s="31"/>
      <c r="M4576" s="31" t="s">
        <v>854</v>
      </c>
      <c r="N4576" s="6" t="s">
        <v>856</v>
      </c>
    </row>
    <row r="4577" spans="1:14" ht="15" customHeight="1" x14ac:dyDescent="0.2">
      <c r="A4577" s="31">
        <v>0.52541665072962196</v>
      </c>
      <c r="B4577" s="31"/>
      <c r="C4577" s="2" t="s">
        <v>855</v>
      </c>
      <c r="D4577" s="31">
        <f t="shared" si="150"/>
        <v>0.10298166354300591</v>
      </c>
      <c r="F4577" s="2" t="s">
        <v>822</v>
      </c>
      <c r="G4577" s="23" t="s">
        <v>902</v>
      </c>
      <c r="H4577" s="2" t="s">
        <v>822</v>
      </c>
      <c r="J4577" s="31">
        <v>54.168998700000003</v>
      </c>
      <c r="K4577" s="31">
        <v>6.0523701000000001</v>
      </c>
      <c r="L4577" s="31"/>
      <c r="M4577" s="31" t="s">
        <v>854</v>
      </c>
      <c r="N4577" s="6" t="s">
        <v>856</v>
      </c>
    </row>
    <row r="4578" spans="1:14" ht="15" customHeight="1" x14ac:dyDescent="0.2">
      <c r="A4578" s="31">
        <v>0.52537650829071436</v>
      </c>
      <c r="B4578" s="31"/>
      <c r="C4578" s="2" t="s">
        <v>855</v>
      </c>
      <c r="D4578" s="31">
        <f t="shared" si="150"/>
        <v>0.10297379562498002</v>
      </c>
      <c r="F4578" s="2" t="s">
        <v>822</v>
      </c>
      <c r="G4578" s="23" t="s">
        <v>902</v>
      </c>
      <c r="H4578" s="2" t="s">
        <v>822</v>
      </c>
      <c r="J4578" s="31">
        <v>27.375999499999999</v>
      </c>
      <c r="K4578" s="31">
        <v>-35.212001800000003</v>
      </c>
      <c r="L4578" s="31"/>
      <c r="M4578" s="31" t="s">
        <v>854</v>
      </c>
      <c r="N4578" s="6" t="s">
        <v>856</v>
      </c>
    </row>
    <row r="4579" spans="1:14" ht="15" customHeight="1" x14ac:dyDescent="0.2">
      <c r="A4579" s="31">
        <v>0.52526124090786341</v>
      </c>
      <c r="B4579" s="31"/>
      <c r="C4579" s="2" t="s">
        <v>855</v>
      </c>
      <c r="D4579" s="31">
        <f t="shared" si="150"/>
        <v>0.10295120321794124</v>
      </c>
      <c r="F4579" s="2" t="s">
        <v>822</v>
      </c>
      <c r="G4579" s="23" t="s">
        <v>902</v>
      </c>
      <c r="H4579" s="2" t="s">
        <v>822</v>
      </c>
      <c r="J4579" s="31">
        <v>31.563699700000001</v>
      </c>
      <c r="K4579" s="31">
        <v>-29.842199300000001</v>
      </c>
      <c r="L4579" s="31"/>
      <c r="M4579" s="31" t="s">
        <v>854</v>
      </c>
      <c r="N4579" s="6" t="s">
        <v>856</v>
      </c>
    </row>
    <row r="4580" spans="1:14" ht="15" customHeight="1" x14ac:dyDescent="0.2">
      <c r="A4580" s="31">
        <v>0.52522527286052856</v>
      </c>
      <c r="B4580" s="31"/>
      <c r="C4580" s="2" t="s">
        <v>855</v>
      </c>
      <c r="D4580" s="31">
        <f t="shared" ref="D4580:D4611" si="151" xml:space="preserve"> A4580 * 0.196</f>
        <v>0.1029441534806636</v>
      </c>
      <c r="F4580" s="2" t="s">
        <v>822</v>
      </c>
      <c r="G4580" s="23" t="s">
        <v>902</v>
      </c>
      <c r="H4580" s="2" t="s">
        <v>822</v>
      </c>
      <c r="J4580" s="31">
        <v>51.355800600000002</v>
      </c>
      <c r="K4580" s="31">
        <v>-4.9135599000000001</v>
      </c>
      <c r="L4580" s="31"/>
      <c r="M4580" s="31" t="s">
        <v>854</v>
      </c>
      <c r="N4580" s="6" t="s">
        <v>856</v>
      </c>
    </row>
    <row r="4581" spans="1:14" ht="15" customHeight="1" x14ac:dyDescent="0.2">
      <c r="A4581" s="31">
        <v>0.52512839606347006</v>
      </c>
      <c r="B4581" s="31"/>
      <c r="C4581" s="2" t="s">
        <v>855</v>
      </c>
      <c r="D4581" s="31">
        <f t="shared" si="151"/>
        <v>0.10292516562844013</v>
      </c>
      <c r="F4581" s="2" t="s">
        <v>822</v>
      </c>
      <c r="G4581" s="23" t="s">
        <v>902</v>
      </c>
      <c r="H4581" s="2" t="s">
        <v>822</v>
      </c>
      <c r="J4581" s="31">
        <v>47.416000400000001</v>
      </c>
      <c r="K4581" s="31">
        <v>-11.1639996</v>
      </c>
      <c r="L4581" s="31"/>
      <c r="M4581" s="31" t="s">
        <v>854</v>
      </c>
      <c r="N4581" s="6" t="s">
        <v>856</v>
      </c>
    </row>
    <row r="4582" spans="1:14" ht="15" customHeight="1" x14ac:dyDescent="0.2">
      <c r="A4582" s="31">
        <v>0.52505719661255434</v>
      </c>
      <c r="B4582" s="31"/>
      <c r="C4582" s="2" t="s">
        <v>855</v>
      </c>
      <c r="D4582" s="31">
        <f t="shared" si="151"/>
        <v>0.10291121053606066</v>
      </c>
      <c r="F4582" s="2" t="s">
        <v>822</v>
      </c>
      <c r="G4582" s="23" t="s">
        <v>902</v>
      </c>
      <c r="H4582" s="2" t="s">
        <v>822</v>
      </c>
      <c r="J4582" s="31">
        <v>56.216400100000001</v>
      </c>
      <c r="K4582" s="31">
        <v>-7.8843999</v>
      </c>
      <c r="L4582" s="31"/>
      <c r="M4582" s="31" t="s">
        <v>854</v>
      </c>
      <c r="N4582" s="6" t="s">
        <v>856</v>
      </c>
    </row>
    <row r="4583" spans="1:14" ht="15" customHeight="1" x14ac:dyDescent="0.2">
      <c r="A4583" s="31">
        <v>0.52500504968138306</v>
      </c>
      <c r="B4583" s="31"/>
      <c r="C4583" s="2" t="s">
        <v>855</v>
      </c>
      <c r="D4583" s="31">
        <f t="shared" si="151"/>
        <v>0.10290098973755109</v>
      </c>
      <c r="F4583" s="2" t="s">
        <v>822</v>
      </c>
      <c r="G4583" s="23" t="s">
        <v>902</v>
      </c>
      <c r="H4583" s="2" t="s">
        <v>822</v>
      </c>
      <c r="J4583" s="31">
        <v>35.504798899999997</v>
      </c>
      <c r="K4583" s="31">
        <v>31.612400099999999</v>
      </c>
      <c r="L4583" s="31"/>
      <c r="M4583" s="31" t="s">
        <v>854</v>
      </c>
      <c r="N4583" s="6" t="s">
        <v>856</v>
      </c>
    </row>
    <row r="4584" spans="1:14" ht="15" customHeight="1" x14ac:dyDescent="0.2">
      <c r="A4584" s="31">
        <v>0.52489401439528582</v>
      </c>
      <c r="B4584" s="31"/>
      <c r="C4584" s="2" t="s">
        <v>855</v>
      </c>
      <c r="D4584" s="31">
        <f t="shared" si="151"/>
        <v>0.10287922682147603</v>
      </c>
      <c r="F4584" s="2" t="s">
        <v>822</v>
      </c>
      <c r="G4584" s="23" t="s">
        <v>902</v>
      </c>
      <c r="H4584" s="2" t="s">
        <v>822</v>
      </c>
      <c r="J4584" s="31">
        <v>54.591098799999997</v>
      </c>
      <c r="K4584" s="31">
        <v>-0.75815999999999995</v>
      </c>
      <c r="L4584" s="31"/>
      <c r="M4584" s="31" t="s">
        <v>854</v>
      </c>
      <c r="N4584" s="6" t="s">
        <v>856</v>
      </c>
    </row>
    <row r="4585" spans="1:14" ht="15" customHeight="1" x14ac:dyDescent="0.2">
      <c r="A4585" s="31">
        <v>0.52477648403767618</v>
      </c>
      <c r="B4585" s="31"/>
      <c r="C4585" s="2" t="s">
        <v>855</v>
      </c>
      <c r="D4585" s="31">
        <f t="shared" si="151"/>
        <v>0.10285619087138453</v>
      </c>
      <c r="F4585" s="2" t="s">
        <v>822</v>
      </c>
      <c r="G4585" s="23" t="s">
        <v>902</v>
      </c>
      <c r="H4585" s="2" t="s">
        <v>822</v>
      </c>
      <c r="J4585" s="31">
        <v>43.424900100000002</v>
      </c>
      <c r="K4585" s="31">
        <v>-35.201698299999997</v>
      </c>
      <c r="L4585" s="31"/>
      <c r="M4585" s="31" t="s">
        <v>854</v>
      </c>
      <c r="N4585" s="6" t="s">
        <v>856</v>
      </c>
    </row>
    <row r="4586" spans="1:14" ht="15" customHeight="1" x14ac:dyDescent="0.2">
      <c r="A4586" s="31">
        <v>0.52470418403656349</v>
      </c>
      <c r="B4586" s="31"/>
      <c r="C4586" s="2" t="s">
        <v>855</v>
      </c>
      <c r="D4586" s="31">
        <f t="shared" si="151"/>
        <v>0.10284202007116645</v>
      </c>
      <c r="F4586" s="2" t="s">
        <v>822</v>
      </c>
      <c r="G4586" s="23" t="s">
        <v>902</v>
      </c>
      <c r="H4586" s="2" t="s">
        <v>822</v>
      </c>
      <c r="J4586" s="31">
        <v>46.042900099999997</v>
      </c>
      <c r="K4586" s="31">
        <v>-1.37802</v>
      </c>
      <c r="L4586" s="31"/>
      <c r="M4586" s="31" t="s">
        <v>854</v>
      </c>
      <c r="N4586" s="6" t="s">
        <v>856</v>
      </c>
    </row>
    <row r="4587" spans="1:14" ht="15" customHeight="1" x14ac:dyDescent="0.2">
      <c r="A4587" s="31">
        <v>0.52467635842517779</v>
      </c>
      <c r="B4587" s="31"/>
      <c r="C4587" s="2" t="s">
        <v>855</v>
      </c>
      <c r="D4587" s="31">
        <f t="shared" si="151"/>
        <v>0.10283656625133485</v>
      </c>
      <c r="F4587" s="2" t="s">
        <v>822</v>
      </c>
      <c r="G4587" s="23" t="s">
        <v>902</v>
      </c>
      <c r="H4587" s="2" t="s">
        <v>822</v>
      </c>
      <c r="J4587" s="31">
        <v>50.088001300000002</v>
      </c>
      <c r="K4587" s="31">
        <v>-39.888000499999997</v>
      </c>
      <c r="L4587" s="31"/>
      <c r="M4587" s="31" t="s">
        <v>854</v>
      </c>
      <c r="N4587" s="6" t="s">
        <v>856</v>
      </c>
    </row>
    <row r="4588" spans="1:14" ht="15" customHeight="1" x14ac:dyDescent="0.2">
      <c r="A4588" s="31">
        <v>0.52422291311840852</v>
      </c>
      <c r="B4588" s="31"/>
      <c r="C4588" s="2" t="s">
        <v>855</v>
      </c>
      <c r="D4588" s="31">
        <f t="shared" si="151"/>
        <v>0.10274769097120807</v>
      </c>
      <c r="F4588" s="2" t="s">
        <v>822</v>
      </c>
      <c r="G4588" s="23" t="s">
        <v>902</v>
      </c>
      <c r="H4588" s="2" t="s">
        <v>822</v>
      </c>
      <c r="J4588" s="31">
        <v>59.856998400000002</v>
      </c>
      <c r="K4588" s="31">
        <v>24.4225998</v>
      </c>
      <c r="L4588" s="31"/>
      <c r="M4588" s="31" t="s">
        <v>854</v>
      </c>
      <c r="N4588" s="6" t="s">
        <v>856</v>
      </c>
    </row>
    <row r="4589" spans="1:14" ht="15" customHeight="1" x14ac:dyDescent="0.2">
      <c r="A4589" s="31">
        <v>0.52412270231598423</v>
      </c>
      <c r="B4589" s="31"/>
      <c r="C4589" s="2" t="s">
        <v>855</v>
      </c>
      <c r="D4589" s="31">
        <f t="shared" si="151"/>
        <v>0.10272804965393291</v>
      </c>
      <c r="F4589" s="2" t="s">
        <v>822</v>
      </c>
      <c r="G4589" s="23" t="s">
        <v>902</v>
      </c>
      <c r="H4589" s="2" t="s">
        <v>822</v>
      </c>
      <c r="J4589" s="31">
        <v>58.201900500000001</v>
      </c>
      <c r="K4589" s="31">
        <v>8.5060596000000004</v>
      </c>
      <c r="L4589" s="31"/>
      <c r="M4589" s="31" t="s">
        <v>854</v>
      </c>
      <c r="N4589" s="6" t="s">
        <v>856</v>
      </c>
    </row>
    <row r="4590" spans="1:14" ht="15" customHeight="1" x14ac:dyDescent="0.2">
      <c r="A4590" s="31">
        <v>0.52395030251497754</v>
      </c>
      <c r="B4590" s="31"/>
      <c r="C4590" s="2" t="s">
        <v>855</v>
      </c>
      <c r="D4590" s="31">
        <f t="shared" si="151"/>
        <v>0.1026942592929356</v>
      </c>
      <c r="F4590" s="2" t="s">
        <v>822</v>
      </c>
      <c r="G4590" s="23" t="s">
        <v>902</v>
      </c>
      <c r="H4590" s="2" t="s">
        <v>822</v>
      </c>
      <c r="J4590" s="31">
        <v>54.423698399999999</v>
      </c>
      <c r="K4590" s="31">
        <v>-0.51671500000000004</v>
      </c>
      <c r="L4590" s="31"/>
      <c r="M4590" s="31" t="s">
        <v>854</v>
      </c>
      <c r="N4590" s="6" t="s">
        <v>856</v>
      </c>
    </row>
    <row r="4591" spans="1:14" ht="15" customHeight="1" x14ac:dyDescent="0.2">
      <c r="A4591" s="31">
        <v>0.52383052660145002</v>
      </c>
      <c r="B4591" s="31"/>
      <c r="C4591" s="2" t="s">
        <v>855</v>
      </c>
      <c r="D4591" s="31">
        <f t="shared" si="151"/>
        <v>0.1026707832138842</v>
      </c>
      <c r="F4591" s="2" t="s">
        <v>822</v>
      </c>
      <c r="G4591" s="23" t="s">
        <v>902</v>
      </c>
      <c r="H4591" s="2" t="s">
        <v>822</v>
      </c>
      <c r="J4591" s="31">
        <v>50.551299999999998</v>
      </c>
      <c r="K4591" s="31">
        <v>-40.537998199999997</v>
      </c>
      <c r="L4591" s="31"/>
      <c r="M4591" s="31" t="s">
        <v>854</v>
      </c>
      <c r="N4591" s="6" t="s">
        <v>856</v>
      </c>
    </row>
    <row r="4592" spans="1:14" ht="15" customHeight="1" x14ac:dyDescent="0.2">
      <c r="A4592" s="31">
        <v>0.52376361178861408</v>
      </c>
      <c r="B4592" s="31"/>
      <c r="C4592" s="2" t="s">
        <v>855</v>
      </c>
      <c r="D4592" s="31">
        <f t="shared" si="151"/>
        <v>0.10265766791056836</v>
      </c>
      <c r="F4592" s="2" t="s">
        <v>822</v>
      </c>
      <c r="G4592" s="23" t="s">
        <v>902</v>
      </c>
      <c r="H4592" s="2" t="s">
        <v>822</v>
      </c>
      <c r="J4592" s="31">
        <v>32.163299600000002</v>
      </c>
      <c r="K4592" s="31">
        <v>-26.527999900000001</v>
      </c>
      <c r="L4592" s="31"/>
      <c r="M4592" s="31" t="s">
        <v>854</v>
      </c>
      <c r="N4592" s="6" t="s">
        <v>856</v>
      </c>
    </row>
    <row r="4593" spans="1:14" ht="15" customHeight="1" x14ac:dyDescent="0.2">
      <c r="A4593" s="31">
        <v>0.52335434590728025</v>
      </c>
      <c r="B4593" s="31"/>
      <c r="C4593" s="2" t="s">
        <v>855</v>
      </c>
      <c r="D4593" s="31">
        <f t="shared" si="151"/>
        <v>0.10257745179782693</v>
      </c>
      <c r="F4593" s="2" t="s">
        <v>822</v>
      </c>
      <c r="G4593" s="23" t="s">
        <v>902</v>
      </c>
      <c r="H4593" s="2" t="s">
        <v>822</v>
      </c>
      <c r="J4593" s="31">
        <v>26.643100700000002</v>
      </c>
      <c r="K4593" s="31">
        <v>-25.158500700000001</v>
      </c>
      <c r="L4593" s="31"/>
      <c r="M4593" s="31" t="s">
        <v>854</v>
      </c>
      <c r="N4593" s="6" t="s">
        <v>856</v>
      </c>
    </row>
    <row r="4594" spans="1:14" ht="15" customHeight="1" x14ac:dyDescent="0.2">
      <c r="A4594" s="31">
        <v>0.5231871060866895</v>
      </c>
      <c r="B4594" s="31"/>
      <c r="C4594" s="2" t="s">
        <v>855</v>
      </c>
      <c r="D4594" s="31">
        <f t="shared" si="151"/>
        <v>0.10254467279299115</v>
      </c>
      <c r="F4594" s="2" t="s">
        <v>822</v>
      </c>
      <c r="G4594" s="23" t="s">
        <v>902</v>
      </c>
      <c r="H4594" s="2" t="s">
        <v>822</v>
      </c>
      <c r="J4594" s="31">
        <v>48.083999599999999</v>
      </c>
      <c r="K4594" s="31">
        <v>-15.171999899999999</v>
      </c>
      <c r="L4594" s="31"/>
      <c r="M4594" s="31" t="s">
        <v>854</v>
      </c>
      <c r="N4594" s="6" t="s">
        <v>856</v>
      </c>
    </row>
    <row r="4595" spans="1:14" ht="15" customHeight="1" x14ac:dyDescent="0.2">
      <c r="A4595" s="31">
        <v>0.52305173074867883</v>
      </c>
      <c r="B4595" s="31"/>
      <c r="C4595" s="2" t="s">
        <v>855</v>
      </c>
      <c r="D4595" s="31">
        <f t="shared" si="151"/>
        <v>0.10251813922674105</v>
      </c>
      <c r="F4595" s="2" t="s">
        <v>822</v>
      </c>
      <c r="G4595" s="23" t="s">
        <v>902</v>
      </c>
      <c r="H4595" s="2" t="s">
        <v>822</v>
      </c>
      <c r="J4595" s="31">
        <v>48.165298499999999</v>
      </c>
      <c r="K4595" s="31">
        <v>-24.714799899999999</v>
      </c>
      <c r="L4595" s="31"/>
      <c r="M4595" s="31" t="s">
        <v>854</v>
      </c>
      <c r="N4595" s="6" t="s">
        <v>856</v>
      </c>
    </row>
    <row r="4596" spans="1:14" ht="15" customHeight="1" x14ac:dyDescent="0.2">
      <c r="A4596" s="31">
        <v>0.52296762386659246</v>
      </c>
      <c r="B4596" s="31"/>
      <c r="C4596" s="2" t="s">
        <v>855</v>
      </c>
      <c r="D4596" s="31">
        <f t="shared" si="151"/>
        <v>0.10250165427785213</v>
      </c>
      <c r="F4596" s="2" t="s">
        <v>822</v>
      </c>
      <c r="G4596" s="23" t="s">
        <v>902</v>
      </c>
      <c r="H4596" s="2" t="s">
        <v>822</v>
      </c>
      <c r="J4596" s="31">
        <v>55.2505989</v>
      </c>
      <c r="K4596" s="31">
        <v>7.0968399</v>
      </c>
      <c r="L4596" s="31"/>
      <c r="M4596" s="31" t="s">
        <v>854</v>
      </c>
      <c r="N4596" s="6" t="s">
        <v>856</v>
      </c>
    </row>
    <row r="4597" spans="1:14" ht="15" customHeight="1" x14ac:dyDescent="0.2">
      <c r="A4597" s="31">
        <v>0.52283164366789225</v>
      </c>
      <c r="B4597" s="31"/>
      <c r="C4597" s="2" t="s">
        <v>855</v>
      </c>
      <c r="D4597" s="31">
        <f t="shared" si="151"/>
        <v>0.10247500215890688</v>
      </c>
      <c r="F4597" s="2" t="s">
        <v>822</v>
      </c>
      <c r="G4597" s="23" t="s">
        <v>902</v>
      </c>
      <c r="H4597" s="2" t="s">
        <v>822</v>
      </c>
      <c r="J4597" s="31">
        <v>43.572601300000002</v>
      </c>
      <c r="K4597" s="31">
        <v>-41.891998299999997</v>
      </c>
      <c r="L4597" s="31"/>
      <c r="M4597" s="31" t="s">
        <v>854</v>
      </c>
      <c r="N4597" s="6" t="s">
        <v>856</v>
      </c>
    </row>
    <row r="4598" spans="1:14" ht="15" customHeight="1" x14ac:dyDescent="0.2">
      <c r="A4598" s="31">
        <v>0.52275956661929324</v>
      </c>
      <c r="B4598" s="31"/>
      <c r="C4598" s="2" t="s">
        <v>855</v>
      </c>
      <c r="D4598" s="31">
        <f t="shared" si="151"/>
        <v>0.10246087505738148</v>
      </c>
      <c r="F4598" s="2" t="s">
        <v>822</v>
      </c>
      <c r="G4598" s="23" t="s">
        <v>902</v>
      </c>
      <c r="H4598" s="2" t="s">
        <v>822</v>
      </c>
      <c r="J4598" s="31">
        <v>56.149501800000003</v>
      </c>
      <c r="K4598" s="31">
        <v>-15.210399600000001</v>
      </c>
      <c r="L4598" s="31"/>
      <c r="M4598" s="31" t="s">
        <v>854</v>
      </c>
      <c r="N4598" s="6" t="s">
        <v>856</v>
      </c>
    </row>
    <row r="4599" spans="1:14" ht="15" customHeight="1" x14ac:dyDescent="0.2">
      <c r="A4599" s="31">
        <v>0.5227307898018857</v>
      </c>
      <c r="B4599" s="31"/>
      <c r="C4599" s="2" t="s">
        <v>855</v>
      </c>
      <c r="D4599" s="31">
        <f t="shared" si="151"/>
        <v>0.1024552348011696</v>
      </c>
      <c r="F4599" s="2" t="s">
        <v>822</v>
      </c>
      <c r="G4599" s="23" t="s">
        <v>902</v>
      </c>
      <c r="H4599" s="2" t="s">
        <v>822</v>
      </c>
      <c r="J4599" s="31">
        <v>36.7029991</v>
      </c>
      <c r="K4599" s="31">
        <v>-9.5034904000000004</v>
      </c>
      <c r="L4599" s="31"/>
      <c r="M4599" s="31" t="s">
        <v>854</v>
      </c>
      <c r="N4599" s="6" t="s">
        <v>856</v>
      </c>
    </row>
    <row r="4600" spans="1:14" ht="15" customHeight="1" x14ac:dyDescent="0.2">
      <c r="A4600" s="31">
        <v>0.52267351181096167</v>
      </c>
      <c r="B4600" s="31"/>
      <c r="C4600" s="2" t="s">
        <v>855</v>
      </c>
      <c r="D4600" s="31">
        <f t="shared" si="151"/>
        <v>0.10244400831494849</v>
      </c>
      <c r="F4600" s="2" t="s">
        <v>822</v>
      </c>
      <c r="G4600" s="23" t="s">
        <v>902</v>
      </c>
      <c r="H4600" s="2" t="s">
        <v>822</v>
      </c>
      <c r="J4600" s="31">
        <v>50.527000399999999</v>
      </c>
      <c r="K4600" s="31">
        <v>-23.974899300000001</v>
      </c>
      <c r="L4600" s="31"/>
      <c r="M4600" s="31" t="s">
        <v>854</v>
      </c>
      <c r="N4600" s="6" t="s">
        <v>856</v>
      </c>
    </row>
    <row r="4601" spans="1:14" ht="15" customHeight="1" x14ac:dyDescent="0.2">
      <c r="A4601" s="31">
        <v>0.52259388820430952</v>
      </c>
      <c r="B4601" s="31"/>
      <c r="C4601" s="2" t="s">
        <v>855</v>
      </c>
      <c r="D4601" s="31">
        <f t="shared" si="151"/>
        <v>0.10242840208804467</v>
      </c>
      <c r="F4601" s="2" t="s">
        <v>822</v>
      </c>
      <c r="G4601" s="23" t="s">
        <v>902</v>
      </c>
      <c r="H4601" s="2" t="s">
        <v>822</v>
      </c>
      <c r="J4601" s="31">
        <v>51.283698999999999</v>
      </c>
      <c r="K4601" s="31">
        <v>1.4919500000000001</v>
      </c>
      <c r="L4601" s="31"/>
      <c r="M4601" s="31" t="s">
        <v>854</v>
      </c>
      <c r="N4601" s="6" t="s">
        <v>856</v>
      </c>
    </row>
    <row r="4602" spans="1:14" ht="15" customHeight="1" x14ac:dyDescent="0.2">
      <c r="A4602" s="31">
        <v>0.52246612833982475</v>
      </c>
      <c r="B4602" s="31"/>
      <c r="C4602" s="2" t="s">
        <v>855</v>
      </c>
      <c r="D4602" s="31">
        <f t="shared" si="151"/>
        <v>0.10240336115460566</v>
      </c>
      <c r="F4602" s="2" t="s">
        <v>822</v>
      </c>
      <c r="G4602" s="23" t="s">
        <v>902</v>
      </c>
      <c r="H4602" s="2" t="s">
        <v>822</v>
      </c>
      <c r="J4602" s="31">
        <v>54.905200999999998</v>
      </c>
      <c r="K4602" s="31">
        <v>-8.5642405000000004</v>
      </c>
      <c r="L4602" s="31"/>
      <c r="M4602" s="31" t="s">
        <v>854</v>
      </c>
      <c r="N4602" s="6" t="s">
        <v>856</v>
      </c>
    </row>
    <row r="4603" spans="1:14" ht="15" customHeight="1" x14ac:dyDescent="0.2">
      <c r="A4603" s="31">
        <v>0.52245344530802029</v>
      </c>
      <c r="B4603" s="31"/>
      <c r="C4603" s="2" t="s">
        <v>855</v>
      </c>
      <c r="D4603" s="31">
        <f t="shared" si="151"/>
        <v>0.10240087528037198</v>
      </c>
      <c r="F4603" s="2" t="s">
        <v>822</v>
      </c>
      <c r="G4603" s="23" t="s">
        <v>902</v>
      </c>
      <c r="H4603" s="2" t="s">
        <v>822</v>
      </c>
      <c r="J4603" s="31">
        <v>31.1177998</v>
      </c>
      <c r="K4603" s="31">
        <v>-35.810501100000003</v>
      </c>
      <c r="L4603" s="31"/>
      <c r="M4603" s="31" t="s">
        <v>854</v>
      </c>
      <c r="N4603" s="6" t="s">
        <v>856</v>
      </c>
    </row>
    <row r="4604" spans="1:14" ht="15" customHeight="1" x14ac:dyDescent="0.2">
      <c r="A4604" s="31">
        <v>0.52230344089898684</v>
      </c>
      <c r="B4604" s="31"/>
      <c r="C4604" s="2" t="s">
        <v>855</v>
      </c>
      <c r="D4604" s="31">
        <f t="shared" si="151"/>
        <v>0.10237147441620142</v>
      </c>
      <c r="F4604" s="2" t="s">
        <v>822</v>
      </c>
      <c r="G4604" s="23" t="s">
        <v>902</v>
      </c>
      <c r="H4604" s="2" t="s">
        <v>822</v>
      </c>
      <c r="J4604" s="31">
        <v>40.890998799999998</v>
      </c>
      <c r="K4604" s="31">
        <v>-30.937299700000001</v>
      </c>
      <c r="L4604" s="31"/>
      <c r="M4604" s="31" t="s">
        <v>854</v>
      </c>
      <c r="N4604" s="6" t="s">
        <v>856</v>
      </c>
    </row>
    <row r="4605" spans="1:14" ht="15" customHeight="1" x14ac:dyDescent="0.2">
      <c r="A4605" s="31">
        <v>0.52227939966580672</v>
      </c>
      <c r="B4605" s="31"/>
      <c r="C4605" s="2" t="s">
        <v>855</v>
      </c>
      <c r="D4605" s="31">
        <f t="shared" si="151"/>
        <v>0.10236676233449812</v>
      </c>
      <c r="F4605" s="2" t="s">
        <v>822</v>
      </c>
      <c r="G4605" s="23" t="s">
        <v>902</v>
      </c>
      <c r="H4605" s="2" t="s">
        <v>822</v>
      </c>
      <c r="J4605" s="31">
        <v>34.078399699999999</v>
      </c>
      <c r="K4605" s="31">
        <v>-35.100200700000002</v>
      </c>
      <c r="L4605" s="31"/>
      <c r="M4605" s="31" t="s">
        <v>854</v>
      </c>
      <c r="N4605" s="6" t="s">
        <v>856</v>
      </c>
    </row>
    <row r="4606" spans="1:14" ht="15" customHeight="1" x14ac:dyDescent="0.2">
      <c r="A4606" s="31">
        <v>0.52212101879047212</v>
      </c>
      <c r="B4606" s="31"/>
      <c r="C4606" s="2" t="s">
        <v>855</v>
      </c>
      <c r="D4606" s="31">
        <f t="shared" si="151"/>
        <v>0.10233571968293254</v>
      </c>
      <c r="F4606" s="2" t="s">
        <v>822</v>
      </c>
      <c r="G4606" s="23" t="s">
        <v>902</v>
      </c>
      <c r="H4606" s="2" t="s">
        <v>822</v>
      </c>
      <c r="J4606" s="31">
        <v>27.375999499999999</v>
      </c>
      <c r="K4606" s="31">
        <v>-38.551998099999999</v>
      </c>
      <c r="L4606" s="31"/>
      <c r="M4606" s="31" t="s">
        <v>854</v>
      </c>
      <c r="N4606" s="6" t="s">
        <v>856</v>
      </c>
    </row>
    <row r="4607" spans="1:14" ht="15" customHeight="1" x14ac:dyDescent="0.2">
      <c r="A4607" s="31">
        <v>0.52207438981793663</v>
      </c>
      <c r="B4607" s="31"/>
      <c r="C4607" s="2" t="s">
        <v>855</v>
      </c>
      <c r="D4607" s="31">
        <f t="shared" si="151"/>
        <v>0.10232658040431558</v>
      </c>
      <c r="F4607" s="2" t="s">
        <v>822</v>
      </c>
      <c r="G4607" s="23" t="s">
        <v>902</v>
      </c>
      <c r="H4607" s="2" t="s">
        <v>822</v>
      </c>
      <c r="J4607" s="31">
        <v>46.434600799999998</v>
      </c>
      <c r="K4607" s="31">
        <v>-14.2223997</v>
      </c>
      <c r="L4607" s="31"/>
      <c r="M4607" s="31" t="s">
        <v>854</v>
      </c>
      <c r="N4607" s="6" t="s">
        <v>856</v>
      </c>
    </row>
    <row r="4608" spans="1:14" ht="15" customHeight="1" x14ac:dyDescent="0.2">
      <c r="A4608" s="31">
        <v>0.52161315748290882</v>
      </c>
      <c r="B4608" s="31"/>
      <c r="C4608" s="2" t="s">
        <v>855</v>
      </c>
      <c r="D4608" s="31">
        <f t="shared" si="151"/>
        <v>0.10223617886665014</v>
      </c>
      <c r="F4608" s="2" t="s">
        <v>822</v>
      </c>
      <c r="G4608" s="23" t="s">
        <v>902</v>
      </c>
      <c r="H4608" s="2" t="s">
        <v>822</v>
      </c>
      <c r="J4608" s="31">
        <v>54.461799599999999</v>
      </c>
      <c r="K4608" s="31">
        <v>10.4053001</v>
      </c>
      <c r="L4608" s="31"/>
      <c r="M4608" s="31" t="s">
        <v>854</v>
      </c>
      <c r="N4608" s="6" t="s">
        <v>856</v>
      </c>
    </row>
    <row r="4609" spans="1:14" ht="15" customHeight="1" x14ac:dyDescent="0.2">
      <c r="A4609" s="31">
        <v>0.52157876297858929</v>
      </c>
      <c r="B4609" s="31"/>
      <c r="C4609" s="2" t="s">
        <v>855</v>
      </c>
      <c r="D4609" s="31">
        <f t="shared" si="151"/>
        <v>0.10222943754380351</v>
      </c>
      <c r="F4609" s="2" t="s">
        <v>822</v>
      </c>
      <c r="G4609" s="23" t="s">
        <v>902</v>
      </c>
      <c r="H4609" s="2" t="s">
        <v>822</v>
      </c>
      <c r="J4609" s="31">
        <v>44.8639984</v>
      </c>
      <c r="K4609" s="31">
        <v>-23.204799699999999</v>
      </c>
      <c r="L4609" s="31"/>
      <c r="M4609" s="31" t="s">
        <v>854</v>
      </c>
      <c r="N4609" s="6" t="s">
        <v>856</v>
      </c>
    </row>
    <row r="4610" spans="1:14" ht="15" customHeight="1" x14ac:dyDescent="0.2">
      <c r="A4610" s="31">
        <v>0.52149437480562699</v>
      </c>
      <c r="B4610" s="31"/>
      <c r="C4610" s="2" t="s">
        <v>855</v>
      </c>
      <c r="D4610" s="31">
        <f t="shared" si="151"/>
        <v>0.10221289746190289</v>
      </c>
      <c r="F4610" s="2" t="s">
        <v>822</v>
      </c>
      <c r="G4610" s="23" t="s">
        <v>902</v>
      </c>
      <c r="H4610" s="2" t="s">
        <v>822</v>
      </c>
      <c r="J4610" s="31">
        <v>51.576400800000002</v>
      </c>
      <c r="K4610" s="31">
        <v>-8.4924497999999993</v>
      </c>
      <c r="L4610" s="31"/>
      <c r="M4610" s="31" t="s">
        <v>854</v>
      </c>
      <c r="N4610" s="6" t="s">
        <v>856</v>
      </c>
    </row>
    <row r="4611" spans="1:14" ht="15" customHeight="1" x14ac:dyDescent="0.2">
      <c r="A4611" s="31">
        <v>0.52144118575768628</v>
      </c>
      <c r="B4611" s="31"/>
      <c r="C4611" s="2" t="s">
        <v>855</v>
      </c>
      <c r="D4611" s="31">
        <f t="shared" si="151"/>
        <v>0.10220247240850651</v>
      </c>
      <c r="F4611" s="2" t="s">
        <v>822</v>
      </c>
      <c r="G4611" s="23" t="s">
        <v>902</v>
      </c>
      <c r="H4611" s="2" t="s">
        <v>822</v>
      </c>
      <c r="J4611" s="31">
        <v>41.255699200000002</v>
      </c>
      <c r="K4611" s="31">
        <v>-30.266399400000001</v>
      </c>
      <c r="L4611" s="31"/>
      <c r="M4611" s="31" t="s">
        <v>854</v>
      </c>
      <c r="N4611" s="6" t="s">
        <v>856</v>
      </c>
    </row>
    <row r="4612" spans="1:14" ht="15" customHeight="1" x14ac:dyDescent="0.2">
      <c r="A4612" s="31">
        <v>0.52134798843268082</v>
      </c>
      <c r="B4612" s="31"/>
      <c r="C4612" s="2" t="s">
        <v>855</v>
      </c>
      <c r="D4612" s="31">
        <f t="shared" ref="D4612:D4646" si="152" xml:space="preserve"> A4612 * 0.196</f>
        <v>0.10218420573280544</v>
      </c>
      <c r="F4612" s="2" t="s">
        <v>822</v>
      </c>
      <c r="G4612" s="23" t="s">
        <v>902</v>
      </c>
      <c r="H4612" s="2" t="s">
        <v>822</v>
      </c>
      <c r="J4612" s="31">
        <v>47.416000400000001</v>
      </c>
      <c r="K4612" s="31">
        <v>-19.1800003</v>
      </c>
      <c r="L4612" s="31"/>
      <c r="M4612" s="31" t="s">
        <v>854</v>
      </c>
      <c r="N4612" s="6" t="s">
        <v>856</v>
      </c>
    </row>
    <row r="4613" spans="1:14" ht="15" customHeight="1" x14ac:dyDescent="0.2">
      <c r="A4613" s="31">
        <v>0.52106802663104568</v>
      </c>
      <c r="B4613" s="31"/>
      <c r="C4613" s="2" t="s">
        <v>855</v>
      </c>
      <c r="D4613" s="31">
        <f t="shared" si="152"/>
        <v>0.10212933321968495</v>
      </c>
      <c r="F4613" s="2" t="s">
        <v>822</v>
      </c>
      <c r="G4613" s="23" t="s">
        <v>902</v>
      </c>
      <c r="H4613" s="2" t="s">
        <v>822</v>
      </c>
      <c r="J4613" s="31">
        <v>61.766700700000001</v>
      </c>
      <c r="K4613" s="31">
        <v>19.3896008</v>
      </c>
      <c r="L4613" s="31"/>
      <c r="M4613" s="31" t="s">
        <v>854</v>
      </c>
      <c r="N4613" s="6" t="s">
        <v>856</v>
      </c>
    </row>
    <row r="4614" spans="1:14" ht="15" customHeight="1" x14ac:dyDescent="0.2">
      <c r="A4614" s="31">
        <v>0.52097830880035767</v>
      </c>
      <c r="B4614" s="31"/>
      <c r="C4614" s="2" t="s">
        <v>855</v>
      </c>
      <c r="D4614" s="31">
        <f t="shared" si="152"/>
        <v>0.10211174852487011</v>
      </c>
      <c r="F4614" s="2" t="s">
        <v>822</v>
      </c>
      <c r="G4614" s="23" t="s">
        <v>902</v>
      </c>
      <c r="H4614" s="2" t="s">
        <v>822</v>
      </c>
      <c r="J4614" s="31">
        <v>49.792900099999997</v>
      </c>
      <c r="K4614" s="31">
        <v>-26.115699800000002</v>
      </c>
      <c r="L4614" s="31"/>
      <c r="M4614" s="31" t="s">
        <v>854</v>
      </c>
      <c r="N4614" s="6" t="s">
        <v>856</v>
      </c>
    </row>
    <row r="4615" spans="1:14" ht="15" customHeight="1" x14ac:dyDescent="0.2">
      <c r="A4615" s="31">
        <v>0.52095605579568904</v>
      </c>
      <c r="B4615" s="31"/>
      <c r="C4615" s="2" t="s">
        <v>855</v>
      </c>
      <c r="D4615" s="31">
        <f t="shared" si="152"/>
        <v>0.10210738693595506</v>
      </c>
      <c r="F4615" s="2" t="s">
        <v>822</v>
      </c>
      <c r="G4615" s="23" t="s">
        <v>902</v>
      </c>
      <c r="H4615" s="2" t="s">
        <v>822</v>
      </c>
      <c r="J4615" s="31">
        <v>54.688598599999999</v>
      </c>
      <c r="K4615" s="31">
        <v>6.6312799</v>
      </c>
      <c r="L4615" s="31"/>
      <c r="M4615" s="31" t="s">
        <v>854</v>
      </c>
      <c r="N4615" s="6" t="s">
        <v>856</v>
      </c>
    </row>
    <row r="4616" spans="1:14" ht="15" customHeight="1" x14ac:dyDescent="0.2">
      <c r="A4616" s="31">
        <v>0.52091283085458673</v>
      </c>
      <c r="B4616" s="31"/>
      <c r="C4616" s="2" t="s">
        <v>855</v>
      </c>
      <c r="D4616" s="31">
        <f t="shared" si="152"/>
        <v>0.102098914847499</v>
      </c>
      <c r="F4616" s="2" t="s">
        <v>822</v>
      </c>
      <c r="G4616" s="23" t="s">
        <v>902</v>
      </c>
      <c r="H4616" s="2" t="s">
        <v>822</v>
      </c>
      <c r="J4616" s="31">
        <v>33.388000499999997</v>
      </c>
      <c r="K4616" s="31">
        <v>-17.8439999</v>
      </c>
      <c r="L4616" s="31"/>
      <c r="M4616" s="31" t="s">
        <v>854</v>
      </c>
      <c r="N4616" s="6" t="s">
        <v>856</v>
      </c>
    </row>
    <row r="4617" spans="1:14" ht="15" customHeight="1" x14ac:dyDescent="0.2">
      <c r="A4617" s="31">
        <v>0.5207478750434148</v>
      </c>
      <c r="B4617" s="31"/>
      <c r="C4617" s="2" t="s">
        <v>855</v>
      </c>
      <c r="D4617" s="31">
        <f t="shared" si="152"/>
        <v>0.10206658350850931</v>
      </c>
      <c r="F4617" s="2" t="s">
        <v>822</v>
      </c>
      <c r="G4617" s="23" t="s">
        <v>902</v>
      </c>
      <c r="H4617" s="2" t="s">
        <v>822</v>
      </c>
      <c r="J4617" s="31">
        <v>56.829799700000002</v>
      </c>
      <c r="K4617" s="31">
        <v>4.3752098000000004</v>
      </c>
      <c r="L4617" s="31"/>
      <c r="M4617" s="31" t="s">
        <v>854</v>
      </c>
      <c r="N4617" s="6" t="s">
        <v>856</v>
      </c>
    </row>
    <row r="4618" spans="1:14" ht="15" customHeight="1" x14ac:dyDescent="0.2">
      <c r="A4618" s="31">
        <v>0.52063722182958339</v>
      </c>
      <c r="B4618" s="31"/>
      <c r="C4618" s="2" t="s">
        <v>855</v>
      </c>
      <c r="D4618" s="31">
        <f t="shared" si="152"/>
        <v>0.10204489547859835</v>
      </c>
      <c r="F4618" s="2" t="s">
        <v>822</v>
      </c>
      <c r="G4618" s="23" t="s">
        <v>902</v>
      </c>
      <c r="H4618" s="2" t="s">
        <v>822</v>
      </c>
      <c r="J4618" s="31">
        <v>48.083999599999999</v>
      </c>
      <c r="K4618" s="31">
        <v>-14.170000099999999</v>
      </c>
      <c r="L4618" s="31"/>
      <c r="M4618" s="31" t="s">
        <v>854</v>
      </c>
      <c r="N4618" s="6" t="s">
        <v>856</v>
      </c>
    </row>
    <row r="4619" spans="1:14" ht="15" customHeight="1" x14ac:dyDescent="0.2">
      <c r="A4619" s="31">
        <v>0.52029214381339417</v>
      </c>
      <c r="B4619" s="31"/>
      <c r="C4619" s="2" t="s">
        <v>855</v>
      </c>
      <c r="D4619" s="31">
        <f t="shared" si="152"/>
        <v>0.10197726018742526</v>
      </c>
      <c r="F4619" s="2" t="s">
        <v>822</v>
      </c>
      <c r="G4619" s="23" t="s">
        <v>902</v>
      </c>
      <c r="H4619" s="2" t="s">
        <v>822</v>
      </c>
      <c r="J4619" s="31">
        <v>49.419998200000002</v>
      </c>
      <c r="K4619" s="31">
        <v>-30.5359993</v>
      </c>
      <c r="L4619" s="31"/>
      <c r="M4619" s="31" t="s">
        <v>854</v>
      </c>
      <c r="N4619" s="6" t="s">
        <v>856</v>
      </c>
    </row>
    <row r="4620" spans="1:14" ht="15" customHeight="1" x14ac:dyDescent="0.2">
      <c r="A4620" s="31">
        <v>0.51995957148086225</v>
      </c>
      <c r="B4620" s="31"/>
      <c r="C4620" s="2" t="s">
        <v>855</v>
      </c>
      <c r="D4620" s="31">
        <f t="shared" si="152"/>
        <v>0.101912076010249</v>
      </c>
      <c r="F4620" s="2" t="s">
        <v>822</v>
      </c>
      <c r="G4620" s="23" t="s">
        <v>902</v>
      </c>
      <c r="H4620" s="2" t="s">
        <v>822</v>
      </c>
      <c r="J4620" s="31">
        <v>51.417198200000001</v>
      </c>
      <c r="K4620" s="31">
        <v>-33.2134018</v>
      </c>
      <c r="L4620" s="31"/>
      <c r="M4620" s="31" t="s">
        <v>854</v>
      </c>
      <c r="N4620" s="6" t="s">
        <v>856</v>
      </c>
    </row>
    <row r="4621" spans="1:14" ht="15" customHeight="1" x14ac:dyDescent="0.2">
      <c r="A4621" s="31">
        <v>0.51987055395790749</v>
      </c>
      <c r="B4621" s="31"/>
      <c r="C4621" s="2" t="s">
        <v>855</v>
      </c>
      <c r="D4621" s="31">
        <f t="shared" si="152"/>
        <v>0.10189462857574987</v>
      </c>
      <c r="F4621" s="2" t="s">
        <v>822</v>
      </c>
      <c r="G4621" s="23" t="s">
        <v>902</v>
      </c>
      <c r="H4621" s="2" t="s">
        <v>822</v>
      </c>
      <c r="J4621" s="31">
        <v>47.416000400000001</v>
      </c>
      <c r="K4621" s="31">
        <v>-11.8319998</v>
      </c>
      <c r="L4621" s="31"/>
      <c r="M4621" s="31" t="s">
        <v>854</v>
      </c>
      <c r="N4621" s="6" t="s">
        <v>856</v>
      </c>
    </row>
    <row r="4622" spans="1:14" ht="15" customHeight="1" x14ac:dyDescent="0.2">
      <c r="A4622" s="31">
        <v>0.51954095884052343</v>
      </c>
      <c r="B4622" s="31"/>
      <c r="C4622" s="2" t="s">
        <v>855</v>
      </c>
      <c r="D4622" s="31">
        <f t="shared" si="152"/>
        <v>0.1018300279327426</v>
      </c>
      <c r="F4622" s="2" t="s">
        <v>822</v>
      </c>
      <c r="G4622" s="23" t="s">
        <v>902</v>
      </c>
      <c r="H4622" s="2" t="s">
        <v>822</v>
      </c>
      <c r="J4622" s="31">
        <v>41.332698800000003</v>
      </c>
      <c r="K4622" s="31">
        <v>-12.5</v>
      </c>
      <c r="L4622" s="31"/>
      <c r="M4622" s="31" t="s">
        <v>854</v>
      </c>
      <c r="N4622" s="6" t="s">
        <v>856</v>
      </c>
    </row>
    <row r="4623" spans="1:14" ht="15" customHeight="1" x14ac:dyDescent="0.2">
      <c r="A4623" s="31">
        <v>0.51952846650941009</v>
      </c>
      <c r="B4623" s="31"/>
      <c r="C4623" s="2" t="s">
        <v>855</v>
      </c>
      <c r="D4623" s="31">
        <f t="shared" si="152"/>
        <v>0.10182757943584438</v>
      </c>
      <c r="F4623" s="2" t="s">
        <v>822</v>
      </c>
      <c r="G4623" s="23" t="s">
        <v>902</v>
      </c>
      <c r="H4623" s="2" t="s">
        <v>822</v>
      </c>
      <c r="J4623" s="31">
        <v>54.1781006</v>
      </c>
      <c r="K4623" s="31">
        <v>-2.8060600999999998</v>
      </c>
      <c r="L4623" s="31"/>
      <c r="M4623" s="31" t="s">
        <v>854</v>
      </c>
      <c r="N4623" s="6" t="s">
        <v>856</v>
      </c>
    </row>
    <row r="4624" spans="1:14" ht="15" customHeight="1" x14ac:dyDescent="0.2">
      <c r="A4624" s="31">
        <v>0.51944859852343506</v>
      </c>
      <c r="B4624" s="31"/>
      <c r="C4624" s="2" t="s">
        <v>855</v>
      </c>
      <c r="D4624" s="31">
        <f t="shared" si="152"/>
        <v>0.10181192531059327</v>
      </c>
      <c r="F4624" s="2" t="s">
        <v>822</v>
      </c>
      <c r="G4624" s="23" t="s">
        <v>902</v>
      </c>
      <c r="H4624" s="2" t="s">
        <v>822</v>
      </c>
      <c r="J4624" s="31">
        <v>57.473201799999998</v>
      </c>
      <c r="K4624" s="31">
        <v>10.374199900000001</v>
      </c>
      <c r="L4624" s="31"/>
      <c r="M4624" s="31" t="s">
        <v>854</v>
      </c>
      <c r="N4624" s="6" t="s">
        <v>856</v>
      </c>
    </row>
    <row r="4625" spans="1:14" ht="15" customHeight="1" x14ac:dyDescent="0.2">
      <c r="A4625" s="31">
        <v>0.51941380844003093</v>
      </c>
      <c r="B4625" s="31"/>
      <c r="C4625" s="2" t="s">
        <v>855</v>
      </c>
      <c r="D4625" s="31">
        <f t="shared" si="152"/>
        <v>0.10180510645424606</v>
      </c>
      <c r="F4625" s="2" t="s">
        <v>822</v>
      </c>
      <c r="G4625" s="23" t="s">
        <v>902</v>
      </c>
      <c r="H4625" s="2" t="s">
        <v>822</v>
      </c>
      <c r="J4625" s="31">
        <v>34.778801000000001</v>
      </c>
      <c r="K4625" s="31">
        <v>18.263900799999998</v>
      </c>
      <c r="L4625" s="31"/>
      <c r="M4625" s="31" t="s">
        <v>854</v>
      </c>
      <c r="N4625" s="6" t="s">
        <v>856</v>
      </c>
    </row>
    <row r="4626" spans="1:14" ht="15" customHeight="1" x14ac:dyDescent="0.2">
      <c r="A4626" s="31">
        <v>0.51933404599185917</v>
      </c>
      <c r="B4626" s="31"/>
      <c r="C4626" s="2" t="s">
        <v>855</v>
      </c>
      <c r="D4626" s="31">
        <f t="shared" si="152"/>
        <v>0.1017894730144044</v>
      </c>
      <c r="F4626" s="2" t="s">
        <v>822</v>
      </c>
      <c r="G4626" s="23" t="s">
        <v>902</v>
      </c>
      <c r="H4626" s="2" t="s">
        <v>822</v>
      </c>
      <c r="J4626" s="31">
        <v>31.361299500000001</v>
      </c>
      <c r="K4626" s="31">
        <v>-41.198398599999997</v>
      </c>
      <c r="L4626" s="31"/>
      <c r="M4626" s="31" t="s">
        <v>854</v>
      </c>
      <c r="N4626" s="6" t="s">
        <v>856</v>
      </c>
    </row>
    <row r="4627" spans="1:14" ht="15" customHeight="1" x14ac:dyDescent="0.2">
      <c r="A4627" s="31">
        <v>0.51921093626122528</v>
      </c>
      <c r="B4627" s="31"/>
      <c r="C4627" s="2" t="s">
        <v>855</v>
      </c>
      <c r="D4627" s="31">
        <f t="shared" si="152"/>
        <v>0.10176534350720015</v>
      </c>
      <c r="F4627" s="2" t="s">
        <v>822</v>
      </c>
      <c r="G4627" s="23" t="s">
        <v>902</v>
      </c>
      <c r="H4627" s="2" t="s">
        <v>822</v>
      </c>
      <c r="J4627" s="31">
        <v>53.510101300000002</v>
      </c>
      <c r="K4627" s="31">
        <v>-10.210699999999999</v>
      </c>
      <c r="L4627" s="31"/>
      <c r="M4627" s="31" t="s">
        <v>854</v>
      </c>
      <c r="N4627" s="6" t="s">
        <v>856</v>
      </c>
    </row>
    <row r="4628" spans="1:14" ht="15" customHeight="1" x14ac:dyDescent="0.2">
      <c r="A4628" s="31">
        <v>0.51903128524728603</v>
      </c>
      <c r="B4628" s="31"/>
      <c r="C4628" s="2" t="s">
        <v>855</v>
      </c>
      <c r="D4628" s="31">
        <f t="shared" si="152"/>
        <v>0.10173013190846807</v>
      </c>
      <c r="F4628" s="2" t="s">
        <v>822</v>
      </c>
      <c r="G4628" s="23" t="s">
        <v>902</v>
      </c>
      <c r="H4628" s="2" t="s">
        <v>822</v>
      </c>
      <c r="J4628" s="31">
        <v>52.414600399999998</v>
      </c>
      <c r="K4628" s="31">
        <v>3.2178399999999998</v>
      </c>
      <c r="L4628" s="31"/>
      <c r="M4628" s="31" t="s">
        <v>854</v>
      </c>
      <c r="N4628" s="6" t="s">
        <v>856</v>
      </c>
    </row>
    <row r="4629" spans="1:14" ht="15" customHeight="1" x14ac:dyDescent="0.2">
      <c r="A4629" s="31">
        <v>0.51903048264084017</v>
      </c>
      <c r="B4629" s="31"/>
      <c r="C4629" s="2" t="s">
        <v>855</v>
      </c>
      <c r="D4629" s="31">
        <f t="shared" si="152"/>
        <v>0.10172997459760467</v>
      </c>
      <c r="F4629" s="2" t="s">
        <v>822</v>
      </c>
      <c r="G4629" s="23" t="s">
        <v>902</v>
      </c>
      <c r="H4629" s="2" t="s">
        <v>822</v>
      </c>
      <c r="J4629" s="31">
        <v>55.794101699999999</v>
      </c>
      <c r="K4629" s="31">
        <v>3.7516300999999999</v>
      </c>
      <c r="L4629" s="31"/>
      <c r="M4629" s="31" t="s">
        <v>854</v>
      </c>
      <c r="N4629" s="6" t="s">
        <v>856</v>
      </c>
    </row>
    <row r="4630" spans="1:14" ht="15" customHeight="1" x14ac:dyDescent="0.2">
      <c r="A4630" s="31">
        <v>0.51899849757339689</v>
      </c>
      <c r="B4630" s="31"/>
      <c r="C4630" s="2" t="s">
        <v>855</v>
      </c>
      <c r="D4630" s="31">
        <f t="shared" si="152"/>
        <v>0.1017237055243858</v>
      </c>
      <c r="F4630" s="2" t="s">
        <v>822</v>
      </c>
      <c r="G4630" s="23" t="s">
        <v>902</v>
      </c>
      <c r="H4630" s="2" t="s">
        <v>822</v>
      </c>
      <c r="J4630" s="31">
        <v>33.385299699999997</v>
      </c>
      <c r="K4630" s="31">
        <v>-40.559699999999999</v>
      </c>
      <c r="L4630" s="31"/>
      <c r="M4630" s="31" t="s">
        <v>854</v>
      </c>
      <c r="N4630" s="6" t="s">
        <v>856</v>
      </c>
    </row>
    <row r="4631" spans="1:14" ht="15" customHeight="1" x14ac:dyDescent="0.2">
      <c r="A4631" s="31">
        <v>0.5183955605690117</v>
      </c>
      <c r="B4631" s="31"/>
      <c r="C4631" s="2" t="s">
        <v>855</v>
      </c>
      <c r="D4631" s="31">
        <f t="shared" si="152"/>
        <v>0.1016055298715263</v>
      </c>
      <c r="F4631" s="2" t="s">
        <v>822</v>
      </c>
      <c r="G4631" s="23" t="s">
        <v>902</v>
      </c>
      <c r="H4631" s="2" t="s">
        <v>822</v>
      </c>
      <c r="J4631" s="31">
        <v>32.2024002</v>
      </c>
      <c r="K4631" s="31">
        <v>25.734699200000001</v>
      </c>
      <c r="L4631" s="31"/>
      <c r="M4631" s="31" t="s">
        <v>854</v>
      </c>
      <c r="N4631" s="6" t="s">
        <v>856</v>
      </c>
    </row>
    <row r="4632" spans="1:14" ht="15" customHeight="1" x14ac:dyDescent="0.2">
      <c r="A4632" s="31">
        <v>0.51827445522948579</v>
      </c>
      <c r="B4632" s="31"/>
      <c r="C4632" s="2" t="s">
        <v>855</v>
      </c>
      <c r="D4632" s="31">
        <f t="shared" si="152"/>
        <v>0.10158179322497922</v>
      </c>
      <c r="F4632" s="2" t="s">
        <v>822</v>
      </c>
      <c r="G4632" s="23" t="s">
        <v>902</v>
      </c>
      <c r="H4632" s="2" t="s">
        <v>822</v>
      </c>
      <c r="J4632" s="31">
        <v>50.741401699999997</v>
      </c>
      <c r="K4632" s="31">
        <v>-27.920999500000001</v>
      </c>
      <c r="L4632" s="31"/>
      <c r="M4632" s="31" t="s">
        <v>854</v>
      </c>
      <c r="N4632" s="6" t="s">
        <v>856</v>
      </c>
    </row>
    <row r="4633" spans="1:14" ht="15" customHeight="1" x14ac:dyDescent="0.2">
      <c r="A4633" s="31">
        <v>0.51811847190325655</v>
      </c>
      <c r="B4633" s="31"/>
      <c r="C4633" s="2" t="s">
        <v>855</v>
      </c>
      <c r="D4633" s="31">
        <f t="shared" si="152"/>
        <v>0.10155122049303829</v>
      </c>
      <c r="F4633" s="2" t="s">
        <v>822</v>
      </c>
      <c r="G4633" s="23" t="s">
        <v>902</v>
      </c>
      <c r="H4633" s="2" t="s">
        <v>822</v>
      </c>
      <c r="J4633" s="31">
        <v>44.061599700000002</v>
      </c>
      <c r="K4633" s="31">
        <v>-7.1233902000000002</v>
      </c>
      <c r="L4633" s="31"/>
      <c r="M4633" s="31" t="s">
        <v>854</v>
      </c>
      <c r="N4633" s="6" t="s">
        <v>856</v>
      </c>
    </row>
    <row r="4634" spans="1:14" ht="15" customHeight="1" x14ac:dyDescent="0.2">
      <c r="A4634" s="31">
        <v>0.51810460660939683</v>
      </c>
      <c r="B4634" s="31"/>
      <c r="C4634" s="2" t="s">
        <v>855</v>
      </c>
      <c r="D4634" s="31">
        <f t="shared" si="152"/>
        <v>0.10154850289544179</v>
      </c>
      <c r="F4634" s="2" t="s">
        <v>822</v>
      </c>
      <c r="G4634" s="23" t="s">
        <v>902</v>
      </c>
      <c r="H4634" s="2" t="s">
        <v>822</v>
      </c>
      <c r="J4634" s="31">
        <v>59.168498999999997</v>
      </c>
      <c r="K4634" s="31">
        <v>10.377800000000001</v>
      </c>
      <c r="L4634" s="31"/>
      <c r="M4634" s="31" t="s">
        <v>854</v>
      </c>
      <c r="N4634" s="6" t="s">
        <v>856</v>
      </c>
    </row>
    <row r="4635" spans="1:14" ht="15" customHeight="1" x14ac:dyDescent="0.2">
      <c r="A4635" s="31">
        <v>0.51806407621494499</v>
      </c>
      <c r="B4635" s="31"/>
      <c r="C4635" s="2" t="s">
        <v>855</v>
      </c>
      <c r="D4635" s="31">
        <f t="shared" si="152"/>
        <v>0.10154055893812922</v>
      </c>
      <c r="F4635" s="2" t="s">
        <v>822</v>
      </c>
      <c r="G4635" s="23" t="s">
        <v>902</v>
      </c>
      <c r="H4635" s="2" t="s">
        <v>822</v>
      </c>
      <c r="J4635" s="31">
        <v>29.3799992</v>
      </c>
      <c r="K4635" s="31">
        <v>-39.220001199999999</v>
      </c>
      <c r="L4635" s="31"/>
      <c r="M4635" s="31" t="s">
        <v>854</v>
      </c>
      <c r="N4635" s="6" t="s">
        <v>856</v>
      </c>
    </row>
    <row r="4636" spans="1:14" ht="15" customHeight="1" x14ac:dyDescent="0.2">
      <c r="A4636" s="31">
        <v>0.51790867636927751</v>
      </c>
      <c r="B4636" s="31"/>
      <c r="C4636" s="2" t="s">
        <v>855</v>
      </c>
      <c r="D4636" s="31">
        <f t="shared" si="152"/>
        <v>0.10151010056837839</v>
      </c>
      <c r="F4636" s="2" t="s">
        <v>822</v>
      </c>
      <c r="G4636" s="23" t="s">
        <v>902</v>
      </c>
      <c r="H4636" s="2" t="s">
        <v>822</v>
      </c>
      <c r="J4636" s="31">
        <v>44.606201200000001</v>
      </c>
      <c r="K4636" s="31">
        <v>-42.451099399999997</v>
      </c>
      <c r="L4636" s="31"/>
      <c r="M4636" s="31" t="s">
        <v>854</v>
      </c>
      <c r="N4636" s="6" t="s">
        <v>856</v>
      </c>
    </row>
    <row r="4637" spans="1:14" ht="15" customHeight="1" x14ac:dyDescent="0.2">
      <c r="A4637" s="31">
        <v>0.51788627507481599</v>
      </c>
      <c r="B4637" s="31"/>
      <c r="C4637" s="2" t="s">
        <v>855</v>
      </c>
      <c r="D4637" s="31">
        <f t="shared" si="152"/>
        <v>0.10150570991466394</v>
      </c>
      <c r="F4637" s="2" t="s">
        <v>822</v>
      </c>
      <c r="G4637" s="23" t="s">
        <v>902</v>
      </c>
      <c r="H4637" s="2" t="s">
        <v>822</v>
      </c>
      <c r="J4637" s="31">
        <v>45.411998699999998</v>
      </c>
      <c r="K4637" s="31">
        <v>-33.208000200000001</v>
      </c>
      <c r="L4637" s="31"/>
      <c r="M4637" s="31" t="s">
        <v>854</v>
      </c>
      <c r="N4637" s="6" t="s">
        <v>856</v>
      </c>
    </row>
    <row r="4638" spans="1:14" ht="15" customHeight="1" x14ac:dyDescent="0.2">
      <c r="A4638" s="31">
        <v>0.51777024402863758</v>
      </c>
      <c r="B4638" s="31"/>
      <c r="C4638" s="2" t="s">
        <v>855</v>
      </c>
      <c r="D4638" s="31">
        <f t="shared" si="152"/>
        <v>0.10148296782961297</v>
      </c>
      <c r="F4638" s="2" t="s">
        <v>822</v>
      </c>
      <c r="G4638" s="23" t="s">
        <v>902</v>
      </c>
      <c r="H4638" s="2" t="s">
        <v>822</v>
      </c>
      <c r="J4638" s="31">
        <v>56.830501599999998</v>
      </c>
      <c r="K4638" s="31">
        <v>5.3679699999999997</v>
      </c>
      <c r="L4638" s="31"/>
      <c r="M4638" s="31" t="s">
        <v>854</v>
      </c>
      <c r="N4638" s="6" t="s">
        <v>856</v>
      </c>
    </row>
    <row r="4639" spans="1:14" ht="15" customHeight="1" x14ac:dyDescent="0.2">
      <c r="A4639" s="31">
        <v>0.51752899481233294</v>
      </c>
      <c r="B4639" s="31"/>
      <c r="C4639" s="2" t="s">
        <v>855</v>
      </c>
      <c r="D4639" s="31">
        <f t="shared" si="152"/>
        <v>0.10143568298321726</v>
      </c>
      <c r="F4639" s="2" t="s">
        <v>822</v>
      </c>
      <c r="G4639" s="23" t="s">
        <v>902</v>
      </c>
      <c r="H4639" s="2" t="s">
        <v>822</v>
      </c>
      <c r="J4639" s="31">
        <v>49.419998200000002</v>
      </c>
      <c r="K4639" s="31">
        <v>-15.171999899999999</v>
      </c>
      <c r="L4639" s="31"/>
      <c r="M4639" s="31" t="s">
        <v>854</v>
      </c>
      <c r="N4639" s="6" t="s">
        <v>856</v>
      </c>
    </row>
    <row r="4640" spans="1:14" ht="15" customHeight="1" x14ac:dyDescent="0.2">
      <c r="A4640" s="31">
        <v>0.51749817389781116</v>
      </c>
      <c r="B4640" s="31"/>
      <c r="C4640" s="2" t="s">
        <v>855</v>
      </c>
      <c r="D4640" s="31">
        <f t="shared" si="152"/>
        <v>0.101429642083971</v>
      </c>
      <c r="F4640" s="2" t="s">
        <v>822</v>
      </c>
      <c r="G4640" s="23" t="s">
        <v>902</v>
      </c>
      <c r="H4640" s="2" t="s">
        <v>822</v>
      </c>
      <c r="J4640" s="31">
        <v>28.711999899999999</v>
      </c>
      <c r="K4640" s="31">
        <v>-39.888000499999997</v>
      </c>
      <c r="L4640" s="31"/>
      <c r="M4640" s="31" t="s">
        <v>854</v>
      </c>
      <c r="N4640" s="6" t="s">
        <v>856</v>
      </c>
    </row>
    <row r="4641" spans="1:14" ht="15" customHeight="1" x14ac:dyDescent="0.2">
      <c r="A4641" s="31">
        <v>0.51739771960229042</v>
      </c>
      <c r="B4641" s="31"/>
      <c r="C4641" s="2" t="s">
        <v>855</v>
      </c>
      <c r="D4641" s="31">
        <f t="shared" si="152"/>
        <v>0.10140995304204893</v>
      </c>
      <c r="F4641" s="2" t="s">
        <v>822</v>
      </c>
      <c r="G4641" s="23" t="s">
        <v>902</v>
      </c>
      <c r="H4641" s="2" t="s">
        <v>822</v>
      </c>
      <c r="J4641" s="31">
        <v>53.521701800000002</v>
      </c>
      <c r="K4641" s="31">
        <v>-15.267100299999999</v>
      </c>
      <c r="L4641" s="31"/>
      <c r="M4641" s="31" t="s">
        <v>854</v>
      </c>
      <c r="N4641" s="6" t="s">
        <v>856</v>
      </c>
    </row>
    <row r="4642" spans="1:14" ht="15" customHeight="1" x14ac:dyDescent="0.2">
      <c r="A4642" s="31">
        <v>0.51736369931265747</v>
      </c>
      <c r="B4642" s="31"/>
      <c r="C4642" s="2" t="s">
        <v>855</v>
      </c>
      <c r="D4642" s="31">
        <f t="shared" si="152"/>
        <v>0.10140328506528087</v>
      </c>
      <c r="F4642" s="2" t="s">
        <v>822</v>
      </c>
      <c r="G4642" s="23" t="s">
        <v>902</v>
      </c>
      <c r="H4642" s="2" t="s">
        <v>822</v>
      </c>
      <c r="J4642" s="31">
        <v>46.080001799999998</v>
      </c>
      <c r="K4642" s="31">
        <v>-25.1919994</v>
      </c>
      <c r="L4642" s="31"/>
      <c r="M4642" s="31" t="s">
        <v>854</v>
      </c>
      <c r="N4642" s="6" t="s">
        <v>856</v>
      </c>
    </row>
    <row r="4643" spans="1:14" ht="15" customHeight="1" x14ac:dyDescent="0.2">
      <c r="A4643" s="31">
        <v>0.51710979430318094</v>
      </c>
      <c r="B4643" s="31"/>
      <c r="C4643" s="2" t="s">
        <v>855</v>
      </c>
      <c r="D4643" s="31">
        <f t="shared" si="152"/>
        <v>0.10135351968342347</v>
      </c>
      <c r="F4643" s="2" t="s">
        <v>822</v>
      </c>
      <c r="G4643" s="23" t="s">
        <v>902</v>
      </c>
      <c r="H4643" s="2" t="s">
        <v>822</v>
      </c>
      <c r="J4643" s="31">
        <v>46.748001100000003</v>
      </c>
      <c r="K4643" s="31">
        <v>-31.8719997</v>
      </c>
      <c r="L4643" s="31"/>
      <c r="M4643" s="31" t="s">
        <v>854</v>
      </c>
      <c r="N4643" s="6" t="s">
        <v>856</v>
      </c>
    </row>
    <row r="4644" spans="1:14" ht="15" customHeight="1" x14ac:dyDescent="0.2">
      <c r="A4644" s="31">
        <v>0.51689274726227896</v>
      </c>
      <c r="B4644" s="31"/>
      <c r="C4644" s="2" t="s">
        <v>855</v>
      </c>
      <c r="D4644" s="31">
        <f t="shared" si="152"/>
        <v>0.10131097846340668</v>
      </c>
      <c r="F4644" s="2" t="s">
        <v>822</v>
      </c>
      <c r="G4644" s="23" t="s">
        <v>902</v>
      </c>
      <c r="H4644" s="2" t="s">
        <v>822</v>
      </c>
      <c r="J4644" s="31">
        <v>35.009700799999997</v>
      </c>
      <c r="K4644" s="31">
        <v>-16.6651001</v>
      </c>
      <c r="L4644" s="31"/>
      <c r="M4644" s="31" t="s">
        <v>854</v>
      </c>
      <c r="N4644" s="6" t="s">
        <v>856</v>
      </c>
    </row>
    <row r="4645" spans="1:14" ht="15" customHeight="1" x14ac:dyDescent="0.2">
      <c r="A4645" s="31">
        <v>0.51681758812473644</v>
      </c>
      <c r="B4645" s="31"/>
      <c r="C4645" s="2" t="s">
        <v>855</v>
      </c>
      <c r="D4645" s="31">
        <f t="shared" si="152"/>
        <v>0.10129624727244835</v>
      </c>
      <c r="F4645" s="2" t="s">
        <v>822</v>
      </c>
      <c r="G4645" s="23" t="s">
        <v>902</v>
      </c>
      <c r="H4645" s="2" t="s">
        <v>822</v>
      </c>
      <c r="J4645" s="31">
        <v>25.3719997</v>
      </c>
      <c r="K4645" s="31">
        <v>-35.212001800000003</v>
      </c>
      <c r="L4645" s="31"/>
      <c r="M4645" s="31" t="s">
        <v>854</v>
      </c>
      <c r="N4645" s="6" t="s">
        <v>856</v>
      </c>
    </row>
    <row r="4646" spans="1:14" ht="15" customHeight="1" x14ac:dyDescent="0.2">
      <c r="A4646" s="31">
        <v>0.51671778810807534</v>
      </c>
      <c r="B4646" s="31"/>
      <c r="C4646" s="2" t="s">
        <v>855</v>
      </c>
      <c r="D4646" s="31">
        <f t="shared" si="152"/>
        <v>0.10127668646918277</v>
      </c>
      <c r="F4646" s="2" t="s">
        <v>822</v>
      </c>
      <c r="G4646" s="23" t="s">
        <v>902</v>
      </c>
      <c r="H4646" s="2" t="s">
        <v>822</v>
      </c>
      <c r="J4646" s="31">
        <v>54.050399800000001</v>
      </c>
      <c r="K4646" s="31">
        <v>0.37027300000000002</v>
      </c>
      <c r="L4646" s="31"/>
      <c r="M4646" s="31" t="s">
        <v>854</v>
      </c>
      <c r="N4646" s="6" t="s">
        <v>856</v>
      </c>
    </row>
    <row r="4647" spans="1:14" ht="15" customHeight="1" x14ac:dyDescent="0.2">
      <c r="A4647" s="22">
        <v>0.10127149799462329</v>
      </c>
      <c r="B4647" s="22"/>
      <c r="C4647" s="2" t="s">
        <v>891</v>
      </c>
      <c r="D4647" s="2">
        <f>A4647</f>
        <v>0.10127149799462329</v>
      </c>
      <c r="F4647" s="2">
        <v>2023</v>
      </c>
      <c r="G4647" s="23" t="s">
        <v>902</v>
      </c>
      <c r="H4647" s="2" t="s">
        <v>771</v>
      </c>
      <c r="I4647" s="23" t="s">
        <v>189</v>
      </c>
      <c r="J4647" s="23">
        <v>58053885</v>
      </c>
      <c r="K4647" s="23">
        <v>11774904</v>
      </c>
      <c r="L4647" s="23" t="s">
        <v>819</v>
      </c>
      <c r="M4647" s="2" t="s">
        <v>825</v>
      </c>
      <c r="N4647" s="6" t="s">
        <v>828</v>
      </c>
    </row>
    <row r="4648" spans="1:14" ht="15" customHeight="1" x14ac:dyDescent="0.2">
      <c r="A4648" s="31">
        <v>0.51474534231867097</v>
      </c>
      <c r="B4648" s="31"/>
      <c r="C4648" s="2" t="s">
        <v>855</v>
      </c>
      <c r="D4648" s="31">
        <f t="shared" ref="D4648:D4674" si="153" xml:space="preserve"> A4648 * 0.196</f>
        <v>0.10089008709445951</v>
      </c>
      <c r="F4648" s="2" t="s">
        <v>822</v>
      </c>
      <c r="G4648" s="23" t="s">
        <v>902</v>
      </c>
      <c r="H4648" s="2" t="s">
        <v>822</v>
      </c>
      <c r="J4648" s="31">
        <v>31.730499300000002</v>
      </c>
      <c r="K4648" s="31">
        <v>-27.6294003</v>
      </c>
      <c r="L4648" s="31"/>
      <c r="M4648" s="31" t="s">
        <v>854</v>
      </c>
      <c r="N4648" s="6" t="s">
        <v>856</v>
      </c>
    </row>
    <row r="4649" spans="1:14" ht="15" customHeight="1" x14ac:dyDescent="0.2">
      <c r="A4649" s="31">
        <v>0.51449842052004513</v>
      </c>
      <c r="B4649" s="31"/>
      <c r="C4649" s="2" t="s">
        <v>855</v>
      </c>
      <c r="D4649" s="31">
        <f t="shared" si="153"/>
        <v>0.10084169042192885</v>
      </c>
      <c r="F4649" s="2" t="s">
        <v>822</v>
      </c>
      <c r="G4649" s="23" t="s">
        <v>902</v>
      </c>
      <c r="H4649" s="2" t="s">
        <v>822</v>
      </c>
      <c r="J4649" s="31">
        <v>55.830501599999998</v>
      </c>
      <c r="K4649" s="31">
        <v>-7.6376499999999998</v>
      </c>
      <c r="L4649" s="31"/>
      <c r="M4649" s="31" t="s">
        <v>854</v>
      </c>
      <c r="N4649" s="6" t="s">
        <v>856</v>
      </c>
    </row>
    <row r="4650" spans="1:14" ht="15" customHeight="1" x14ac:dyDescent="0.2">
      <c r="A4650" s="31">
        <v>0.51442204549104742</v>
      </c>
      <c r="B4650" s="31"/>
      <c r="C4650" s="2" t="s">
        <v>855</v>
      </c>
      <c r="D4650" s="31">
        <f t="shared" si="153"/>
        <v>0.1008267209162453</v>
      </c>
      <c r="F4650" s="2" t="s">
        <v>822</v>
      </c>
      <c r="G4650" s="23" t="s">
        <v>902</v>
      </c>
      <c r="H4650" s="2" t="s">
        <v>822</v>
      </c>
      <c r="J4650" s="31">
        <v>55.547901199999998</v>
      </c>
      <c r="K4650" s="31">
        <v>-1.5971599999999999</v>
      </c>
      <c r="L4650" s="31"/>
      <c r="M4650" s="31" t="s">
        <v>854</v>
      </c>
      <c r="N4650" s="6" t="s">
        <v>856</v>
      </c>
    </row>
    <row r="4651" spans="1:14" ht="15" customHeight="1" x14ac:dyDescent="0.2">
      <c r="A4651" s="31">
        <v>0.51438670503794925</v>
      </c>
      <c r="B4651" s="31"/>
      <c r="C4651" s="2" t="s">
        <v>855</v>
      </c>
      <c r="D4651" s="31">
        <f t="shared" si="153"/>
        <v>0.10081979418743806</v>
      </c>
      <c r="F4651" s="2" t="s">
        <v>822</v>
      </c>
      <c r="G4651" s="23" t="s">
        <v>902</v>
      </c>
      <c r="H4651" s="2" t="s">
        <v>822</v>
      </c>
      <c r="J4651" s="31">
        <v>55.969898200000003</v>
      </c>
      <c r="K4651" s="31">
        <v>5.0429801999999997</v>
      </c>
      <c r="L4651" s="31"/>
      <c r="M4651" s="31" t="s">
        <v>854</v>
      </c>
      <c r="N4651" s="6" t="s">
        <v>856</v>
      </c>
    </row>
    <row r="4652" spans="1:14" ht="15" customHeight="1" x14ac:dyDescent="0.2">
      <c r="A4652" s="31">
        <v>0.51392688778876383</v>
      </c>
      <c r="B4652" s="31"/>
      <c r="C4652" s="2" t="s">
        <v>855</v>
      </c>
      <c r="D4652" s="31">
        <f t="shared" si="153"/>
        <v>0.10072967000659772</v>
      </c>
      <c r="F4652" s="2" t="s">
        <v>822</v>
      </c>
      <c r="G4652" s="23" t="s">
        <v>902</v>
      </c>
      <c r="H4652" s="2" t="s">
        <v>822</v>
      </c>
      <c r="J4652" s="31">
        <v>40.918498999999997</v>
      </c>
      <c r="K4652" s="31">
        <v>-41.901901199999998</v>
      </c>
      <c r="L4652" s="31"/>
      <c r="M4652" s="31" t="s">
        <v>854</v>
      </c>
      <c r="N4652" s="6" t="s">
        <v>856</v>
      </c>
    </row>
    <row r="4653" spans="1:14" ht="15" customHeight="1" x14ac:dyDescent="0.2">
      <c r="A4653" s="31">
        <v>0.51390349109131161</v>
      </c>
      <c r="B4653" s="31"/>
      <c r="C4653" s="2" t="s">
        <v>855</v>
      </c>
      <c r="D4653" s="31">
        <f t="shared" si="153"/>
        <v>0.10072508425389708</v>
      </c>
      <c r="F4653" s="2" t="s">
        <v>822</v>
      </c>
      <c r="G4653" s="23" t="s">
        <v>902</v>
      </c>
      <c r="H4653" s="2" t="s">
        <v>822</v>
      </c>
      <c r="J4653" s="31">
        <v>49.362400100000002</v>
      </c>
      <c r="K4653" s="31">
        <v>-27.1238995</v>
      </c>
      <c r="L4653" s="31"/>
      <c r="M4653" s="31" t="s">
        <v>854</v>
      </c>
      <c r="N4653" s="6" t="s">
        <v>856</v>
      </c>
    </row>
    <row r="4654" spans="1:14" ht="15" customHeight="1" x14ac:dyDescent="0.2">
      <c r="A4654" s="31">
        <v>0.51340093572234446</v>
      </c>
      <c r="B4654" s="31"/>
      <c r="C4654" s="2" t="s">
        <v>855</v>
      </c>
      <c r="D4654" s="31">
        <f t="shared" si="153"/>
        <v>0.10062658340157953</v>
      </c>
      <c r="F4654" s="2" t="s">
        <v>822</v>
      </c>
      <c r="G4654" s="23" t="s">
        <v>902</v>
      </c>
      <c r="H4654" s="2" t="s">
        <v>822</v>
      </c>
      <c r="J4654" s="31">
        <v>51.488899199999999</v>
      </c>
      <c r="K4654" s="31">
        <v>0.47426299999999999</v>
      </c>
      <c r="L4654" s="31"/>
      <c r="M4654" s="31" t="s">
        <v>854</v>
      </c>
      <c r="N4654" s="6" t="s">
        <v>856</v>
      </c>
    </row>
    <row r="4655" spans="1:14" ht="15" customHeight="1" x14ac:dyDescent="0.2">
      <c r="A4655" s="31">
        <v>0.51339836299098818</v>
      </c>
      <c r="B4655" s="31"/>
      <c r="C4655" s="2" t="s">
        <v>855</v>
      </c>
      <c r="D4655" s="31">
        <f t="shared" si="153"/>
        <v>0.10062607914623369</v>
      </c>
      <c r="F4655" s="2" t="s">
        <v>822</v>
      </c>
      <c r="G4655" s="23" t="s">
        <v>902</v>
      </c>
      <c r="H4655" s="2" t="s">
        <v>822</v>
      </c>
      <c r="J4655" s="31">
        <v>56.099399599999998</v>
      </c>
      <c r="K4655" s="31">
        <v>-13.835399600000001</v>
      </c>
      <c r="L4655" s="31"/>
      <c r="M4655" s="31" t="s">
        <v>854</v>
      </c>
      <c r="N4655" s="6" t="s">
        <v>856</v>
      </c>
    </row>
    <row r="4656" spans="1:14" ht="15" customHeight="1" x14ac:dyDescent="0.2">
      <c r="A4656" s="31">
        <v>0.51323865537380053</v>
      </c>
      <c r="B4656" s="31"/>
      <c r="C4656" s="2" t="s">
        <v>855</v>
      </c>
      <c r="D4656" s="31">
        <f t="shared" si="153"/>
        <v>0.10059477645326491</v>
      </c>
      <c r="F4656" s="2" t="s">
        <v>822</v>
      </c>
      <c r="G4656" s="23" t="s">
        <v>902</v>
      </c>
      <c r="H4656" s="2" t="s">
        <v>822</v>
      </c>
      <c r="J4656" s="31">
        <v>50.088100400000002</v>
      </c>
      <c r="K4656" s="31">
        <v>-28.552999499999999</v>
      </c>
      <c r="L4656" s="31"/>
      <c r="M4656" s="31" t="s">
        <v>854</v>
      </c>
      <c r="N4656" s="6" t="s">
        <v>856</v>
      </c>
    </row>
    <row r="4657" spans="1:14" ht="15" customHeight="1" x14ac:dyDescent="0.2">
      <c r="A4657" s="31">
        <v>0.51296623588939561</v>
      </c>
      <c r="B4657" s="31"/>
      <c r="C4657" s="2" t="s">
        <v>855</v>
      </c>
      <c r="D4657" s="31">
        <f t="shared" si="153"/>
        <v>0.10054138223432155</v>
      </c>
      <c r="F4657" s="2" t="s">
        <v>822</v>
      </c>
      <c r="G4657" s="23" t="s">
        <v>902</v>
      </c>
      <c r="H4657" s="2" t="s">
        <v>822</v>
      </c>
      <c r="J4657" s="31">
        <v>36.739799499999997</v>
      </c>
      <c r="K4657" s="31">
        <v>-28.541599300000001</v>
      </c>
      <c r="L4657" s="31"/>
      <c r="M4657" s="31" t="s">
        <v>854</v>
      </c>
      <c r="N4657" s="6" t="s">
        <v>856</v>
      </c>
    </row>
    <row r="4658" spans="1:14" ht="15" customHeight="1" x14ac:dyDescent="0.2">
      <c r="A4658" s="31">
        <v>0.51296314189972614</v>
      </c>
      <c r="B4658" s="31"/>
      <c r="C4658" s="2" t="s">
        <v>855</v>
      </c>
      <c r="D4658" s="31">
        <f t="shared" si="153"/>
        <v>0.10054077581234633</v>
      </c>
      <c r="F4658" s="2" t="s">
        <v>822</v>
      </c>
      <c r="G4658" s="23" t="s">
        <v>902</v>
      </c>
      <c r="H4658" s="2" t="s">
        <v>822</v>
      </c>
      <c r="J4658" s="31">
        <v>54.524200399999998</v>
      </c>
      <c r="K4658" s="31">
        <v>10.6483002</v>
      </c>
      <c r="L4658" s="31"/>
      <c r="M4658" s="31" t="s">
        <v>854</v>
      </c>
      <c r="N4658" s="6" t="s">
        <v>856</v>
      </c>
    </row>
    <row r="4659" spans="1:14" ht="15" customHeight="1" x14ac:dyDescent="0.2">
      <c r="A4659" s="31">
        <v>0.51274584426451919</v>
      </c>
      <c r="B4659" s="31"/>
      <c r="C4659" s="2" t="s">
        <v>855</v>
      </c>
      <c r="D4659" s="31">
        <f t="shared" si="153"/>
        <v>0.10049818547584577</v>
      </c>
      <c r="F4659" s="2" t="s">
        <v>822</v>
      </c>
      <c r="G4659" s="23" t="s">
        <v>902</v>
      </c>
      <c r="H4659" s="2" t="s">
        <v>822</v>
      </c>
      <c r="J4659" s="31">
        <v>48.760898599999997</v>
      </c>
      <c r="K4659" s="31">
        <v>-35.2145996</v>
      </c>
      <c r="L4659" s="31"/>
      <c r="M4659" s="31" t="s">
        <v>854</v>
      </c>
      <c r="N4659" s="6" t="s">
        <v>856</v>
      </c>
    </row>
    <row r="4660" spans="1:14" ht="15" customHeight="1" x14ac:dyDescent="0.2">
      <c r="A4660" s="31">
        <v>0.5124996174705444</v>
      </c>
      <c r="B4660" s="31"/>
      <c r="C4660" s="2" t="s">
        <v>855</v>
      </c>
      <c r="D4660" s="31">
        <f t="shared" si="153"/>
        <v>0.1004499250242267</v>
      </c>
      <c r="F4660" s="2" t="s">
        <v>822</v>
      </c>
      <c r="G4660" s="23" t="s">
        <v>902</v>
      </c>
      <c r="H4660" s="2" t="s">
        <v>822</v>
      </c>
      <c r="J4660" s="31">
        <v>55.880001100000001</v>
      </c>
      <c r="K4660" s="31">
        <v>-1.55999</v>
      </c>
      <c r="L4660" s="31"/>
      <c r="M4660" s="31" t="s">
        <v>854</v>
      </c>
      <c r="N4660" s="6" t="s">
        <v>856</v>
      </c>
    </row>
    <row r="4661" spans="1:14" ht="15" customHeight="1" x14ac:dyDescent="0.2">
      <c r="A4661" s="31">
        <v>0.51191668291692261</v>
      </c>
      <c r="B4661" s="31"/>
      <c r="C4661" s="2" t="s">
        <v>855</v>
      </c>
      <c r="D4661" s="31">
        <f t="shared" si="153"/>
        <v>0.10033566985171684</v>
      </c>
      <c r="F4661" s="2" t="s">
        <v>822</v>
      </c>
      <c r="G4661" s="23" t="s">
        <v>902</v>
      </c>
      <c r="H4661" s="2" t="s">
        <v>822</v>
      </c>
      <c r="J4661" s="31">
        <v>57.711799599999999</v>
      </c>
      <c r="K4661" s="31">
        <v>-5.9699201999999998</v>
      </c>
      <c r="L4661" s="31"/>
      <c r="M4661" s="31" t="s">
        <v>854</v>
      </c>
      <c r="N4661" s="6" t="s">
        <v>856</v>
      </c>
    </row>
    <row r="4662" spans="1:14" ht="15" customHeight="1" x14ac:dyDescent="0.2">
      <c r="A4662" s="31">
        <v>0.51188646850054464</v>
      </c>
      <c r="B4662" s="31"/>
      <c r="C4662" s="2" t="s">
        <v>855</v>
      </c>
      <c r="D4662" s="31">
        <f t="shared" si="153"/>
        <v>0.10032974782610675</v>
      </c>
      <c r="F4662" s="2" t="s">
        <v>822</v>
      </c>
      <c r="G4662" s="23" t="s">
        <v>902</v>
      </c>
      <c r="H4662" s="2" t="s">
        <v>822</v>
      </c>
      <c r="J4662" s="31">
        <v>48.083999599999999</v>
      </c>
      <c r="K4662" s="31">
        <v>-31.8719997</v>
      </c>
      <c r="L4662" s="31"/>
      <c r="M4662" s="31" t="s">
        <v>854</v>
      </c>
      <c r="N4662" s="6" t="s">
        <v>856</v>
      </c>
    </row>
    <row r="4663" spans="1:14" ht="15" customHeight="1" x14ac:dyDescent="0.2">
      <c r="A4663" s="31">
        <v>0.51186389326632986</v>
      </c>
      <c r="B4663" s="31"/>
      <c r="C4663" s="2" t="s">
        <v>855</v>
      </c>
      <c r="D4663" s="31">
        <f t="shared" si="153"/>
        <v>0.10032532308020066</v>
      </c>
      <c r="F4663" s="2" t="s">
        <v>822</v>
      </c>
      <c r="G4663" s="23" t="s">
        <v>902</v>
      </c>
      <c r="H4663" s="2" t="s">
        <v>822</v>
      </c>
      <c r="J4663" s="31">
        <v>54.607601199999998</v>
      </c>
      <c r="K4663" s="31">
        <v>-0.53543499999999999</v>
      </c>
      <c r="L4663" s="31"/>
      <c r="M4663" s="31" t="s">
        <v>854</v>
      </c>
      <c r="N4663" s="6" t="s">
        <v>856</v>
      </c>
    </row>
    <row r="4664" spans="1:14" ht="15" customHeight="1" x14ac:dyDescent="0.2">
      <c r="A4664" s="31">
        <v>0.51171104606828632</v>
      </c>
      <c r="B4664" s="31"/>
      <c r="C4664" s="2" t="s">
        <v>855</v>
      </c>
      <c r="D4664" s="31">
        <f t="shared" si="153"/>
        <v>0.10029536502938412</v>
      </c>
      <c r="F4664" s="2" t="s">
        <v>822</v>
      </c>
      <c r="G4664" s="23" t="s">
        <v>902</v>
      </c>
      <c r="H4664" s="2" t="s">
        <v>822</v>
      </c>
      <c r="J4664" s="31">
        <v>34.707199099999997</v>
      </c>
      <c r="K4664" s="31">
        <v>28.277000399999999</v>
      </c>
      <c r="L4664" s="31"/>
      <c r="M4664" s="31" t="s">
        <v>854</v>
      </c>
      <c r="N4664" s="6" t="s">
        <v>856</v>
      </c>
    </row>
    <row r="4665" spans="1:14" ht="15" customHeight="1" x14ac:dyDescent="0.2">
      <c r="A4665" s="31">
        <v>0.51166236267260257</v>
      </c>
      <c r="B4665" s="31"/>
      <c r="C4665" s="2" t="s">
        <v>855</v>
      </c>
      <c r="D4665" s="31">
        <f t="shared" si="153"/>
        <v>0.10028582308383011</v>
      </c>
      <c r="F4665" s="2" t="s">
        <v>822</v>
      </c>
      <c r="G4665" s="23" t="s">
        <v>902</v>
      </c>
      <c r="H4665" s="2" t="s">
        <v>822</v>
      </c>
      <c r="J4665" s="31">
        <v>33.276699100000002</v>
      </c>
      <c r="K4665" s="31">
        <v>-25.414699599999999</v>
      </c>
      <c r="L4665" s="31"/>
      <c r="M4665" s="31" t="s">
        <v>854</v>
      </c>
      <c r="N4665" s="6" t="s">
        <v>856</v>
      </c>
    </row>
    <row r="4666" spans="1:14" ht="15" customHeight="1" x14ac:dyDescent="0.2">
      <c r="A4666" s="31">
        <v>0.51160863876380114</v>
      </c>
      <c r="B4666" s="31"/>
      <c r="C4666" s="2" t="s">
        <v>855</v>
      </c>
      <c r="D4666" s="31">
        <f t="shared" si="153"/>
        <v>0.10027529319770502</v>
      </c>
      <c r="F4666" s="2" t="s">
        <v>822</v>
      </c>
      <c r="G4666" s="23" t="s">
        <v>902</v>
      </c>
      <c r="H4666" s="2" t="s">
        <v>822</v>
      </c>
      <c r="J4666" s="31">
        <v>57.721099899999999</v>
      </c>
      <c r="K4666" s="31">
        <v>-2.4668000000000001</v>
      </c>
      <c r="L4666" s="31"/>
      <c r="M4666" s="31" t="s">
        <v>854</v>
      </c>
      <c r="N4666" s="6" t="s">
        <v>856</v>
      </c>
    </row>
    <row r="4667" spans="1:14" ht="15" customHeight="1" x14ac:dyDescent="0.2">
      <c r="A4667" s="31">
        <v>0.5113327814571148</v>
      </c>
      <c r="B4667" s="31"/>
      <c r="C4667" s="2" t="s">
        <v>855</v>
      </c>
      <c r="D4667" s="31">
        <f t="shared" si="153"/>
        <v>0.10022122516559451</v>
      </c>
      <c r="F4667" s="2" t="s">
        <v>822</v>
      </c>
      <c r="G4667" s="23" t="s">
        <v>902</v>
      </c>
      <c r="H4667" s="2" t="s">
        <v>822</v>
      </c>
      <c r="J4667" s="31">
        <v>34.037300100000003</v>
      </c>
      <c r="K4667" s="31">
        <v>-33.193901099999998</v>
      </c>
      <c r="L4667" s="31"/>
      <c r="M4667" s="31" t="s">
        <v>854</v>
      </c>
      <c r="N4667" s="6" t="s">
        <v>856</v>
      </c>
    </row>
    <row r="4668" spans="1:14" ht="15" customHeight="1" x14ac:dyDescent="0.2">
      <c r="A4668" s="31">
        <v>0.51128523360508504</v>
      </c>
      <c r="B4668" s="31"/>
      <c r="C4668" s="2" t="s">
        <v>855</v>
      </c>
      <c r="D4668" s="31">
        <f t="shared" si="153"/>
        <v>0.10021190578659667</v>
      </c>
      <c r="F4668" s="2" t="s">
        <v>822</v>
      </c>
      <c r="G4668" s="23" t="s">
        <v>902</v>
      </c>
      <c r="H4668" s="2" t="s">
        <v>822</v>
      </c>
      <c r="J4668" s="31">
        <v>48.083999599999999</v>
      </c>
      <c r="K4668" s="31">
        <v>-35.880001100000001</v>
      </c>
      <c r="L4668" s="31"/>
      <c r="M4668" s="31" t="s">
        <v>854</v>
      </c>
      <c r="N4668" s="6" t="s">
        <v>856</v>
      </c>
    </row>
    <row r="4669" spans="1:14" ht="15" customHeight="1" x14ac:dyDescent="0.2">
      <c r="A4669" s="31">
        <v>0.51125559565689316</v>
      </c>
      <c r="B4669" s="31"/>
      <c r="C4669" s="2" t="s">
        <v>855</v>
      </c>
      <c r="D4669" s="31">
        <f t="shared" si="153"/>
        <v>0.10020609674875107</v>
      </c>
      <c r="F4669" s="2" t="s">
        <v>822</v>
      </c>
      <c r="G4669" s="23" t="s">
        <v>902</v>
      </c>
      <c r="H4669" s="2" t="s">
        <v>822</v>
      </c>
      <c r="J4669" s="31">
        <v>50.144001000000003</v>
      </c>
      <c r="K4669" s="31">
        <v>-13.215200400000001</v>
      </c>
      <c r="L4669" s="31"/>
      <c r="M4669" s="31" t="s">
        <v>854</v>
      </c>
      <c r="N4669" s="6" t="s">
        <v>856</v>
      </c>
    </row>
    <row r="4670" spans="1:14" ht="15" customHeight="1" x14ac:dyDescent="0.2">
      <c r="A4670" s="31">
        <v>0.51076168865572402</v>
      </c>
      <c r="B4670" s="31"/>
      <c r="C4670" s="2" t="s">
        <v>855</v>
      </c>
      <c r="D4670" s="31">
        <f t="shared" si="153"/>
        <v>0.10010929097652191</v>
      </c>
      <c r="F4670" s="2" t="s">
        <v>822</v>
      </c>
      <c r="G4670" s="23" t="s">
        <v>902</v>
      </c>
      <c r="H4670" s="2" t="s">
        <v>822</v>
      </c>
      <c r="J4670" s="31">
        <v>52.091999100000002</v>
      </c>
      <c r="K4670" s="31">
        <v>-23.187999699999999</v>
      </c>
      <c r="L4670" s="31"/>
      <c r="M4670" s="31" t="s">
        <v>854</v>
      </c>
      <c r="N4670" s="6" t="s">
        <v>856</v>
      </c>
    </row>
    <row r="4671" spans="1:14" ht="15" customHeight="1" x14ac:dyDescent="0.2">
      <c r="A4671" s="31">
        <v>0.51071391438587421</v>
      </c>
      <c r="B4671" s="31"/>
      <c r="C4671" s="2" t="s">
        <v>855</v>
      </c>
      <c r="D4671" s="31">
        <f t="shared" si="153"/>
        <v>0.10009992721963135</v>
      </c>
      <c r="F4671" s="2" t="s">
        <v>822</v>
      </c>
      <c r="G4671" s="23" t="s">
        <v>902</v>
      </c>
      <c r="H4671" s="2" t="s">
        <v>822</v>
      </c>
      <c r="J4671" s="31">
        <v>36.413799300000001</v>
      </c>
      <c r="K4671" s="31">
        <v>-8.7601995000000006</v>
      </c>
      <c r="L4671" s="31"/>
      <c r="M4671" s="31" t="s">
        <v>854</v>
      </c>
      <c r="N4671" s="6" t="s">
        <v>856</v>
      </c>
    </row>
    <row r="4672" spans="1:14" ht="15" customHeight="1" x14ac:dyDescent="0.2">
      <c r="A4672" s="31">
        <v>0.51064894299730146</v>
      </c>
      <c r="B4672" s="31"/>
      <c r="C4672" s="2" t="s">
        <v>855</v>
      </c>
      <c r="D4672" s="31">
        <f t="shared" si="153"/>
        <v>0.10008719282747108</v>
      </c>
      <c r="F4672" s="2" t="s">
        <v>822</v>
      </c>
      <c r="G4672" s="23" t="s">
        <v>902</v>
      </c>
      <c r="H4672" s="2" t="s">
        <v>822</v>
      </c>
      <c r="J4672" s="31">
        <v>53.518901800000002</v>
      </c>
      <c r="K4672" s="31">
        <v>0.30993999999999999</v>
      </c>
      <c r="L4672" s="31"/>
      <c r="M4672" s="31" t="s">
        <v>854</v>
      </c>
      <c r="N4672" s="6" t="s">
        <v>856</v>
      </c>
    </row>
    <row r="4673" spans="1:14" ht="15" customHeight="1" x14ac:dyDescent="0.2">
      <c r="A4673" s="31">
        <v>0.51062808448758235</v>
      </c>
      <c r="B4673" s="31"/>
      <c r="C4673" s="2" t="s">
        <v>855</v>
      </c>
      <c r="D4673" s="31">
        <f t="shared" si="153"/>
        <v>0.10008310455956615</v>
      </c>
      <c r="F4673" s="2" t="s">
        <v>822</v>
      </c>
      <c r="G4673" s="23" t="s">
        <v>902</v>
      </c>
      <c r="H4673" s="2" t="s">
        <v>822</v>
      </c>
      <c r="J4673" s="31">
        <v>54.103900899999999</v>
      </c>
      <c r="K4673" s="31">
        <v>-3.8095500000000002</v>
      </c>
      <c r="L4673" s="31"/>
      <c r="M4673" s="31" t="s">
        <v>854</v>
      </c>
      <c r="N4673" s="6" t="s">
        <v>856</v>
      </c>
    </row>
    <row r="4674" spans="1:14" ht="15" customHeight="1" x14ac:dyDescent="0.2">
      <c r="A4674" s="31">
        <v>0.51043943806121039</v>
      </c>
      <c r="B4674" s="31"/>
      <c r="C4674" s="2" t="s">
        <v>855</v>
      </c>
      <c r="D4674" s="31">
        <f t="shared" si="153"/>
        <v>0.10004612985999724</v>
      </c>
      <c r="F4674" s="2" t="s">
        <v>822</v>
      </c>
      <c r="G4674" s="23" t="s">
        <v>902</v>
      </c>
      <c r="H4674" s="2" t="s">
        <v>822</v>
      </c>
      <c r="J4674" s="31">
        <v>33.397201500000001</v>
      </c>
      <c r="K4674" s="31">
        <v>-27.818199199999999</v>
      </c>
      <c r="L4674" s="31"/>
      <c r="M4674" s="31" t="s">
        <v>854</v>
      </c>
      <c r="N4674" s="6" t="s">
        <v>856</v>
      </c>
    </row>
    <row r="4675" spans="1:14" ht="15" customHeight="1" x14ac:dyDescent="0.2">
      <c r="A4675" s="2">
        <v>0.1</v>
      </c>
      <c r="B4675" s="2">
        <v>0.1</v>
      </c>
      <c r="C4675" s="2" t="s">
        <v>891</v>
      </c>
      <c r="D4675" s="2">
        <f>A4675</f>
        <v>0.1</v>
      </c>
      <c r="E4675" s="2">
        <f>B4675</f>
        <v>0.1</v>
      </c>
      <c r="F4675" s="2">
        <v>2017</v>
      </c>
      <c r="G4675" s="2" t="s">
        <v>902</v>
      </c>
      <c r="H4675" s="2" t="s">
        <v>80</v>
      </c>
      <c r="I4675" s="2" t="s">
        <v>81</v>
      </c>
      <c r="J4675" s="2">
        <v>37.137081000000002</v>
      </c>
      <c r="K4675" s="2">
        <v>-6.8551529999999996</v>
      </c>
      <c r="L4675" s="2" t="s">
        <v>82</v>
      </c>
      <c r="N4675" s="9" t="s">
        <v>77</v>
      </c>
    </row>
    <row r="4676" spans="1:14" ht="15" customHeight="1" x14ac:dyDescent="0.2">
      <c r="A4676" s="31">
        <v>0.50997708949162013</v>
      </c>
      <c r="B4676" s="31"/>
      <c r="C4676" s="2" t="s">
        <v>855</v>
      </c>
      <c r="D4676" s="31">
        <f t="shared" ref="D4676:D4707" si="154" xml:space="preserve"> A4676 * 0.196</f>
        <v>9.9955509540357548E-2</v>
      </c>
      <c r="F4676" s="2" t="s">
        <v>822</v>
      </c>
      <c r="G4676" s="23" t="s">
        <v>902</v>
      </c>
      <c r="H4676" s="2" t="s">
        <v>822</v>
      </c>
      <c r="J4676" s="31">
        <v>38.1543007</v>
      </c>
      <c r="K4676" s="31">
        <v>-31.174999199999998</v>
      </c>
      <c r="L4676" s="31"/>
      <c r="M4676" s="31" t="s">
        <v>854</v>
      </c>
      <c r="N4676" s="6" t="s">
        <v>856</v>
      </c>
    </row>
    <row r="4677" spans="1:14" ht="15" customHeight="1" x14ac:dyDescent="0.2">
      <c r="A4677" s="31">
        <v>0.50977274612949908</v>
      </c>
      <c r="B4677" s="31"/>
      <c r="C4677" s="2" t="s">
        <v>855</v>
      </c>
      <c r="D4677" s="31">
        <f t="shared" si="154"/>
        <v>9.991545824138183E-2</v>
      </c>
      <c r="F4677" s="2" t="s">
        <v>822</v>
      </c>
      <c r="G4677" s="23" t="s">
        <v>902</v>
      </c>
      <c r="H4677" s="2" t="s">
        <v>822</v>
      </c>
      <c r="J4677" s="31">
        <v>40.402400999999998</v>
      </c>
      <c r="K4677" s="31">
        <v>22.736600899999999</v>
      </c>
      <c r="L4677" s="31"/>
      <c r="M4677" s="31" t="s">
        <v>854</v>
      </c>
      <c r="N4677" s="6" t="s">
        <v>856</v>
      </c>
    </row>
    <row r="4678" spans="1:14" ht="15" customHeight="1" x14ac:dyDescent="0.2">
      <c r="A4678" s="31">
        <v>0.50973022697666381</v>
      </c>
      <c r="B4678" s="31"/>
      <c r="C4678" s="2" t="s">
        <v>855</v>
      </c>
      <c r="D4678" s="31">
        <f t="shared" si="154"/>
        <v>9.9907124487426113E-2</v>
      </c>
      <c r="F4678" s="2" t="s">
        <v>822</v>
      </c>
      <c r="G4678" s="23" t="s">
        <v>902</v>
      </c>
      <c r="H4678" s="2" t="s">
        <v>822</v>
      </c>
      <c r="J4678" s="31">
        <v>40.0680008</v>
      </c>
      <c r="K4678" s="31">
        <v>-10.8802004</v>
      </c>
      <c r="L4678" s="31"/>
      <c r="M4678" s="31" t="s">
        <v>854</v>
      </c>
      <c r="N4678" s="6" t="s">
        <v>856</v>
      </c>
    </row>
    <row r="4679" spans="1:14" ht="15" customHeight="1" x14ac:dyDescent="0.2">
      <c r="A4679" s="31">
        <v>0.50957785302895908</v>
      </c>
      <c r="B4679" s="31"/>
      <c r="C4679" s="2" t="s">
        <v>855</v>
      </c>
      <c r="D4679" s="31">
        <f t="shared" si="154"/>
        <v>9.9877259193675988E-2</v>
      </c>
      <c r="F4679" s="2" t="s">
        <v>822</v>
      </c>
      <c r="G4679" s="23" t="s">
        <v>902</v>
      </c>
      <c r="H4679" s="2" t="s">
        <v>822</v>
      </c>
      <c r="J4679" s="31">
        <v>48.719600700000001</v>
      </c>
      <c r="K4679" s="31">
        <v>-13.211799600000001</v>
      </c>
      <c r="L4679" s="31"/>
      <c r="M4679" s="31" t="s">
        <v>854</v>
      </c>
      <c r="N4679" s="6" t="s">
        <v>856</v>
      </c>
    </row>
    <row r="4680" spans="1:14" ht="15" customHeight="1" x14ac:dyDescent="0.2">
      <c r="A4680" s="31">
        <v>0.50950662160769022</v>
      </c>
      <c r="B4680" s="31"/>
      <c r="C4680" s="2" t="s">
        <v>855</v>
      </c>
      <c r="D4680" s="31">
        <f t="shared" si="154"/>
        <v>9.9863297835107293E-2</v>
      </c>
      <c r="F4680" s="2" t="s">
        <v>822</v>
      </c>
      <c r="G4680" s="23" t="s">
        <v>902</v>
      </c>
      <c r="H4680" s="2" t="s">
        <v>822</v>
      </c>
      <c r="J4680" s="31">
        <v>53.614299799999998</v>
      </c>
      <c r="K4680" s="31">
        <v>-6.1902999999999997</v>
      </c>
      <c r="L4680" s="31"/>
      <c r="M4680" s="31" t="s">
        <v>854</v>
      </c>
      <c r="N4680" s="6" t="s">
        <v>856</v>
      </c>
    </row>
    <row r="4681" spans="1:14" ht="15" customHeight="1" x14ac:dyDescent="0.2">
      <c r="A4681" s="31">
        <v>0.50923087892243513</v>
      </c>
      <c r="B4681" s="31"/>
      <c r="C4681" s="2" t="s">
        <v>855</v>
      </c>
      <c r="D4681" s="31">
        <f t="shared" si="154"/>
        <v>9.9809252268797291E-2</v>
      </c>
      <c r="F4681" s="2" t="s">
        <v>822</v>
      </c>
      <c r="G4681" s="23" t="s">
        <v>902</v>
      </c>
      <c r="H4681" s="2" t="s">
        <v>822</v>
      </c>
      <c r="J4681" s="31">
        <v>40.322200799999997</v>
      </c>
      <c r="K4681" s="31">
        <v>16.897499100000001</v>
      </c>
      <c r="L4681" s="31"/>
      <c r="M4681" s="31" t="s">
        <v>854</v>
      </c>
      <c r="N4681" s="6" t="s">
        <v>856</v>
      </c>
    </row>
    <row r="4682" spans="1:14" ht="15" customHeight="1" x14ac:dyDescent="0.2">
      <c r="A4682" s="31">
        <v>0.5091930275356561</v>
      </c>
      <c r="B4682" s="31"/>
      <c r="C4682" s="2" t="s">
        <v>855</v>
      </c>
      <c r="D4682" s="31">
        <f t="shared" si="154"/>
        <v>9.9801833396988601E-2</v>
      </c>
      <c r="F4682" s="2" t="s">
        <v>822</v>
      </c>
      <c r="G4682" s="23" t="s">
        <v>902</v>
      </c>
      <c r="H4682" s="2" t="s">
        <v>822</v>
      </c>
      <c r="J4682" s="31">
        <v>53.331600199999997</v>
      </c>
      <c r="K4682" s="31">
        <v>-5.6884297999999998</v>
      </c>
      <c r="L4682" s="31"/>
      <c r="M4682" s="31" t="s">
        <v>854</v>
      </c>
      <c r="N4682" s="6" t="s">
        <v>856</v>
      </c>
    </row>
    <row r="4683" spans="1:14" ht="15" customHeight="1" x14ac:dyDescent="0.2">
      <c r="A4683" s="31">
        <v>0.50904101748404484</v>
      </c>
      <c r="B4683" s="31"/>
      <c r="C4683" s="2" t="s">
        <v>855</v>
      </c>
      <c r="D4683" s="31">
        <f t="shared" si="154"/>
        <v>9.9772039426872794E-2</v>
      </c>
      <c r="F4683" s="2" t="s">
        <v>822</v>
      </c>
      <c r="G4683" s="23" t="s">
        <v>902</v>
      </c>
      <c r="H4683" s="2" t="s">
        <v>822</v>
      </c>
      <c r="J4683" s="31">
        <v>43.4950981</v>
      </c>
      <c r="K4683" s="31">
        <v>-41.246498099999997</v>
      </c>
      <c r="L4683" s="31"/>
      <c r="M4683" s="31" t="s">
        <v>854</v>
      </c>
      <c r="N4683" s="6" t="s">
        <v>856</v>
      </c>
    </row>
    <row r="4684" spans="1:14" ht="15" customHeight="1" x14ac:dyDescent="0.2">
      <c r="A4684" s="31">
        <v>0.50855624173815484</v>
      </c>
      <c r="B4684" s="31"/>
      <c r="C4684" s="2" t="s">
        <v>855</v>
      </c>
      <c r="D4684" s="31">
        <f t="shared" si="154"/>
        <v>9.9677023380678353E-2</v>
      </c>
      <c r="F4684" s="2" t="s">
        <v>822</v>
      </c>
      <c r="G4684" s="23" t="s">
        <v>902</v>
      </c>
      <c r="H4684" s="2" t="s">
        <v>822</v>
      </c>
      <c r="J4684" s="31">
        <v>43.057498899999999</v>
      </c>
      <c r="K4684" s="31">
        <v>-34.9491005</v>
      </c>
      <c r="L4684" s="31"/>
      <c r="M4684" s="31" t="s">
        <v>854</v>
      </c>
      <c r="N4684" s="6" t="s">
        <v>856</v>
      </c>
    </row>
    <row r="4685" spans="1:14" ht="15" customHeight="1" x14ac:dyDescent="0.2">
      <c r="A4685" s="31">
        <v>0.50826474033420299</v>
      </c>
      <c r="B4685" s="31"/>
      <c r="C4685" s="2" t="s">
        <v>855</v>
      </c>
      <c r="D4685" s="31">
        <f t="shared" si="154"/>
        <v>9.9619889105503789E-2</v>
      </c>
      <c r="F4685" s="2" t="s">
        <v>822</v>
      </c>
      <c r="G4685" s="23" t="s">
        <v>902</v>
      </c>
      <c r="H4685" s="2" t="s">
        <v>822</v>
      </c>
      <c r="J4685" s="31">
        <v>35.869201699999998</v>
      </c>
      <c r="K4685" s="31">
        <v>-19.313299199999999</v>
      </c>
      <c r="L4685" s="31"/>
      <c r="M4685" s="31" t="s">
        <v>854</v>
      </c>
      <c r="N4685" s="6" t="s">
        <v>856</v>
      </c>
    </row>
    <row r="4686" spans="1:14" ht="15" customHeight="1" x14ac:dyDescent="0.2">
      <c r="A4686" s="31">
        <v>0.50822933019358174</v>
      </c>
      <c r="B4686" s="31"/>
      <c r="C4686" s="2" t="s">
        <v>855</v>
      </c>
      <c r="D4686" s="31">
        <f t="shared" si="154"/>
        <v>9.9612948717942032E-2</v>
      </c>
      <c r="F4686" s="2" t="s">
        <v>822</v>
      </c>
      <c r="G4686" s="23" t="s">
        <v>902</v>
      </c>
      <c r="H4686" s="2" t="s">
        <v>822</v>
      </c>
      <c r="J4686" s="31">
        <v>53.967201199999998</v>
      </c>
      <c r="K4686" s="31">
        <v>-6.2613401</v>
      </c>
      <c r="L4686" s="31"/>
      <c r="M4686" s="31" t="s">
        <v>854</v>
      </c>
      <c r="N4686" s="6" t="s">
        <v>856</v>
      </c>
    </row>
    <row r="4687" spans="1:14" ht="15" customHeight="1" x14ac:dyDescent="0.2">
      <c r="A4687" s="31">
        <v>0.50808347531092635</v>
      </c>
      <c r="B4687" s="31"/>
      <c r="C4687" s="2" t="s">
        <v>855</v>
      </c>
      <c r="D4687" s="31">
        <f t="shared" si="154"/>
        <v>9.9584361160941562E-2</v>
      </c>
      <c r="F4687" s="2" t="s">
        <v>822</v>
      </c>
      <c r="G4687" s="23" t="s">
        <v>902</v>
      </c>
      <c r="H4687" s="2" t="s">
        <v>822</v>
      </c>
      <c r="J4687" s="31">
        <v>51.715599099999999</v>
      </c>
      <c r="K4687" s="31">
        <v>-4.9252601</v>
      </c>
      <c r="L4687" s="31"/>
      <c r="M4687" s="31" t="s">
        <v>854</v>
      </c>
      <c r="N4687" s="6" t="s">
        <v>856</v>
      </c>
    </row>
    <row r="4688" spans="1:14" ht="15" customHeight="1" x14ac:dyDescent="0.2">
      <c r="A4688" s="31">
        <v>0.50803653731461684</v>
      </c>
      <c r="B4688" s="31"/>
      <c r="C4688" s="2" t="s">
        <v>855</v>
      </c>
      <c r="D4688" s="31">
        <f t="shared" si="154"/>
        <v>9.9575161313664909E-2</v>
      </c>
      <c r="F4688" s="2" t="s">
        <v>822</v>
      </c>
      <c r="G4688" s="23" t="s">
        <v>902</v>
      </c>
      <c r="H4688" s="2" t="s">
        <v>822</v>
      </c>
      <c r="J4688" s="31">
        <v>57.171199799999997</v>
      </c>
      <c r="K4688" s="31">
        <v>-2.0360798999999998</v>
      </c>
      <c r="L4688" s="31"/>
      <c r="M4688" s="31" t="s">
        <v>854</v>
      </c>
      <c r="N4688" s="6" t="s">
        <v>856</v>
      </c>
    </row>
    <row r="4689" spans="1:14" ht="15" customHeight="1" x14ac:dyDescent="0.2">
      <c r="A4689" s="31">
        <v>0.50797592361079436</v>
      </c>
      <c r="B4689" s="31"/>
      <c r="C4689" s="2" t="s">
        <v>855</v>
      </c>
      <c r="D4689" s="31">
        <f t="shared" si="154"/>
        <v>9.9563281027715694E-2</v>
      </c>
      <c r="F4689" s="2" t="s">
        <v>822</v>
      </c>
      <c r="G4689" s="23" t="s">
        <v>902</v>
      </c>
      <c r="H4689" s="2" t="s">
        <v>822</v>
      </c>
      <c r="J4689" s="31">
        <v>51.084800700000002</v>
      </c>
      <c r="K4689" s="31">
        <v>2.5014601000000001</v>
      </c>
      <c r="L4689" s="31"/>
      <c r="M4689" s="31" t="s">
        <v>854</v>
      </c>
      <c r="N4689" s="6" t="s">
        <v>856</v>
      </c>
    </row>
    <row r="4690" spans="1:14" ht="15" customHeight="1" x14ac:dyDescent="0.2">
      <c r="A4690" s="31">
        <v>0.50789840009638942</v>
      </c>
      <c r="B4690" s="31"/>
      <c r="C4690" s="2" t="s">
        <v>855</v>
      </c>
      <c r="D4690" s="31">
        <f t="shared" si="154"/>
        <v>9.9548086418892331E-2</v>
      </c>
      <c r="F4690" s="2" t="s">
        <v>822</v>
      </c>
      <c r="G4690" s="23" t="s">
        <v>902</v>
      </c>
      <c r="H4690" s="2" t="s">
        <v>822</v>
      </c>
      <c r="J4690" s="31">
        <v>38.650600400000002</v>
      </c>
      <c r="K4690" s="31">
        <v>-20.097200399999998</v>
      </c>
      <c r="L4690" s="31"/>
      <c r="M4690" s="31" t="s">
        <v>854</v>
      </c>
      <c r="N4690" s="6" t="s">
        <v>856</v>
      </c>
    </row>
    <row r="4691" spans="1:14" ht="15" customHeight="1" x14ac:dyDescent="0.2">
      <c r="A4691" s="31">
        <v>0.50788971440898401</v>
      </c>
      <c r="B4691" s="31"/>
      <c r="C4691" s="2" t="s">
        <v>855</v>
      </c>
      <c r="D4691" s="31">
        <f t="shared" si="154"/>
        <v>9.9546384024160869E-2</v>
      </c>
      <c r="F4691" s="2" t="s">
        <v>822</v>
      </c>
      <c r="G4691" s="23" t="s">
        <v>902</v>
      </c>
      <c r="H4691" s="2" t="s">
        <v>822</v>
      </c>
      <c r="J4691" s="31">
        <v>38.550399800000001</v>
      </c>
      <c r="K4691" s="31">
        <v>18.842699100000001</v>
      </c>
      <c r="L4691" s="31"/>
      <c r="M4691" s="31" t="s">
        <v>854</v>
      </c>
      <c r="N4691" s="6" t="s">
        <v>856</v>
      </c>
    </row>
    <row r="4692" spans="1:14" ht="15" customHeight="1" x14ac:dyDescent="0.2">
      <c r="A4692" s="31">
        <v>0.50770767027413</v>
      </c>
      <c r="B4692" s="31"/>
      <c r="C4692" s="2" t="s">
        <v>855</v>
      </c>
      <c r="D4692" s="31">
        <f t="shared" si="154"/>
        <v>9.9510703373729484E-2</v>
      </c>
      <c r="F4692" s="2" t="s">
        <v>822</v>
      </c>
      <c r="G4692" s="23" t="s">
        <v>902</v>
      </c>
      <c r="H4692" s="2" t="s">
        <v>822</v>
      </c>
      <c r="J4692" s="31">
        <v>35.129100800000003</v>
      </c>
      <c r="K4692" s="31">
        <v>-24.8952007</v>
      </c>
      <c r="L4692" s="31"/>
      <c r="M4692" s="31" t="s">
        <v>854</v>
      </c>
      <c r="N4692" s="6" t="s">
        <v>856</v>
      </c>
    </row>
    <row r="4693" spans="1:14" ht="15" customHeight="1" x14ac:dyDescent="0.2">
      <c r="A4693" s="31">
        <v>0.50757428612056843</v>
      </c>
      <c r="B4693" s="31"/>
      <c r="C4693" s="2" t="s">
        <v>855</v>
      </c>
      <c r="D4693" s="31">
        <f t="shared" si="154"/>
        <v>9.9484560079631412E-2</v>
      </c>
      <c r="F4693" s="2" t="s">
        <v>822</v>
      </c>
      <c r="G4693" s="23" t="s">
        <v>902</v>
      </c>
      <c r="H4693" s="2" t="s">
        <v>822</v>
      </c>
      <c r="J4693" s="31">
        <v>55.584598499999998</v>
      </c>
      <c r="K4693" s="31">
        <v>7.0968399</v>
      </c>
      <c r="L4693" s="31"/>
      <c r="M4693" s="31" t="s">
        <v>854</v>
      </c>
      <c r="N4693" s="6" t="s">
        <v>856</v>
      </c>
    </row>
    <row r="4694" spans="1:14" ht="15" customHeight="1" x14ac:dyDescent="0.2">
      <c r="A4694" s="31">
        <v>0.50721213968269685</v>
      </c>
      <c r="B4694" s="31"/>
      <c r="C4694" s="2" t="s">
        <v>855</v>
      </c>
      <c r="D4694" s="31">
        <f t="shared" si="154"/>
        <v>9.9413579377808592E-2</v>
      </c>
      <c r="F4694" s="2" t="s">
        <v>822</v>
      </c>
      <c r="G4694" s="23" t="s">
        <v>902</v>
      </c>
      <c r="H4694" s="2" t="s">
        <v>822</v>
      </c>
      <c r="J4694" s="31">
        <v>51.952098800000002</v>
      </c>
      <c r="K4694" s="31">
        <v>1.5392999999999999</v>
      </c>
      <c r="L4694" s="31"/>
      <c r="M4694" s="31" t="s">
        <v>854</v>
      </c>
      <c r="N4694" s="6" t="s">
        <v>856</v>
      </c>
    </row>
    <row r="4695" spans="1:14" ht="15" customHeight="1" x14ac:dyDescent="0.2">
      <c r="A4695" s="31">
        <v>0.5071409548165543</v>
      </c>
      <c r="B4695" s="31"/>
      <c r="C4695" s="2" t="s">
        <v>855</v>
      </c>
      <c r="D4695" s="31">
        <f t="shared" si="154"/>
        <v>9.9399627144044642E-2</v>
      </c>
      <c r="F4695" s="2" t="s">
        <v>822</v>
      </c>
      <c r="G4695" s="23" t="s">
        <v>902</v>
      </c>
      <c r="H4695" s="2" t="s">
        <v>822</v>
      </c>
      <c r="J4695" s="31">
        <v>64.769203200000007</v>
      </c>
      <c r="K4695" s="31">
        <v>22.315099700000001</v>
      </c>
      <c r="L4695" s="31"/>
      <c r="M4695" s="31" t="s">
        <v>854</v>
      </c>
      <c r="N4695" s="6" t="s">
        <v>856</v>
      </c>
    </row>
    <row r="4696" spans="1:14" ht="15" customHeight="1" x14ac:dyDescent="0.2">
      <c r="A4696" s="31">
        <v>0.50708829947054346</v>
      </c>
      <c r="B4696" s="31"/>
      <c r="C4696" s="2" t="s">
        <v>855</v>
      </c>
      <c r="D4696" s="31">
        <f t="shared" si="154"/>
        <v>9.9389306696226518E-2</v>
      </c>
      <c r="F4696" s="2" t="s">
        <v>822</v>
      </c>
      <c r="G4696" s="23" t="s">
        <v>902</v>
      </c>
      <c r="H4696" s="2" t="s">
        <v>822</v>
      </c>
      <c r="J4696" s="31">
        <v>54.166599300000001</v>
      </c>
      <c r="K4696" s="31">
        <v>4.9698399999999996</v>
      </c>
      <c r="L4696" s="31"/>
      <c r="M4696" s="31" t="s">
        <v>854</v>
      </c>
      <c r="N4696" s="6" t="s">
        <v>856</v>
      </c>
    </row>
    <row r="4697" spans="1:14" ht="15" customHeight="1" x14ac:dyDescent="0.2">
      <c r="A4697" s="31">
        <v>0.50700902502693457</v>
      </c>
      <c r="B4697" s="31"/>
      <c r="C4697" s="2" t="s">
        <v>855</v>
      </c>
      <c r="D4697" s="31">
        <f t="shared" si="154"/>
        <v>9.9373768905279172E-2</v>
      </c>
      <c r="F4697" s="2" t="s">
        <v>822</v>
      </c>
      <c r="G4697" s="23" t="s">
        <v>902</v>
      </c>
      <c r="H4697" s="2" t="s">
        <v>822</v>
      </c>
      <c r="J4697" s="31">
        <v>54.120300299999997</v>
      </c>
      <c r="K4697" s="31">
        <v>-15.0120001</v>
      </c>
      <c r="L4697" s="31"/>
      <c r="M4697" s="31" t="s">
        <v>854</v>
      </c>
      <c r="N4697" s="6" t="s">
        <v>856</v>
      </c>
    </row>
    <row r="4698" spans="1:14" ht="15" customHeight="1" x14ac:dyDescent="0.2">
      <c r="A4698" s="31">
        <v>0.50683172298309398</v>
      </c>
      <c r="B4698" s="31"/>
      <c r="C4698" s="2" t="s">
        <v>855</v>
      </c>
      <c r="D4698" s="31">
        <f t="shared" si="154"/>
        <v>9.9339017704686422E-2</v>
      </c>
      <c r="F4698" s="2" t="s">
        <v>822</v>
      </c>
      <c r="G4698" s="23" t="s">
        <v>902</v>
      </c>
      <c r="H4698" s="2" t="s">
        <v>822</v>
      </c>
      <c r="J4698" s="31">
        <v>32.719898200000003</v>
      </c>
      <c r="K4698" s="31">
        <v>-38.551898999999999</v>
      </c>
      <c r="L4698" s="31"/>
      <c r="M4698" s="31" t="s">
        <v>854</v>
      </c>
      <c r="N4698" s="6" t="s">
        <v>856</v>
      </c>
    </row>
    <row r="4699" spans="1:14" ht="15" customHeight="1" x14ac:dyDescent="0.2">
      <c r="A4699" s="31">
        <v>0.50662173884662143</v>
      </c>
      <c r="B4699" s="31"/>
      <c r="C4699" s="2" t="s">
        <v>855</v>
      </c>
      <c r="D4699" s="31">
        <f t="shared" si="154"/>
        <v>9.9297860813937808E-2</v>
      </c>
      <c r="F4699" s="2" t="s">
        <v>822</v>
      </c>
      <c r="G4699" s="23" t="s">
        <v>902</v>
      </c>
      <c r="H4699" s="2" t="s">
        <v>822</v>
      </c>
      <c r="J4699" s="31">
        <v>34.057300599999998</v>
      </c>
      <c r="K4699" s="31">
        <v>30.918899499999998</v>
      </c>
      <c r="L4699" s="31"/>
      <c r="M4699" s="31" t="s">
        <v>854</v>
      </c>
      <c r="N4699" s="6" t="s">
        <v>856</v>
      </c>
    </row>
    <row r="4700" spans="1:14" ht="15" customHeight="1" x14ac:dyDescent="0.2">
      <c r="A4700" s="31">
        <v>0.5058755803870667</v>
      </c>
      <c r="B4700" s="31"/>
      <c r="C4700" s="2" t="s">
        <v>855</v>
      </c>
      <c r="D4700" s="31">
        <f t="shared" si="154"/>
        <v>9.9151613755865078E-2</v>
      </c>
      <c r="F4700" s="2" t="s">
        <v>822</v>
      </c>
      <c r="G4700" s="23" t="s">
        <v>902</v>
      </c>
      <c r="H4700" s="2" t="s">
        <v>822</v>
      </c>
      <c r="J4700" s="31">
        <v>54.267501799999998</v>
      </c>
      <c r="K4700" s="31">
        <v>11.6681995</v>
      </c>
      <c r="L4700" s="31"/>
      <c r="M4700" s="31" t="s">
        <v>854</v>
      </c>
      <c r="N4700" s="6" t="s">
        <v>856</v>
      </c>
    </row>
    <row r="4701" spans="1:14" ht="15" customHeight="1" x14ac:dyDescent="0.2">
      <c r="A4701" s="31">
        <v>0.50570806308606453</v>
      </c>
      <c r="B4701" s="31"/>
      <c r="C4701" s="2" t="s">
        <v>855</v>
      </c>
      <c r="D4701" s="31">
        <f t="shared" si="154"/>
        <v>9.9118780364868653E-2</v>
      </c>
      <c r="F4701" s="2" t="s">
        <v>822</v>
      </c>
      <c r="G4701" s="23" t="s">
        <v>902</v>
      </c>
      <c r="H4701" s="2" t="s">
        <v>822</v>
      </c>
      <c r="J4701" s="31">
        <v>43.958999599999999</v>
      </c>
      <c r="K4701" s="31">
        <v>-27.6487999</v>
      </c>
      <c r="L4701" s="31"/>
      <c r="M4701" s="31" t="s">
        <v>854</v>
      </c>
      <c r="N4701" s="6" t="s">
        <v>856</v>
      </c>
    </row>
    <row r="4702" spans="1:14" ht="15" customHeight="1" x14ac:dyDescent="0.2">
      <c r="A4702" s="31">
        <v>0.5056761083204494</v>
      </c>
      <c r="B4702" s="31"/>
      <c r="C4702" s="2" t="s">
        <v>855</v>
      </c>
      <c r="D4702" s="31">
        <f t="shared" si="154"/>
        <v>9.9112517230808092E-2</v>
      </c>
      <c r="F4702" s="2" t="s">
        <v>822</v>
      </c>
      <c r="G4702" s="23" t="s">
        <v>902</v>
      </c>
      <c r="H4702" s="2" t="s">
        <v>822</v>
      </c>
      <c r="J4702" s="31">
        <v>47.251800500000002</v>
      </c>
      <c r="K4702" s="31">
        <v>-7.2945700000000002</v>
      </c>
      <c r="L4702" s="31"/>
      <c r="M4702" s="31" t="s">
        <v>854</v>
      </c>
      <c r="N4702" s="6" t="s">
        <v>856</v>
      </c>
    </row>
    <row r="4703" spans="1:14" ht="15" customHeight="1" x14ac:dyDescent="0.2">
      <c r="A4703" s="31">
        <v>0.50556560723416377</v>
      </c>
      <c r="B4703" s="31"/>
      <c r="C4703" s="2" t="s">
        <v>855</v>
      </c>
      <c r="D4703" s="31">
        <f t="shared" si="154"/>
        <v>9.9090859017896105E-2</v>
      </c>
      <c r="F4703" s="2" t="s">
        <v>822</v>
      </c>
      <c r="G4703" s="23" t="s">
        <v>902</v>
      </c>
      <c r="H4703" s="2" t="s">
        <v>822</v>
      </c>
      <c r="J4703" s="31">
        <v>34.728298199999998</v>
      </c>
      <c r="K4703" s="31">
        <v>-12.4074001</v>
      </c>
      <c r="L4703" s="31"/>
      <c r="M4703" s="31" t="s">
        <v>854</v>
      </c>
      <c r="N4703" s="6" t="s">
        <v>856</v>
      </c>
    </row>
    <row r="4704" spans="1:14" ht="15" customHeight="1" x14ac:dyDescent="0.2">
      <c r="A4704" s="31">
        <v>0.50482355800258261</v>
      </c>
      <c r="B4704" s="31"/>
      <c r="C4704" s="2" t="s">
        <v>855</v>
      </c>
      <c r="D4704" s="31">
        <f t="shared" si="154"/>
        <v>9.8945417368506192E-2</v>
      </c>
      <c r="F4704" s="2" t="s">
        <v>822</v>
      </c>
      <c r="G4704" s="23" t="s">
        <v>902</v>
      </c>
      <c r="H4704" s="2" t="s">
        <v>822</v>
      </c>
      <c r="J4704" s="31">
        <v>55.6371994</v>
      </c>
      <c r="K4704" s="31">
        <v>-6.66716</v>
      </c>
      <c r="L4704" s="31"/>
      <c r="M4704" s="31" t="s">
        <v>854</v>
      </c>
      <c r="N4704" s="6" t="s">
        <v>856</v>
      </c>
    </row>
    <row r="4705" spans="1:14" ht="15" customHeight="1" x14ac:dyDescent="0.2">
      <c r="A4705" s="31">
        <v>0.50467098974989621</v>
      </c>
      <c r="B4705" s="31"/>
      <c r="C4705" s="2" t="s">
        <v>855</v>
      </c>
      <c r="D4705" s="31">
        <f t="shared" si="154"/>
        <v>9.8915513990979656E-2</v>
      </c>
      <c r="F4705" s="2" t="s">
        <v>822</v>
      </c>
      <c r="G4705" s="23" t="s">
        <v>902</v>
      </c>
      <c r="H4705" s="2" t="s">
        <v>822</v>
      </c>
      <c r="J4705" s="31">
        <v>57.263401000000002</v>
      </c>
      <c r="K4705" s="31">
        <v>9.3743295999999994</v>
      </c>
      <c r="L4705" s="31"/>
      <c r="M4705" s="31" t="s">
        <v>854</v>
      </c>
      <c r="N4705" s="6" t="s">
        <v>856</v>
      </c>
    </row>
    <row r="4706" spans="1:14" ht="15" customHeight="1" x14ac:dyDescent="0.2">
      <c r="A4706" s="31">
        <v>0.50440925913168011</v>
      </c>
      <c r="B4706" s="31"/>
      <c r="C4706" s="2" t="s">
        <v>855</v>
      </c>
      <c r="D4706" s="31">
        <f t="shared" si="154"/>
        <v>9.8864214789809307E-2</v>
      </c>
      <c r="F4706" s="2" t="s">
        <v>822</v>
      </c>
      <c r="G4706" s="23" t="s">
        <v>902</v>
      </c>
      <c r="H4706" s="2" t="s">
        <v>822</v>
      </c>
      <c r="J4706" s="31">
        <v>36.651798200000002</v>
      </c>
      <c r="K4706" s="31">
        <v>-33.422500599999999</v>
      </c>
      <c r="L4706" s="31"/>
      <c r="M4706" s="31" t="s">
        <v>854</v>
      </c>
      <c r="N4706" s="6" t="s">
        <v>856</v>
      </c>
    </row>
    <row r="4707" spans="1:14" ht="15" customHeight="1" x14ac:dyDescent="0.2">
      <c r="A4707" s="31">
        <v>0.50431808488825347</v>
      </c>
      <c r="B4707" s="31"/>
      <c r="C4707" s="2" t="s">
        <v>855</v>
      </c>
      <c r="D4707" s="31">
        <f t="shared" si="154"/>
        <v>9.8846344638097688E-2</v>
      </c>
      <c r="F4707" s="2" t="s">
        <v>822</v>
      </c>
      <c r="G4707" s="23" t="s">
        <v>902</v>
      </c>
      <c r="H4707" s="2" t="s">
        <v>822</v>
      </c>
      <c r="J4707" s="31">
        <v>53.836498300000002</v>
      </c>
      <c r="K4707" s="31">
        <v>3.9257900999999999</v>
      </c>
      <c r="L4707" s="31"/>
      <c r="M4707" s="31" t="s">
        <v>854</v>
      </c>
      <c r="N4707" s="6" t="s">
        <v>856</v>
      </c>
    </row>
    <row r="4708" spans="1:14" ht="15" customHeight="1" x14ac:dyDescent="0.2">
      <c r="A4708" s="31">
        <v>0.50425251663514659</v>
      </c>
      <c r="B4708" s="31"/>
      <c r="C4708" s="2" t="s">
        <v>855</v>
      </c>
      <c r="D4708" s="31">
        <f t="shared" ref="D4708:D4739" si="155" xml:space="preserve"> A4708 * 0.196</f>
        <v>9.8833493260488736E-2</v>
      </c>
      <c r="F4708" s="2" t="s">
        <v>822</v>
      </c>
      <c r="G4708" s="23" t="s">
        <v>902</v>
      </c>
      <c r="H4708" s="2" t="s">
        <v>822</v>
      </c>
      <c r="J4708" s="31">
        <v>56.293598199999998</v>
      </c>
      <c r="K4708" s="31">
        <v>6.3878398000000001</v>
      </c>
      <c r="L4708" s="31"/>
      <c r="M4708" s="31" t="s">
        <v>854</v>
      </c>
      <c r="N4708" s="6" t="s">
        <v>856</v>
      </c>
    </row>
    <row r="4709" spans="1:14" ht="15" customHeight="1" x14ac:dyDescent="0.2">
      <c r="A4709" s="31">
        <v>0.50418896190371432</v>
      </c>
      <c r="B4709" s="31"/>
      <c r="C4709" s="2" t="s">
        <v>855</v>
      </c>
      <c r="D4709" s="31">
        <f t="shared" si="155"/>
        <v>9.8821036533128015E-2</v>
      </c>
      <c r="F4709" s="2" t="s">
        <v>822</v>
      </c>
      <c r="G4709" s="23" t="s">
        <v>902</v>
      </c>
      <c r="H4709" s="2" t="s">
        <v>822</v>
      </c>
      <c r="J4709" s="31">
        <v>56.051601400000003</v>
      </c>
      <c r="K4709" s="31">
        <v>4.2731899999999996</v>
      </c>
      <c r="L4709" s="31"/>
      <c r="M4709" s="31" t="s">
        <v>854</v>
      </c>
      <c r="N4709" s="6" t="s">
        <v>856</v>
      </c>
    </row>
    <row r="4710" spans="1:14" ht="15" customHeight="1" x14ac:dyDescent="0.2">
      <c r="A4710" s="31">
        <v>0.5040032692721822</v>
      </c>
      <c r="B4710" s="31"/>
      <c r="C4710" s="2" t="s">
        <v>855</v>
      </c>
      <c r="D4710" s="31">
        <f t="shared" si="155"/>
        <v>9.8784640777347721E-2</v>
      </c>
      <c r="F4710" s="2" t="s">
        <v>822</v>
      </c>
      <c r="G4710" s="23" t="s">
        <v>902</v>
      </c>
      <c r="H4710" s="2" t="s">
        <v>822</v>
      </c>
      <c r="J4710" s="31">
        <v>50.085300400000001</v>
      </c>
      <c r="K4710" s="31">
        <v>-16.505699199999999</v>
      </c>
      <c r="L4710" s="31"/>
      <c r="M4710" s="31" t="s">
        <v>854</v>
      </c>
      <c r="N4710" s="6" t="s">
        <v>856</v>
      </c>
    </row>
    <row r="4711" spans="1:14" ht="15" customHeight="1" x14ac:dyDescent="0.2">
      <c r="A4711" s="31">
        <v>0.50386399861741793</v>
      </c>
      <c r="B4711" s="31"/>
      <c r="C4711" s="2" t="s">
        <v>855</v>
      </c>
      <c r="D4711" s="31">
        <f t="shared" si="155"/>
        <v>9.8757343729013916E-2</v>
      </c>
      <c r="F4711" s="2" t="s">
        <v>822</v>
      </c>
      <c r="G4711" s="23" t="s">
        <v>902</v>
      </c>
      <c r="H4711" s="2" t="s">
        <v>822</v>
      </c>
      <c r="J4711" s="31">
        <v>53.862899800000001</v>
      </c>
      <c r="K4711" s="31">
        <v>3.5084</v>
      </c>
      <c r="L4711" s="31"/>
      <c r="M4711" s="31" t="s">
        <v>854</v>
      </c>
      <c r="N4711" s="6" t="s">
        <v>856</v>
      </c>
    </row>
    <row r="4712" spans="1:14" ht="15" customHeight="1" x14ac:dyDescent="0.2">
      <c r="A4712" s="31">
        <v>0.50383809463783424</v>
      </c>
      <c r="B4712" s="31"/>
      <c r="C4712" s="2" t="s">
        <v>855</v>
      </c>
      <c r="D4712" s="31">
        <f t="shared" si="155"/>
        <v>9.8752266549015519E-2</v>
      </c>
      <c r="F4712" s="2" t="s">
        <v>822</v>
      </c>
      <c r="G4712" s="23" t="s">
        <v>902</v>
      </c>
      <c r="H4712" s="2" t="s">
        <v>822</v>
      </c>
      <c r="J4712" s="31">
        <v>54.8755989</v>
      </c>
      <c r="K4712" s="31">
        <v>4.1999997999999996</v>
      </c>
      <c r="L4712" s="31"/>
      <c r="M4712" s="31" t="s">
        <v>854</v>
      </c>
      <c r="N4712" s="6" t="s">
        <v>856</v>
      </c>
    </row>
    <row r="4713" spans="1:14" ht="15" customHeight="1" x14ac:dyDescent="0.2">
      <c r="A4713" s="31">
        <v>0.50368231529205509</v>
      </c>
      <c r="B4713" s="31"/>
      <c r="C4713" s="2" t="s">
        <v>855</v>
      </c>
      <c r="D4713" s="31">
        <f t="shared" si="155"/>
        <v>9.8721733797242806E-2</v>
      </c>
      <c r="F4713" s="2" t="s">
        <v>822</v>
      </c>
      <c r="G4713" s="23" t="s">
        <v>902</v>
      </c>
      <c r="H4713" s="2" t="s">
        <v>822</v>
      </c>
      <c r="J4713" s="31">
        <v>34.0575981</v>
      </c>
      <c r="K4713" s="31">
        <v>26.9015007</v>
      </c>
      <c r="L4713" s="31"/>
      <c r="M4713" s="31" t="s">
        <v>854</v>
      </c>
      <c r="N4713" s="6" t="s">
        <v>856</v>
      </c>
    </row>
    <row r="4714" spans="1:14" ht="15" customHeight="1" x14ac:dyDescent="0.2">
      <c r="A4714" s="31">
        <v>0.50360144699387521</v>
      </c>
      <c r="B4714" s="31"/>
      <c r="C4714" s="2" t="s">
        <v>855</v>
      </c>
      <c r="D4714" s="31">
        <f t="shared" si="155"/>
        <v>9.8705883610799544E-2</v>
      </c>
      <c r="F4714" s="2" t="s">
        <v>822</v>
      </c>
      <c r="G4714" s="23" t="s">
        <v>902</v>
      </c>
      <c r="H4714" s="2" t="s">
        <v>822</v>
      </c>
      <c r="J4714" s="31">
        <v>36.060001399999997</v>
      </c>
      <c r="K4714" s="31">
        <v>-31.204000499999999</v>
      </c>
      <c r="L4714" s="31"/>
      <c r="M4714" s="31" t="s">
        <v>854</v>
      </c>
      <c r="N4714" s="6" t="s">
        <v>856</v>
      </c>
    </row>
    <row r="4715" spans="1:14" ht="15" customHeight="1" x14ac:dyDescent="0.2">
      <c r="A4715" s="31">
        <v>0.50355176577447436</v>
      </c>
      <c r="B4715" s="31"/>
      <c r="C4715" s="2" t="s">
        <v>855</v>
      </c>
      <c r="D4715" s="31">
        <f t="shared" si="155"/>
        <v>9.8696146091796971E-2</v>
      </c>
      <c r="F4715" s="2" t="s">
        <v>822</v>
      </c>
      <c r="G4715" s="23" t="s">
        <v>902</v>
      </c>
      <c r="H4715" s="2" t="s">
        <v>822</v>
      </c>
      <c r="J4715" s="31">
        <v>49.419998200000002</v>
      </c>
      <c r="K4715" s="31">
        <v>-40.555999800000002</v>
      </c>
      <c r="L4715" s="31"/>
      <c r="M4715" s="31" t="s">
        <v>854</v>
      </c>
      <c r="N4715" s="6" t="s">
        <v>856</v>
      </c>
    </row>
    <row r="4716" spans="1:14" ht="15" customHeight="1" x14ac:dyDescent="0.2">
      <c r="A4716" s="31">
        <v>0.5033613216575864</v>
      </c>
      <c r="B4716" s="31"/>
      <c r="C4716" s="2" t="s">
        <v>855</v>
      </c>
      <c r="D4716" s="31">
        <f t="shared" si="155"/>
        <v>9.8658819044886936E-2</v>
      </c>
      <c r="F4716" s="2" t="s">
        <v>822</v>
      </c>
      <c r="G4716" s="23" t="s">
        <v>902</v>
      </c>
      <c r="H4716" s="2" t="s">
        <v>822</v>
      </c>
      <c r="J4716" s="31">
        <v>37.3959999</v>
      </c>
      <c r="K4716" s="31">
        <v>-17.8439999</v>
      </c>
      <c r="L4716" s="31"/>
      <c r="M4716" s="31" t="s">
        <v>854</v>
      </c>
      <c r="N4716" s="6" t="s">
        <v>856</v>
      </c>
    </row>
    <row r="4717" spans="1:14" ht="15" customHeight="1" x14ac:dyDescent="0.2">
      <c r="A4717" s="31">
        <v>0.50332899983279644</v>
      </c>
      <c r="B4717" s="31"/>
      <c r="C4717" s="2" t="s">
        <v>855</v>
      </c>
      <c r="D4717" s="31">
        <f t="shared" si="155"/>
        <v>9.8652483967228102E-2</v>
      </c>
      <c r="F4717" s="2" t="s">
        <v>822</v>
      </c>
      <c r="G4717" s="23" t="s">
        <v>902</v>
      </c>
      <c r="H4717" s="2" t="s">
        <v>822</v>
      </c>
      <c r="J4717" s="31">
        <v>32.051998099999999</v>
      </c>
      <c r="K4717" s="31">
        <v>-33.875999499999999</v>
      </c>
      <c r="L4717" s="31"/>
      <c r="M4717" s="31" t="s">
        <v>854</v>
      </c>
      <c r="N4717" s="6" t="s">
        <v>856</v>
      </c>
    </row>
    <row r="4718" spans="1:14" ht="15" customHeight="1" x14ac:dyDescent="0.2">
      <c r="A4718" s="31">
        <v>0.50332130528929131</v>
      </c>
      <c r="B4718" s="31"/>
      <c r="C4718" s="2" t="s">
        <v>855</v>
      </c>
      <c r="D4718" s="31">
        <f t="shared" si="155"/>
        <v>9.8650975836701099E-2</v>
      </c>
      <c r="F4718" s="2" t="s">
        <v>822</v>
      </c>
      <c r="G4718" s="23" t="s">
        <v>902</v>
      </c>
      <c r="H4718" s="2" t="s">
        <v>822</v>
      </c>
      <c r="J4718" s="31">
        <v>46.327701599999997</v>
      </c>
      <c r="K4718" s="31">
        <v>-4.2087598000000002</v>
      </c>
      <c r="L4718" s="31"/>
      <c r="M4718" s="31" t="s">
        <v>854</v>
      </c>
      <c r="N4718" s="6" t="s">
        <v>856</v>
      </c>
    </row>
    <row r="4719" spans="1:14" ht="15" customHeight="1" x14ac:dyDescent="0.2">
      <c r="A4719" s="31">
        <v>0.50311259859737278</v>
      </c>
      <c r="B4719" s="31"/>
      <c r="C4719" s="2" t="s">
        <v>855</v>
      </c>
      <c r="D4719" s="31">
        <f t="shared" si="155"/>
        <v>9.8610069325085065E-2</v>
      </c>
      <c r="F4719" s="2" t="s">
        <v>822</v>
      </c>
      <c r="G4719" s="23" t="s">
        <v>902</v>
      </c>
      <c r="H4719" s="2" t="s">
        <v>822</v>
      </c>
      <c r="J4719" s="31">
        <v>56.768001599999998</v>
      </c>
      <c r="K4719" s="31">
        <v>-8.4601603000000001</v>
      </c>
      <c r="L4719" s="31"/>
      <c r="M4719" s="31" t="s">
        <v>854</v>
      </c>
      <c r="N4719" s="6" t="s">
        <v>856</v>
      </c>
    </row>
    <row r="4720" spans="1:14" ht="15" customHeight="1" x14ac:dyDescent="0.2">
      <c r="A4720" s="31">
        <v>0.50273679199582189</v>
      </c>
      <c r="B4720" s="31"/>
      <c r="C4720" s="2" t="s">
        <v>855</v>
      </c>
      <c r="D4720" s="31">
        <f t="shared" si="155"/>
        <v>9.8536411231181092E-2</v>
      </c>
      <c r="F4720" s="2" t="s">
        <v>822</v>
      </c>
      <c r="G4720" s="23" t="s">
        <v>902</v>
      </c>
      <c r="H4720" s="2" t="s">
        <v>822</v>
      </c>
      <c r="J4720" s="31">
        <v>55.2505989</v>
      </c>
      <c r="K4720" s="31">
        <v>6.0538401999999998</v>
      </c>
      <c r="L4720" s="31"/>
      <c r="M4720" s="31" t="s">
        <v>854</v>
      </c>
      <c r="N4720" s="6" t="s">
        <v>856</v>
      </c>
    </row>
    <row r="4721" spans="1:14" ht="15" customHeight="1" x14ac:dyDescent="0.2">
      <c r="A4721" s="31">
        <v>0.50247246683686342</v>
      </c>
      <c r="B4721" s="31"/>
      <c r="C4721" s="2" t="s">
        <v>855</v>
      </c>
      <c r="D4721" s="31">
        <f t="shared" si="155"/>
        <v>9.8484603500025233E-2</v>
      </c>
      <c r="F4721" s="2" t="s">
        <v>822</v>
      </c>
      <c r="G4721" s="23" t="s">
        <v>902</v>
      </c>
      <c r="H4721" s="2" t="s">
        <v>822</v>
      </c>
      <c r="J4721" s="31">
        <v>46.748001100000003</v>
      </c>
      <c r="K4721" s="31">
        <v>-37.215999600000004</v>
      </c>
      <c r="L4721" s="31"/>
      <c r="M4721" s="31" t="s">
        <v>854</v>
      </c>
      <c r="N4721" s="6" t="s">
        <v>856</v>
      </c>
    </row>
    <row r="4722" spans="1:14" ht="15" customHeight="1" x14ac:dyDescent="0.2">
      <c r="A4722" s="31">
        <v>0.50225190039235768</v>
      </c>
      <c r="B4722" s="31"/>
      <c r="C4722" s="2" t="s">
        <v>855</v>
      </c>
      <c r="D4722" s="31">
        <f t="shared" si="155"/>
        <v>9.8441372476902114E-2</v>
      </c>
      <c r="F4722" s="2" t="s">
        <v>822</v>
      </c>
      <c r="G4722" s="23" t="s">
        <v>902</v>
      </c>
      <c r="H4722" s="2" t="s">
        <v>822</v>
      </c>
      <c r="J4722" s="31">
        <v>48.083999599999999</v>
      </c>
      <c r="K4722" s="31">
        <v>-17.8439999</v>
      </c>
      <c r="L4722" s="31"/>
      <c r="M4722" s="31" t="s">
        <v>854</v>
      </c>
      <c r="N4722" s="6" t="s">
        <v>856</v>
      </c>
    </row>
    <row r="4723" spans="1:14" ht="15" customHeight="1" x14ac:dyDescent="0.2">
      <c r="A4723" s="31">
        <v>0.50178542962338524</v>
      </c>
      <c r="B4723" s="31"/>
      <c r="C4723" s="2" t="s">
        <v>855</v>
      </c>
      <c r="D4723" s="31">
        <f t="shared" si="155"/>
        <v>9.8349944206183509E-2</v>
      </c>
      <c r="F4723" s="2" t="s">
        <v>822</v>
      </c>
      <c r="G4723" s="23" t="s">
        <v>902</v>
      </c>
      <c r="H4723" s="2" t="s">
        <v>822</v>
      </c>
      <c r="J4723" s="31">
        <v>55.4557991</v>
      </c>
      <c r="K4723" s="31">
        <v>-7.3761600999999999</v>
      </c>
      <c r="L4723" s="31"/>
      <c r="M4723" s="31" t="s">
        <v>854</v>
      </c>
      <c r="N4723" s="6" t="s">
        <v>856</v>
      </c>
    </row>
    <row r="4724" spans="1:14" ht="15" customHeight="1" x14ac:dyDescent="0.2">
      <c r="A4724" s="31">
        <v>0.50145100917318053</v>
      </c>
      <c r="B4724" s="31"/>
      <c r="C4724" s="2" t="s">
        <v>855</v>
      </c>
      <c r="D4724" s="31">
        <f t="shared" si="155"/>
        <v>9.8284397797943387E-2</v>
      </c>
      <c r="F4724" s="2" t="s">
        <v>822</v>
      </c>
      <c r="G4724" s="23" t="s">
        <v>902</v>
      </c>
      <c r="H4724" s="2" t="s">
        <v>822</v>
      </c>
      <c r="J4724" s="31">
        <v>32.943901099999998</v>
      </c>
      <c r="K4724" s="31">
        <v>22.639099099999999</v>
      </c>
      <c r="L4724" s="31"/>
      <c r="M4724" s="31" t="s">
        <v>854</v>
      </c>
      <c r="N4724" s="6" t="s">
        <v>856</v>
      </c>
    </row>
    <row r="4725" spans="1:14" ht="15" customHeight="1" x14ac:dyDescent="0.2">
      <c r="A4725" s="31">
        <v>0.5012691026932764</v>
      </c>
      <c r="B4725" s="31"/>
      <c r="C4725" s="2" t="s">
        <v>855</v>
      </c>
      <c r="D4725" s="31">
        <f t="shared" si="155"/>
        <v>9.8248744127882176E-2</v>
      </c>
      <c r="F4725" s="2" t="s">
        <v>822</v>
      </c>
      <c r="G4725" s="23" t="s">
        <v>902</v>
      </c>
      <c r="H4725" s="2" t="s">
        <v>822</v>
      </c>
      <c r="J4725" s="31">
        <v>39.8268013</v>
      </c>
      <c r="K4725" s="31">
        <v>8.5124598000000002</v>
      </c>
      <c r="L4725" s="31"/>
      <c r="M4725" s="31" t="s">
        <v>854</v>
      </c>
      <c r="N4725" s="6" t="s">
        <v>856</v>
      </c>
    </row>
    <row r="4726" spans="1:14" ht="15" customHeight="1" x14ac:dyDescent="0.2">
      <c r="A4726" s="31">
        <v>0.50122986699782934</v>
      </c>
      <c r="B4726" s="31"/>
      <c r="C4726" s="2" t="s">
        <v>855</v>
      </c>
      <c r="D4726" s="31">
        <f t="shared" si="155"/>
        <v>9.8241053931574548E-2</v>
      </c>
      <c r="F4726" s="2" t="s">
        <v>822</v>
      </c>
      <c r="G4726" s="23" t="s">
        <v>902</v>
      </c>
      <c r="H4726" s="2" t="s">
        <v>822</v>
      </c>
      <c r="J4726" s="31">
        <v>31.0650005</v>
      </c>
      <c r="K4726" s="31">
        <v>-36.281101200000002</v>
      </c>
      <c r="L4726" s="31"/>
      <c r="M4726" s="31" t="s">
        <v>854</v>
      </c>
      <c r="N4726" s="6" t="s">
        <v>856</v>
      </c>
    </row>
    <row r="4727" spans="1:14" ht="15" customHeight="1" x14ac:dyDescent="0.2">
      <c r="A4727" s="31">
        <v>0.50086521162105835</v>
      </c>
      <c r="B4727" s="31"/>
      <c r="C4727" s="2" t="s">
        <v>855</v>
      </c>
      <c r="D4727" s="31">
        <f t="shared" si="155"/>
        <v>9.8169581477727447E-2</v>
      </c>
      <c r="F4727" s="2" t="s">
        <v>822</v>
      </c>
      <c r="G4727" s="23" t="s">
        <v>902</v>
      </c>
      <c r="H4727" s="2" t="s">
        <v>822</v>
      </c>
      <c r="J4727" s="31">
        <v>54.541599300000001</v>
      </c>
      <c r="K4727" s="31">
        <v>4.9698399999999996</v>
      </c>
      <c r="L4727" s="31"/>
      <c r="M4727" s="31" t="s">
        <v>854</v>
      </c>
      <c r="N4727" s="6" t="s">
        <v>856</v>
      </c>
    </row>
    <row r="4728" spans="1:14" ht="15" customHeight="1" x14ac:dyDescent="0.2">
      <c r="A4728" s="31">
        <v>0.50076484245074682</v>
      </c>
      <c r="B4728" s="31"/>
      <c r="C4728" s="2" t="s">
        <v>855</v>
      </c>
      <c r="D4728" s="31">
        <f t="shared" si="155"/>
        <v>9.8149909120346379E-2</v>
      </c>
      <c r="F4728" s="2" t="s">
        <v>822</v>
      </c>
      <c r="G4728" s="23" t="s">
        <v>902</v>
      </c>
      <c r="H4728" s="2" t="s">
        <v>822</v>
      </c>
      <c r="J4728" s="31">
        <v>52.759998299999999</v>
      </c>
      <c r="K4728" s="31">
        <v>3.2178399999999998</v>
      </c>
      <c r="L4728" s="31"/>
      <c r="M4728" s="31" t="s">
        <v>854</v>
      </c>
      <c r="N4728" s="6" t="s">
        <v>856</v>
      </c>
    </row>
    <row r="4729" spans="1:14" ht="15" customHeight="1" x14ac:dyDescent="0.2">
      <c r="A4729" s="31">
        <v>0.50070599149523087</v>
      </c>
      <c r="B4729" s="31"/>
      <c r="C4729" s="2" t="s">
        <v>855</v>
      </c>
      <c r="D4729" s="31">
        <f t="shared" si="155"/>
        <v>9.8138374333065256E-2</v>
      </c>
      <c r="F4729" s="2" t="s">
        <v>822</v>
      </c>
      <c r="G4729" s="23" t="s">
        <v>902</v>
      </c>
      <c r="H4729" s="2" t="s">
        <v>822</v>
      </c>
      <c r="J4729" s="31">
        <v>46.080001799999998</v>
      </c>
      <c r="K4729" s="31">
        <v>-7.8239998999999996</v>
      </c>
      <c r="L4729" s="31"/>
      <c r="M4729" s="31" t="s">
        <v>854</v>
      </c>
      <c r="N4729" s="6" t="s">
        <v>856</v>
      </c>
    </row>
    <row r="4730" spans="1:14" ht="15" customHeight="1" x14ac:dyDescent="0.2">
      <c r="A4730" s="31">
        <v>0.50058535254842795</v>
      </c>
      <c r="B4730" s="31"/>
      <c r="C4730" s="2" t="s">
        <v>855</v>
      </c>
      <c r="D4730" s="31">
        <f t="shared" si="155"/>
        <v>9.8114729099491885E-2</v>
      </c>
      <c r="F4730" s="2" t="s">
        <v>822</v>
      </c>
      <c r="G4730" s="23" t="s">
        <v>902</v>
      </c>
      <c r="H4730" s="2" t="s">
        <v>822</v>
      </c>
      <c r="J4730" s="31">
        <v>58.282901799999998</v>
      </c>
      <c r="K4730" s="31">
        <v>1.53983</v>
      </c>
      <c r="L4730" s="31"/>
      <c r="M4730" s="31" t="s">
        <v>854</v>
      </c>
      <c r="N4730" s="6" t="s">
        <v>856</v>
      </c>
    </row>
    <row r="4731" spans="1:14" ht="15" customHeight="1" x14ac:dyDescent="0.2">
      <c r="A4731" s="31">
        <v>0.50041470257730503</v>
      </c>
      <c r="B4731" s="31"/>
      <c r="C4731" s="2" t="s">
        <v>855</v>
      </c>
      <c r="D4731" s="31">
        <f t="shared" si="155"/>
        <v>9.808128170515179E-2</v>
      </c>
      <c r="F4731" s="2" t="s">
        <v>822</v>
      </c>
      <c r="G4731" s="23" t="s">
        <v>902</v>
      </c>
      <c r="H4731" s="2" t="s">
        <v>822</v>
      </c>
      <c r="J4731" s="31">
        <v>45.411998699999998</v>
      </c>
      <c r="K4731" s="31">
        <v>-25.1919994</v>
      </c>
      <c r="L4731" s="31"/>
      <c r="M4731" s="31" t="s">
        <v>854</v>
      </c>
      <c r="N4731" s="6" t="s">
        <v>856</v>
      </c>
    </row>
    <row r="4732" spans="1:14" ht="15" customHeight="1" x14ac:dyDescent="0.2">
      <c r="A4732" s="31">
        <v>0.50040718721840527</v>
      </c>
      <c r="B4732" s="31"/>
      <c r="C4732" s="2" t="s">
        <v>855</v>
      </c>
      <c r="D4732" s="31">
        <f t="shared" si="155"/>
        <v>9.8079808694807438E-2</v>
      </c>
      <c r="F4732" s="2" t="s">
        <v>822</v>
      </c>
      <c r="G4732" s="23" t="s">
        <v>902</v>
      </c>
      <c r="H4732" s="2" t="s">
        <v>822</v>
      </c>
      <c r="J4732" s="31">
        <v>53.123600000000003</v>
      </c>
      <c r="K4732" s="31">
        <v>3.2178399999999998</v>
      </c>
      <c r="L4732" s="31"/>
      <c r="M4732" s="31" t="s">
        <v>854</v>
      </c>
      <c r="N4732" s="6" t="s">
        <v>856</v>
      </c>
    </row>
    <row r="4733" spans="1:14" ht="15" customHeight="1" x14ac:dyDescent="0.2">
      <c r="A4733" s="31">
        <v>0.5003888288434879</v>
      </c>
      <c r="B4733" s="31"/>
      <c r="C4733" s="2" t="s">
        <v>855</v>
      </c>
      <c r="D4733" s="31">
        <f t="shared" si="155"/>
        <v>9.8076210453323626E-2</v>
      </c>
      <c r="F4733" s="2" t="s">
        <v>822</v>
      </c>
      <c r="G4733" s="23" t="s">
        <v>902</v>
      </c>
      <c r="H4733" s="2" t="s">
        <v>822</v>
      </c>
      <c r="J4733" s="31">
        <v>39.543899500000002</v>
      </c>
      <c r="K4733" s="31">
        <v>-38.681899999999999</v>
      </c>
      <c r="L4733" s="31"/>
      <c r="M4733" s="31" t="s">
        <v>854</v>
      </c>
      <c r="N4733" s="6" t="s">
        <v>856</v>
      </c>
    </row>
    <row r="4734" spans="1:14" ht="15" customHeight="1" x14ac:dyDescent="0.2">
      <c r="A4734" s="31">
        <v>0.50038084889645662</v>
      </c>
      <c r="B4734" s="31"/>
      <c r="C4734" s="2" t="s">
        <v>855</v>
      </c>
      <c r="D4734" s="31">
        <f t="shared" si="155"/>
        <v>9.8074646383705499E-2</v>
      </c>
      <c r="F4734" s="2" t="s">
        <v>822</v>
      </c>
      <c r="G4734" s="23" t="s">
        <v>902</v>
      </c>
      <c r="H4734" s="2" t="s">
        <v>822</v>
      </c>
      <c r="J4734" s="31">
        <v>48.751998899999997</v>
      </c>
      <c r="K4734" s="31">
        <v>-20.516000699999999</v>
      </c>
      <c r="L4734" s="31"/>
      <c r="M4734" s="31" t="s">
        <v>854</v>
      </c>
      <c r="N4734" s="6" t="s">
        <v>856</v>
      </c>
    </row>
    <row r="4735" spans="1:14" ht="15" customHeight="1" x14ac:dyDescent="0.2">
      <c r="A4735" s="31">
        <v>0.500076236858364</v>
      </c>
      <c r="B4735" s="31"/>
      <c r="C4735" s="2" t="s">
        <v>855</v>
      </c>
      <c r="D4735" s="31">
        <f t="shared" si="155"/>
        <v>9.8014942424239346E-2</v>
      </c>
      <c r="F4735" s="2" t="s">
        <v>822</v>
      </c>
      <c r="G4735" s="23" t="s">
        <v>902</v>
      </c>
      <c r="H4735" s="2" t="s">
        <v>822</v>
      </c>
      <c r="J4735" s="31">
        <v>47.426898999999999</v>
      </c>
      <c r="K4735" s="31">
        <v>-9.8350000000000009</v>
      </c>
      <c r="L4735" s="31"/>
      <c r="M4735" s="31" t="s">
        <v>854</v>
      </c>
      <c r="N4735" s="6" t="s">
        <v>856</v>
      </c>
    </row>
    <row r="4736" spans="1:14" ht="15" customHeight="1" x14ac:dyDescent="0.2">
      <c r="A4736" s="31">
        <v>0.50005084730633453</v>
      </c>
      <c r="B4736" s="31"/>
      <c r="C4736" s="2" t="s">
        <v>855</v>
      </c>
      <c r="D4736" s="31">
        <f t="shared" si="155"/>
        <v>9.8009966072041571E-2</v>
      </c>
      <c r="F4736" s="2" t="s">
        <v>822</v>
      </c>
      <c r="G4736" s="23" t="s">
        <v>902</v>
      </c>
      <c r="H4736" s="2" t="s">
        <v>822</v>
      </c>
      <c r="J4736" s="31">
        <v>30.048000300000002</v>
      </c>
      <c r="K4736" s="31">
        <v>-34.543998700000003</v>
      </c>
      <c r="L4736" s="31"/>
      <c r="M4736" s="31" t="s">
        <v>854</v>
      </c>
      <c r="N4736" s="6" t="s">
        <v>856</v>
      </c>
    </row>
    <row r="4737" spans="1:14" ht="15" customHeight="1" x14ac:dyDescent="0.2">
      <c r="A4737" s="31">
        <v>0.49997304121200098</v>
      </c>
      <c r="B4737" s="31"/>
      <c r="C4737" s="2" t="s">
        <v>855</v>
      </c>
      <c r="D4737" s="31">
        <f t="shared" si="155"/>
        <v>9.7994716077552196E-2</v>
      </c>
      <c r="F4737" s="2" t="s">
        <v>822</v>
      </c>
      <c r="G4737" s="23" t="s">
        <v>902</v>
      </c>
      <c r="H4737" s="2" t="s">
        <v>822</v>
      </c>
      <c r="J4737" s="31">
        <v>48.7820015</v>
      </c>
      <c r="K4737" s="31">
        <v>-27.857799499999999</v>
      </c>
      <c r="L4737" s="31"/>
      <c r="M4737" s="31" t="s">
        <v>854</v>
      </c>
      <c r="N4737" s="6" t="s">
        <v>856</v>
      </c>
    </row>
    <row r="4738" spans="1:14" ht="15" customHeight="1" x14ac:dyDescent="0.2">
      <c r="A4738" s="31">
        <v>0.49990690598057791</v>
      </c>
      <c r="B4738" s="31"/>
      <c r="C4738" s="2" t="s">
        <v>855</v>
      </c>
      <c r="D4738" s="31">
        <f t="shared" si="155"/>
        <v>9.798175357219327E-2</v>
      </c>
      <c r="F4738" s="2" t="s">
        <v>822</v>
      </c>
      <c r="G4738" s="23" t="s">
        <v>902</v>
      </c>
      <c r="H4738" s="2" t="s">
        <v>822</v>
      </c>
      <c r="J4738" s="31">
        <v>51.794101699999999</v>
      </c>
      <c r="K4738" s="31">
        <v>-14.029299699999999</v>
      </c>
      <c r="L4738" s="31"/>
      <c r="M4738" s="31" t="s">
        <v>854</v>
      </c>
      <c r="N4738" s="6" t="s">
        <v>856</v>
      </c>
    </row>
    <row r="4739" spans="1:14" ht="15" customHeight="1" x14ac:dyDescent="0.2">
      <c r="A4739" s="31">
        <v>0.49988289346450149</v>
      </c>
      <c r="B4739" s="31"/>
      <c r="C4739" s="2" t="s">
        <v>855</v>
      </c>
      <c r="D4739" s="31">
        <f t="shared" si="155"/>
        <v>9.7977047119042301E-2</v>
      </c>
      <c r="F4739" s="2" t="s">
        <v>822</v>
      </c>
      <c r="G4739" s="23" t="s">
        <v>902</v>
      </c>
      <c r="H4739" s="2" t="s">
        <v>822</v>
      </c>
      <c r="J4739" s="31">
        <v>50.756000499999999</v>
      </c>
      <c r="K4739" s="31">
        <v>-31.204000499999999</v>
      </c>
      <c r="L4739" s="31"/>
      <c r="M4739" s="31" t="s">
        <v>854</v>
      </c>
      <c r="N4739" s="6" t="s">
        <v>856</v>
      </c>
    </row>
    <row r="4740" spans="1:14" ht="15" customHeight="1" x14ac:dyDescent="0.2">
      <c r="A4740" s="31">
        <v>0.49982723833823373</v>
      </c>
      <c r="B4740" s="31"/>
      <c r="C4740" s="2" t="s">
        <v>855</v>
      </c>
      <c r="D4740" s="31">
        <f t="shared" ref="D4740:D4771" si="156" xml:space="preserve"> A4740 * 0.196</f>
        <v>9.7966138714293813E-2</v>
      </c>
      <c r="F4740" s="2" t="s">
        <v>822</v>
      </c>
      <c r="G4740" s="23" t="s">
        <v>902</v>
      </c>
      <c r="H4740" s="2" t="s">
        <v>822</v>
      </c>
      <c r="J4740" s="31">
        <v>64.774597200000002</v>
      </c>
      <c r="K4740" s="31">
        <v>21.8075008</v>
      </c>
      <c r="L4740" s="31"/>
      <c r="M4740" s="31" t="s">
        <v>854</v>
      </c>
      <c r="N4740" s="6" t="s">
        <v>856</v>
      </c>
    </row>
    <row r="4741" spans="1:14" ht="15" customHeight="1" x14ac:dyDescent="0.2">
      <c r="A4741" s="31">
        <v>0.49978044909775682</v>
      </c>
      <c r="B4741" s="31"/>
      <c r="C4741" s="2" t="s">
        <v>855</v>
      </c>
      <c r="D4741" s="31">
        <f t="shared" si="156"/>
        <v>9.795696802316034E-2</v>
      </c>
      <c r="F4741" s="2" t="s">
        <v>822</v>
      </c>
      <c r="G4741" s="23" t="s">
        <v>902</v>
      </c>
      <c r="H4741" s="2" t="s">
        <v>822</v>
      </c>
      <c r="J4741" s="31">
        <v>56.781898499999997</v>
      </c>
      <c r="K4741" s="31">
        <v>-7.0480900000000002</v>
      </c>
      <c r="L4741" s="31"/>
      <c r="M4741" s="31" t="s">
        <v>854</v>
      </c>
      <c r="N4741" s="6" t="s">
        <v>856</v>
      </c>
    </row>
    <row r="4742" spans="1:14" ht="15" customHeight="1" x14ac:dyDescent="0.2">
      <c r="A4742" s="31">
        <v>0.49961658254246111</v>
      </c>
      <c r="B4742" s="31"/>
      <c r="C4742" s="2" t="s">
        <v>855</v>
      </c>
      <c r="D4742" s="31">
        <f t="shared" si="156"/>
        <v>9.7924850178322378E-2</v>
      </c>
      <c r="F4742" s="2" t="s">
        <v>822</v>
      </c>
      <c r="G4742" s="23" t="s">
        <v>902</v>
      </c>
      <c r="H4742" s="2" t="s">
        <v>822</v>
      </c>
      <c r="J4742" s="31">
        <v>44.7909012</v>
      </c>
      <c r="K4742" s="31">
        <v>-25.885400799999999</v>
      </c>
      <c r="L4742" s="31"/>
      <c r="M4742" s="31" t="s">
        <v>854</v>
      </c>
      <c r="N4742" s="6" t="s">
        <v>856</v>
      </c>
    </row>
    <row r="4743" spans="1:14" ht="15" customHeight="1" x14ac:dyDescent="0.2">
      <c r="A4743" s="31">
        <v>0.49916090547039799</v>
      </c>
      <c r="B4743" s="31"/>
      <c r="C4743" s="2" t="s">
        <v>855</v>
      </c>
      <c r="D4743" s="31">
        <f t="shared" si="156"/>
        <v>9.7835537472198003E-2</v>
      </c>
      <c r="F4743" s="2" t="s">
        <v>822</v>
      </c>
      <c r="G4743" s="23" t="s">
        <v>902</v>
      </c>
      <c r="H4743" s="2" t="s">
        <v>822</v>
      </c>
      <c r="J4743" s="31">
        <v>55.608501400000002</v>
      </c>
      <c r="K4743" s="31">
        <v>-6.3549499999999997</v>
      </c>
      <c r="L4743" s="31"/>
      <c r="M4743" s="31" t="s">
        <v>854</v>
      </c>
      <c r="N4743" s="6" t="s">
        <v>856</v>
      </c>
    </row>
    <row r="4744" spans="1:14" ht="15" customHeight="1" x14ac:dyDescent="0.2">
      <c r="A4744" s="31">
        <v>0.49890512710314039</v>
      </c>
      <c r="B4744" s="31"/>
      <c r="C4744" s="2" t="s">
        <v>855</v>
      </c>
      <c r="D4744" s="31">
        <f t="shared" si="156"/>
        <v>9.7785404912215518E-2</v>
      </c>
      <c r="F4744" s="2" t="s">
        <v>822</v>
      </c>
      <c r="G4744" s="23" t="s">
        <v>902</v>
      </c>
      <c r="H4744" s="2" t="s">
        <v>822</v>
      </c>
      <c r="J4744" s="31">
        <v>46.748001100000003</v>
      </c>
      <c r="K4744" s="31">
        <v>-29.200000800000002</v>
      </c>
      <c r="L4744" s="31"/>
      <c r="M4744" s="31" t="s">
        <v>854</v>
      </c>
      <c r="N4744" s="6" t="s">
        <v>856</v>
      </c>
    </row>
    <row r="4745" spans="1:14" ht="15" customHeight="1" x14ac:dyDescent="0.2">
      <c r="A4745" s="31">
        <v>0.49881067063536749</v>
      </c>
      <c r="B4745" s="31"/>
      <c r="C4745" s="2" t="s">
        <v>855</v>
      </c>
      <c r="D4745" s="31">
        <f t="shared" si="156"/>
        <v>9.7766891444532031E-2</v>
      </c>
      <c r="F4745" s="2" t="s">
        <v>822</v>
      </c>
      <c r="G4745" s="23" t="s">
        <v>902</v>
      </c>
      <c r="H4745" s="2" t="s">
        <v>822</v>
      </c>
      <c r="J4745" s="31">
        <v>58.1299019</v>
      </c>
      <c r="K4745" s="31">
        <v>-5.6250099999999996</v>
      </c>
      <c r="L4745" s="31"/>
      <c r="M4745" s="31" t="s">
        <v>854</v>
      </c>
      <c r="N4745" s="6" t="s">
        <v>856</v>
      </c>
    </row>
    <row r="4746" spans="1:14" ht="15" customHeight="1" x14ac:dyDescent="0.2">
      <c r="A4746" s="31">
        <v>0.49865182756676418</v>
      </c>
      <c r="B4746" s="31"/>
      <c r="C4746" s="2" t="s">
        <v>855</v>
      </c>
      <c r="D4746" s="31">
        <f t="shared" si="156"/>
        <v>9.773575820308579E-2</v>
      </c>
      <c r="F4746" s="2" t="s">
        <v>822</v>
      </c>
      <c r="G4746" s="23" t="s">
        <v>902</v>
      </c>
      <c r="H4746" s="2" t="s">
        <v>822</v>
      </c>
      <c r="J4746" s="31">
        <v>55.092800099999998</v>
      </c>
      <c r="K4746" s="31">
        <v>-1.4810099999999999</v>
      </c>
      <c r="L4746" s="31"/>
      <c r="M4746" s="31" t="s">
        <v>854</v>
      </c>
      <c r="N4746" s="6" t="s">
        <v>856</v>
      </c>
    </row>
    <row r="4747" spans="1:14" ht="15" customHeight="1" x14ac:dyDescent="0.2">
      <c r="A4747" s="31">
        <v>0.49861351061666009</v>
      </c>
      <c r="B4747" s="31"/>
      <c r="C4747" s="2" t="s">
        <v>855</v>
      </c>
      <c r="D4747" s="31">
        <f t="shared" si="156"/>
        <v>9.7728248080865388E-2</v>
      </c>
      <c r="F4747" s="2" t="s">
        <v>822</v>
      </c>
      <c r="G4747" s="23" t="s">
        <v>902</v>
      </c>
      <c r="H4747" s="2" t="s">
        <v>822</v>
      </c>
      <c r="J4747" s="31">
        <v>46.546501200000002</v>
      </c>
      <c r="K4747" s="31">
        <v>-10.889200199999999</v>
      </c>
      <c r="L4747" s="31"/>
      <c r="M4747" s="31" t="s">
        <v>854</v>
      </c>
      <c r="N4747" s="6" t="s">
        <v>856</v>
      </c>
    </row>
    <row r="4748" spans="1:14" ht="15" customHeight="1" x14ac:dyDescent="0.2">
      <c r="A4748" s="31">
        <v>0.49778805126587949</v>
      </c>
      <c r="B4748" s="31"/>
      <c r="C4748" s="2" t="s">
        <v>855</v>
      </c>
      <c r="D4748" s="31">
        <f t="shared" si="156"/>
        <v>9.7566458048112384E-2</v>
      </c>
      <c r="F4748" s="2" t="s">
        <v>822</v>
      </c>
      <c r="G4748" s="23" t="s">
        <v>902</v>
      </c>
      <c r="H4748" s="2" t="s">
        <v>822</v>
      </c>
      <c r="J4748" s="31">
        <v>50.598800699999998</v>
      </c>
      <c r="K4748" s="31">
        <v>-24.9475002</v>
      </c>
      <c r="L4748" s="31"/>
      <c r="M4748" s="31" t="s">
        <v>854</v>
      </c>
      <c r="N4748" s="6" t="s">
        <v>856</v>
      </c>
    </row>
    <row r="4749" spans="1:14" ht="15" customHeight="1" x14ac:dyDescent="0.2">
      <c r="A4749" s="31">
        <v>0.49772225932542308</v>
      </c>
      <c r="B4749" s="31"/>
      <c r="C4749" s="2" t="s">
        <v>855</v>
      </c>
      <c r="D4749" s="31">
        <f t="shared" si="156"/>
        <v>9.7553562827782922E-2</v>
      </c>
      <c r="F4749" s="2" t="s">
        <v>822</v>
      </c>
      <c r="G4749" s="23" t="s">
        <v>902</v>
      </c>
      <c r="H4749" s="2" t="s">
        <v>822</v>
      </c>
      <c r="J4749" s="31">
        <v>36.060600299999997</v>
      </c>
      <c r="K4749" s="31">
        <v>-21.851400399999999</v>
      </c>
      <c r="L4749" s="31"/>
      <c r="M4749" s="31" t="s">
        <v>854</v>
      </c>
      <c r="N4749" s="6" t="s">
        <v>856</v>
      </c>
    </row>
    <row r="4750" spans="1:14" ht="15" customHeight="1" x14ac:dyDescent="0.2">
      <c r="A4750" s="31">
        <v>0.49769473955126142</v>
      </c>
      <c r="B4750" s="31"/>
      <c r="C4750" s="2" t="s">
        <v>855</v>
      </c>
      <c r="D4750" s="31">
        <f t="shared" si="156"/>
        <v>9.7548168952047237E-2</v>
      </c>
      <c r="F4750" s="2" t="s">
        <v>822</v>
      </c>
      <c r="G4750" s="23" t="s">
        <v>902</v>
      </c>
      <c r="H4750" s="2" t="s">
        <v>822</v>
      </c>
      <c r="J4750" s="31">
        <v>50.284500100000002</v>
      </c>
      <c r="K4750" s="31">
        <v>-0.46420600000000001</v>
      </c>
      <c r="L4750" s="31"/>
      <c r="M4750" s="31" t="s">
        <v>854</v>
      </c>
      <c r="N4750" s="6" t="s">
        <v>856</v>
      </c>
    </row>
    <row r="4751" spans="1:14" ht="15" customHeight="1" x14ac:dyDescent="0.2">
      <c r="A4751" s="31">
        <v>0.49766045301021711</v>
      </c>
      <c r="B4751" s="31"/>
      <c r="C4751" s="2" t="s">
        <v>855</v>
      </c>
      <c r="D4751" s="31">
        <f t="shared" si="156"/>
        <v>9.7541448790002552E-2</v>
      </c>
      <c r="F4751" s="2" t="s">
        <v>822</v>
      </c>
      <c r="G4751" s="23" t="s">
        <v>902</v>
      </c>
      <c r="H4751" s="2" t="s">
        <v>822</v>
      </c>
      <c r="J4751" s="31">
        <v>28.181600599999999</v>
      </c>
      <c r="K4751" s="31">
        <v>-27.1529007</v>
      </c>
      <c r="L4751" s="31"/>
      <c r="M4751" s="31" t="s">
        <v>854</v>
      </c>
      <c r="N4751" s="6" t="s">
        <v>856</v>
      </c>
    </row>
    <row r="4752" spans="1:14" ht="15" customHeight="1" x14ac:dyDescent="0.2">
      <c r="A4752" s="31">
        <v>0.49765243830372058</v>
      </c>
      <c r="B4752" s="31"/>
      <c r="C4752" s="2" t="s">
        <v>855</v>
      </c>
      <c r="D4752" s="31">
        <f t="shared" si="156"/>
        <v>9.7539877907529243E-2</v>
      </c>
      <c r="F4752" s="2" t="s">
        <v>822</v>
      </c>
      <c r="G4752" s="23" t="s">
        <v>902</v>
      </c>
      <c r="H4752" s="2" t="s">
        <v>822</v>
      </c>
      <c r="J4752" s="31">
        <v>45.411998699999998</v>
      </c>
      <c r="K4752" s="31">
        <v>-29.867999999999999</v>
      </c>
      <c r="L4752" s="31"/>
      <c r="M4752" s="31" t="s">
        <v>854</v>
      </c>
      <c r="N4752" s="6" t="s">
        <v>856</v>
      </c>
    </row>
    <row r="4753" spans="1:14" ht="15" customHeight="1" x14ac:dyDescent="0.2">
      <c r="A4753" s="31">
        <v>0.4976416545607969</v>
      </c>
      <c r="B4753" s="31"/>
      <c r="C4753" s="2" t="s">
        <v>855</v>
      </c>
      <c r="D4753" s="31">
        <f t="shared" si="156"/>
        <v>9.7537764293916196E-2</v>
      </c>
      <c r="F4753" s="2" t="s">
        <v>822</v>
      </c>
      <c r="G4753" s="23" t="s">
        <v>902</v>
      </c>
      <c r="H4753" s="2" t="s">
        <v>822</v>
      </c>
      <c r="J4753" s="31">
        <v>59.129600500000002</v>
      </c>
      <c r="K4753" s="31">
        <v>-6.3331599000000001</v>
      </c>
      <c r="L4753" s="31"/>
      <c r="M4753" s="31" t="s">
        <v>854</v>
      </c>
      <c r="N4753" s="6" t="s">
        <v>856</v>
      </c>
    </row>
    <row r="4754" spans="1:14" ht="15" customHeight="1" x14ac:dyDescent="0.2">
      <c r="A4754" s="31">
        <v>0.49758383304036191</v>
      </c>
      <c r="B4754" s="31"/>
      <c r="C4754" s="2" t="s">
        <v>855</v>
      </c>
      <c r="D4754" s="31">
        <f t="shared" si="156"/>
        <v>9.7526431275910944E-2</v>
      </c>
      <c r="F4754" s="2" t="s">
        <v>822</v>
      </c>
      <c r="G4754" s="23" t="s">
        <v>902</v>
      </c>
      <c r="H4754" s="2" t="s">
        <v>822</v>
      </c>
      <c r="J4754" s="31">
        <v>49.419998200000002</v>
      </c>
      <c r="K4754" s="31">
        <v>-21.851999299999999</v>
      </c>
      <c r="L4754" s="31"/>
      <c r="M4754" s="31" t="s">
        <v>854</v>
      </c>
      <c r="N4754" s="6" t="s">
        <v>856</v>
      </c>
    </row>
    <row r="4755" spans="1:14" ht="15" customHeight="1" x14ac:dyDescent="0.2">
      <c r="A4755" s="31">
        <v>0.49730971778775512</v>
      </c>
      <c r="B4755" s="31"/>
      <c r="C4755" s="2" t="s">
        <v>855</v>
      </c>
      <c r="D4755" s="31">
        <f t="shared" si="156"/>
        <v>9.7472704686400014E-2</v>
      </c>
      <c r="F4755" s="2" t="s">
        <v>822</v>
      </c>
      <c r="G4755" s="23" t="s">
        <v>902</v>
      </c>
      <c r="H4755" s="2" t="s">
        <v>822</v>
      </c>
      <c r="J4755" s="31">
        <v>48.083999599999999</v>
      </c>
      <c r="K4755" s="31">
        <v>-19.847999600000001</v>
      </c>
      <c r="L4755" s="31"/>
      <c r="M4755" s="31" t="s">
        <v>854</v>
      </c>
      <c r="N4755" s="6" t="s">
        <v>856</v>
      </c>
    </row>
    <row r="4756" spans="1:14" ht="15" customHeight="1" x14ac:dyDescent="0.2">
      <c r="A4756" s="31">
        <v>0.49729865924294808</v>
      </c>
      <c r="B4756" s="31"/>
      <c r="C4756" s="2" t="s">
        <v>855</v>
      </c>
      <c r="D4756" s="31">
        <f t="shared" si="156"/>
        <v>9.747053721161783E-2</v>
      </c>
      <c r="F4756" s="2" t="s">
        <v>822</v>
      </c>
      <c r="G4756" s="23" t="s">
        <v>902</v>
      </c>
      <c r="H4756" s="2" t="s">
        <v>822</v>
      </c>
      <c r="J4756" s="31">
        <v>39.276699100000002</v>
      </c>
      <c r="K4756" s="31">
        <v>26.6040001</v>
      </c>
      <c r="L4756" s="31"/>
      <c r="M4756" s="31" t="s">
        <v>854</v>
      </c>
      <c r="N4756" s="6" t="s">
        <v>856</v>
      </c>
    </row>
    <row r="4757" spans="1:14" ht="15" customHeight="1" x14ac:dyDescent="0.2">
      <c r="A4757" s="31">
        <v>0.49726343264600131</v>
      </c>
      <c r="B4757" s="31"/>
      <c r="C4757" s="2" t="s">
        <v>855</v>
      </c>
      <c r="D4757" s="31">
        <f t="shared" si="156"/>
        <v>9.7463632798616265E-2</v>
      </c>
      <c r="F4757" s="2" t="s">
        <v>822</v>
      </c>
      <c r="G4757" s="23" t="s">
        <v>902</v>
      </c>
      <c r="H4757" s="2" t="s">
        <v>822</v>
      </c>
      <c r="J4757" s="31">
        <v>45.411998699999998</v>
      </c>
      <c r="K4757" s="31">
        <v>-14.5039997</v>
      </c>
      <c r="L4757" s="31"/>
      <c r="M4757" s="31" t="s">
        <v>854</v>
      </c>
      <c r="N4757" s="6" t="s">
        <v>856</v>
      </c>
    </row>
    <row r="4758" spans="1:14" ht="15" customHeight="1" x14ac:dyDescent="0.2">
      <c r="A4758" s="31">
        <v>0.49725841009624888</v>
      </c>
      <c r="B4758" s="31"/>
      <c r="C4758" s="2" t="s">
        <v>855</v>
      </c>
      <c r="D4758" s="31">
        <f t="shared" si="156"/>
        <v>9.7462648378864786E-2</v>
      </c>
      <c r="F4758" s="2" t="s">
        <v>822</v>
      </c>
      <c r="G4758" s="23" t="s">
        <v>902</v>
      </c>
      <c r="H4758" s="2" t="s">
        <v>822</v>
      </c>
      <c r="J4758" s="31">
        <v>55.750400499999998</v>
      </c>
      <c r="K4758" s="31">
        <v>-7.0247202</v>
      </c>
      <c r="L4758" s="31"/>
      <c r="M4758" s="31" t="s">
        <v>854</v>
      </c>
      <c r="N4758" s="6" t="s">
        <v>856</v>
      </c>
    </row>
    <row r="4759" spans="1:14" ht="15" customHeight="1" x14ac:dyDescent="0.2">
      <c r="A4759" s="31">
        <v>0.49717428350418552</v>
      </c>
      <c r="B4759" s="31"/>
      <c r="C4759" s="2" t="s">
        <v>855</v>
      </c>
      <c r="D4759" s="31">
        <f t="shared" si="156"/>
        <v>9.7446159566820373E-2</v>
      </c>
      <c r="F4759" s="2" t="s">
        <v>822</v>
      </c>
      <c r="G4759" s="23" t="s">
        <v>902</v>
      </c>
      <c r="H4759" s="2" t="s">
        <v>822</v>
      </c>
      <c r="J4759" s="31">
        <v>57.710201300000001</v>
      </c>
      <c r="K4759" s="31">
        <v>9.8608598999999995</v>
      </c>
      <c r="L4759" s="31"/>
      <c r="M4759" s="31" t="s">
        <v>854</v>
      </c>
      <c r="N4759" s="6" t="s">
        <v>856</v>
      </c>
    </row>
    <row r="4760" spans="1:14" ht="15" customHeight="1" x14ac:dyDescent="0.2">
      <c r="A4760" s="31">
        <v>0.49699555279195301</v>
      </c>
      <c r="B4760" s="31"/>
      <c r="C4760" s="2" t="s">
        <v>855</v>
      </c>
      <c r="D4760" s="31">
        <f t="shared" si="156"/>
        <v>9.7411128347222792E-2</v>
      </c>
      <c r="F4760" s="2" t="s">
        <v>822</v>
      </c>
      <c r="G4760" s="23" t="s">
        <v>902</v>
      </c>
      <c r="H4760" s="2" t="s">
        <v>822</v>
      </c>
      <c r="J4760" s="31">
        <v>53.468498199999999</v>
      </c>
      <c r="K4760" s="31">
        <v>5.3422799000000003</v>
      </c>
      <c r="L4760" s="31"/>
      <c r="M4760" s="31" t="s">
        <v>854</v>
      </c>
      <c r="N4760" s="6" t="s">
        <v>856</v>
      </c>
    </row>
    <row r="4761" spans="1:14" ht="15" customHeight="1" x14ac:dyDescent="0.2">
      <c r="A4761" s="31">
        <v>0.49692610253824621</v>
      </c>
      <c r="B4761" s="31"/>
      <c r="C4761" s="2" t="s">
        <v>855</v>
      </c>
      <c r="D4761" s="31">
        <f t="shared" si="156"/>
        <v>9.7397516097496264E-2</v>
      </c>
      <c r="F4761" s="2" t="s">
        <v>822</v>
      </c>
      <c r="G4761" s="23" t="s">
        <v>902</v>
      </c>
      <c r="H4761" s="2" t="s">
        <v>822</v>
      </c>
      <c r="J4761" s="31">
        <v>52.351100899999999</v>
      </c>
      <c r="K4761" s="31">
        <v>-15.7672005</v>
      </c>
      <c r="L4761" s="31"/>
      <c r="M4761" s="31" t="s">
        <v>854</v>
      </c>
      <c r="N4761" s="6" t="s">
        <v>856</v>
      </c>
    </row>
    <row r="4762" spans="1:14" ht="15" customHeight="1" x14ac:dyDescent="0.2">
      <c r="A4762" s="31">
        <v>0.4968830027468461</v>
      </c>
      <c r="B4762" s="31"/>
      <c r="C4762" s="2" t="s">
        <v>855</v>
      </c>
      <c r="D4762" s="31">
        <f t="shared" si="156"/>
        <v>9.7389068538381834E-2</v>
      </c>
      <c r="F4762" s="2" t="s">
        <v>822</v>
      </c>
      <c r="G4762" s="23" t="s">
        <v>902</v>
      </c>
      <c r="H4762" s="2" t="s">
        <v>822</v>
      </c>
      <c r="J4762" s="31">
        <v>48.083999599999999</v>
      </c>
      <c r="K4762" s="31">
        <v>-30.5359993</v>
      </c>
      <c r="L4762" s="31"/>
      <c r="M4762" s="31" t="s">
        <v>854</v>
      </c>
      <c r="N4762" s="6" t="s">
        <v>856</v>
      </c>
    </row>
    <row r="4763" spans="1:14" ht="15" customHeight="1" x14ac:dyDescent="0.2">
      <c r="A4763" s="31">
        <v>0.49687734204137929</v>
      </c>
      <c r="B4763" s="31"/>
      <c r="C4763" s="2" t="s">
        <v>855</v>
      </c>
      <c r="D4763" s="31">
        <f t="shared" si="156"/>
        <v>9.7387959040110342E-2</v>
      </c>
      <c r="F4763" s="2" t="s">
        <v>822</v>
      </c>
      <c r="G4763" s="23" t="s">
        <v>902</v>
      </c>
      <c r="H4763" s="2" t="s">
        <v>822</v>
      </c>
      <c r="J4763" s="31">
        <v>38.084598499999998</v>
      </c>
      <c r="K4763" s="31">
        <v>12.9552002</v>
      </c>
      <c r="L4763" s="31"/>
      <c r="M4763" s="31" t="s">
        <v>854</v>
      </c>
      <c r="N4763" s="6" t="s">
        <v>856</v>
      </c>
    </row>
    <row r="4764" spans="1:14" ht="15" customHeight="1" x14ac:dyDescent="0.2">
      <c r="A4764" s="31">
        <v>0.4966946027916247</v>
      </c>
      <c r="B4764" s="31"/>
      <c r="C4764" s="2" t="s">
        <v>855</v>
      </c>
      <c r="D4764" s="31">
        <f t="shared" si="156"/>
        <v>9.7352142147158441E-2</v>
      </c>
      <c r="F4764" s="2" t="s">
        <v>822</v>
      </c>
      <c r="G4764" s="23" t="s">
        <v>902</v>
      </c>
      <c r="H4764" s="2" t="s">
        <v>822</v>
      </c>
      <c r="J4764" s="31">
        <v>45.411998699999998</v>
      </c>
      <c r="K4764" s="31">
        <v>-30.5359993</v>
      </c>
      <c r="L4764" s="31"/>
      <c r="M4764" s="31" t="s">
        <v>854</v>
      </c>
      <c r="N4764" s="6" t="s">
        <v>856</v>
      </c>
    </row>
    <row r="4765" spans="1:14" ht="15" customHeight="1" x14ac:dyDescent="0.2">
      <c r="A4765" s="31">
        <v>0.4962214326899142</v>
      </c>
      <c r="B4765" s="31"/>
      <c r="C4765" s="2" t="s">
        <v>855</v>
      </c>
      <c r="D4765" s="31">
        <f t="shared" si="156"/>
        <v>9.7259400807223187E-2</v>
      </c>
      <c r="F4765" s="2" t="s">
        <v>822</v>
      </c>
      <c r="G4765" s="23" t="s">
        <v>902</v>
      </c>
      <c r="H4765" s="2" t="s">
        <v>822</v>
      </c>
      <c r="J4765" s="31">
        <v>53.522899600000002</v>
      </c>
      <c r="K4765" s="31">
        <v>-3.8736199999999998</v>
      </c>
      <c r="L4765" s="31"/>
      <c r="M4765" s="31" t="s">
        <v>854</v>
      </c>
      <c r="N4765" s="6" t="s">
        <v>856</v>
      </c>
    </row>
    <row r="4766" spans="1:14" ht="15" customHeight="1" x14ac:dyDescent="0.2">
      <c r="A4766" s="31">
        <v>0.49578639723799739</v>
      </c>
      <c r="B4766" s="31"/>
      <c r="C4766" s="2" t="s">
        <v>855</v>
      </c>
      <c r="D4766" s="31">
        <f t="shared" si="156"/>
        <v>9.7174133858647496E-2</v>
      </c>
      <c r="F4766" s="2" t="s">
        <v>822</v>
      </c>
      <c r="G4766" s="23" t="s">
        <v>902</v>
      </c>
      <c r="H4766" s="2" t="s">
        <v>822</v>
      </c>
      <c r="J4766" s="31">
        <v>27.375999499999999</v>
      </c>
      <c r="K4766" s="31">
        <v>-32.540000900000003</v>
      </c>
      <c r="L4766" s="31"/>
      <c r="M4766" s="31" t="s">
        <v>854</v>
      </c>
      <c r="N4766" s="6" t="s">
        <v>856</v>
      </c>
    </row>
    <row r="4767" spans="1:14" ht="15" customHeight="1" x14ac:dyDescent="0.2">
      <c r="A4767" s="31">
        <v>0.49563039879518261</v>
      </c>
      <c r="B4767" s="31"/>
      <c r="C4767" s="2" t="s">
        <v>855</v>
      </c>
      <c r="D4767" s="31">
        <f t="shared" si="156"/>
        <v>9.7143558163855795E-2</v>
      </c>
      <c r="F4767" s="2" t="s">
        <v>822</v>
      </c>
      <c r="G4767" s="23" t="s">
        <v>902</v>
      </c>
      <c r="H4767" s="2" t="s">
        <v>822</v>
      </c>
      <c r="J4767" s="31">
        <v>58.793098399999998</v>
      </c>
      <c r="K4767" s="31">
        <v>-3.1202700000000001</v>
      </c>
      <c r="L4767" s="31"/>
      <c r="M4767" s="31" t="s">
        <v>854</v>
      </c>
      <c r="N4767" s="6" t="s">
        <v>856</v>
      </c>
    </row>
    <row r="4768" spans="1:14" ht="15" customHeight="1" x14ac:dyDescent="0.2">
      <c r="A4768" s="31">
        <v>0.49545818984176271</v>
      </c>
      <c r="B4768" s="31"/>
      <c r="C4768" s="2" t="s">
        <v>855</v>
      </c>
      <c r="D4768" s="31">
        <f t="shared" si="156"/>
        <v>9.7109805208985489E-2</v>
      </c>
      <c r="F4768" s="2" t="s">
        <v>822</v>
      </c>
      <c r="G4768" s="23" t="s">
        <v>902</v>
      </c>
      <c r="H4768" s="2" t="s">
        <v>822</v>
      </c>
      <c r="J4768" s="31">
        <v>54.469200100000002</v>
      </c>
      <c r="K4768" s="31">
        <v>-9.7603302000000003</v>
      </c>
      <c r="L4768" s="31"/>
      <c r="M4768" s="31" t="s">
        <v>854</v>
      </c>
      <c r="N4768" s="6" t="s">
        <v>856</v>
      </c>
    </row>
    <row r="4769" spans="1:14" ht="15" customHeight="1" x14ac:dyDescent="0.2">
      <c r="A4769" s="31">
        <v>0.49539177228234621</v>
      </c>
      <c r="B4769" s="31"/>
      <c r="C4769" s="2" t="s">
        <v>855</v>
      </c>
      <c r="D4769" s="31">
        <f t="shared" si="156"/>
        <v>9.7096787367339857E-2</v>
      </c>
      <c r="F4769" s="2" t="s">
        <v>822</v>
      </c>
      <c r="G4769" s="23" t="s">
        <v>902</v>
      </c>
      <c r="H4769" s="2" t="s">
        <v>822</v>
      </c>
      <c r="J4769" s="31">
        <v>63.717601799999997</v>
      </c>
      <c r="K4769" s="31">
        <v>-23.856000900000002</v>
      </c>
      <c r="L4769" s="31"/>
      <c r="M4769" s="31" t="s">
        <v>854</v>
      </c>
      <c r="N4769" s="6" t="s">
        <v>856</v>
      </c>
    </row>
    <row r="4770" spans="1:14" ht="15" customHeight="1" x14ac:dyDescent="0.2">
      <c r="A4770" s="31">
        <v>0.49525364807009531</v>
      </c>
      <c r="B4770" s="31"/>
      <c r="C4770" s="2" t="s">
        <v>855</v>
      </c>
      <c r="D4770" s="31">
        <f t="shared" si="156"/>
        <v>9.7069715021738681E-2</v>
      </c>
      <c r="F4770" s="2" t="s">
        <v>822</v>
      </c>
      <c r="G4770" s="23" t="s">
        <v>902</v>
      </c>
      <c r="H4770" s="2" t="s">
        <v>822</v>
      </c>
      <c r="J4770" s="31">
        <v>50.185100599999998</v>
      </c>
      <c r="K4770" s="31">
        <v>-4.8864001999999997</v>
      </c>
      <c r="L4770" s="31"/>
      <c r="M4770" s="31" t="s">
        <v>854</v>
      </c>
      <c r="N4770" s="6" t="s">
        <v>856</v>
      </c>
    </row>
    <row r="4771" spans="1:14" ht="15" customHeight="1" x14ac:dyDescent="0.2">
      <c r="A4771" s="31">
        <v>0.49516056242212492</v>
      </c>
      <c r="B4771" s="31"/>
      <c r="C4771" s="2" t="s">
        <v>855</v>
      </c>
      <c r="D4771" s="31">
        <f t="shared" si="156"/>
        <v>9.7051470234736481E-2</v>
      </c>
      <c r="F4771" s="2" t="s">
        <v>822</v>
      </c>
      <c r="G4771" s="23" t="s">
        <v>902</v>
      </c>
      <c r="H4771" s="2" t="s">
        <v>822</v>
      </c>
      <c r="J4771" s="31">
        <v>52.759998299999999</v>
      </c>
      <c r="K4771" s="31">
        <v>-25.1919994</v>
      </c>
      <c r="L4771" s="31"/>
      <c r="M4771" s="31" t="s">
        <v>854</v>
      </c>
      <c r="N4771" s="6" t="s">
        <v>856</v>
      </c>
    </row>
    <row r="4772" spans="1:14" ht="15" customHeight="1" x14ac:dyDescent="0.2">
      <c r="A4772" s="31">
        <v>0.49494595429999538</v>
      </c>
      <c r="B4772" s="31"/>
      <c r="C4772" s="2" t="s">
        <v>855</v>
      </c>
      <c r="D4772" s="31">
        <f t="shared" ref="D4772:D4786" si="157" xml:space="preserve"> A4772 * 0.196</f>
        <v>9.7009407042799103E-2</v>
      </c>
      <c r="F4772" s="2" t="s">
        <v>822</v>
      </c>
      <c r="G4772" s="23" t="s">
        <v>902</v>
      </c>
      <c r="H4772" s="2" t="s">
        <v>822</v>
      </c>
      <c r="J4772" s="31">
        <v>43.030601500000003</v>
      </c>
      <c r="K4772" s="31">
        <v>13.873800299999999</v>
      </c>
      <c r="L4772" s="31"/>
      <c r="M4772" s="31" t="s">
        <v>854</v>
      </c>
      <c r="N4772" s="6" t="s">
        <v>856</v>
      </c>
    </row>
    <row r="4773" spans="1:14" ht="15" customHeight="1" x14ac:dyDescent="0.2">
      <c r="A4773" s="31">
        <v>0.49494227952295572</v>
      </c>
      <c r="B4773" s="31"/>
      <c r="C4773" s="2" t="s">
        <v>855</v>
      </c>
      <c r="D4773" s="31">
        <f t="shared" si="157"/>
        <v>9.7008686786499321E-2</v>
      </c>
      <c r="F4773" s="2" t="s">
        <v>822</v>
      </c>
      <c r="G4773" s="23" t="s">
        <v>902</v>
      </c>
      <c r="H4773" s="2" t="s">
        <v>822</v>
      </c>
      <c r="J4773" s="31">
        <v>54.541599300000001</v>
      </c>
      <c r="K4773" s="31">
        <v>5.5359997999999999</v>
      </c>
      <c r="L4773" s="31"/>
      <c r="M4773" s="31" t="s">
        <v>854</v>
      </c>
      <c r="N4773" s="6" t="s">
        <v>856</v>
      </c>
    </row>
    <row r="4774" spans="1:14" ht="15" customHeight="1" x14ac:dyDescent="0.2">
      <c r="A4774" s="31">
        <v>0.49482749869366183</v>
      </c>
      <c r="B4774" s="31"/>
      <c r="C4774" s="2" t="s">
        <v>855</v>
      </c>
      <c r="D4774" s="31">
        <f t="shared" si="157"/>
        <v>9.6986189743957715E-2</v>
      </c>
      <c r="F4774" s="2" t="s">
        <v>822</v>
      </c>
      <c r="G4774" s="23" t="s">
        <v>902</v>
      </c>
      <c r="H4774" s="2" t="s">
        <v>822</v>
      </c>
      <c r="J4774" s="31">
        <v>52.759998299999999</v>
      </c>
      <c r="K4774" s="31">
        <v>3.5518401000000002</v>
      </c>
      <c r="L4774" s="31"/>
      <c r="M4774" s="31" t="s">
        <v>854</v>
      </c>
      <c r="N4774" s="6" t="s">
        <v>856</v>
      </c>
    </row>
    <row r="4775" spans="1:14" ht="15" customHeight="1" x14ac:dyDescent="0.2">
      <c r="A4775" s="31">
        <v>0.49475484818456311</v>
      </c>
      <c r="B4775" s="31"/>
      <c r="C4775" s="2" t="s">
        <v>855</v>
      </c>
      <c r="D4775" s="31">
        <f t="shared" si="157"/>
        <v>9.6971950244174376E-2</v>
      </c>
      <c r="F4775" s="2" t="s">
        <v>822</v>
      </c>
      <c r="G4775" s="23" t="s">
        <v>902</v>
      </c>
      <c r="H4775" s="2" t="s">
        <v>822</v>
      </c>
      <c r="J4775" s="31">
        <v>46.080001799999998</v>
      </c>
      <c r="K4775" s="31">
        <v>-33.208000200000001</v>
      </c>
      <c r="L4775" s="31"/>
      <c r="M4775" s="31" t="s">
        <v>854</v>
      </c>
      <c r="N4775" s="6" t="s">
        <v>856</v>
      </c>
    </row>
    <row r="4776" spans="1:14" ht="15" customHeight="1" x14ac:dyDescent="0.2">
      <c r="A4776" s="31">
        <v>0.49472522996017942</v>
      </c>
      <c r="B4776" s="31"/>
      <c r="C4776" s="2" t="s">
        <v>855</v>
      </c>
      <c r="D4776" s="31">
        <f t="shared" si="157"/>
        <v>9.696614507219517E-2</v>
      </c>
      <c r="F4776" s="2" t="s">
        <v>822</v>
      </c>
      <c r="G4776" s="23" t="s">
        <v>902</v>
      </c>
      <c r="H4776" s="2" t="s">
        <v>822</v>
      </c>
      <c r="J4776" s="31">
        <v>54.3832016</v>
      </c>
      <c r="K4776" s="31">
        <v>10.656999600000001</v>
      </c>
      <c r="L4776" s="31"/>
      <c r="M4776" s="31" t="s">
        <v>854</v>
      </c>
      <c r="N4776" s="6" t="s">
        <v>856</v>
      </c>
    </row>
    <row r="4777" spans="1:14" ht="15" customHeight="1" x14ac:dyDescent="0.2">
      <c r="A4777" s="31">
        <v>0.49409211019070631</v>
      </c>
      <c r="B4777" s="31"/>
      <c r="C4777" s="2" t="s">
        <v>855</v>
      </c>
      <c r="D4777" s="31">
        <f t="shared" si="157"/>
        <v>9.6842053597378436E-2</v>
      </c>
      <c r="F4777" s="2" t="s">
        <v>822</v>
      </c>
      <c r="G4777" s="23" t="s">
        <v>902</v>
      </c>
      <c r="H4777" s="2" t="s">
        <v>822</v>
      </c>
      <c r="J4777" s="31">
        <v>55.972400700000001</v>
      </c>
      <c r="K4777" s="31">
        <v>-2.0040499999999999</v>
      </c>
      <c r="L4777" s="31"/>
      <c r="M4777" s="31" t="s">
        <v>854</v>
      </c>
      <c r="N4777" s="6" t="s">
        <v>856</v>
      </c>
    </row>
    <row r="4778" spans="1:14" ht="15" customHeight="1" x14ac:dyDescent="0.2">
      <c r="A4778" s="31">
        <v>0.49386229896788481</v>
      </c>
      <c r="B4778" s="31"/>
      <c r="C4778" s="2" t="s">
        <v>855</v>
      </c>
      <c r="D4778" s="31">
        <f t="shared" si="157"/>
        <v>9.679701059770543E-2</v>
      </c>
      <c r="F4778" s="2" t="s">
        <v>822</v>
      </c>
      <c r="G4778" s="23" t="s">
        <v>902</v>
      </c>
      <c r="H4778" s="2" t="s">
        <v>822</v>
      </c>
      <c r="J4778" s="31">
        <v>50.611598999999998</v>
      </c>
      <c r="K4778" s="31">
        <v>-22.467699100000001</v>
      </c>
      <c r="L4778" s="31"/>
      <c r="M4778" s="31" t="s">
        <v>854</v>
      </c>
      <c r="N4778" s="6" t="s">
        <v>856</v>
      </c>
    </row>
    <row r="4779" spans="1:14" ht="15" customHeight="1" x14ac:dyDescent="0.2">
      <c r="A4779" s="31">
        <v>0.49380717045987949</v>
      </c>
      <c r="B4779" s="31"/>
      <c r="C4779" s="2" t="s">
        <v>855</v>
      </c>
      <c r="D4779" s="31">
        <f t="shared" si="157"/>
        <v>9.6786205410136383E-2</v>
      </c>
      <c r="F4779" s="2" t="s">
        <v>822</v>
      </c>
      <c r="G4779" s="23" t="s">
        <v>902</v>
      </c>
      <c r="H4779" s="2" t="s">
        <v>822</v>
      </c>
      <c r="J4779" s="31">
        <v>32.051998099999999</v>
      </c>
      <c r="K4779" s="31">
        <v>-37.883998900000002</v>
      </c>
      <c r="L4779" s="31"/>
      <c r="M4779" s="31" t="s">
        <v>854</v>
      </c>
      <c r="N4779" s="6" t="s">
        <v>856</v>
      </c>
    </row>
    <row r="4780" spans="1:14" ht="15" customHeight="1" x14ac:dyDescent="0.2">
      <c r="A4780" s="31">
        <v>0.49357481689534238</v>
      </c>
      <c r="B4780" s="31"/>
      <c r="C4780" s="2" t="s">
        <v>855</v>
      </c>
      <c r="D4780" s="31">
        <f t="shared" si="157"/>
        <v>9.6740664111487115E-2</v>
      </c>
      <c r="F4780" s="2" t="s">
        <v>822</v>
      </c>
      <c r="G4780" s="23" t="s">
        <v>902</v>
      </c>
      <c r="H4780" s="2" t="s">
        <v>822</v>
      </c>
      <c r="J4780" s="31">
        <v>56.544498400000002</v>
      </c>
      <c r="K4780" s="31">
        <v>4.9039102000000003</v>
      </c>
      <c r="L4780" s="31"/>
      <c r="M4780" s="31" t="s">
        <v>854</v>
      </c>
      <c r="N4780" s="6" t="s">
        <v>856</v>
      </c>
    </row>
    <row r="4781" spans="1:14" ht="15" customHeight="1" x14ac:dyDescent="0.2">
      <c r="A4781" s="31">
        <v>0.49354413597646962</v>
      </c>
      <c r="B4781" s="31"/>
      <c r="C4781" s="2" t="s">
        <v>855</v>
      </c>
      <c r="D4781" s="31">
        <f t="shared" si="157"/>
        <v>9.6734650651388046E-2</v>
      </c>
      <c r="F4781" s="2" t="s">
        <v>822</v>
      </c>
      <c r="G4781" s="23" t="s">
        <v>902</v>
      </c>
      <c r="H4781" s="2" t="s">
        <v>822</v>
      </c>
      <c r="J4781" s="31">
        <v>54.8755989</v>
      </c>
      <c r="K4781" s="31">
        <v>5.6788401999999998</v>
      </c>
      <c r="L4781" s="31"/>
      <c r="M4781" s="31" t="s">
        <v>854</v>
      </c>
      <c r="N4781" s="6" t="s">
        <v>856</v>
      </c>
    </row>
    <row r="4782" spans="1:14" ht="15" customHeight="1" x14ac:dyDescent="0.2">
      <c r="A4782" s="31">
        <v>0.49293061078565847</v>
      </c>
      <c r="B4782" s="31"/>
      <c r="C4782" s="2" t="s">
        <v>855</v>
      </c>
      <c r="D4782" s="31">
        <f t="shared" si="157"/>
        <v>9.6614399713989066E-2</v>
      </c>
      <c r="F4782" s="2" t="s">
        <v>822</v>
      </c>
      <c r="G4782" s="23" t="s">
        <v>902</v>
      </c>
      <c r="H4782" s="2" t="s">
        <v>822</v>
      </c>
      <c r="J4782" s="31">
        <v>54.096000699999998</v>
      </c>
      <c r="K4782" s="31">
        <v>-15.8400002</v>
      </c>
      <c r="L4782" s="31"/>
      <c r="M4782" s="31" t="s">
        <v>854</v>
      </c>
      <c r="N4782" s="6" t="s">
        <v>856</v>
      </c>
    </row>
    <row r="4783" spans="1:14" ht="15" customHeight="1" x14ac:dyDescent="0.2">
      <c r="A4783" s="31">
        <v>0.49197618523065739</v>
      </c>
      <c r="B4783" s="31"/>
      <c r="C4783" s="2" t="s">
        <v>855</v>
      </c>
      <c r="D4783" s="31">
        <f t="shared" si="157"/>
        <v>9.6427332305208849E-2</v>
      </c>
      <c r="F4783" s="2" t="s">
        <v>822</v>
      </c>
      <c r="G4783" s="23" t="s">
        <v>902</v>
      </c>
      <c r="H4783" s="2" t="s">
        <v>822</v>
      </c>
      <c r="J4783" s="31">
        <v>48.751998899999997</v>
      </c>
      <c r="K4783" s="31">
        <v>-15.8400002</v>
      </c>
      <c r="L4783" s="31"/>
      <c r="M4783" s="31" t="s">
        <v>854</v>
      </c>
      <c r="N4783" s="6" t="s">
        <v>856</v>
      </c>
    </row>
    <row r="4784" spans="1:14" ht="15" customHeight="1" x14ac:dyDescent="0.2">
      <c r="A4784" s="31">
        <v>0.49191080072669952</v>
      </c>
      <c r="B4784" s="31"/>
      <c r="C4784" s="2" t="s">
        <v>855</v>
      </c>
      <c r="D4784" s="31">
        <f t="shared" si="157"/>
        <v>9.6414516942433109E-2</v>
      </c>
      <c r="F4784" s="2" t="s">
        <v>822</v>
      </c>
      <c r="G4784" s="23" t="s">
        <v>902</v>
      </c>
      <c r="H4784" s="2" t="s">
        <v>822</v>
      </c>
      <c r="J4784" s="31">
        <v>55.4457016</v>
      </c>
      <c r="K4784" s="31">
        <v>-12.4813004</v>
      </c>
      <c r="L4784" s="31"/>
      <c r="M4784" s="31" t="s">
        <v>854</v>
      </c>
      <c r="N4784" s="6" t="s">
        <v>856</v>
      </c>
    </row>
    <row r="4785" spans="1:14" ht="15" customHeight="1" x14ac:dyDescent="0.2">
      <c r="A4785" s="31">
        <v>0.49185022640321419</v>
      </c>
      <c r="B4785" s="31"/>
      <c r="C4785" s="2" t="s">
        <v>855</v>
      </c>
      <c r="D4785" s="31">
        <f t="shared" si="157"/>
        <v>9.6402644375029989E-2</v>
      </c>
      <c r="F4785" s="2" t="s">
        <v>822</v>
      </c>
      <c r="G4785" s="23" t="s">
        <v>902</v>
      </c>
      <c r="H4785" s="2" t="s">
        <v>822</v>
      </c>
      <c r="J4785" s="31">
        <v>52.759998299999999</v>
      </c>
      <c r="K4785" s="31">
        <v>-25.860000599999999</v>
      </c>
      <c r="L4785" s="31"/>
      <c r="M4785" s="31" t="s">
        <v>854</v>
      </c>
      <c r="N4785" s="6" t="s">
        <v>856</v>
      </c>
    </row>
    <row r="4786" spans="1:14" ht="15" customHeight="1" x14ac:dyDescent="0.2">
      <c r="A4786" s="31">
        <v>0.49180488120639682</v>
      </c>
      <c r="B4786" s="31"/>
      <c r="C4786" s="2" t="s">
        <v>855</v>
      </c>
      <c r="D4786" s="31">
        <f t="shared" si="157"/>
        <v>9.6393756716453782E-2</v>
      </c>
      <c r="F4786" s="2" t="s">
        <v>822</v>
      </c>
      <c r="G4786" s="23" t="s">
        <v>902</v>
      </c>
      <c r="H4786" s="2" t="s">
        <v>822</v>
      </c>
      <c r="J4786" s="31">
        <v>50.278301200000001</v>
      </c>
      <c r="K4786" s="31">
        <v>-1.1796599999999999</v>
      </c>
      <c r="L4786" s="31"/>
      <c r="M4786" s="31" t="s">
        <v>854</v>
      </c>
      <c r="N4786" s="6" t="s">
        <v>856</v>
      </c>
    </row>
    <row r="4787" spans="1:14" ht="15" customHeight="1" x14ac:dyDescent="0.2">
      <c r="A4787" s="31">
        <v>4.24</v>
      </c>
      <c r="B4787" s="31">
        <v>1.56</v>
      </c>
      <c r="C4787" s="31" t="s">
        <v>681</v>
      </c>
      <c r="D4787" s="2">
        <f>A4787 * 0.02273</f>
        <v>9.6375200000000008E-2</v>
      </c>
      <c r="E4787" s="2">
        <f>B4787* 0.02273</f>
        <v>3.5458799999999999E-2</v>
      </c>
      <c r="F4787" s="2">
        <v>2017</v>
      </c>
      <c r="G4787" s="23" t="s">
        <v>901</v>
      </c>
      <c r="H4787" s="2" t="s">
        <v>838</v>
      </c>
      <c r="I4787" s="31" t="s">
        <v>850</v>
      </c>
      <c r="J4787" s="31">
        <v>37.81</v>
      </c>
      <c r="K4787" s="31">
        <v>-2.79</v>
      </c>
      <c r="L4787" s="34" t="s">
        <v>82</v>
      </c>
      <c r="N4787" s="6" t="s">
        <v>853</v>
      </c>
    </row>
    <row r="4788" spans="1:14" ht="15" customHeight="1" x14ac:dyDescent="0.2">
      <c r="A4788" s="31">
        <v>0.49161090040938782</v>
      </c>
      <c r="B4788" s="31"/>
      <c r="C4788" s="2" t="s">
        <v>855</v>
      </c>
      <c r="D4788" s="31">
        <f t="shared" ref="D4788:D4796" si="158" xml:space="preserve"> A4788 * 0.196</f>
        <v>9.6355736480240012E-2</v>
      </c>
      <c r="F4788" s="2" t="s">
        <v>822</v>
      </c>
      <c r="G4788" s="23" t="s">
        <v>902</v>
      </c>
      <c r="H4788" s="2" t="s">
        <v>822</v>
      </c>
      <c r="J4788" s="31">
        <v>29.3202</v>
      </c>
      <c r="K4788" s="31">
        <v>-26.417100900000001</v>
      </c>
      <c r="L4788" s="31"/>
      <c r="M4788" s="31" t="s">
        <v>854</v>
      </c>
      <c r="N4788" s="6" t="s">
        <v>856</v>
      </c>
    </row>
    <row r="4789" spans="1:14" ht="15" customHeight="1" x14ac:dyDescent="0.2">
      <c r="A4789" s="31">
        <v>0.49102973294615448</v>
      </c>
      <c r="B4789" s="31"/>
      <c r="C4789" s="2" t="s">
        <v>855</v>
      </c>
      <c r="D4789" s="31">
        <f t="shared" si="158"/>
        <v>9.624182765744628E-2</v>
      </c>
      <c r="F4789" s="2" t="s">
        <v>822</v>
      </c>
      <c r="G4789" s="23" t="s">
        <v>902</v>
      </c>
      <c r="H4789" s="2" t="s">
        <v>822</v>
      </c>
      <c r="J4789" s="31">
        <v>51.423999799999997</v>
      </c>
      <c r="K4789" s="31">
        <v>-26.527999900000001</v>
      </c>
      <c r="L4789" s="31"/>
      <c r="M4789" s="31" t="s">
        <v>854</v>
      </c>
      <c r="N4789" s="6" t="s">
        <v>856</v>
      </c>
    </row>
    <row r="4790" spans="1:14" ht="15" customHeight="1" x14ac:dyDescent="0.2">
      <c r="A4790" s="31">
        <v>0.49100380884971712</v>
      </c>
      <c r="B4790" s="31"/>
      <c r="C4790" s="2" t="s">
        <v>855</v>
      </c>
      <c r="D4790" s="31">
        <f t="shared" si="158"/>
        <v>9.6236746534544559E-2</v>
      </c>
      <c r="F4790" s="2" t="s">
        <v>822</v>
      </c>
      <c r="G4790" s="23" t="s">
        <v>902</v>
      </c>
      <c r="H4790" s="2" t="s">
        <v>822</v>
      </c>
      <c r="J4790" s="31">
        <v>51.659099599999998</v>
      </c>
      <c r="K4790" s="31">
        <v>-8.4651899000000004</v>
      </c>
      <c r="L4790" s="31"/>
      <c r="M4790" s="31" t="s">
        <v>854</v>
      </c>
      <c r="N4790" s="6" t="s">
        <v>856</v>
      </c>
    </row>
    <row r="4791" spans="1:14" ht="15" customHeight="1" x14ac:dyDescent="0.2">
      <c r="A4791" s="31">
        <v>0.49084918159364971</v>
      </c>
      <c r="B4791" s="31"/>
      <c r="C4791" s="2" t="s">
        <v>855</v>
      </c>
      <c r="D4791" s="31">
        <f t="shared" si="158"/>
        <v>9.620643959235535E-2</v>
      </c>
      <c r="F4791" s="2" t="s">
        <v>822</v>
      </c>
      <c r="G4791" s="23" t="s">
        <v>902</v>
      </c>
      <c r="H4791" s="2" t="s">
        <v>822</v>
      </c>
      <c r="J4791" s="31">
        <v>54.469200100000002</v>
      </c>
      <c r="K4791" s="31">
        <v>0.23966999999999999</v>
      </c>
      <c r="L4791" s="31"/>
      <c r="M4791" s="31" t="s">
        <v>854</v>
      </c>
      <c r="N4791" s="6" t="s">
        <v>856</v>
      </c>
    </row>
    <row r="4792" spans="1:14" ht="15" customHeight="1" x14ac:dyDescent="0.2">
      <c r="A4792" s="31">
        <v>0.49082175126286531</v>
      </c>
      <c r="B4792" s="31"/>
      <c r="C4792" s="2" t="s">
        <v>855</v>
      </c>
      <c r="D4792" s="31">
        <f t="shared" si="158"/>
        <v>9.6201063247521604E-2</v>
      </c>
      <c r="F4792" s="2" t="s">
        <v>822</v>
      </c>
      <c r="G4792" s="23" t="s">
        <v>902</v>
      </c>
      <c r="H4792" s="2" t="s">
        <v>822</v>
      </c>
      <c r="J4792" s="31">
        <v>55.572799699999997</v>
      </c>
      <c r="K4792" s="31">
        <v>10.939200400000001</v>
      </c>
      <c r="L4792" s="31"/>
      <c r="M4792" s="31" t="s">
        <v>854</v>
      </c>
      <c r="N4792" s="6" t="s">
        <v>856</v>
      </c>
    </row>
    <row r="4793" spans="1:14" ht="15" customHeight="1" x14ac:dyDescent="0.2">
      <c r="A4793" s="31">
        <v>0.49044748690105222</v>
      </c>
      <c r="B4793" s="31"/>
      <c r="C4793" s="2" t="s">
        <v>855</v>
      </c>
      <c r="D4793" s="31">
        <f t="shared" si="158"/>
        <v>9.6127707432606235E-2</v>
      </c>
      <c r="F4793" s="2" t="s">
        <v>822</v>
      </c>
      <c r="G4793" s="23" t="s">
        <v>902</v>
      </c>
      <c r="H4793" s="2" t="s">
        <v>822</v>
      </c>
      <c r="J4793" s="31">
        <v>41.219299300000003</v>
      </c>
      <c r="K4793" s="31">
        <v>7.6392597999999996</v>
      </c>
      <c r="L4793" s="31"/>
      <c r="M4793" s="31" t="s">
        <v>854</v>
      </c>
      <c r="N4793" s="6" t="s">
        <v>856</v>
      </c>
    </row>
    <row r="4794" spans="1:14" ht="15" customHeight="1" x14ac:dyDescent="0.2">
      <c r="A4794" s="31">
        <v>0.49018458367325501</v>
      </c>
      <c r="B4794" s="31"/>
      <c r="C4794" s="2" t="s">
        <v>855</v>
      </c>
      <c r="D4794" s="31">
        <f t="shared" si="158"/>
        <v>9.6076178399957982E-2</v>
      </c>
      <c r="F4794" s="2" t="s">
        <v>822</v>
      </c>
      <c r="G4794" s="23" t="s">
        <v>902</v>
      </c>
      <c r="H4794" s="2" t="s">
        <v>822</v>
      </c>
      <c r="J4794" s="31">
        <v>48.751998899999997</v>
      </c>
      <c r="K4794" s="31">
        <v>-36.548000299999998</v>
      </c>
      <c r="L4794" s="31"/>
      <c r="M4794" s="31" t="s">
        <v>854</v>
      </c>
      <c r="N4794" s="6" t="s">
        <v>856</v>
      </c>
    </row>
    <row r="4795" spans="1:14" ht="15" customHeight="1" x14ac:dyDescent="0.2">
      <c r="A4795" s="31">
        <v>0.48998440531617288</v>
      </c>
      <c r="B4795" s="31"/>
      <c r="C4795" s="2" t="s">
        <v>855</v>
      </c>
      <c r="D4795" s="31">
        <f t="shared" si="158"/>
        <v>9.6036943441969891E-2</v>
      </c>
      <c r="F4795" s="2" t="s">
        <v>822</v>
      </c>
      <c r="G4795" s="23" t="s">
        <v>902</v>
      </c>
      <c r="H4795" s="2" t="s">
        <v>822</v>
      </c>
      <c r="J4795" s="31">
        <v>55.926700599999997</v>
      </c>
      <c r="K4795" s="31">
        <v>-5.1275601000000002</v>
      </c>
      <c r="L4795" s="31"/>
      <c r="M4795" s="31" t="s">
        <v>854</v>
      </c>
      <c r="N4795" s="6" t="s">
        <v>856</v>
      </c>
    </row>
    <row r="4796" spans="1:14" ht="15" customHeight="1" x14ac:dyDescent="0.2">
      <c r="A4796" s="31">
        <v>0.48978822637674968</v>
      </c>
      <c r="B4796" s="31"/>
      <c r="C4796" s="2" t="s">
        <v>855</v>
      </c>
      <c r="D4796" s="31">
        <f t="shared" si="158"/>
        <v>9.5998492369842939E-2</v>
      </c>
      <c r="F4796" s="2" t="s">
        <v>822</v>
      </c>
      <c r="G4796" s="23" t="s">
        <v>902</v>
      </c>
      <c r="H4796" s="2" t="s">
        <v>822</v>
      </c>
      <c r="J4796" s="31">
        <v>56.231498700000003</v>
      </c>
      <c r="K4796" s="31">
        <v>-12.442799600000001</v>
      </c>
      <c r="L4796" s="31"/>
      <c r="M4796" s="31" t="s">
        <v>854</v>
      </c>
      <c r="N4796" s="6" t="s">
        <v>856</v>
      </c>
    </row>
    <row r="4797" spans="1:14" ht="15" customHeight="1" x14ac:dyDescent="0.2">
      <c r="A4797" s="22">
        <v>9.5911104336277628E-2</v>
      </c>
      <c r="B4797" s="22"/>
      <c r="C4797" s="2" t="s">
        <v>891</v>
      </c>
      <c r="D4797" s="2">
        <f>A4797</f>
        <v>9.5911104336277628E-2</v>
      </c>
      <c r="F4797" s="2">
        <v>2023</v>
      </c>
      <c r="G4797" s="23" t="s">
        <v>902</v>
      </c>
      <c r="H4797" s="2" t="s">
        <v>771</v>
      </c>
      <c r="I4797" s="23" t="s">
        <v>189</v>
      </c>
      <c r="J4797" s="23">
        <v>58077388</v>
      </c>
      <c r="K4797" s="23">
        <v>11813540</v>
      </c>
      <c r="L4797" s="23" t="s">
        <v>819</v>
      </c>
      <c r="M4797" s="2" t="s">
        <v>825</v>
      </c>
      <c r="N4797" s="6" t="s">
        <v>828</v>
      </c>
    </row>
    <row r="4798" spans="1:14" ht="15" customHeight="1" x14ac:dyDescent="0.2">
      <c r="A4798" s="31">
        <v>0.48929186530018243</v>
      </c>
      <c r="B4798" s="31"/>
      <c r="C4798" s="2" t="s">
        <v>855</v>
      </c>
      <c r="D4798" s="31">
        <f t="shared" ref="D4798:D4861" si="159" xml:space="preserve"> A4798 * 0.196</f>
        <v>9.5901205598835762E-2</v>
      </c>
      <c r="F4798" s="2" t="s">
        <v>822</v>
      </c>
      <c r="G4798" s="23" t="s">
        <v>902</v>
      </c>
      <c r="H4798" s="2" t="s">
        <v>822</v>
      </c>
      <c r="J4798" s="31">
        <v>54.761901899999998</v>
      </c>
      <c r="K4798" s="31">
        <v>-4.8968401000000004</v>
      </c>
      <c r="L4798" s="31"/>
      <c r="M4798" s="31" t="s">
        <v>854</v>
      </c>
      <c r="N4798" s="6" t="s">
        <v>856</v>
      </c>
    </row>
    <row r="4799" spans="1:14" ht="15" customHeight="1" x14ac:dyDescent="0.2">
      <c r="A4799" s="31">
        <v>0.48926917013951848</v>
      </c>
      <c r="B4799" s="31"/>
      <c r="C4799" s="2" t="s">
        <v>855</v>
      </c>
      <c r="D4799" s="31">
        <f t="shared" si="159"/>
        <v>9.5896757347345624E-2</v>
      </c>
      <c r="F4799" s="2" t="s">
        <v>822</v>
      </c>
      <c r="G4799" s="23" t="s">
        <v>902</v>
      </c>
      <c r="H4799" s="2" t="s">
        <v>822</v>
      </c>
      <c r="J4799" s="31">
        <v>53.124500300000001</v>
      </c>
      <c r="K4799" s="31">
        <v>-5.8717798999999999</v>
      </c>
      <c r="L4799" s="31"/>
      <c r="M4799" s="31" t="s">
        <v>854</v>
      </c>
      <c r="N4799" s="6" t="s">
        <v>856</v>
      </c>
    </row>
    <row r="4800" spans="1:14" ht="15" customHeight="1" x14ac:dyDescent="0.2">
      <c r="A4800" s="31">
        <v>0.48918331086512729</v>
      </c>
      <c r="B4800" s="31"/>
      <c r="C4800" s="2" t="s">
        <v>855</v>
      </c>
      <c r="D4800" s="31">
        <f t="shared" si="159"/>
        <v>9.5879928929564956E-2</v>
      </c>
      <c r="F4800" s="2" t="s">
        <v>822</v>
      </c>
      <c r="G4800" s="23" t="s">
        <v>902</v>
      </c>
      <c r="H4800" s="2" t="s">
        <v>822</v>
      </c>
      <c r="J4800" s="31">
        <v>53.832599600000002</v>
      </c>
      <c r="K4800" s="31">
        <v>5.3448399999999996</v>
      </c>
      <c r="L4800" s="31"/>
      <c r="M4800" s="31" t="s">
        <v>854</v>
      </c>
      <c r="N4800" s="6" t="s">
        <v>856</v>
      </c>
    </row>
    <row r="4801" spans="1:14" ht="15" customHeight="1" x14ac:dyDescent="0.2">
      <c r="A4801" s="31">
        <v>0.48912788607123792</v>
      </c>
      <c r="B4801" s="31"/>
      <c r="C4801" s="2" t="s">
        <v>855</v>
      </c>
      <c r="D4801" s="31">
        <f t="shared" si="159"/>
        <v>9.586906566996263E-2</v>
      </c>
      <c r="F4801" s="2" t="s">
        <v>822</v>
      </c>
      <c r="G4801" s="23" t="s">
        <v>902</v>
      </c>
      <c r="H4801" s="2" t="s">
        <v>822</v>
      </c>
      <c r="J4801" s="31">
        <v>53.428001399999999</v>
      </c>
      <c r="K4801" s="31">
        <v>-23.856000900000002</v>
      </c>
      <c r="L4801" s="31"/>
      <c r="M4801" s="31" t="s">
        <v>854</v>
      </c>
      <c r="N4801" s="6" t="s">
        <v>856</v>
      </c>
    </row>
    <row r="4802" spans="1:14" ht="15" customHeight="1" x14ac:dyDescent="0.2">
      <c r="A4802" s="31">
        <v>0.48912637411778431</v>
      </c>
      <c r="B4802" s="31"/>
      <c r="C4802" s="2" t="s">
        <v>855</v>
      </c>
      <c r="D4802" s="31">
        <f t="shared" si="159"/>
        <v>9.5868769327085726E-2</v>
      </c>
      <c r="F4802" s="2" t="s">
        <v>822</v>
      </c>
      <c r="G4802" s="23" t="s">
        <v>902</v>
      </c>
      <c r="H4802" s="2" t="s">
        <v>822</v>
      </c>
      <c r="J4802" s="31">
        <v>52.751899700000003</v>
      </c>
      <c r="K4802" s="31">
        <v>-18.4220009</v>
      </c>
      <c r="L4802" s="31"/>
      <c r="M4802" s="31" t="s">
        <v>854</v>
      </c>
      <c r="N4802" s="6" t="s">
        <v>856</v>
      </c>
    </row>
    <row r="4803" spans="1:14" ht="15" customHeight="1" x14ac:dyDescent="0.2">
      <c r="A4803" s="31">
        <v>0.48879773036834889</v>
      </c>
      <c r="B4803" s="31"/>
      <c r="C4803" s="2" t="s">
        <v>855</v>
      </c>
      <c r="D4803" s="31">
        <f t="shared" si="159"/>
        <v>9.5804355152196388E-2</v>
      </c>
      <c r="F4803" s="2" t="s">
        <v>822</v>
      </c>
      <c r="G4803" s="23" t="s">
        <v>902</v>
      </c>
      <c r="H4803" s="2" t="s">
        <v>822</v>
      </c>
      <c r="J4803" s="31">
        <v>55.948001900000001</v>
      </c>
      <c r="K4803" s="31">
        <v>-6.9478102000000002</v>
      </c>
      <c r="L4803" s="31"/>
      <c r="M4803" s="31" t="s">
        <v>854</v>
      </c>
      <c r="N4803" s="6" t="s">
        <v>856</v>
      </c>
    </row>
    <row r="4804" spans="1:14" ht="15" customHeight="1" x14ac:dyDescent="0.2">
      <c r="A4804" s="31">
        <v>0.48878377049544752</v>
      </c>
      <c r="B4804" s="31"/>
      <c r="C4804" s="2" t="s">
        <v>855</v>
      </c>
      <c r="D4804" s="31">
        <f t="shared" si="159"/>
        <v>9.5801619017107723E-2</v>
      </c>
      <c r="F4804" s="2" t="s">
        <v>822</v>
      </c>
      <c r="G4804" s="23" t="s">
        <v>902</v>
      </c>
      <c r="H4804" s="2" t="s">
        <v>822</v>
      </c>
      <c r="J4804" s="31">
        <v>49.419998200000002</v>
      </c>
      <c r="K4804" s="31">
        <v>-36.548000299999998</v>
      </c>
      <c r="L4804" s="31"/>
      <c r="M4804" s="31" t="s">
        <v>854</v>
      </c>
      <c r="N4804" s="6" t="s">
        <v>856</v>
      </c>
    </row>
    <row r="4805" spans="1:14" ht="15" customHeight="1" x14ac:dyDescent="0.2">
      <c r="A4805" s="31">
        <v>0.48877959917944042</v>
      </c>
      <c r="B4805" s="31"/>
      <c r="C4805" s="2" t="s">
        <v>855</v>
      </c>
      <c r="D4805" s="31">
        <f t="shared" si="159"/>
        <v>9.580080143917033E-2</v>
      </c>
      <c r="F4805" s="2" t="s">
        <v>822</v>
      </c>
      <c r="G4805" s="23" t="s">
        <v>902</v>
      </c>
      <c r="H4805" s="2" t="s">
        <v>822</v>
      </c>
      <c r="J4805" s="31">
        <v>51.9618988</v>
      </c>
      <c r="K4805" s="31">
        <v>-19.6819992</v>
      </c>
      <c r="L4805" s="31"/>
      <c r="M4805" s="31" t="s">
        <v>854</v>
      </c>
      <c r="N4805" s="6" t="s">
        <v>856</v>
      </c>
    </row>
    <row r="4806" spans="1:14" ht="15" customHeight="1" x14ac:dyDescent="0.2">
      <c r="A4806" s="31">
        <v>0.48876448288130669</v>
      </c>
      <c r="B4806" s="31"/>
      <c r="C4806" s="2" t="s">
        <v>855</v>
      </c>
      <c r="D4806" s="31">
        <f t="shared" si="159"/>
        <v>9.5797838644736122E-2</v>
      </c>
      <c r="F4806" s="2" t="s">
        <v>822</v>
      </c>
      <c r="G4806" s="23" t="s">
        <v>902</v>
      </c>
      <c r="H4806" s="2" t="s">
        <v>822</v>
      </c>
      <c r="J4806" s="31">
        <v>45.998401600000001</v>
      </c>
      <c r="K4806" s="31">
        <v>-41.680900600000001</v>
      </c>
      <c r="L4806" s="31"/>
      <c r="M4806" s="31" t="s">
        <v>854</v>
      </c>
      <c r="N4806" s="6" t="s">
        <v>856</v>
      </c>
    </row>
    <row r="4807" spans="1:14" ht="15" customHeight="1" x14ac:dyDescent="0.2">
      <c r="A4807" s="31">
        <v>0.48848106128604551</v>
      </c>
      <c r="B4807" s="31"/>
      <c r="C4807" s="2" t="s">
        <v>855</v>
      </c>
      <c r="D4807" s="31">
        <f t="shared" si="159"/>
        <v>9.5742288012064927E-2</v>
      </c>
      <c r="F4807" s="2" t="s">
        <v>822</v>
      </c>
      <c r="G4807" s="23" t="s">
        <v>902</v>
      </c>
      <c r="H4807" s="2" t="s">
        <v>822</v>
      </c>
      <c r="J4807" s="31">
        <v>50.088001300000002</v>
      </c>
      <c r="K4807" s="31">
        <v>-35.212001800000003</v>
      </c>
      <c r="L4807" s="31"/>
      <c r="M4807" s="31" t="s">
        <v>854</v>
      </c>
      <c r="N4807" s="6" t="s">
        <v>856</v>
      </c>
    </row>
    <row r="4808" spans="1:14" ht="15" customHeight="1" x14ac:dyDescent="0.2">
      <c r="A4808" s="31">
        <v>0.48831895053536339</v>
      </c>
      <c r="B4808" s="31"/>
      <c r="C4808" s="2" t="s">
        <v>855</v>
      </c>
      <c r="D4808" s="31">
        <f t="shared" si="159"/>
        <v>9.571051430493123E-2</v>
      </c>
      <c r="F4808" s="2" t="s">
        <v>822</v>
      </c>
      <c r="G4808" s="23" t="s">
        <v>902</v>
      </c>
      <c r="H4808" s="2" t="s">
        <v>822</v>
      </c>
      <c r="J4808" s="31">
        <v>54.469200100000002</v>
      </c>
      <c r="K4808" s="31">
        <v>-9.5031604999999999</v>
      </c>
      <c r="L4808" s="31"/>
      <c r="M4808" s="31" t="s">
        <v>854</v>
      </c>
      <c r="N4808" s="6" t="s">
        <v>856</v>
      </c>
    </row>
    <row r="4809" spans="1:14" ht="15" customHeight="1" x14ac:dyDescent="0.2">
      <c r="A4809" s="31">
        <v>0.48830004292113788</v>
      </c>
      <c r="B4809" s="31"/>
      <c r="C4809" s="2" t="s">
        <v>855</v>
      </c>
      <c r="D4809" s="31">
        <f t="shared" si="159"/>
        <v>9.5706808412543032E-2</v>
      </c>
      <c r="F4809" s="2" t="s">
        <v>822</v>
      </c>
      <c r="G4809" s="23" t="s">
        <v>902</v>
      </c>
      <c r="H4809" s="2" t="s">
        <v>822</v>
      </c>
      <c r="J4809" s="31">
        <v>30.8910999</v>
      </c>
      <c r="K4809" s="31">
        <v>-37.898498500000002</v>
      </c>
      <c r="L4809" s="31"/>
      <c r="M4809" s="31" t="s">
        <v>854</v>
      </c>
      <c r="N4809" s="6" t="s">
        <v>856</v>
      </c>
    </row>
    <row r="4810" spans="1:14" ht="15" customHeight="1" x14ac:dyDescent="0.2">
      <c r="A4810" s="31">
        <v>0.48780164559941391</v>
      </c>
      <c r="B4810" s="31"/>
      <c r="C4810" s="2" t="s">
        <v>855</v>
      </c>
      <c r="D4810" s="31">
        <f t="shared" si="159"/>
        <v>9.5609122537485131E-2</v>
      </c>
      <c r="F4810" s="2" t="s">
        <v>822</v>
      </c>
      <c r="G4810" s="23" t="s">
        <v>902</v>
      </c>
      <c r="H4810" s="2" t="s">
        <v>822</v>
      </c>
      <c r="J4810" s="31">
        <v>43.453399699999999</v>
      </c>
      <c r="K4810" s="31">
        <v>-42.611099199999998</v>
      </c>
      <c r="L4810" s="31"/>
      <c r="M4810" s="31" t="s">
        <v>854</v>
      </c>
      <c r="N4810" s="6" t="s">
        <v>856</v>
      </c>
    </row>
    <row r="4811" spans="1:14" ht="15" customHeight="1" x14ac:dyDescent="0.2">
      <c r="A4811" s="31">
        <v>0.48777676354899202</v>
      </c>
      <c r="B4811" s="31"/>
      <c r="C4811" s="2" t="s">
        <v>855</v>
      </c>
      <c r="D4811" s="31">
        <f t="shared" si="159"/>
        <v>9.5604245655602438E-2</v>
      </c>
      <c r="F4811" s="2" t="s">
        <v>822</v>
      </c>
      <c r="G4811" s="23" t="s">
        <v>902</v>
      </c>
      <c r="H4811" s="2" t="s">
        <v>822</v>
      </c>
      <c r="J4811" s="31">
        <v>36.229900399999998</v>
      </c>
      <c r="K4811" s="31">
        <v>-29.251800500000002</v>
      </c>
      <c r="L4811" s="31"/>
      <c r="M4811" s="31" t="s">
        <v>854</v>
      </c>
      <c r="N4811" s="6" t="s">
        <v>856</v>
      </c>
    </row>
    <row r="4812" spans="1:14" ht="15" customHeight="1" x14ac:dyDescent="0.2">
      <c r="A4812" s="31">
        <v>0.48772955179813238</v>
      </c>
      <c r="B4812" s="31"/>
      <c r="C4812" s="2" t="s">
        <v>855</v>
      </c>
      <c r="D4812" s="31">
        <f t="shared" si="159"/>
        <v>9.5594992152433944E-2</v>
      </c>
      <c r="F4812" s="2" t="s">
        <v>822</v>
      </c>
      <c r="G4812" s="23" t="s">
        <v>902</v>
      </c>
      <c r="H4812" s="2" t="s">
        <v>822</v>
      </c>
      <c r="J4812" s="31">
        <v>55.989299799999998</v>
      </c>
      <c r="K4812" s="31">
        <v>-4.7129798000000003</v>
      </c>
      <c r="L4812" s="31"/>
      <c r="M4812" s="31" t="s">
        <v>854</v>
      </c>
      <c r="N4812" s="6" t="s">
        <v>856</v>
      </c>
    </row>
    <row r="4813" spans="1:14" ht="15" customHeight="1" x14ac:dyDescent="0.2">
      <c r="A4813" s="31">
        <v>0.48772732882133363</v>
      </c>
      <c r="B4813" s="31"/>
      <c r="C4813" s="2" t="s">
        <v>855</v>
      </c>
      <c r="D4813" s="31">
        <f t="shared" si="159"/>
        <v>9.5594556448981391E-2</v>
      </c>
      <c r="F4813" s="2" t="s">
        <v>822</v>
      </c>
      <c r="G4813" s="23" t="s">
        <v>902</v>
      </c>
      <c r="H4813" s="2" t="s">
        <v>822</v>
      </c>
      <c r="J4813" s="31">
        <v>63.008598300000003</v>
      </c>
      <c r="K4813" s="31">
        <v>-19.847999600000001</v>
      </c>
      <c r="L4813" s="31"/>
      <c r="M4813" s="31" t="s">
        <v>854</v>
      </c>
      <c r="N4813" s="6" t="s">
        <v>856</v>
      </c>
    </row>
    <row r="4814" spans="1:14" ht="15" customHeight="1" x14ac:dyDescent="0.2">
      <c r="A4814" s="31">
        <v>0.48766524684645141</v>
      </c>
      <c r="B4814" s="31"/>
      <c r="C4814" s="2" t="s">
        <v>855</v>
      </c>
      <c r="D4814" s="31">
        <f t="shared" si="159"/>
        <v>9.5582388381904484E-2</v>
      </c>
      <c r="F4814" s="2" t="s">
        <v>822</v>
      </c>
      <c r="G4814" s="23" t="s">
        <v>902</v>
      </c>
      <c r="H4814" s="2" t="s">
        <v>822</v>
      </c>
      <c r="J4814" s="31">
        <v>58.420600899999997</v>
      </c>
      <c r="K4814" s="31">
        <v>-6.66716</v>
      </c>
      <c r="L4814" s="31"/>
      <c r="M4814" s="31" t="s">
        <v>854</v>
      </c>
      <c r="N4814" s="6" t="s">
        <v>856</v>
      </c>
    </row>
    <row r="4815" spans="1:14" ht="15" customHeight="1" x14ac:dyDescent="0.2">
      <c r="A4815" s="31">
        <v>0.48765296360738281</v>
      </c>
      <c r="B4815" s="31"/>
      <c r="C4815" s="2" t="s">
        <v>855</v>
      </c>
      <c r="D4815" s="31">
        <f t="shared" si="159"/>
        <v>9.557998086704704E-2</v>
      </c>
      <c r="F4815" s="2" t="s">
        <v>822</v>
      </c>
      <c r="G4815" s="23" t="s">
        <v>902</v>
      </c>
      <c r="H4815" s="2" t="s">
        <v>822</v>
      </c>
      <c r="J4815" s="31">
        <v>50.099899299999997</v>
      </c>
      <c r="K4815" s="31">
        <v>-17.819299699999998</v>
      </c>
      <c r="L4815" s="31"/>
      <c r="M4815" s="31" t="s">
        <v>854</v>
      </c>
      <c r="N4815" s="6" t="s">
        <v>856</v>
      </c>
    </row>
    <row r="4816" spans="1:14" ht="15" customHeight="1" x14ac:dyDescent="0.2">
      <c r="A4816" s="31">
        <v>0.48759988194711129</v>
      </c>
      <c r="B4816" s="31"/>
      <c r="C4816" s="2" t="s">
        <v>855</v>
      </c>
      <c r="D4816" s="31">
        <f t="shared" si="159"/>
        <v>9.5569576861633823E-2</v>
      </c>
      <c r="F4816" s="2" t="s">
        <v>822</v>
      </c>
      <c r="G4816" s="23" t="s">
        <v>902</v>
      </c>
      <c r="H4816" s="2" t="s">
        <v>822</v>
      </c>
      <c r="J4816" s="31">
        <v>32.223300899999998</v>
      </c>
      <c r="K4816" s="31">
        <v>28.7248001</v>
      </c>
      <c r="L4816" s="31"/>
      <c r="M4816" s="31" t="s">
        <v>854</v>
      </c>
      <c r="N4816" s="6" t="s">
        <v>856</v>
      </c>
    </row>
    <row r="4817" spans="1:14" ht="15" customHeight="1" x14ac:dyDescent="0.2">
      <c r="A4817" s="31">
        <v>0.48724080300141592</v>
      </c>
      <c r="B4817" s="31"/>
      <c r="C4817" s="2" t="s">
        <v>855</v>
      </c>
      <c r="D4817" s="31">
        <f t="shared" si="159"/>
        <v>9.5499197388277529E-2</v>
      </c>
      <c r="F4817" s="2" t="s">
        <v>822</v>
      </c>
      <c r="G4817" s="23" t="s">
        <v>902</v>
      </c>
      <c r="H4817" s="2" t="s">
        <v>822</v>
      </c>
      <c r="J4817" s="31">
        <v>53.123001100000003</v>
      </c>
      <c r="K4817" s="31">
        <v>0.43668800000000002</v>
      </c>
      <c r="L4817" s="31"/>
      <c r="M4817" s="31" t="s">
        <v>854</v>
      </c>
      <c r="N4817" s="6" t="s">
        <v>856</v>
      </c>
    </row>
    <row r="4818" spans="1:14" ht="15" customHeight="1" x14ac:dyDescent="0.2">
      <c r="A4818" s="31">
        <v>0.48720187619183469</v>
      </c>
      <c r="B4818" s="31"/>
      <c r="C4818" s="2" t="s">
        <v>855</v>
      </c>
      <c r="D4818" s="31">
        <f t="shared" si="159"/>
        <v>9.5491567733599597E-2</v>
      </c>
      <c r="F4818" s="2" t="s">
        <v>822</v>
      </c>
      <c r="G4818" s="23" t="s">
        <v>902</v>
      </c>
      <c r="H4818" s="2" t="s">
        <v>822</v>
      </c>
      <c r="J4818" s="31">
        <v>54.477901500000002</v>
      </c>
      <c r="K4818" s="31">
        <v>1.2494799999999999</v>
      </c>
      <c r="L4818" s="31"/>
      <c r="M4818" s="31" t="s">
        <v>854</v>
      </c>
      <c r="N4818" s="6" t="s">
        <v>856</v>
      </c>
    </row>
    <row r="4819" spans="1:14" ht="15" customHeight="1" x14ac:dyDescent="0.2">
      <c r="A4819" s="31">
        <v>0.48669036043180119</v>
      </c>
      <c r="B4819" s="31"/>
      <c r="C4819" s="2" t="s">
        <v>855</v>
      </c>
      <c r="D4819" s="31">
        <f t="shared" si="159"/>
        <v>9.5391310644633034E-2</v>
      </c>
      <c r="F4819" s="2" t="s">
        <v>822</v>
      </c>
      <c r="G4819" s="23" t="s">
        <v>902</v>
      </c>
      <c r="H4819" s="2" t="s">
        <v>822</v>
      </c>
      <c r="J4819" s="31">
        <v>48.751998899999997</v>
      </c>
      <c r="K4819" s="31">
        <v>-25.860000599999999</v>
      </c>
      <c r="L4819" s="31"/>
      <c r="M4819" s="31" t="s">
        <v>854</v>
      </c>
      <c r="N4819" s="6" t="s">
        <v>856</v>
      </c>
    </row>
    <row r="4820" spans="1:14" ht="15" customHeight="1" x14ac:dyDescent="0.2">
      <c r="A4820" s="31">
        <v>0.48652525915308859</v>
      </c>
      <c r="B4820" s="31"/>
      <c r="C4820" s="2" t="s">
        <v>855</v>
      </c>
      <c r="D4820" s="31">
        <f t="shared" si="159"/>
        <v>9.5358950794005373E-2</v>
      </c>
      <c r="F4820" s="2" t="s">
        <v>822</v>
      </c>
      <c r="G4820" s="23" t="s">
        <v>902</v>
      </c>
      <c r="H4820" s="2" t="s">
        <v>822</v>
      </c>
      <c r="J4820" s="31">
        <v>54.096000699999998</v>
      </c>
      <c r="K4820" s="31">
        <v>-17.176000599999998</v>
      </c>
      <c r="L4820" s="31"/>
      <c r="M4820" s="31" t="s">
        <v>854</v>
      </c>
      <c r="N4820" s="6" t="s">
        <v>856</v>
      </c>
    </row>
    <row r="4821" spans="1:14" ht="15" customHeight="1" x14ac:dyDescent="0.2">
      <c r="A4821" s="31">
        <v>0.4865040027037848</v>
      </c>
      <c r="B4821" s="31"/>
      <c r="C4821" s="2" t="s">
        <v>855</v>
      </c>
      <c r="D4821" s="31">
        <f t="shared" si="159"/>
        <v>9.5354784529941825E-2</v>
      </c>
      <c r="F4821" s="2" t="s">
        <v>822</v>
      </c>
      <c r="G4821" s="23" t="s">
        <v>902</v>
      </c>
      <c r="H4821" s="2" t="s">
        <v>822</v>
      </c>
      <c r="J4821" s="31">
        <v>56.668598199999998</v>
      </c>
      <c r="K4821" s="31">
        <v>6.8720001999999996</v>
      </c>
      <c r="L4821" s="31"/>
      <c r="M4821" s="31" t="s">
        <v>854</v>
      </c>
      <c r="N4821" s="6" t="s">
        <v>856</v>
      </c>
    </row>
    <row r="4822" spans="1:14" ht="15" customHeight="1" x14ac:dyDescent="0.2">
      <c r="A4822" s="31">
        <v>0.48647515714348177</v>
      </c>
      <c r="B4822" s="31"/>
      <c r="C4822" s="2" t="s">
        <v>855</v>
      </c>
      <c r="D4822" s="31">
        <f t="shared" si="159"/>
        <v>9.5349130800122431E-2</v>
      </c>
      <c r="F4822" s="2" t="s">
        <v>822</v>
      </c>
      <c r="G4822" s="23" t="s">
        <v>902</v>
      </c>
      <c r="H4822" s="2" t="s">
        <v>822</v>
      </c>
      <c r="J4822" s="31">
        <v>57.453800200000003</v>
      </c>
      <c r="K4822" s="31">
        <v>2.0995499999999998</v>
      </c>
      <c r="L4822" s="31"/>
      <c r="M4822" s="31" t="s">
        <v>854</v>
      </c>
      <c r="N4822" s="6" t="s">
        <v>856</v>
      </c>
    </row>
    <row r="4823" spans="1:14" ht="15" customHeight="1" x14ac:dyDescent="0.2">
      <c r="A4823" s="31">
        <v>0.48621331339953522</v>
      </c>
      <c r="B4823" s="31"/>
      <c r="C4823" s="2" t="s">
        <v>855</v>
      </c>
      <c r="D4823" s="31">
        <f t="shared" si="159"/>
        <v>9.5297809426308902E-2</v>
      </c>
      <c r="F4823" s="2" t="s">
        <v>822</v>
      </c>
      <c r="G4823" s="23" t="s">
        <v>902</v>
      </c>
      <c r="H4823" s="2" t="s">
        <v>822</v>
      </c>
      <c r="J4823" s="31">
        <v>55.2505989</v>
      </c>
      <c r="K4823" s="31">
        <v>14.5207996</v>
      </c>
      <c r="L4823" s="31"/>
      <c r="M4823" s="31" t="s">
        <v>854</v>
      </c>
      <c r="N4823" s="6" t="s">
        <v>856</v>
      </c>
    </row>
    <row r="4824" spans="1:14" ht="15" customHeight="1" x14ac:dyDescent="0.2">
      <c r="A4824" s="31">
        <v>0.48602298095948399</v>
      </c>
      <c r="B4824" s="31"/>
      <c r="C4824" s="2" t="s">
        <v>855</v>
      </c>
      <c r="D4824" s="31">
        <f t="shared" si="159"/>
        <v>9.5260504268058863E-2</v>
      </c>
      <c r="F4824" s="2" t="s">
        <v>822</v>
      </c>
      <c r="G4824" s="23" t="s">
        <v>902</v>
      </c>
      <c r="H4824" s="2" t="s">
        <v>822</v>
      </c>
      <c r="J4824" s="31">
        <v>55.877399400000002</v>
      </c>
      <c r="K4824" s="31">
        <v>5.6450199999999997</v>
      </c>
      <c r="L4824" s="31"/>
      <c r="M4824" s="31" t="s">
        <v>854</v>
      </c>
      <c r="N4824" s="6" t="s">
        <v>856</v>
      </c>
    </row>
    <row r="4825" spans="1:14" ht="15" customHeight="1" x14ac:dyDescent="0.2">
      <c r="A4825" s="31">
        <v>0.48583836056349278</v>
      </c>
      <c r="B4825" s="31"/>
      <c r="C4825" s="2" t="s">
        <v>855</v>
      </c>
      <c r="D4825" s="31">
        <f t="shared" si="159"/>
        <v>9.5224318670444591E-2</v>
      </c>
      <c r="F4825" s="2" t="s">
        <v>822</v>
      </c>
      <c r="G4825" s="23" t="s">
        <v>902</v>
      </c>
      <c r="H4825" s="2" t="s">
        <v>822</v>
      </c>
      <c r="J4825" s="31">
        <v>44.661399799999998</v>
      </c>
      <c r="K4825" s="31">
        <v>-21.8376999</v>
      </c>
      <c r="L4825" s="31"/>
      <c r="M4825" s="31" t="s">
        <v>854</v>
      </c>
      <c r="N4825" s="6" t="s">
        <v>856</v>
      </c>
    </row>
    <row r="4826" spans="1:14" ht="15" customHeight="1" x14ac:dyDescent="0.2">
      <c r="A4826" s="31">
        <v>0.48582393874194302</v>
      </c>
      <c r="B4826" s="31"/>
      <c r="C4826" s="2" t="s">
        <v>855</v>
      </c>
      <c r="D4826" s="31">
        <f t="shared" si="159"/>
        <v>9.5221491993420837E-2</v>
      </c>
      <c r="F4826" s="2" t="s">
        <v>822</v>
      </c>
      <c r="G4826" s="23" t="s">
        <v>902</v>
      </c>
      <c r="H4826" s="2" t="s">
        <v>822</v>
      </c>
      <c r="J4826" s="31">
        <v>45.814201400000002</v>
      </c>
      <c r="K4826" s="31">
        <v>-15.6794996</v>
      </c>
      <c r="L4826" s="31"/>
      <c r="M4826" s="31" t="s">
        <v>854</v>
      </c>
      <c r="N4826" s="6" t="s">
        <v>856</v>
      </c>
    </row>
    <row r="4827" spans="1:14" ht="15" customHeight="1" x14ac:dyDescent="0.2">
      <c r="A4827" s="31">
        <v>0.48550931317141138</v>
      </c>
      <c r="B4827" s="31"/>
      <c r="C4827" s="2" t="s">
        <v>855</v>
      </c>
      <c r="D4827" s="31">
        <f t="shared" si="159"/>
        <v>9.5159825381596633E-2</v>
      </c>
      <c r="F4827" s="2" t="s">
        <v>822</v>
      </c>
      <c r="G4827" s="23" t="s">
        <v>902</v>
      </c>
      <c r="H4827" s="2" t="s">
        <v>822</v>
      </c>
      <c r="J4827" s="31">
        <v>54.518501299999997</v>
      </c>
      <c r="K4827" s="31">
        <v>1.0805800000000001</v>
      </c>
      <c r="L4827" s="31"/>
      <c r="M4827" s="31" t="s">
        <v>854</v>
      </c>
      <c r="N4827" s="6" t="s">
        <v>856</v>
      </c>
    </row>
    <row r="4828" spans="1:14" ht="15" customHeight="1" x14ac:dyDescent="0.2">
      <c r="A4828" s="31">
        <v>0.48509974740215961</v>
      </c>
      <c r="B4828" s="31"/>
      <c r="C4828" s="2" t="s">
        <v>855</v>
      </c>
      <c r="D4828" s="31">
        <f t="shared" si="159"/>
        <v>9.5079550490823284E-2</v>
      </c>
      <c r="F4828" s="2" t="s">
        <v>822</v>
      </c>
      <c r="G4828" s="23" t="s">
        <v>902</v>
      </c>
      <c r="H4828" s="2" t="s">
        <v>822</v>
      </c>
      <c r="J4828" s="31">
        <v>38.205299400000001</v>
      </c>
      <c r="K4828" s="31">
        <v>15.049699800000001</v>
      </c>
      <c r="L4828" s="31"/>
      <c r="M4828" s="31" t="s">
        <v>854</v>
      </c>
      <c r="N4828" s="6" t="s">
        <v>856</v>
      </c>
    </row>
    <row r="4829" spans="1:14" ht="15" customHeight="1" x14ac:dyDescent="0.2">
      <c r="A4829" s="31">
        <v>0.48450972323494013</v>
      </c>
      <c r="B4829" s="31"/>
      <c r="C4829" s="2" t="s">
        <v>855</v>
      </c>
      <c r="D4829" s="31">
        <f t="shared" si="159"/>
        <v>9.496390575404827E-2</v>
      </c>
      <c r="F4829" s="2" t="s">
        <v>822</v>
      </c>
      <c r="G4829" s="23" t="s">
        <v>902</v>
      </c>
      <c r="H4829" s="2" t="s">
        <v>822</v>
      </c>
      <c r="J4829" s="31">
        <v>46.748001100000003</v>
      </c>
      <c r="K4829" s="31">
        <v>-37.883998900000002</v>
      </c>
      <c r="L4829" s="31"/>
      <c r="M4829" s="31" t="s">
        <v>854</v>
      </c>
      <c r="N4829" s="6" t="s">
        <v>856</v>
      </c>
    </row>
    <row r="4830" spans="1:14" ht="15" customHeight="1" x14ac:dyDescent="0.2">
      <c r="A4830" s="31">
        <v>0.48443688944917362</v>
      </c>
      <c r="B4830" s="31"/>
      <c r="C4830" s="2" t="s">
        <v>855</v>
      </c>
      <c r="D4830" s="31">
        <f t="shared" si="159"/>
        <v>9.4949630332038029E-2</v>
      </c>
      <c r="F4830" s="2" t="s">
        <v>822</v>
      </c>
      <c r="G4830" s="23" t="s">
        <v>902</v>
      </c>
      <c r="H4830" s="2" t="s">
        <v>822</v>
      </c>
      <c r="J4830" s="31">
        <v>47.930900600000001</v>
      </c>
      <c r="K4830" s="31">
        <v>-9.8878001999999992</v>
      </c>
      <c r="L4830" s="31"/>
      <c r="M4830" s="31" t="s">
        <v>854</v>
      </c>
      <c r="N4830" s="6" t="s">
        <v>856</v>
      </c>
    </row>
    <row r="4831" spans="1:14" ht="15" customHeight="1" x14ac:dyDescent="0.2">
      <c r="A4831" s="31">
        <v>0.4843919445883903</v>
      </c>
      <c r="B4831" s="31"/>
      <c r="C4831" s="2" t="s">
        <v>855</v>
      </c>
      <c r="D4831" s="31">
        <f t="shared" si="159"/>
        <v>9.4940821139324505E-2</v>
      </c>
      <c r="F4831" s="2" t="s">
        <v>822</v>
      </c>
      <c r="G4831" s="23" t="s">
        <v>902</v>
      </c>
      <c r="H4831" s="2" t="s">
        <v>822</v>
      </c>
      <c r="J4831" s="31">
        <v>34.972198499999998</v>
      </c>
      <c r="K4831" s="31">
        <v>-32.0082016</v>
      </c>
      <c r="L4831" s="31"/>
      <c r="M4831" s="31" t="s">
        <v>854</v>
      </c>
      <c r="N4831" s="6" t="s">
        <v>856</v>
      </c>
    </row>
    <row r="4832" spans="1:14" ht="15" customHeight="1" x14ac:dyDescent="0.2">
      <c r="A4832" s="31">
        <v>0.48438608184081289</v>
      </c>
      <c r="B4832" s="31"/>
      <c r="C4832" s="2" t="s">
        <v>855</v>
      </c>
      <c r="D4832" s="31">
        <f t="shared" si="159"/>
        <v>9.4939672040799325E-2</v>
      </c>
      <c r="F4832" s="2" t="s">
        <v>822</v>
      </c>
      <c r="G4832" s="23" t="s">
        <v>902</v>
      </c>
      <c r="H4832" s="2" t="s">
        <v>822</v>
      </c>
      <c r="J4832" s="31">
        <v>34.6576004</v>
      </c>
      <c r="K4832" s="31">
        <v>-29.862199799999999</v>
      </c>
      <c r="L4832" s="31"/>
      <c r="M4832" s="31" t="s">
        <v>854</v>
      </c>
      <c r="N4832" s="6" t="s">
        <v>856</v>
      </c>
    </row>
    <row r="4833" spans="1:14" ht="15" customHeight="1" x14ac:dyDescent="0.2">
      <c r="A4833" s="31">
        <v>0.48431047108523761</v>
      </c>
      <c r="B4833" s="31"/>
      <c r="C4833" s="2" t="s">
        <v>855</v>
      </c>
      <c r="D4833" s="31">
        <f t="shared" si="159"/>
        <v>9.4924852332706575E-2</v>
      </c>
      <c r="F4833" s="2" t="s">
        <v>822</v>
      </c>
      <c r="G4833" s="23" t="s">
        <v>902</v>
      </c>
      <c r="H4833" s="2" t="s">
        <v>822</v>
      </c>
      <c r="J4833" s="31">
        <v>38.399501800000003</v>
      </c>
      <c r="K4833" s="31">
        <v>25.960899399999999</v>
      </c>
      <c r="L4833" s="31"/>
      <c r="M4833" s="31" t="s">
        <v>854</v>
      </c>
      <c r="N4833" s="6" t="s">
        <v>856</v>
      </c>
    </row>
    <row r="4834" spans="1:14" ht="15" customHeight="1" x14ac:dyDescent="0.2">
      <c r="A4834" s="31">
        <v>0.48401232622805362</v>
      </c>
      <c r="B4834" s="31"/>
      <c r="C4834" s="2" t="s">
        <v>855</v>
      </c>
      <c r="D4834" s="31">
        <f t="shared" si="159"/>
        <v>9.4866415940698515E-2</v>
      </c>
      <c r="F4834" s="2" t="s">
        <v>822</v>
      </c>
      <c r="G4834" s="23" t="s">
        <v>902</v>
      </c>
      <c r="H4834" s="2" t="s">
        <v>822</v>
      </c>
      <c r="J4834" s="31">
        <v>43.730701400000001</v>
      </c>
      <c r="K4834" s="31">
        <v>-31.614299800000001</v>
      </c>
      <c r="L4834" s="31"/>
      <c r="M4834" s="31" t="s">
        <v>854</v>
      </c>
      <c r="N4834" s="6" t="s">
        <v>856</v>
      </c>
    </row>
    <row r="4835" spans="1:14" ht="15" customHeight="1" x14ac:dyDescent="0.2">
      <c r="A4835" s="31">
        <v>0.48377122218299717</v>
      </c>
      <c r="B4835" s="31"/>
      <c r="C4835" s="2" t="s">
        <v>855</v>
      </c>
      <c r="D4835" s="31">
        <f t="shared" si="159"/>
        <v>9.4819159547867446E-2</v>
      </c>
      <c r="F4835" s="2" t="s">
        <v>822</v>
      </c>
      <c r="G4835" s="23" t="s">
        <v>902</v>
      </c>
      <c r="H4835" s="2" t="s">
        <v>822</v>
      </c>
      <c r="J4835" s="31">
        <v>40.402599299999999</v>
      </c>
      <c r="K4835" s="31">
        <v>-23.187999699999999</v>
      </c>
      <c r="L4835" s="31"/>
      <c r="M4835" s="31" t="s">
        <v>854</v>
      </c>
      <c r="N4835" s="6" t="s">
        <v>856</v>
      </c>
    </row>
    <row r="4836" spans="1:14" ht="15" customHeight="1" x14ac:dyDescent="0.2">
      <c r="A4836" s="31">
        <v>0.48360459330837458</v>
      </c>
      <c r="B4836" s="31"/>
      <c r="C4836" s="2" t="s">
        <v>855</v>
      </c>
      <c r="D4836" s="31">
        <f t="shared" si="159"/>
        <v>9.4786500288441419E-2</v>
      </c>
      <c r="F4836" s="2" t="s">
        <v>822</v>
      </c>
      <c r="G4836" s="23" t="s">
        <v>902</v>
      </c>
      <c r="H4836" s="2" t="s">
        <v>822</v>
      </c>
      <c r="J4836" s="31">
        <v>52.759998299999999</v>
      </c>
      <c r="K4836" s="31">
        <v>-27.864000300000001</v>
      </c>
      <c r="L4836" s="31"/>
      <c r="M4836" s="31" t="s">
        <v>854</v>
      </c>
      <c r="N4836" s="6" t="s">
        <v>856</v>
      </c>
    </row>
    <row r="4837" spans="1:14" ht="15" customHeight="1" x14ac:dyDescent="0.2">
      <c r="A4837" s="31">
        <v>0.48313346395818851</v>
      </c>
      <c r="B4837" s="31"/>
      <c r="C4837" s="2" t="s">
        <v>855</v>
      </c>
      <c r="D4837" s="31">
        <f t="shared" si="159"/>
        <v>9.4694158935804948E-2</v>
      </c>
      <c r="F4837" s="2" t="s">
        <v>822</v>
      </c>
      <c r="G4837" s="23" t="s">
        <v>902</v>
      </c>
      <c r="H4837" s="2" t="s">
        <v>822</v>
      </c>
      <c r="J4837" s="31">
        <v>30.9274998</v>
      </c>
      <c r="K4837" s="31">
        <v>-38.516799900000002</v>
      </c>
      <c r="L4837" s="31"/>
      <c r="M4837" s="31" t="s">
        <v>854</v>
      </c>
      <c r="N4837" s="6" t="s">
        <v>856</v>
      </c>
    </row>
    <row r="4838" spans="1:14" ht="15" customHeight="1" x14ac:dyDescent="0.2">
      <c r="A4838" s="31">
        <v>0.48288197037088409</v>
      </c>
      <c r="B4838" s="31"/>
      <c r="C4838" s="2" t="s">
        <v>855</v>
      </c>
      <c r="D4838" s="31">
        <f t="shared" si="159"/>
        <v>9.4644866192693286E-2</v>
      </c>
      <c r="F4838" s="2" t="s">
        <v>822</v>
      </c>
      <c r="G4838" s="23" t="s">
        <v>902</v>
      </c>
      <c r="H4838" s="2" t="s">
        <v>822</v>
      </c>
      <c r="J4838" s="31">
        <v>57.929000899999998</v>
      </c>
      <c r="K4838" s="31">
        <v>-3.7284901000000001</v>
      </c>
      <c r="L4838" s="31"/>
      <c r="M4838" s="31" t="s">
        <v>854</v>
      </c>
      <c r="N4838" s="6" t="s">
        <v>856</v>
      </c>
    </row>
    <row r="4839" spans="1:14" ht="15" customHeight="1" x14ac:dyDescent="0.2">
      <c r="A4839" s="31">
        <v>0.48287819181836428</v>
      </c>
      <c r="B4839" s="31"/>
      <c r="C4839" s="2" t="s">
        <v>855</v>
      </c>
      <c r="D4839" s="31">
        <f t="shared" si="159"/>
        <v>9.4644125596399398E-2</v>
      </c>
      <c r="F4839" s="2" t="s">
        <v>822</v>
      </c>
      <c r="G4839" s="23" t="s">
        <v>902</v>
      </c>
      <c r="H4839" s="2" t="s">
        <v>822</v>
      </c>
      <c r="J4839" s="31">
        <v>46.426799799999998</v>
      </c>
      <c r="K4839" s="31">
        <v>-42.900699600000003</v>
      </c>
      <c r="L4839" s="31"/>
      <c r="M4839" s="31" t="s">
        <v>854</v>
      </c>
      <c r="N4839" s="6" t="s">
        <v>856</v>
      </c>
    </row>
    <row r="4840" spans="1:14" ht="15" customHeight="1" x14ac:dyDescent="0.2">
      <c r="A4840" s="31">
        <v>0.48260622970860889</v>
      </c>
      <c r="B4840" s="31"/>
      <c r="C4840" s="2" t="s">
        <v>855</v>
      </c>
      <c r="D4840" s="31">
        <f t="shared" si="159"/>
        <v>9.459082102288735E-2</v>
      </c>
      <c r="F4840" s="2" t="s">
        <v>822</v>
      </c>
      <c r="G4840" s="23" t="s">
        <v>902</v>
      </c>
      <c r="H4840" s="2" t="s">
        <v>822</v>
      </c>
      <c r="J4840" s="31">
        <v>54.156101200000002</v>
      </c>
      <c r="K4840" s="31">
        <v>-4.8908700999999999</v>
      </c>
      <c r="L4840" s="31"/>
      <c r="M4840" s="31" t="s">
        <v>854</v>
      </c>
      <c r="N4840" s="6" t="s">
        <v>856</v>
      </c>
    </row>
    <row r="4841" spans="1:14" ht="15" customHeight="1" x14ac:dyDescent="0.2">
      <c r="A4841" s="31">
        <v>0.48239878476761461</v>
      </c>
      <c r="B4841" s="31"/>
      <c r="C4841" s="2" t="s">
        <v>855</v>
      </c>
      <c r="D4841" s="31">
        <f t="shared" si="159"/>
        <v>9.4550161814452471E-2</v>
      </c>
      <c r="F4841" s="2" t="s">
        <v>822</v>
      </c>
      <c r="G4841" s="23" t="s">
        <v>902</v>
      </c>
      <c r="H4841" s="2" t="s">
        <v>822</v>
      </c>
      <c r="J4841" s="31">
        <v>49.575698899999999</v>
      </c>
      <c r="K4841" s="31">
        <v>-2.0786199999999999</v>
      </c>
      <c r="L4841" s="31"/>
      <c r="M4841" s="31" t="s">
        <v>854</v>
      </c>
      <c r="N4841" s="6" t="s">
        <v>856</v>
      </c>
    </row>
    <row r="4842" spans="1:14" ht="15" customHeight="1" x14ac:dyDescent="0.2">
      <c r="A4842" s="31">
        <v>0.48234879613683668</v>
      </c>
      <c r="B4842" s="31"/>
      <c r="C4842" s="2" t="s">
        <v>855</v>
      </c>
      <c r="D4842" s="31">
        <f t="shared" si="159"/>
        <v>9.4540364042819999E-2</v>
      </c>
      <c r="F4842" s="2" t="s">
        <v>822</v>
      </c>
      <c r="G4842" s="23" t="s">
        <v>902</v>
      </c>
      <c r="H4842" s="2" t="s">
        <v>822</v>
      </c>
      <c r="J4842" s="31">
        <v>46.080001799999998</v>
      </c>
      <c r="K4842" s="31">
        <v>-39.220001199999999</v>
      </c>
      <c r="L4842" s="31"/>
      <c r="M4842" s="31" t="s">
        <v>854</v>
      </c>
      <c r="N4842" s="6" t="s">
        <v>856</v>
      </c>
    </row>
    <row r="4843" spans="1:14" ht="15" customHeight="1" x14ac:dyDescent="0.2">
      <c r="A4843" s="31">
        <v>0.48234099065574282</v>
      </c>
      <c r="B4843" s="31"/>
      <c r="C4843" s="2" t="s">
        <v>855</v>
      </c>
      <c r="D4843" s="31">
        <f t="shared" si="159"/>
        <v>9.4538834168525598E-2</v>
      </c>
      <c r="F4843" s="2" t="s">
        <v>822</v>
      </c>
      <c r="G4843" s="23" t="s">
        <v>902</v>
      </c>
      <c r="H4843" s="2" t="s">
        <v>822</v>
      </c>
      <c r="J4843" s="31">
        <v>45.773399400000002</v>
      </c>
      <c r="K4843" s="31">
        <v>-37.527000399999999</v>
      </c>
      <c r="L4843" s="31"/>
      <c r="M4843" s="31" t="s">
        <v>854</v>
      </c>
      <c r="N4843" s="6" t="s">
        <v>856</v>
      </c>
    </row>
    <row r="4844" spans="1:14" ht="15" customHeight="1" x14ac:dyDescent="0.2">
      <c r="A4844" s="31">
        <v>0.48220051653067603</v>
      </c>
      <c r="B4844" s="31"/>
      <c r="C4844" s="2" t="s">
        <v>855</v>
      </c>
      <c r="D4844" s="31">
        <f t="shared" si="159"/>
        <v>9.4511301240012502E-2</v>
      </c>
      <c r="F4844" s="2" t="s">
        <v>822</v>
      </c>
      <c r="G4844" s="23" t="s">
        <v>902</v>
      </c>
      <c r="H4844" s="2" t="s">
        <v>822</v>
      </c>
      <c r="J4844" s="31">
        <v>57.329299900000002</v>
      </c>
      <c r="K4844" s="31">
        <v>-9.1387596000000002</v>
      </c>
      <c r="L4844" s="31"/>
      <c r="M4844" s="31" t="s">
        <v>854</v>
      </c>
      <c r="N4844" s="6" t="s">
        <v>856</v>
      </c>
    </row>
    <row r="4845" spans="1:14" ht="15" customHeight="1" x14ac:dyDescent="0.2">
      <c r="A4845" s="31">
        <v>0.481138363011127</v>
      </c>
      <c r="B4845" s="31"/>
      <c r="C4845" s="2" t="s">
        <v>855</v>
      </c>
      <c r="D4845" s="31">
        <f t="shared" si="159"/>
        <v>9.43031191501809E-2</v>
      </c>
      <c r="F4845" s="2" t="s">
        <v>822</v>
      </c>
      <c r="G4845" s="23" t="s">
        <v>902</v>
      </c>
      <c r="H4845" s="2" t="s">
        <v>822</v>
      </c>
      <c r="J4845" s="31">
        <v>56.305900600000001</v>
      </c>
      <c r="K4845" s="31">
        <v>4.6702399000000003</v>
      </c>
      <c r="L4845" s="31"/>
      <c r="M4845" s="31" t="s">
        <v>854</v>
      </c>
      <c r="N4845" s="6" t="s">
        <v>856</v>
      </c>
    </row>
    <row r="4846" spans="1:14" ht="15" customHeight="1" x14ac:dyDescent="0.2">
      <c r="A4846" s="31">
        <v>0.48103586979413798</v>
      </c>
      <c r="B4846" s="31"/>
      <c r="C4846" s="2" t="s">
        <v>855</v>
      </c>
      <c r="D4846" s="31">
        <f t="shared" si="159"/>
        <v>9.4283030479651045E-2</v>
      </c>
      <c r="F4846" s="2" t="s">
        <v>822</v>
      </c>
      <c r="G4846" s="23" t="s">
        <v>902</v>
      </c>
      <c r="H4846" s="2" t="s">
        <v>822</v>
      </c>
      <c r="J4846" s="31">
        <v>53.428901699999997</v>
      </c>
      <c r="K4846" s="31">
        <v>-19.848899800000002</v>
      </c>
      <c r="L4846" s="31"/>
      <c r="M4846" s="31" t="s">
        <v>854</v>
      </c>
      <c r="N4846" s="6" t="s">
        <v>856</v>
      </c>
    </row>
    <row r="4847" spans="1:14" ht="15" customHeight="1" x14ac:dyDescent="0.2">
      <c r="A4847" s="31">
        <v>0.48103383986511961</v>
      </c>
      <c r="B4847" s="31"/>
      <c r="C4847" s="2" t="s">
        <v>855</v>
      </c>
      <c r="D4847" s="31">
        <f t="shared" si="159"/>
        <v>9.4282632613563441E-2</v>
      </c>
      <c r="F4847" s="2" t="s">
        <v>822</v>
      </c>
      <c r="G4847" s="23" t="s">
        <v>902</v>
      </c>
      <c r="H4847" s="2" t="s">
        <v>822</v>
      </c>
      <c r="J4847" s="31">
        <v>30.559699999999999</v>
      </c>
      <c r="K4847" s="31">
        <v>-37.871101400000001</v>
      </c>
      <c r="L4847" s="31"/>
      <c r="M4847" s="31" t="s">
        <v>854</v>
      </c>
      <c r="N4847" s="6" t="s">
        <v>856</v>
      </c>
    </row>
    <row r="4848" spans="1:14" ht="15" customHeight="1" x14ac:dyDescent="0.2">
      <c r="A4848" s="31">
        <v>0.48099737170439483</v>
      </c>
      <c r="B4848" s="31"/>
      <c r="C4848" s="2" t="s">
        <v>855</v>
      </c>
      <c r="D4848" s="31">
        <f t="shared" si="159"/>
        <v>9.4275484854061384E-2</v>
      </c>
      <c r="F4848" s="2" t="s">
        <v>822</v>
      </c>
      <c r="G4848" s="23" t="s">
        <v>902</v>
      </c>
      <c r="H4848" s="2" t="s">
        <v>822</v>
      </c>
      <c r="J4848" s="31">
        <v>53.822299999999998</v>
      </c>
      <c r="K4848" s="31">
        <v>-4.2096</v>
      </c>
      <c r="L4848" s="31"/>
      <c r="M4848" s="31" t="s">
        <v>854</v>
      </c>
      <c r="N4848" s="6" t="s">
        <v>856</v>
      </c>
    </row>
    <row r="4849" spans="1:14" ht="15" customHeight="1" x14ac:dyDescent="0.2">
      <c r="A4849" s="31">
        <v>0.4809408023040973</v>
      </c>
      <c r="B4849" s="31"/>
      <c r="C4849" s="2" t="s">
        <v>855</v>
      </c>
      <c r="D4849" s="31">
        <f t="shared" si="159"/>
        <v>9.4264397251603071E-2</v>
      </c>
      <c r="F4849" s="2" t="s">
        <v>822</v>
      </c>
      <c r="G4849" s="23" t="s">
        <v>902</v>
      </c>
      <c r="H4849" s="2" t="s">
        <v>822</v>
      </c>
      <c r="J4849" s="31">
        <v>63.008598300000003</v>
      </c>
      <c r="K4849" s="31">
        <v>-18.511999100000001</v>
      </c>
      <c r="L4849" s="31"/>
      <c r="M4849" s="31" t="s">
        <v>854</v>
      </c>
      <c r="N4849" s="6" t="s">
        <v>856</v>
      </c>
    </row>
    <row r="4850" spans="1:14" ht="15" customHeight="1" x14ac:dyDescent="0.2">
      <c r="A4850" s="31">
        <v>0.48083462428119061</v>
      </c>
      <c r="B4850" s="31"/>
      <c r="C4850" s="2" t="s">
        <v>855</v>
      </c>
      <c r="D4850" s="31">
        <f t="shared" si="159"/>
        <v>9.4243586359113368E-2</v>
      </c>
      <c r="F4850" s="2" t="s">
        <v>822</v>
      </c>
      <c r="G4850" s="23" t="s">
        <v>902</v>
      </c>
      <c r="H4850" s="2" t="s">
        <v>822</v>
      </c>
      <c r="J4850" s="31">
        <v>53.464500399999999</v>
      </c>
      <c r="K4850" s="31">
        <v>-4.5574598000000002</v>
      </c>
      <c r="L4850" s="31"/>
      <c r="M4850" s="31" t="s">
        <v>854</v>
      </c>
      <c r="N4850" s="6" t="s">
        <v>856</v>
      </c>
    </row>
    <row r="4851" spans="1:14" ht="15" customHeight="1" x14ac:dyDescent="0.2">
      <c r="A4851" s="31">
        <v>0.47997438718774071</v>
      </c>
      <c r="B4851" s="31"/>
      <c r="C4851" s="2" t="s">
        <v>855</v>
      </c>
      <c r="D4851" s="31">
        <f t="shared" si="159"/>
        <v>9.4074979888797178E-2</v>
      </c>
      <c r="F4851" s="2" t="s">
        <v>822</v>
      </c>
      <c r="G4851" s="23" t="s">
        <v>902</v>
      </c>
      <c r="H4851" s="2" t="s">
        <v>822</v>
      </c>
      <c r="J4851" s="31">
        <v>41.111598999999998</v>
      </c>
      <c r="K4851" s="31">
        <v>-37.072200799999997</v>
      </c>
      <c r="L4851" s="31"/>
      <c r="M4851" s="31" t="s">
        <v>854</v>
      </c>
      <c r="N4851" s="6" t="s">
        <v>856</v>
      </c>
    </row>
    <row r="4852" spans="1:14" ht="15" customHeight="1" x14ac:dyDescent="0.2">
      <c r="A4852" s="31">
        <v>0.47988327841453798</v>
      </c>
      <c r="B4852" s="31"/>
      <c r="C4852" s="2" t="s">
        <v>855</v>
      </c>
      <c r="D4852" s="31">
        <f t="shared" si="159"/>
        <v>9.4057122569249446E-2</v>
      </c>
      <c r="F4852" s="2" t="s">
        <v>822</v>
      </c>
      <c r="G4852" s="23" t="s">
        <v>902</v>
      </c>
      <c r="H4852" s="2" t="s">
        <v>822</v>
      </c>
      <c r="J4852" s="31">
        <v>45.411998699999998</v>
      </c>
      <c r="K4852" s="31">
        <v>-21.851999299999999</v>
      </c>
      <c r="L4852" s="31"/>
      <c r="M4852" s="31" t="s">
        <v>854</v>
      </c>
      <c r="N4852" s="6" t="s">
        <v>856</v>
      </c>
    </row>
    <row r="4853" spans="1:14" ht="15" customHeight="1" x14ac:dyDescent="0.2">
      <c r="A4853" s="31">
        <v>0.47986801585256039</v>
      </c>
      <c r="B4853" s="31"/>
      <c r="C4853" s="2" t="s">
        <v>855</v>
      </c>
      <c r="D4853" s="31">
        <f t="shared" si="159"/>
        <v>9.405413110710184E-2</v>
      </c>
      <c r="F4853" s="2" t="s">
        <v>822</v>
      </c>
      <c r="G4853" s="23" t="s">
        <v>902</v>
      </c>
      <c r="H4853" s="2" t="s">
        <v>822</v>
      </c>
      <c r="J4853" s="31">
        <v>56.078899399999997</v>
      </c>
      <c r="K4853" s="31">
        <v>-2.2427899999999998</v>
      </c>
      <c r="L4853" s="31"/>
      <c r="M4853" s="31" t="s">
        <v>854</v>
      </c>
      <c r="N4853" s="6" t="s">
        <v>856</v>
      </c>
    </row>
    <row r="4854" spans="1:14" ht="15" customHeight="1" x14ac:dyDescent="0.2">
      <c r="A4854" s="31">
        <v>0.47937608669445131</v>
      </c>
      <c r="B4854" s="31"/>
      <c r="C4854" s="2" t="s">
        <v>855</v>
      </c>
      <c r="D4854" s="31">
        <f t="shared" si="159"/>
        <v>9.395771299211246E-2</v>
      </c>
      <c r="F4854" s="2" t="s">
        <v>822</v>
      </c>
      <c r="G4854" s="23" t="s">
        <v>902</v>
      </c>
      <c r="H4854" s="2" t="s">
        <v>822</v>
      </c>
      <c r="J4854" s="31">
        <v>50.7793007</v>
      </c>
      <c r="K4854" s="31">
        <v>-23.205900199999999</v>
      </c>
      <c r="L4854" s="31"/>
      <c r="M4854" s="31" t="s">
        <v>854</v>
      </c>
      <c r="N4854" s="6" t="s">
        <v>856</v>
      </c>
    </row>
    <row r="4855" spans="1:14" ht="15" customHeight="1" x14ac:dyDescent="0.2">
      <c r="A4855" s="31">
        <v>0.47931978831886479</v>
      </c>
      <c r="B4855" s="31"/>
      <c r="C4855" s="2" t="s">
        <v>855</v>
      </c>
      <c r="D4855" s="31">
        <f t="shared" si="159"/>
        <v>9.3946678510497497E-2</v>
      </c>
      <c r="F4855" s="2" t="s">
        <v>822</v>
      </c>
      <c r="G4855" s="23" t="s">
        <v>902</v>
      </c>
      <c r="H4855" s="2" t="s">
        <v>822</v>
      </c>
      <c r="J4855" s="31">
        <v>32.524200399999998</v>
      </c>
      <c r="K4855" s="31">
        <v>-17.318500499999999</v>
      </c>
      <c r="L4855" s="31"/>
      <c r="M4855" s="31" t="s">
        <v>854</v>
      </c>
      <c r="N4855" s="6" t="s">
        <v>856</v>
      </c>
    </row>
    <row r="4856" spans="1:14" ht="15" customHeight="1" x14ac:dyDescent="0.2">
      <c r="A4856" s="31">
        <v>0.47930674019822278</v>
      </c>
      <c r="B4856" s="31"/>
      <c r="C4856" s="2" t="s">
        <v>855</v>
      </c>
      <c r="D4856" s="31">
        <f t="shared" si="159"/>
        <v>9.3944121078851667E-2</v>
      </c>
      <c r="F4856" s="2" t="s">
        <v>822</v>
      </c>
      <c r="G4856" s="23" t="s">
        <v>902</v>
      </c>
      <c r="H4856" s="2" t="s">
        <v>822</v>
      </c>
      <c r="J4856" s="31">
        <v>31.253299699999999</v>
      </c>
      <c r="K4856" s="31">
        <v>33.510398899999998</v>
      </c>
      <c r="L4856" s="31"/>
      <c r="M4856" s="31" t="s">
        <v>854</v>
      </c>
      <c r="N4856" s="6" t="s">
        <v>856</v>
      </c>
    </row>
    <row r="4857" spans="1:14" ht="15" customHeight="1" x14ac:dyDescent="0.2">
      <c r="A4857" s="31">
        <v>0.47929664646859099</v>
      </c>
      <c r="B4857" s="31"/>
      <c r="C4857" s="2" t="s">
        <v>855</v>
      </c>
      <c r="D4857" s="31">
        <f t="shared" si="159"/>
        <v>9.3942142707843831E-2</v>
      </c>
      <c r="F4857" s="2" t="s">
        <v>822</v>
      </c>
      <c r="G4857" s="23" t="s">
        <v>902</v>
      </c>
      <c r="H4857" s="2" t="s">
        <v>822</v>
      </c>
      <c r="J4857" s="31">
        <v>53.898998300000002</v>
      </c>
      <c r="K4857" s="31">
        <v>-0.146124</v>
      </c>
      <c r="L4857" s="31"/>
      <c r="M4857" s="31" t="s">
        <v>854</v>
      </c>
      <c r="N4857" s="6" t="s">
        <v>856</v>
      </c>
    </row>
    <row r="4858" spans="1:14" ht="15" customHeight="1" x14ac:dyDescent="0.2">
      <c r="A4858" s="31">
        <v>0.47919191626270508</v>
      </c>
      <c r="B4858" s="31"/>
      <c r="C4858" s="2" t="s">
        <v>855</v>
      </c>
      <c r="D4858" s="31">
        <f t="shared" si="159"/>
        <v>9.3921615587490195E-2</v>
      </c>
      <c r="F4858" s="2" t="s">
        <v>822</v>
      </c>
      <c r="G4858" s="23" t="s">
        <v>902</v>
      </c>
      <c r="H4858" s="2" t="s">
        <v>822</v>
      </c>
      <c r="J4858" s="31">
        <v>34.076099399999997</v>
      </c>
      <c r="K4858" s="31">
        <v>-31.887699099999999</v>
      </c>
      <c r="L4858" s="31"/>
      <c r="M4858" s="31" t="s">
        <v>854</v>
      </c>
      <c r="N4858" s="6" t="s">
        <v>856</v>
      </c>
    </row>
    <row r="4859" spans="1:14" ht="15" customHeight="1" x14ac:dyDescent="0.2">
      <c r="A4859" s="31">
        <v>0.47897420940484431</v>
      </c>
      <c r="B4859" s="31"/>
      <c r="C4859" s="2" t="s">
        <v>855</v>
      </c>
      <c r="D4859" s="31">
        <f t="shared" si="159"/>
        <v>9.3878945043349482E-2</v>
      </c>
      <c r="F4859" s="2" t="s">
        <v>822</v>
      </c>
      <c r="G4859" s="23" t="s">
        <v>902</v>
      </c>
      <c r="H4859" s="2" t="s">
        <v>822</v>
      </c>
      <c r="J4859" s="31">
        <v>56.6122017</v>
      </c>
      <c r="K4859" s="31">
        <v>-2.4082401</v>
      </c>
      <c r="L4859" s="31"/>
      <c r="M4859" s="31" t="s">
        <v>854</v>
      </c>
      <c r="N4859" s="6" t="s">
        <v>856</v>
      </c>
    </row>
    <row r="4860" spans="1:14" ht="15" customHeight="1" x14ac:dyDescent="0.2">
      <c r="A4860" s="31">
        <v>0.47872178473507832</v>
      </c>
      <c r="B4860" s="31"/>
      <c r="C4860" s="2" t="s">
        <v>855</v>
      </c>
      <c r="D4860" s="31">
        <f t="shared" si="159"/>
        <v>9.3829469808075355E-2</v>
      </c>
      <c r="F4860" s="2" t="s">
        <v>822</v>
      </c>
      <c r="G4860" s="23" t="s">
        <v>902</v>
      </c>
      <c r="H4860" s="2" t="s">
        <v>822</v>
      </c>
      <c r="J4860" s="31">
        <v>55.929599799999998</v>
      </c>
      <c r="K4860" s="31">
        <v>4.6460900000000001</v>
      </c>
      <c r="L4860" s="31"/>
      <c r="M4860" s="31" t="s">
        <v>854</v>
      </c>
      <c r="N4860" s="6" t="s">
        <v>856</v>
      </c>
    </row>
    <row r="4861" spans="1:14" ht="15" customHeight="1" x14ac:dyDescent="0.2">
      <c r="A4861" s="31">
        <v>0.47869015415701399</v>
      </c>
      <c r="B4861" s="31"/>
      <c r="C4861" s="2" t="s">
        <v>855</v>
      </c>
      <c r="D4861" s="31">
        <f t="shared" si="159"/>
        <v>9.382327021477474E-2</v>
      </c>
      <c r="F4861" s="2" t="s">
        <v>822</v>
      </c>
      <c r="G4861" s="23" t="s">
        <v>902</v>
      </c>
      <c r="H4861" s="2" t="s">
        <v>822</v>
      </c>
      <c r="J4861" s="31">
        <v>31.3561993</v>
      </c>
      <c r="K4861" s="31">
        <v>-35.159599299999996</v>
      </c>
      <c r="L4861" s="31"/>
      <c r="M4861" s="31" t="s">
        <v>854</v>
      </c>
      <c r="N4861" s="6" t="s">
        <v>856</v>
      </c>
    </row>
    <row r="4862" spans="1:14" ht="15" customHeight="1" x14ac:dyDescent="0.2">
      <c r="A4862" s="31">
        <v>0.47845348830589091</v>
      </c>
      <c r="B4862" s="31"/>
      <c r="C4862" s="2" t="s">
        <v>855</v>
      </c>
      <c r="D4862" s="31">
        <f t="shared" ref="D4862:D4925" si="160" xml:space="preserve"> A4862 * 0.196</f>
        <v>9.3776883707954617E-2</v>
      </c>
      <c r="F4862" s="2" t="s">
        <v>822</v>
      </c>
      <c r="G4862" s="23" t="s">
        <v>902</v>
      </c>
      <c r="H4862" s="2" t="s">
        <v>822</v>
      </c>
      <c r="J4862" s="31">
        <v>54.763999900000002</v>
      </c>
      <c r="K4862" s="31">
        <v>14.5207996</v>
      </c>
      <c r="L4862" s="31"/>
      <c r="M4862" s="31" t="s">
        <v>854</v>
      </c>
      <c r="N4862" s="6" t="s">
        <v>856</v>
      </c>
    </row>
    <row r="4863" spans="1:14" ht="15" customHeight="1" x14ac:dyDescent="0.2">
      <c r="A4863" s="31">
        <v>0.47810300049817822</v>
      </c>
      <c r="B4863" s="31"/>
      <c r="C4863" s="2" t="s">
        <v>855</v>
      </c>
      <c r="D4863" s="31">
        <f t="shared" si="160"/>
        <v>9.3708188097642933E-2</v>
      </c>
      <c r="F4863" s="2" t="s">
        <v>822</v>
      </c>
      <c r="G4863" s="23" t="s">
        <v>902</v>
      </c>
      <c r="H4863" s="2" t="s">
        <v>822</v>
      </c>
      <c r="J4863" s="31">
        <v>50.766601600000001</v>
      </c>
      <c r="K4863" s="31">
        <v>-27.187299700000001</v>
      </c>
      <c r="L4863" s="31"/>
      <c r="M4863" s="31" t="s">
        <v>854</v>
      </c>
      <c r="N4863" s="6" t="s">
        <v>856</v>
      </c>
    </row>
    <row r="4864" spans="1:14" ht="15" customHeight="1" x14ac:dyDescent="0.2">
      <c r="A4864" s="31">
        <v>0.47792971243894289</v>
      </c>
      <c r="B4864" s="31"/>
      <c r="C4864" s="2" t="s">
        <v>855</v>
      </c>
      <c r="D4864" s="31">
        <f t="shared" si="160"/>
        <v>9.3674223638032808E-2</v>
      </c>
      <c r="F4864" s="2" t="s">
        <v>822</v>
      </c>
      <c r="G4864" s="23" t="s">
        <v>902</v>
      </c>
      <c r="H4864" s="2" t="s">
        <v>822</v>
      </c>
      <c r="J4864" s="31">
        <v>44.816001900000003</v>
      </c>
      <c r="K4864" s="31">
        <v>-25.157199899999998</v>
      </c>
      <c r="L4864" s="31"/>
      <c r="M4864" s="31" t="s">
        <v>854</v>
      </c>
      <c r="N4864" s="6" t="s">
        <v>856</v>
      </c>
    </row>
    <row r="4865" spans="1:14" ht="15" customHeight="1" x14ac:dyDescent="0.2">
      <c r="A4865" s="31">
        <v>0.47741316384006122</v>
      </c>
      <c r="B4865" s="31"/>
      <c r="C4865" s="2" t="s">
        <v>855</v>
      </c>
      <c r="D4865" s="31">
        <f t="shared" si="160"/>
        <v>9.3572980112651999E-2</v>
      </c>
      <c r="F4865" s="2" t="s">
        <v>822</v>
      </c>
      <c r="G4865" s="23" t="s">
        <v>902</v>
      </c>
      <c r="H4865" s="2" t="s">
        <v>822</v>
      </c>
      <c r="J4865" s="31">
        <v>52.759998299999999</v>
      </c>
      <c r="K4865" s="31">
        <v>-26.527999900000001</v>
      </c>
      <c r="L4865" s="31"/>
      <c r="M4865" s="31" t="s">
        <v>854</v>
      </c>
      <c r="N4865" s="6" t="s">
        <v>856</v>
      </c>
    </row>
    <row r="4866" spans="1:14" ht="15" customHeight="1" x14ac:dyDescent="0.2">
      <c r="A4866" s="31">
        <v>0.47733415064035439</v>
      </c>
      <c r="B4866" s="31"/>
      <c r="C4866" s="2" t="s">
        <v>855</v>
      </c>
      <c r="D4866" s="31">
        <f t="shared" si="160"/>
        <v>9.3557493525509461E-2</v>
      </c>
      <c r="F4866" s="2" t="s">
        <v>822</v>
      </c>
      <c r="G4866" s="23" t="s">
        <v>902</v>
      </c>
      <c r="H4866" s="2" t="s">
        <v>822</v>
      </c>
      <c r="J4866" s="31">
        <v>47.416000400000001</v>
      </c>
      <c r="K4866" s="31">
        <v>-21.184000000000001</v>
      </c>
      <c r="L4866" s="31"/>
      <c r="M4866" s="31" t="s">
        <v>854</v>
      </c>
      <c r="N4866" s="6" t="s">
        <v>856</v>
      </c>
    </row>
    <row r="4867" spans="1:14" ht="15" customHeight="1" x14ac:dyDescent="0.2">
      <c r="A4867" s="31">
        <v>0.47722976499872022</v>
      </c>
      <c r="B4867" s="31"/>
      <c r="C4867" s="2" t="s">
        <v>855</v>
      </c>
      <c r="D4867" s="31">
        <f t="shared" si="160"/>
        <v>9.3537033939749173E-2</v>
      </c>
      <c r="F4867" s="2" t="s">
        <v>822</v>
      </c>
      <c r="G4867" s="23" t="s">
        <v>902</v>
      </c>
      <c r="H4867" s="2" t="s">
        <v>822</v>
      </c>
      <c r="J4867" s="31">
        <v>44.076000200000003</v>
      </c>
      <c r="K4867" s="31">
        <v>-24.5240002</v>
      </c>
      <c r="L4867" s="31"/>
      <c r="M4867" s="31" t="s">
        <v>854</v>
      </c>
      <c r="N4867" s="6" t="s">
        <v>856</v>
      </c>
    </row>
    <row r="4868" spans="1:14" ht="15" customHeight="1" x14ac:dyDescent="0.2">
      <c r="A4868" s="31">
        <v>0.47700916862959453</v>
      </c>
      <c r="B4868" s="31"/>
      <c r="C4868" s="2" t="s">
        <v>855</v>
      </c>
      <c r="D4868" s="31">
        <f t="shared" si="160"/>
        <v>9.3493797051400526E-2</v>
      </c>
      <c r="F4868" s="2" t="s">
        <v>822</v>
      </c>
      <c r="G4868" s="23" t="s">
        <v>902</v>
      </c>
      <c r="H4868" s="2" t="s">
        <v>822</v>
      </c>
      <c r="J4868" s="31">
        <v>57.316101099999997</v>
      </c>
      <c r="K4868" s="31">
        <v>8.5149898999999998</v>
      </c>
      <c r="L4868" s="31"/>
      <c r="M4868" s="31" t="s">
        <v>854</v>
      </c>
      <c r="N4868" s="6" t="s">
        <v>856</v>
      </c>
    </row>
    <row r="4869" spans="1:14" ht="15" customHeight="1" x14ac:dyDescent="0.2">
      <c r="A4869" s="31">
        <v>0.47697623214661761</v>
      </c>
      <c r="B4869" s="31"/>
      <c r="C4869" s="2" t="s">
        <v>855</v>
      </c>
      <c r="D4869" s="31">
        <f t="shared" si="160"/>
        <v>9.3487341500737051E-2</v>
      </c>
      <c r="F4869" s="2" t="s">
        <v>822</v>
      </c>
      <c r="G4869" s="23" t="s">
        <v>902</v>
      </c>
      <c r="H4869" s="2" t="s">
        <v>822</v>
      </c>
      <c r="J4869" s="31">
        <v>52.091999100000002</v>
      </c>
      <c r="K4869" s="31">
        <v>-25.860000599999999</v>
      </c>
      <c r="L4869" s="31"/>
      <c r="M4869" s="31" t="s">
        <v>854</v>
      </c>
      <c r="N4869" s="6" t="s">
        <v>856</v>
      </c>
    </row>
    <row r="4870" spans="1:14" ht="15" customHeight="1" x14ac:dyDescent="0.2">
      <c r="A4870" s="31">
        <v>0.47697224355393419</v>
      </c>
      <c r="B4870" s="31"/>
      <c r="C4870" s="2" t="s">
        <v>855</v>
      </c>
      <c r="D4870" s="31">
        <f t="shared" si="160"/>
        <v>9.3486559736571107E-2</v>
      </c>
      <c r="F4870" s="2" t="s">
        <v>822</v>
      </c>
      <c r="G4870" s="23" t="s">
        <v>902</v>
      </c>
      <c r="H4870" s="2" t="s">
        <v>822</v>
      </c>
      <c r="J4870" s="31">
        <v>49.953601800000001</v>
      </c>
      <c r="K4870" s="31">
        <v>-0.32716400000000001</v>
      </c>
      <c r="L4870" s="31"/>
      <c r="M4870" s="31" t="s">
        <v>854</v>
      </c>
      <c r="N4870" s="6" t="s">
        <v>856</v>
      </c>
    </row>
    <row r="4871" spans="1:14" ht="15" customHeight="1" x14ac:dyDescent="0.2">
      <c r="A4871" s="31">
        <v>0.4765479383420157</v>
      </c>
      <c r="B4871" s="31"/>
      <c r="C4871" s="2" t="s">
        <v>855</v>
      </c>
      <c r="D4871" s="31">
        <f t="shared" si="160"/>
        <v>9.3403395915035076E-2</v>
      </c>
      <c r="F4871" s="2" t="s">
        <v>822</v>
      </c>
      <c r="G4871" s="23" t="s">
        <v>902</v>
      </c>
      <c r="H4871" s="2" t="s">
        <v>822</v>
      </c>
      <c r="J4871" s="31">
        <v>55.959598499999998</v>
      </c>
      <c r="K4871" s="31">
        <v>-6.66716</v>
      </c>
      <c r="L4871" s="31"/>
      <c r="M4871" s="31" t="s">
        <v>854</v>
      </c>
      <c r="N4871" s="6" t="s">
        <v>856</v>
      </c>
    </row>
    <row r="4872" spans="1:14" ht="15" customHeight="1" x14ac:dyDescent="0.2">
      <c r="A4872" s="31">
        <v>0.47596702168873539</v>
      </c>
      <c r="B4872" s="31"/>
      <c r="C4872" s="2" t="s">
        <v>855</v>
      </c>
      <c r="D4872" s="31">
        <f t="shared" si="160"/>
        <v>9.3289536250992136E-2</v>
      </c>
      <c r="F4872" s="2" t="s">
        <v>822</v>
      </c>
      <c r="G4872" s="23" t="s">
        <v>902</v>
      </c>
      <c r="H4872" s="2" t="s">
        <v>822</v>
      </c>
      <c r="J4872" s="31">
        <v>53.832599600000002</v>
      </c>
      <c r="K4872" s="31">
        <v>6.3878398000000001</v>
      </c>
      <c r="L4872" s="31"/>
      <c r="M4872" s="31" t="s">
        <v>854</v>
      </c>
      <c r="N4872" s="6" t="s">
        <v>856</v>
      </c>
    </row>
    <row r="4873" spans="1:14" ht="15" customHeight="1" x14ac:dyDescent="0.2">
      <c r="A4873" s="31">
        <v>0.47543089741166161</v>
      </c>
      <c r="B4873" s="31"/>
      <c r="C4873" s="2" t="s">
        <v>855</v>
      </c>
      <c r="D4873" s="31">
        <f t="shared" si="160"/>
        <v>9.3184455892685675E-2</v>
      </c>
      <c r="F4873" s="2" t="s">
        <v>822</v>
      </c>
      <c r="G4873" s="23" t="s">
        <v>902</v>
      </c>
      <c r="H4873" s="2" t="s">
        <v>822</v>
      </c>
      <c r="J4873" s="31">
        <v>54.117000599999997</v>
      </c>
      <c r="K4873" s="31">
        <v>0.80623</v>
      </c>
      <c r="L4873" s="31"/>
      <c r="M4873" s="31" t="s">
        <v>854</v>
      </c>
      <c r="N4873" s="6" t="s">
        <v>856</v>
      </c>
    </row>
    <row r="4874" spans="1:14" ht="15" customHeight="1" x14ac:dyDescent="0.2">
      <c r="A4874" s="31">
        <v>0.47523873910591191</v>
      </c>
      <c r="B4874" s="31"/>
      <c r="C4874" s="2" t="s">
        <v>855</v>
      </c>
      <c r="D4874" s="31">
        <f t="shared" si="160"/>
        <v>9.3146792864758743E-2</v>
      </c>
      <c r="F4874" s="2" t="s">
        <v>822</v>
      </c>
      <c r="G4874" s="23" t="s">
        <v>902</v>
      </c>
      <c r="H4874" s="2" t="s">
        <v>822</v>
      </c>
      <c r="J4874" s="31">
        <v>35.388900800000002</v>
      </c>
      <c r="K4874" s="31">
        <v>-28.351100899999999</v>
      </c>
      <c r="L4874" s="31"/>
      <c r="M4874" s="31" t="s">
        <v>854</v>
      </c>
      <c r="N4874" s="6" t="s">
        <v>856</v>
      </c>
    </row>
    <row r="4875" spans="1:14" ht="15" customHeight="1" x14ac:dyDescent="0.2">
      <c r="A4875" s="31">
        <v>0.47519383175545798</v>
      </c>
      <c r="B4875" s="31"/>
      <c r="C4875" s="2" t="s">
        <v>855</v>
      </c>
      <c r="D4875" s="31">
        <f t="shared" si="160"/>
        <v>9.3137991024069763E-2</v>
      </c>
      <c r="F4875" s="2" t="s">
        <v>822</v>
      </c>
      <c r="G4875" s="23" t="s">
        <v>902</v>
      </c>
      <c r="H4875" s="2" t="s">
        <v>822</v>
      </c>
      <c r="J4875" s="31">
        <v>46.748001100000003</v>
      </c>
      <c r="K4875" s="31">
        <v>-39.220001199999999</v>
      </c>
      <c r="L4875" s="31"/>
      <c r="M4875" s="31" t="s">
        <v>854</v>
      </c>
      <c r="N4875" s="6" t="s">
        <v>856</v>
      </c>
    </row>
    <row r="4876" spans="1:14" ht="15" customHeight="1" x14ac:dyDescent="0.2">
      <c r="A4876" s="31">
        <v>0.4747650530943292</v>
      </c>
      <c r="B4876" s="31"/>
      <c r="C4876" s="2" t="s">
        <v>855</v>
      </c>
      <c r="D4876" s="31">
        <f t="shared" si="160"/>
        <v>9.3053950406488534E-2</v>
      </c>
      <c r="F4876" s="2" t="s">
        <v>822</v>
      </c>
      <c r="G4876" s="23" t="s">
        <v>902</v>
      </c>
      <c r="H4876" s="2" t="s">
        <v>822</v>
      </c>
      <c r="J4876" s="31">
        <v>51.481899300000002</v>
      </c>
      <c r="K4876" s="31">
        <v>0.82391300000000001</v>
      </c>
      <c r="L4876" s="31"/>
      <c r="M4876" s="31" t="s">
        <v>854</v>
      </c>
      <c r="N4876" s="6" t="s">
        <v>856</v>
      </c>
    </row>
    <row r="4877" spans="1:14" ht="15" customHeight="1" x14ac:dyDescent="0.2">
      <c r="A4877" s="31">
        <v>0.47468785037736111</v>
      </c>
      <c r="B4877" s="31"/>
      <c r="C4877" s="2" t="s">
        <v>855</v>
      </c>
      <c r="D4877" s="31">
        <f t="shared" si="160"/>
        <v>9.3038818673962784E-2</v>
      </c>
      <c r="F4877" s="2" t="s">
        <v>822</v>
      </c>
      <c r="G4877" s="23" t="s">
        <v>902</v>
      </c>
      <c r="H4877" s="2" t="s">
        <v>822</v>
      </c>
      <c r="J4877" s="31">
        <v>57.691299399999998</v>
      </c>
      <c r="K4877" s="31">
        <v>10.6464005</v>
      </c>
      <c r="L4877" s="31"/>
      <c r="M4877" s="31" t="s">
        <v>854</v>
      </c>
      <c r="N4877" s="6" t="s">
        <v>856</v>
      </c>
    </row>
    <row r="4878" spans="1:14" ht="15" customHeight="1" x14ac:dyDescent="0.2">
      <c r="A4878" s="31">
        <v>0.47468622419492579</v>
      </c>
      <c r="B4878" s="31"/>
      <c r="C4878" s="2" t="s">
        <v>855</v>
      </c>
      <c r="D4878" s="31">
        <f t="shared" si="160"/>
        <v>9.3038499942205463E-2</v>
      </c>
      <c r="F4878" s="2" t="s">
        <v>822</v>
      </c>
      <c r="G4878" s="23" t="s">
        <v>902</v>
      </c>
      <c r="H4878" s="2" t="s">
        <v>822</v>
      </c>
      <c r="J4878" s="31">
        <v>57.186500500000001</v>
      </c>
      <c r="K4878" s="31">
        <v>7.5428600000000001</v>
      </c>
      <c r="L4878" s="31"/>
      <c r="M4878" s="31" t="s">
        <v>854</v>
      </c>
      <c r="N4878" s="6" t="s">
        <v>856</v>
      </c>
    </row>
    <row r="4879" spans="1:14" ht="15" customHeight="1" x14ac:dyDescent="0.2">
      <c r="A4879" s="31">
        <v>0.47404792760723657</v>
      </c>
      <c r="B4879" s="31"/>
      <c r="C4879" s="2" t="s">
        <v>855</v>
      </c>
      <c r="D4879" s="31">
        <f t="shared" si="160"/>
        <v>9.2913393811018374E-2</v>
      </c>
      <c r="F4879" s="2" t="s">
        <v>822</v>
      </c>
      <c r="G4879" s="23" t="s">
        <v>902</v>
      </c>
      <c r="H4879" s="2" t="s">
        <v>822</v>
      </c>
      <c r="J4879" s="31">
        <v>48.052700000000002</v>
      </c>
      <c r="K4879" s="31">
        <v>-24.450599700000001</v>
      </c>
      <c r="L4879" s="31"/>
      <c r="M4879" s="31" t="s">
        <v>854</v>
      </c>
      <c r="N4879" s="6" t="s">
        <v>856</v>
      </c>
    </row>
    <row r="4880" spans="1:14" ht="15" customHeight="1" x14ac:dyDescent="0.2">
      <c r="A4880" s="31">
        <v>0.47378945006125112</v>
      </c>
      <c r="B4880" s="31"/>
      <c r="C4880" s="2" t="s">
        <v>855</v>
      </c>
      <c r="D4880" s="31">
        <f t="shared" si="160"/>
        <v>9.2862732212005222E-2</v>
      </c>
      <c r="F4880" s="2" t="s">
        <v>822</v>
      </c>
      <c r="G4880" s="23" t="s">
        <v>902</v>
      </c>
      <c r="H4880" s="2" t="s">
        <v>822</v>
      </c>
      <c r="J4880" s="31">
        <v>55.847999600000001</v>
      </c>
      <c r="K4880" s="31">
        <v>5.8285197999999996</v>
      </c>
      <c r="L4880" s="31"/>
      <c r="M4880" s="31" t="s">
        <v>854</v>
      </c>
      <c r="N4880" s="6" t="s">
        <v>856</v>
      </c>
    </row>
    <row r="4881" spans="1:14" ht="15" customHeight="1" x14ac:dyDescent="0.2">
      <c r="A4881" s="31">
        <v>0.47353238327078068</v>
      </c>
      <c r="B4881" s="31"/>
      <c r="C4881" s="2" t="s">
        <v>855</v>
      </c>
      <c r="D4881" s="31">
        <f t="shared" si="160"/>
        <v>9.2812347121073016E-2</v>
      </c>
      <c r="F4881" s="2" t="s">
        <v>822</v>
      </c>
      <c r="G4881" s="23" t="s">
        <v>902</v>
      </c>
      <c r="H4881" s="2" t="s">
        <v>822</v>
      </c>
      <c r="J4881" s="31">
        <v>49.695201900000001</v>
      </c>
      <c r="K4881" s="31">
        <v>-1.3517300000000001</v>
      </c>
      <c r="L4881" s="31"/>
      <c r="M4881" s="31" t="s">
        <v>854</v>
      </c>
      <c r="N4881" s="6" t="s">
        <v>856</v>
      </c>
    </row>
    <row r="4882" spans="1:14" ht="15" customHeight="1" x14ac:dyDescent="0.2">
      <c r="A4882" s="31">
        <v>0.47334542377096622</v>
      </c>
      <c r="B4882" s="31"/>
      <c r="C4882" s="2" t="s">
        <v>855</v>
      </c>
      <c r="D4882" s="31">
        <f t="shared" si="160"/>
        <v>9.2775703059109385E-2</v>
      </c>
      <c r="F4882" s="2" t="s">
        <v>822</v>
      </c>
      <c r="G4882" s="23" t="s">
        <v>902</v>
      </c>
      <c r="H4882" s="2" t="s">
        <v>822</v>
      </c>
      <c r="J4882" s="31">
        <v>43.141201000000002</v>
      </c>
      <c r="K4882" s="31">
        <v>-16.5589008</v>
      </c>
      <c r="L4882" s="31"/>
      <c r="M4882" s="31" t="s">
        <v>854</v>
      </c>
      <c r="N4882" s="6" t="s">
        <v>856</v>
      </c>
    </row>
    <row r="4883" spans="1:14" ht="15" customHeight="1" x14ac:dyDescent="0.2">
      <c r="A4883" s="31">
        <v>0.47325486815488782</v>
      </c>
      <c r="B4883" s="31"/>
      <c r="C4883" s="2" t="s">
        <v>855</v>
      </c>
      <c r="D4883" s="31">
        <f t="shared" si="160"/>
        <v>9.2757954158358011E-2</v>
      </c>
      <c r="F4883" s="2" t="s">
        <v>822</v>
      </c>
      <c r="G4883" s="23" t="s">
        <v>902</v>
      </c>
      <c r="H4883" s="2" t="s">
        <v>822</v>
      </c>
      <c r="J4883" s="31">
        <v>32.626300800000003</v>
      </c>
      <c r="K4883" s="31">
        <v>23.101400399999999</v>
      </c>
      <c r="L4883" s="31"/>
      <c r="M4883" s="31" t="s">
        <v>854</v>
      </c>
      <c r="N4883" s="6" t="s">
        <v>856</v>
      </c>
    </row>
    <row r="4884" spans="1:14" ht="15" customHeight="1" x14ac:dyDescent="0.2">
      <c r="A4884" s="31">
        <v>0.47284678044335549</v>
      </c>
      <c r="B4884" s="31"/>
      <c r="C4884" s="2" t="s">
        <v>855</v>
      </c>
      <c r="D4884" s="31">
        <f t="shared" si="160"/>
        <v>9.2677968966897672E-2</v>
      </c>
      <c r="F4884" s="2" t="s">
        <v>822</v>
      </c>
      <c r="G4884" s="23" t="s">
        <v>902</v>
      </c>
      <c r="H4884" s="2" t="s">
        <v>822</v>
      </c>
      <c r="J4884" s="31">
        <v>53.428001399999999</v>
      </c>
      <c r="K4884" s="31">
        <v>3.9268401000000002</v>
      </c>
      <c r="L4884" s="31"/>
      <c r="M4884" s="31" t="s">
        <v>854</v>
      </c>
      <c r="N4884" s="6" t="s">
        <v>856</v>
      </c>
    </row>
    <row r="4885" spans="1:14" ht="15" customHeight="1" x14ac:dyDescent="0.2">
      <c r="A4885" s="31">
        <v>0.47281730793551319</v>
      </c>
      <c r="B4885" s="31"/>
      <c r="C4885" s="2" t="s">
        <v>855</v>
      </c>
      <c r="D4885" s="31">
        <f t="shared" si="160"/>
        <v>9.2672192355360589E-2</v>
      </c>
      <c r="F4885" s="2" t="s">
        <v>822</v>
      </c>
      <c r="G4885" s="23" t="s">
        <v>902</v>
      </c>
      <c r="H4885" s="2" t="s">
        <v>822</v>
      </c>
      <c r="J4885" s="31">
        <v>47.7709999</v>
      </c>
      <c r="K4885" s="31">
        <v>-5.8590597999999998</v>
      </c>
      <c r="L4885" s="31"/>
      <c r="M4885" s="31" t="s">
        <v>854</v>
      </c>
      <c r="N4885" s="6" t="s">
        <v>856</v>
      </c>
    </row>
    <row r="4886" spans="1:14" ht="15" customHeight="1" x14ac:dyDescent="0.2">
      <c r="A4886" s="31">
        <v>0.47279702713759048</v>
      </c>
      <c r="B4886" s="31"/>
      <c r="C4886" s="2" t="s">
        <v>855</v>
      </c>
      <c r="D4886" s="31">
        <f t="shared" si="160"/>
        <v>9.2668217318967738E-2</v>
      </c>
      <c r="F4886" s="2" t="s">
        <v>822</v>
      </c>
      <c r="G4886" s="23" t="s">
        <v>902</v>
      </c>
      <c r="H4886" s="2" t="s">
        <v>822</v>
      </c>
      <c r="J4886" s="31">
        <v>58.790000900000003</v>
      </c>
      <c r="K4886" s="31">
        <v>19.375099200000001</v>
      </c>
      <c r="L4886" s="31"/>
      <c r="M4886" s="31" t="s">
        <v>854</v>
      </c>
      <c r="N4886" s="6" t="s">
        <v>856</v>
      </c>
    </row>
    <row r="4887" spans="1:14" ht="15" customHeight="1" x14ac:dyDescent="0.2">
      <c r="A4887" s="31">
        <v>0.47272747002894228</v>
      </c>
      <c r="B4887" s="31"/>
      <c r="C4887" s="2" t="s">
        <v>855</v>
      </c>
      <c r="D4887" s="31">
        <f t="shared" si="160"/>
        <v>9.2654584125672693E-2</v>
      </c>
      <c r="F4887" s="2" t="s">
        <v>822</v>
      </c>
      <c r="G4887" s="23" t="s">
        <v>902</v>
      </c>
      <c r="H4887" s="2" t="s">
        <v>822</v>
      </c>
      <c r="J4887" s="31">
        <v>56.754501300000001</v>
      </c>
      <c r="K4887" s="31">
        <v>-14.413200399999999</v>
      </c>
      <c r="L4887" s="31"/>
      <c r="M4887" s="31" t="s">
        <v>854</v>
      </c>
      <c r="N4887" s="6" t="s">
        <v>856</v>
      </c>
    </row>
    <row r="4888" spans="1:14" ht="15" customHeight="1" x14ac:dyDescent="0.2">
      <c r="A4888" s="31">
        <v>0.47268671080110231</v>
      </c>
      <c r="B4888" s="31"/>
      <c r="C4888" s="2" t="s">
        <v>855</v>
      </c>
      <c r="D4888" s="31">
        <f t="shared" si="160"/>
        <v>9.2646595317016051E-2</v>
      </c>
      <c r="F4888" s="2" t="s">
        <v>822</v>
      </c>
      <c r="G4888" s="23" t="s">
        <v>902</v>
      </c>
      <c r="H4888" s="2" t="s">
        <v>822</v>
      </c>
      <c r="J4888" s="31">
        <v>54.223201799999998</v>
      </c>
      <c r="K4888" s="31">
        <v>6.3786502</v>
      </c>
      <c r="L4888" s="31"/>
      <c r="M4888" s="31" t="s">
        <v>854</v>
      </c>
      <c r="N4888" s="6" t="s">
        <v>856</v>
      </c>
    </row>
    <row r="4889" spans="1:14" ht="15" customHeight="1" x14ac:dyDescent="0.2">
      <c r="A4889" s="31">
        <v>0.4726661166353282</v>
      </c>
      <c r="B4889" s="31"/>
      <c r="C4889" s="2" t="s">
        <v>855</v>
      </c>
      <c r="D4889" s="31">
        <f t="shared" si="160"/>
        <v>9.2642558860524332E-2</v>
      </c>
      <c r="F4889" s="2" t="s">
        <v>822</v>
      </c>
      <c r="G4889" s="23" t="s">
        <v>902</v>
      </c>
      <c r="H4889" s="2" t="s">
        <v>822</v>
      </c>
      <c r="J4889" s="31">
        <v>49.419998200000002</v>
      </c>
      <c r="K4889" s="31">
        <v>-23.856000900000002</v>
      </c>
      <c r="L4889" s="31"/>
      <c r="M4889" s="31" t="s">
        <v>854</v>
      </c>
      <c r="N4889" s="6" t="s">
        <v>856</v>
      </c>
    </row>
    <row r="4890" spans="1:14" ht="15" customHeight="1" x14ac:dyDescent="0.2">
      <c r="A4890" s="31">
        <v>0.47231467380126863</v>
      </c>
      <c r="B4890" s="31"/>
      <c r="C4890" s="2" t="s">
        <v>855</v>
      </c>
      <c r="D4890" s="31">
        <f t="shared" si="160"/>
        <v>9.2573676065048655E-2</v>
      </c>
      <c r="F4890" s="2" t="s">
        <v>822</v>
      </c>
      <c r="G4890" s="23" t="s">
        <v>902</v>
      </c>
      <c r="H4890" s="2" t="s">
        <v>822</v>
      </c>
      <c r="J4890" s="31">
        <v>48.118598900000002</v>
      </c>
      <c r="K4890" s="31">
        <v>-8.0720100000000006</v>
      </c>
      <c r="L4890" s="31"/>
      <c r="M4890" s="31" t="s">
        <v>854</v>
      </c>
      <c r="N4890" s="6" t="s">
        <v>856</v>
      </c>
    </row>
    <row r="4891" spans="1:14" ht="15" customHeight="1" x14ac:dyDescent="0.2">
      <c r="A4891" s="31">
        <v>0.47185237173089312</v>
      </c>
      <c r="B4891" s="31"/>
      <c r="C4891" s="2" t="s">
        <v>855</v>
      </c>
      <c r="D4891" s="31">
        <f t="shared" si="160"/>
        <v>9.248306485925506E-2</v>
      </c>
      <c r="F4891" s="2" t="s">
        <v>822</v>
      </c>
      <c r="G4891" s="23" t="s">
        <v>902</v>
      </c>
      <c r="H4891" s="2" t="s">
        <v>822</v>
      </c>
      <c r="J4891" s="31">
        <v>48.083999599999999</v>
      </c>
      <c r="K4891" s="31">
        <v>-36.548000299999998</v>
      </c>
      <c r="L4891" s="31"/>
      <c r="M4891" s="31" t="s">
        <v>854</v>
      </c>
      <c r="N4891" s="6" t="s">
        <v>856</v>
      </c>
    </row>
    <row r="4892" spans="1:14" ht="15" customHeight="1" x14ac:dyDescent="0.2">
      <c r="A4892" s="31">
        <v>0.47171109808786071</v>
      </c>
      <c r="B4892" s="31"/>
      <c r="C4892" s="2" t="s">
        <v>855</v>
      </c>
      <c r="D4892" s="31">
        <f t="shared" si="160"/>
        <v>9.245537522522071E-2</v>
      </c>
      <c r="F4892" s="2" t="s">
        <v>822</v>
      </c>
      <c r="G4892" s="23" t="s">
        <v>902</v>
      </c>
      <c r="H4892" s="2" t="s">
        <v>822</v>
      </c>
      <c r="J4892" s="31">
        <v>31.442300800000002</v>
      </c>
      <c r="K4892" s="31">
        <v>-35.895198800000003</v>
      </c>
      <c r="L4892" s="31"/>
      <c r="M4892" s="31" t="s">
        <v>854</v>
      </c>
      <c r="N4892" s="6" t="s">
        <v>856</v>
      </c>
    </row>
    <row r="4893" spans="1:14" ht="15" customHeight="1" x14ac:dyDescent="0.2">
      <c r="A4893" s="31">
        <v>0.47142577919989448</v>
      </c>
      <c r="B4893" s="31"/>
      <c r="C4893" s="2" t="s">
        <v>855</v>
      </c>
      <c r="D4893" s="31">
        <f t="shared" si="160"/>
        <v>9.2399452723179315E-2</v>
      </c>
      <c r="F4893" s="2" t="s">
        <v>822</v>
      </c>
      <c r="G4893" s="23" t="s">
        <v>902</v>
      </c>
      <c r="H4893" s="2" t="s">
        <v>822</v>
      </c>
      <c r="J4893" s="31">
        <v>57.007598899999998</v>
      </c>
      <c r="K4893" s="31">
        <v>8.1582498999999995</v>
      </c>
      <c r="L4893" s="31"/>
      <c r="M4893" s="31" t="s">
        <v>854</v>
      </c>
      <c r="N4893" s="6" t="s">
        <v>856</v>
      </c>
    </row>
    <row r="4894" spans="1:14" ht="15" customHeight="1" x14ac:dyDescent="0.2">
      <c r="A4894" s="31">
        <v>0.47141093190003541</v>
      </c>
      <c r="B4894" s="31"/>
      <c r="C4894" s="2" t="s">
        <v>855</v>
      </c>
      <c r="D4894" s="31">
        <f t="shared" si="160"/>
        <v>9.2396542652406946E-2</v>
      </c>
      <c r="F4894" s="2" t="s">
        <v>822</v>
      </c>
      <c r="G4894" s="23" t="s">
        <v>902</v>
      </c>
      <c r="H4894" s="2" t="s">
        <v>822</v>
      </c>
      <c r="J4894" s="31">
        <v>50.088001300000002</v>
      </c>
      <c r="K4894" s="31">
        <v>-35.880001100000001</v>
      </c>
      <c r="L4894" s="31"/>
      <c r="M4894" s="31" t="s">
        <v>854</v>
      </c>
      <c r="N4894" s="6" t="s">
        <v>856</v>
      </c>
    </row>
    <row r="4895" spans="1:14" ht="15" customHeight="1" x14ac:dyDescent="0.2">
      <c r="A4895" s="31">
        <v>0.47094718263854463</v>
      </c>
      <c r="B4895" s="31"/>
      <c r="C4895" s="2" t="s">
        <v>855</v>
      </c>
      <c r="D4895" s="31">
        <f t="shared" si="160"/>
        <v>9.230564779715475E-2</v>
      </c>
      <c r="F4895" s="2" t="s">
        <v>822</v>
      </c>
      <c r="G4895" s="23" t="s">
        <v>902</v>
      </c>
      <c r="H4895" s="2" t="s">
        <v>822</v>
      </c>
      <c r="J4895" s="31">
        <v>35.391998299999997</v>
      </c>
      <c r="K4895" s="31">
        <v>18.228000600000001</v>
      </c>
      <c r="L4895" s="31"/>
      <c r="M4895" s="31" t="s">
        <v>854</v>
      </c>
      <c r="N4895" s="6" t="s">
        <v>856</v>
      </c>
    </row>
    <row r="4896" spans="1:14" ht="15" customHeight="1" x14ac:dyDescent="0.2">
      <c r="A4896" s="31">
        <v>0.47094227439532488</v>
      </c>
      <c r="B4896" s="31"/>
      <c r="C4896" s="2" t="s">
        <v>855</v>
      </c>
      <c r="D4896" s="31">
        <f t="shared" si="160"/>
        <v>9.2304685781483681E-2</v>
      </c>
      <c r="F4896" s="2" t="s">
        <v>822</v>
      </c>
      <c r="G4896" s="23" t="s">
        <v>902</v>
      </c>
      <c r="H4896" s="2" t="s">
        <v>822</v>
      </c>
      <c r="J4896" s="31">
        <v>46.080001799999998</v>
      </c>
      <c r="K4896" s="31">
        <v>-29.867999999999999</v>
      </c>
      <c r="L4896" s="31"/>
      <c r="M4896" s="31" t="s">
        <v>854</v>
      </c>
      <c r="N4896" s="6" t="s">
        <v>856</v>
      </c>
    </row>
    <row r="4897" spans="1:14" ht="15" customHeight="1" x14ac:dyDescent="0.2">
      <c r="A4897" s="31">
        <v>0.47073960542963927</v>
      </c>
      <c r="B4897" s="31"/>
      <c r="C4897" s="2" t="s">
        <v>855</v>
      </c>
      <c r="D4897" s="31">
        <f t="shared" si="160"/>
        <v>9.2264962664209305E-2</v>
      </c>
      <c r="F4897" s="2" t="s">
        <v>822</v>
      </c>
      <c r="G4897" s="23" t="s">
        <v>902</v>
      </c>
      <c r="H4897" s="2" t="s">
        <v>822</v>
      </c>
      <c r="J4897" s="31">
        <v>54.206798599999999</v>
      </c>
      <c r="K4897" s="31">
        <v>-4.9163598999999998</v>
      </c>
      <c r="L4897" s="31"/>
      <c r="M4897" s="31" t="s">
        <v>854</v>
      </c>
      <c r="N4897" s="6" t="s">
        <v>856</v>
      </c>
    </row>
    <row r="4898" spans="1:14" ht="15" customHeight="1" x14ac:dyDescent="0.2">
      <c r="A4898" s="31">
        <v>0.47054466029087733</v>
      </c>
      <c r="B4898" s="31"/>
      <c r="C4898" s="2" t="s">
        <v>855</v>
      </c>
      <c r="D4898" s="31">
        <f t="shared" si="160"/>
        <v>9.2226753417011961E-2</v>
      </c>
      <c r="F4898" s="2" t="s">
        <v>822</v>
      </c>
      <c r="G4898" s="23" t="s">
        <v>902</v>
      </c>
      <c r="H4898" s="2" t="s">
        <v>822</v>
      </c>
      <c r="J4898" s="31">
        <v>54.763999900000002</v>
      </c>
      <c r="K4898" s="31">
        <v>-18.511999100000001</v>
      </c>
      <c r="L4898" s="31"/>
      <c r="M4898" s="31" t="s">
        <v>854</v>
      </c>
      <c r="N4898" s="6" t="s">
        <v>856</v>
      </c>
    </row>
    <row r="4899" spans="1:14" ht="15" customHeight="1" x14ac:dyDescent="0.2">
      <c r="A4899" s="31">
        <v>0.46998603174800713</v>
      </c>
      <c r="B4899" s="31"/>
      <c r="C4899" s="2" t="s">
        <v>855</v>
      </c>
      <c r="D4899" s="31">
        <f t="shared" si="160"/>
        <v>9.2117262222609395E-2</v>
      </c>
      <c r="F4899" s="2" t="s">
        <v>822</v>
      </c>
      <c r="G4899" s="23" t="s">
        <v>902</v>
      </c>
      <c r="H4899" s="2" t="s">
        <v>822</v>
      </c>
      <c r="J4899" s="31">
        <v>34.055999800000002</v>
      </c>
      <c r="K4899" s="31">
        <v>30.252000800000001</v>
      </c>
      <c r="L4899" s="31"/>
      <c r="M4899" s="31" t="s">
        <v>854</v>
      </c>
      <c r="N4899" s="6" t="s">
        <v>856</v>
      </c>
    </row>
    <row r="4900" spans="1:14" ht="15" customHeight="1" x14ac:dyDescent="0.2">
      <c r="A4900" s="31">
        <v>0.46981427579288199</v>
      </c>
      <c r="B4900" s="31"/>
      <c r="C4900" s="2" t="s">
        <v>855</v>
      </c>
      <c r="D4900" s="31">
        <f t="shared" si="160"/>
        <v>9.2083598055404878E-2</v>
      </c>
      <c r="F4900" s="2" t="s">
        <v>822</v>
      </c>
      <c r="G4900" s="23" t="s">
        <v>902</v>
      </c>
      <c r="H4900" s="2" t="s">
        <v>822</v>
      </c>
      <c r="J4900" s="31">
        <v>55.238700899999998</v>
      </c>
      <c r="K4900" s="31">
        <v>13.1002998</v>
      </c>
      <c r="L4900" s="31"/>
      <c r="M4900" s="31" t="s">
        <v>854</v>
      </c>
      <c r="N4900" s="6" t="s">
        <v>856</v>
      </c>
    </row>
    <row r="4901" spans="1:14" ht="15" customHeight="1" x14ac:dyDescent="0.2">
      <c r="A4901" s="31">
        <v>0.46930035889697758</v>
      </c>
      <c r="B4901" s="31"/>
      <c r="C4901" s="2" t="s">
        <v>855</v>
      </c>
      <c r="D4901" s="31">
        <f t="shared" si="160"/>
        <v>9.1982870343807602E-2</v>
      </c>
      <c r="F4901" s="2" t="s">
        <v>822</v>
      </c>
      <c r="G4901" s="23" t="s">
        <v>902</v>
      </c>
      <c r="H4901" s="2" t="s">
        <v>822</v>
      </c>
      <c r="J4901" s="31">
        <v>44.248199499999998</v>
      </c>
      <c r="K4901" s="31">
        <v>-28.5116005</v>
      </c>
      <c r="L4901" s="31"/>
      <c r="M4901" s="31" t="s">
        <v>854</v>
      </c>
      <c r="N4901" s="6" t="s">
        <v>856</v>
      </c>
    </row>
    <row r="4902" spans="1:14" ht="15" customHeight="1" x14ac:dyDescent="0.2">
      <c r="A4902" s="31">
        <v>0.46926561143375878</v>
      </c>
      <c r="B4902" s="31"/>
      <c r="C4902" s="2" t="s">
        <v>855</v>
      </c>
      <c r="D4902" s="31">
        <f t="shared" si="160"/>
        <v>9.1976059841016727E-2</v>
      </c>
      <c r="F4902" s="2" t="s">
        <v>822</v>
      </c>
      <c r="G4902" s="23" t="s">
        <v>902</v>
      </c>
      <c r="H4902" s="2" t="s">
        <v>822</v>
      </c>
      <c r="J4902" s="31">
        <v>33.329799700000002</v>
      </c>
      <c r="K4902" s="31">
        <v>-29.3586998</v>
      </c>
      <c r="L4902" s="31"/>
      <c r="M4902" s="31" t="s">
        <v>854</v>
      </c>
      <c r="N4902" s="6" t="s">
        <v>856</v>
      </c>
    </row>
    <row r="4903" spans="1:14" ht="15" customHeight="1" x14ac:dyDescent="0.2">
      <c r="A4903" s="31">
        <v>0.4689900602171469</v>
      </c>
      <c r="B4903" s="31"/>
      <c r="C4903" s="2" t="s">
        <v>855</v>
      </c>
      <c r="D4903" s="31">
        <f t="shared" si="160"/>
        <v>9.19220518025608E-2</v>
      </c>
      <c r="F4903" s="2" t="s">
        <v>822</v>
      </c>
      <c r="G4903" s="23" t="s">
        <v>902</v>
      </c>
      <c r="H4903" s="2" t="s">
        <v>822</v>
      </c>
      <c r="J4903" s="31">
        <v>42.738098100000002</v>
      </c>
      <c r="K4903" s="31">
        <v>-35.549499500000003</v>
      </c>
      <c r="L4903" s="31"/>
      <c r="M4903" s="31" t="s">
        <v>854</v>
      </c>
      <c r="N4903" s="6" t="s">
        <v>856</v>
      </c>
    </row>
    <row r="4904" spans="1:14" ht="15" customHeight="1" x14ac:dyDescent="0.2">
      <c r="A4904" s="31">
        <v>0.46892785132832038</v>
      </c>
      <c r="B4904" s="31"/>
      <c r="C4904" s="2" t="s">
        <v>855</v>
      </c>
      <c r="D4904" s="31">
        <f t="shared" si="160"/>
        <v>9.1909858860350802E-2</v>
      </c>
      <c r="F4904" s="2" t="s">
        <v>822</v>
      </c>
      <c r="G4904" s="23" t="s">
        <v>902</v>
      </c>
      <c r="H4904" s="2" t="s">
        <v>822</v>
      </c>
      <c r="J4904" s="31">
        <v>57.711601299999998</v>
      </c>
      <c r="K4904" s="31">
        <v>-6.66716</v>
      </c>
      <c r="L4904" s="31"/>
      <c r="M4904" s="31" t="s">
        <v>854</v>
      </c>
      <c r="N4904" s="6" t="s">
        <v>856</v>
      </c>
    </row>
    <row r="4905" spans="1:14" ht="15" customHeight="1" x14ac:dyDescent="0.2">
      <c r="A4905" s="31">
        <v>0.46872114984907137</v>
      </c>
      <c r="B4905" s="31"/>
      <c r="C4905" s="2" t="s">
        <v>855</v>
      </c>
      <c r="D4905" s="31">
        <f t="shared" si="160"/>
        <v>9.1869345370417993E-2</v>
      </c>
      <c r="F4905" s="2" t="s">
        <v>822</v>
      </c>
      <c r="G4905" s="23" t="s">
        <v>902</v>
      </c>
      <c r="H4905" s="2" t="s">
        <v>822</v>
      </c>
      <c r="J4905" s="31">
        <v>36.060001399999997</v>
      </c>
      <c r="K4905" s="31">
        <v>18.228000600000001</v>
      </c>
      <c r="L4905" s="31"/>
      <c r="M4905" s="31" t="s">
        <v>854</v>
      </c>
      <c r="N4905" s="6" t="s">
        <v>856</v>
      </c>
    </row>
    <row r="4906" spans="1:14" ht="15" customHeight="1" x14ac:dyDescent="0.2">
      <c r="A4906" s="31">
        <v>0.46842837143740379</v>
      </c>
      <c r="B4906" s="31"/>
      <c r="C4906" s="2" t="s">
        <v>855</v>
      </c>
      <c r="D4906" s="31">
        <f t="shared" si="160"/>
        <v>9.1811960801731152E-2</v>
      </c>
      <c r="F4906" s="2" t="s">
        <v>822</v>
      </c>
      <c r="G4906" s="23" t="s">
        <v>902</v>
      </c>
      <c r="H4906" s="2" t="s">
        <v>822</v>
      </c>
      <c r="J4906" s="31">
        <v>50.756000499999999</v>
      </c>
      <c r="K4906" s="31">
        <v>-17.636199999999999</v>
      </c>
      <c r="L4906" s="31"/>
      <c r="M4906" s="31" t="s">
        <v>854</v>
      </c>
      <c r="N4906" s="6" t="s">
        <v>856</v>
      </c>
    </row>
    <row r="4907" spans="1:14" ht="15" customHeight="1" x14ac:dyDescent="0.2">
      <c r="A4907" s="31">
        <v>0.46799275570183979</v>
      </c>
      <c r="B4907" s="31"/>
      <c r="C4907" s="2" t="s">
        <v>855</v>
      </c>
      <c r="D4907" s="31">
        <f t="shared" si="160"/>
        <v>9.1726580117560602E-2</v>
      </c>
      <c r="F4907" s="2" t="s">
        <v>822</v>
      </c>
      <c r="G4907" s="23" t="s">
        <v>902</v>
      </c>
      <c r="H4907" s="2" t="s">
        <v>822</v>
      </c>
      <c r="J4907" s="31">
        <v>43.238601699999997</v>
      </c>
      <c r="K4907" s="31">
        <v>-42.369201699999998</v>
      </c>
      <c r="L4907" s="31"/>
      <c r="M4907" s="31" t="s">
        <v>854</v>
      </c>
      <c r="N4907" s="6" t="s">
        <v>856</v>
      </c>
    </row>
    <row r="4908" spans="1:14" ht="15" customHeight="1" x14ac:dyDescent="0.2">
      <c r="A4908" s="31">
        <v>0.46795313578271869</v>
      </c>
      <c r="B4908" s="31"/>
      <c r="C4908" s="2" t="s">
        <v>855</v>
      </c>
      <c r="D4908" s="31">
        <f t="shared" si="160"/>
        <v>9.1718814613412872E-2</v>
      </c>
      <c r="F4908" s="2" t="s">
        <v>822</v>
      </c>
      <c r="G4908" s="23" t="s">
        <v>902</v>
      </c>
      <c r="H4908" s="2" t="s">
        <v>822</v>
      </c>
      <c r="J4908" s="31">
        <v>55.4319992</v>
      </c>
      <c r="K4908" s="31">
        <v>-13.8360004</v>
      </c>
      <c r="L4908" s="31"/>
      <c r="M4908" s="31" t="s">
        <v>854</v>
      </c>
      <c r="N4908" s="6" t="s">
        <v>856</v>
      </c>
    </row>
    <row r="4909" spans="1:14" ht="15" customHeight="1" x14ac:dyDescent="0.2">
      <c r="A4909" s="31">
        <v>0.46788972210706831</v>
      </c>
      <c r="B4909" s="31"/>
      <c r="C4909" s="2" t="s">
        <v>855</v>
      </c>
      <c r="D4909" s="31">
        <f t="shared" si="160"/>
        <v>9.1706385532985393E-2</v>
      </c>
      <c r="F4909" s="2" t="s">
        <v>822</v>
      </c>
      <c r="G4909" s="23" t="s">
        <v>902</v>
      </c>
      <c r="H4909" s="2" t="s">
        <v>822</v>
      </c>
      <c r="J4909" s="31">
        <v>53.917499499999998</v>
      </c>
      <c r="K4909" s="31">
        <v>6.2092900000000002</v>
      </c>
      <c r="L4909" s="31"/>
      <c r="M4909" s="31" t="s">
        <v>854</v>
      </c>
      <c r="N4909" s="6" t="s">
        <v>856</v>
      </c>
    </row>
    <row r="4910" spans="1:14" ht="15" customHeight="1" x14ac:dyDescent="0.2">
      <c r="A4910" s="31">
        <v>0.46778526455739222</v>
      </c>
      <c r="B4910" s="31"/>
      <c r="C4910" s="2" t="s">
        <v>855</v>
      </c>
      <c r="D4910" s="31">
        <f t="shared" si="160"/>
        <v>9.1685911853248883E-2</v>
      </c>
      <c r="F4910" s="2" t="s">
        <v>822</v>
      </c>
      <c r="G4910" s="23" t="s">
        <v>902</v>
      </c>
      <c r="H4910" s="2" t="s">
        <v>822</v>
      </c>
      <c r="J4910" s="31">
        <v>30.9958992</v>
      </c>
      <c r="K4910" s="31">
        <v>-41.337699899999997</v>
      </c>
      <c r="L4910" s="31"/>
      <c r="M4910" s="31" t="s">
        <v>854</v>
      </c>
      <c r="N4910" s="6" t="s">
        <v>856</v>
      </c>
    </row>
    <row r="4911" spans="1:14" ht="15" customHeight="1" x14ac:dyDescent="0.2">
      <c r="A4911" s="31">
        <v>0.46770194596499431</v>
      </c>
      <c r="B4911" s="31"/>
      <c r="C4911" s="2" t="s">
        <v>855</v>
      </c>
      <c r="D4911" s="31">
        <f t="shared" si="160"/>
        <v>9.1669581409138889E-2</v>
      </c>
      <c r="F4911" s="2" t="s">
        <v>822</v>
      </c>
      <c r="G4911" s="23" t="s">
        <v>902</v>
      </c>
      <c r="H4911" s="2" t="s">
        <v>822</v>
      </c>
      <c r="J4911" s="31">
        <v>57.674301100000001</v>
      </c>
      <c r="K4911" s="31">
        <v>9.1314496999999992</v>
      </c>
      <c r="L4911" s="31"/>
      <c r="M4911" s="31" t="s">
        <v>854</v>
      </c>
      <c r="N4911" s="6" t="s">
        <v>856</v>
      </c>
    </row>
    <row r="4912" spans="1:14" ht="15" customHeight="1" x14ac:dyDescent="0.2">
      <c r="A4912" s="31">
        <v>0.46711278036787979</v>
      </c>
      <c r="B4912" s="31"/>
      <c r="C4912" s="2" t="s">
        <v>855</v>
      </c>
      <c r="D4912" s="31">
        <f t="shared" si="160"/>
        <v>9.1554104952104448E-2</v>
      </c>
      <c r="F4912" s="2" t="s">
        <v>822</v>
      </c>
      <c r="G4912" s="23" t="s">
        <v>902</v>
      </c>
      <c r="H4912" s="2" t="s">
        <v>822</v>
      </c>
      <c r="J4912" s="31">
        <v>48.083999599999999</v>
      </c>
      <c r="K4912" s="31">
        <v>-38.551998099999999</v>
      </c>
      <c r="L4912" s="31"/>
      <c r="M4912" s="31" t="s">
        <v>854</v>
      </c>
      <c r="N4912" s="6" t="s">
        <v>856</v>
      </c>
    </row>
    <row r="4913" spans="1:14" ht="15" customHeight="1" x14ac:dyDescent="0.2">
      <c r="A4913" s="31">
        <v>0.46663769453967441</v>
      </c>
      <c r="B4913" s="31"/>
      <c r="C4913" s="2" t="s">
        <v>855</v>
      </c>
      <c r="D4913" s="31">
        <f t="shared" si="160"/>
        <v>9.1460988129776183E-2</v>
      </c>
      <c r="F4913" s="2" t="s">
        <v>822</v>
      </c>
      <c r="G4913" s="23" t="s">
        <v>902</v>
      </c>
      <c r="H4913" s="2" t="s">
        <v>822</v>
      </c>
      <c r="J4913" s="31">
        <v>56.082199099999997</v>
      </c>
      <c r="K4913" s="31">
        <v>-1.87992</v>
      </c>
      <c r="L4913" s="31"/>
      <c r="M4913" s="31" t="s">
        <v>854</v>
      </c>
      <c r="N4913" s="6" t="s">
        <v>856</v>
      </c>
    </row>
    <row r="4914" spans="1:14" ht="15" customHeight="1" x14ac:dyDescent="0.2">
      <c r="A4914" s="31">
        <v>0.46658344036759247</v>
      </c>
      <c r="B4914" s="31"/>
      <c r="C4914" s="2" t="s">
        <v>855</v>
      </c>
      <c r="D4914" s="31">
        <f t="shared" si="160"/>
        <v>9.1450354312048135E-2</v>
      </c>
      <c r="F4914" s="2" t="s">
        <v>822</v>
      </c>
      <c r="G4914" s="23" t="s">
        <v>902</v>
      </c>
      <c r="H4914" s="2" t="s">
        <v>822</v>
      </c>
      <c r="J4914" s="31">
        <v>35.391998299999997</v>
      </c>
      <c r="K4914" s="31">
        <v>-38.551998099999999</v>
      </c>
      <c r="L4914" s="31"/>
      <c r="M4914" s="31" t="s">
        <v>854</v>
      </c>
      <c r="N4914" s="6" t="s">
        <v>856</v>
      </c>
    </row>
    <row r="4915" spans="1:14" ht="15" customHeight="1" x14ac:dyDescent="0.2">
      <c r="A4915" s="31">
        <v>0.46632407068478482</v>
      </c>
      <c r="B4915" s="31"/>
      <c r="C4915" s="2" t="s">
        <v>855</v>
      </c>
      <c r="D4915" s="31">
        <f t="shared" si="160"/>
        <v>9.1399517854217835E-2</v>
      </c>
      <c r="F4915" s="2" t="s">
        <v>822</v>
      </c>
      <c r="G4915" s="23" t="s">
        <v>902</v>
      </c>
      <c r="H4915" s="2" t="s">
        <v>822</v>
      </c>
      <c r="J4915" s="31">
        <v>26.040000899999999</v>
      </c>
      <c r="K4915" s="31">
        <v>-37.215999600000004</v>
      </c>
      <c r="L4915" s="31"/>
      <c r="M4915" s="31" t="s">
        <v>854</v>
      </c>
      <c r="N4915" s="6" t="s">
        <v>856</v>
      </c>
    </row>
    <row r="4916" spans="1:14" ht="15" customHeight="1" x14ac:dyDescent="0.2">
      <c r="A4916" s="31">
        <v>0.46616875211593678</v>
      </c>
      <c r="B4916" s="31"/>
      <c r="C4916" s="2" t="s">
        <v>855</v>
      </c>
      <c r="D4916" s="31">
        <f t="shared" si="160"/>
        <v>9.1369075414723611E-2</v>
      </c>
      <c r="F4916" s="2" t="s">
        <v>822</v>
      </c>
      <c r="G4916" s="23" t="s">
        <v>902</v>
      </c>
      <c r="H4916" s="2" t="s">
        <v>822</v>
      </c>
      <c r="J4916" s="31">
        <v>43.386398300000003</v>
      </c>
      <c r="K4916" s="31">
        <v>-39.210498800000003</v>
      </c>
      <c r="L4916" s="31"/>
      <c r="M4916" s="31" t="s">
        <v>854</v>
      </c>
      <c r="N4916" s="6" t="s">
        <v>856</v>
      </c>
    </row>
    <row r="4917" spans="1:14" ht="15" customHeight="1" x14ac:dyDescent="0.2">
      <c r="A4917" s="31">
        <v>0.46576173990506109</v>
      </c>
      <c r="B4917" s="31"/>
      <c r="C4917" s="2" t="s">
        <v>855</v>
      </c>
      <c r="D4917" s="31">
        <f t="shared" si="160"/>
        <v>9.1289301021391975E-2</v>
      </c>
      <c r="F4917" s="2" t="s">
        <v>822</v>
      </c>
      <c r="G4917" s="23" t="s">
        <v>902</v>
      </c>
      <c r="H4917" s="2" t="s">
        <v>822</v>
      </c>
      <c r="J4917" s="31">
        <v>37.689899400000002</v>
      </c>
      <c r="K4917" s="31">
        <v>-15.1314001</v>
      </c>
      <c r="L4917" s="31"/>
      <c r="M4917" s="31" t="s">
        <v>854</v>
      </c>
      <c r="N4917" s="6" t="s">
        <v>856</v>
      </c>
    </row>
    <row r="4918" spans="1:14" ht="15" customHeight="1" x14ac:dyDescent="0.2">
      <c r="A4918" s="31">
        <v>0.46529841621352952</v>
      </c>
      <c r="B4918" s="31"/>
      <c r="C4918" s="2" t="s">
        <v>855</v>
      </c>
      <c r="D4918" s="31">
        <f t="shared" si="160"/>
        <v>9.1198489577851788E-2</v>
      </c>
      <c r="F4918" s="2" t="s">
        <v>822</v>
      </c>
      <c r="G4918" s="23" t="s">
        <v>902</v>
      </c>
      <c r="H4918" s="2" t="s">
        <v>822</v>
      </c>
      <c r="J4918" s="31">
        <v>52.7206993</v>
      </c>
      <c r="K4918" s="31">
        <v>-4.5025401</v>
      </c>
      <c r="L4918" s="31"/>
      <c r="M4918" s="31" t="s">
        <v>854</v>
      </c>
      <c r="N4918" s="6" t="s">
        <v>856</v>
      </c>
    </row>
    <row r="4919" spans="1:14" ht="15" customHeight="1" x14ac:dyDescent="0.2">
      <c r="A4919" s="31">
        <v>0.46524870728296758</v>
      </c>
      <c r="B4919" s="31"/>
      <c r="C4919" s="2" t="s">
        <v>855</v>
      </c>
      <c r="D4919" s="31">
        <f t="shared" si="160"/>
        <v>9.1188746627461653E-2</v>
      </c>
      <c r="F4919" s="2" t="s">
        <v>822</v>
      </c>
      <c r="G4919" s="23" t="s">
        <v>902</v>
      </c>
      <c r="H4919" s="2" t="s">
        <v>822</v>
      </c>
      <c r="J4919" s="31">
        <v>33.016899100000003</v>
      </c>
      <c r="K4919" s="31">
        <v>-34.751598399999999</v>
      </c>
      <c r="L4919" s="31"/>
      <c r="M4919" s="31" t="s">
        <v>854</v>
      </c>
      <c r="N4919" s="6" t="s">
        <v>856</v>
      </c>
    </row>
    <row r="4920" spans="1:14" ht="15" customHeight="1" x14ac:dyDescent="0.2">
      <c r="A4920" s="31">
        <v>0.46516419953917121</v>
      </c>
      <c r="B4920" s="31"/>
      <c r="C4920" s="2" t="s">
        <v>855</v>
      </c>
      <c r="D4920" s="31">
        <f t="shared" si="160"/>
        <v>9.1172183109677563E-2</v>
      </c>
      <c r="F4920" s="2" t="s">
        <v>822</v>
      </c>
      <c r="G4920" s="23" t="s">
        <v>902</v>
      </c>
      <c r="H4920" s="2" t="s">
        <v>822</v>
      </c>
      <c r="J4920" s="31">
        <v>57.274700199999998</v>
      </c>
      <c r="K4920" s="31">
        <v>8.2056503000000003</v>
      </c>
      <c r="L4920" s="31"/>
      <c r="M4920" s="31" t="s">
        <v>854</v>
      </c>
      <c r="N4920" s="6" t="s">
        <v>856</v>
      </c>
    </row>
    <row r="4921" spans="1:14" ht="15" customHeight="1" x14ac:dyDescent="0.2">
      <c r="A4921" s="31">
        <v>0.46515622727135553</v>
      </c>
      <c r="B4921" s="31"/>
      <c r="C4921" s="2" t="s">
        <v>855</v>
      </c>
      <c r="D4921" s="31">
        <f t="shared" si="160"/>
        <v>9.1170620545185682E-2</v>
      </c>
      <c r="F4921" s="2" t="s">
        <v>822</v>
      </c>
      <c r="G4921" s="23" t="s">
        <v>902</v>
      </c>
      <c r="H4921" s="2" t="s">
        <v>822</v>
      </c>
      <c r="J4921" s="31">
        <v>52.8877983</v>
      </c>
      <c r="K4921" s="31">
        <v>1.62018</v>
      </c>
      <c r="L4921" s="31"/>
      <c r="M4921" s="31" t="s">
        <v>854</v>
      </c>
      <c r="N4921" s="6" t="s">
        <v>856</v>
      </c>
    </row>
    <row r="4922" spans="1:14" ht="15" customHeight="1" x14ac:dyDescent="0.2">
      <c r="A4922" s="31">
        <v>0.46478923808647638</v>
      </c>
      <c r="B4922" s="31"/>
      <c r="C4922" s="2" t="s">
        <v>855</v>
      </c>
      <c r="D4922" s="31">
        <f t="shared" si="160"/>
        <v>9.1098690664949369E-2</v>
      </c>
      <c r="F4922" s="2" t="s">
        <v>822</v>
      </c>
      <c r="G4922" s="23" t="s">
        <v>902</v>
      </c>
      <c r="H4922" s="2" t="s">
        <v>822</v>
      </c>
      <c r="J4922" s="31">
        <v>28.0440006</v>
      </c>
      <c r="K4922" s="31">
        <v>-41.891998299999997</v>
      </c>
      <c r="L4922" s="31"/>
      <c r="M4922" s="31" t="s">
        <v>854</v>
      </c>
      <c r="N4922" s="6" t="s">
        <v>856</v>
      </c>
    </row>
    <row r="4923" spans="1:14" ht="15" customHeight="1" x14ac:dyDescent="0.2">
      <c r="A4923" s="31">
        <v>0.46478822093919042</v>
      </c>
      <c r="B4923" s="31"/>
      <c r="C4923" s="2" t="s">
        <v>855</v>
      </c>
      <c r="D4923" s="31">
        <f t="shared" si="160"/>
        <v>9.1098491304081319E-2</v>
      </c>
      <c r="F4923" s="2" t="s">
        <v>822</v>
      </c>
      <c r="G4923" s="23" t="s">
        <v>902</v>
      </c>
      <c r="H4923" s="2" t="s">
        <v>822</v>
      </c>
      <c r="J4923" s="31">
        <v>57.363601699999997</v>
      </c>
      <c r="K4923" s="31">
        <v>-7.0245299000000001</v>
      </c>
      <c r="L4923" s="31"/>
      <c r="M4923" s="31" t="s">
        <v>854</v>
      </c>
      <c r="N4923" s="6" t="s">
        <v>856</v>
      </c>
    </row>
    <row r="4924" spans="1:14" ht="15" customHeight="1" x14ac:dyDescent="0.2">
      <c r="A4924" s="31">
        <v>0.46477757630096878</v>
      </c>
      <c r="B4924" s="31"/>
      <c r="C4924" s="2" t="s">
        <v>855</v>
      </c>
      <c r="D4924" s="31">
        <f t="shared" si="160"/>
        <v>9.1096404954989885E-2</v>
      </c>
      <c r="F4924" s="2" t="s">
        <v>822</v>
      </c>
      <c r="G4924" s="23" t="s">
        <v>902</v>
      </c>
      <c r="H4924" s="2" t="s">
        <v>822</v>
      </c>
      <c r="J4924" s="31">
        <v>57.002601599999998</v>
      </c>
      <c r="K4924" s="31">
        <v>10.641799900000001</v>
      </c>
      <c r="L4924" s="31"/>
      <c r="M4924" s="31" t="s">
        <v>854</v>
      </c>
      <c r="N4924" s="6" t="s">
        <v>856</v>
      </c>
    </row>
    <row r="4925" spans="1:14" ht="15" customHeight="1" x14ac:dyDescent="0.2">
      <c r="A4925" s="31">
        <v>0.46458373988373147</v>
      </c>
      <c r="B4925" s="31"/>
      <c r="C4925" s="2" t="s">
        <v>855</v>
      </c>
      <c r="D4925" s="31">
        <f t="shared" si="160"/>
        <v>9.1058413017211376E-2</v>
      </c>
      <c r="F4925" s="2" t="s">
        <v>822</v>
      </c>
      <c r="G4925" s="23" t="s">
        <v>902</v>
      </c>
      <c r="H4925" s="2" t="s">
        <v>822</v>
      </c>
      <c r="J4925" s="31">
        <v>54.469200100000002</v>
      </c>
      <c r="K4925" s="31">
        <v>-0.327264</v>
      </c>
      <c r="L4925" s="31"/>
      <c r="M4925" s="31" t="s">
        <v>854</v>
      </c>
      <c r="N4925" s="6" t="s">
        <v>856</v>
      </c>
    </row>
    <row r="4926" spans="1:14" ht="15" customHeight="1" x14ac:dyDescent="0.2">
      <c r="A4926" s="31">
        <v>0.46409662995952228</v>
      </c>
      <c r="B4926" s="31"/>
      <c r="C4926" s="2" t="s">
        <v>855</v>
      </c>
      <c r="D4926" s="31">
        <f t="shared" ref="D4926:D4989" si="161" xml:space="preserve"> A4926 * 0.196</f>
        <v>9.0962939472066365E-2</v>
      </c>
      <c r="F4926" s="2" t="s">
        <v>822</v>
      </c>
      <c r="G4926" s="23" t="s">
        <v>902</v>
      </c>
      <c r="H4926" s="2" t="s">
        <v>822</v>
      </c>
      <c r="J4926" s="31">
        <v>56.548801400000002</v>
      </c>
      <c r="K4926" s="31">
        <v>10.999500299999999</v>
      </c>
      <c r="L4926" s="31"/>
      <c r="M4926" s="31" t="s">
        <v>854</v>
      </c>
      <c r="N4926" s="6" t="s">
        <v>856</v>
      </c>
    </row>
    <row r="4927" spans="1:14" ht="15" customHeight="1" x14ac:dyDescent="0.2">
      <c r="A4927" s="31">
        <v>0.46400668849602489</v>
      </c>
      <c r="B4927" s="31"/>
      <c r="C4927" s="2" t="s">
        <v>855</v>
      </c>
      <c r="D4927" s="31">
        <f t="shared" si="161"/>
        <v>9.0945310945220875E-2</v>
      </c>
      <c r="F4927" s="2" t="s">
        <v>822</v>
      </c>
      <c r="G4927" s="23" t="s">
        <v>902</v>
      </c>
      <c r="H4927" s="2" t="s">
        <v>822</v>
      </c>
      <c r="J4927" s="31">
        <v>53.9701004</v>
      </c>
      <c r="K4927" s="31">
        <v>6.4197797999999997</v>
      </c>
      <c r="L4927" s="31"/>
      <c r="M4927" s="31" t="s">
        <v>854</v>
      </c>
      <c r="N4927" s="6" t="s">
        <v>856</v>
      </c>
    </row>
    <row r="4928" spans="1:14" ht="15" customHeight="1" x14ac:dyDescent="0.2">
      <c r="A4928" s="31">
        <v>0.46389754860892563</v>
      </c>
      <c r="B4928" s="31"/>
      <c r="C4928" s="2" t="s">
        <v>855</v>
      </c>
      <c r="D4928" s="31">
        <f t="shared" si="161"/>
        <v>9.092391952734942E-2</v>
      </c>
      <c r="F4928" s="2" t="s">
        <v>822</v>
      </c>
      <c r="G4928" s="23" t="s">
        <v>902</v>
      </c>
      <c r="H4928" s="2" t="s">
        <v>822</v>
      </c>
      <c r="J4928" s="31">
        <v>48.083999599999999</v>
      </c>
      <c r="K4928" s="31">
        <v>-19.1800003</v>
      </c>
      <c r="L4928" s="31"/>
      <c r="M4928" s="31" t="s">
        <v>854</v>
      </c>
      <c r="N4928" s="6" t="s">
        <v>856</v>
      </c>
    </row>
    <row r="4929" spans="1:14" ht="15" customHeight="1" x14ac:dyDescent="0.2">
      <c r="A4929" s="31">
        <v>0.46365614727282001</v>
      </c>
      <c r="B4929" s="31"/>
      <c r="C4929" s="2" t="s">
        <v>855</v>
      </c>
      <c r="D4929" s="31">
        <f t="shared" si="161"/>
        <v>9.0876604865472721E-2</v>
      </c>
      <c r="F4929" s="2" t="s">
        <v>822</v>
      </c>
      <c r="G4929" s="23" t="s">
        <v>902</v>
      </c>
      <c r="H4929" s="2" t="s">
        <v>822</v>
      </c>
      <c r="J4929" s="31">
        <v>48.751998899999997</v>
      </c>
      <c r="K4929" s="31">
        <v>-21.184000000000001</v>
      </c>
      <c r="L4929" s="31"/>
      <c r="M4929" s="31" t="s">
        <v>854</v>
      </c>
      <c r="N4929" s="6" t="s">
        <v>856</v>
      </c>
    </row>
    <row r="4930" spans="1:14" ht="15" customHeight="1" x14ac:dyDescent="0.2">
      <c r="A4930" s="31">
        <v>0.463629389183214</v>
      </c>
      <c r="B4930" s="31"/>
      <c r="C4930" s="2" t="s">
        <v>855</v>
      </c>
      <c r="D4930" s="31">
        <f t="shared" si="161"/>
        <v>9.0871360279909955E-2</v>
      </c>
      <c r="F4930" s="2" t="s">
        <v>822</v>
      </c>
      <c r="G4930" s="23" t="s">
        <v>902</v>
      </c>
      <c r="H4930" s="2" t="s">
        <v>822</v>
      </c>
      <c r="J4930" s="31">
        <v>48.083999599999999</v>
      </c>
      <c r="K4930" s="31">
        <v>-25.860000599999999</v>
      </c>
      <c r="L4930" s="31"/>
      <c r="M4930" s="31" t="s">
        <v>854</v>
      </c>
      <c r="N4930" s="6" t="s">
        <v>856</v>
      </c>
    </row>
    <row r="4931" spans="1:14" ht="15" customHeight="1" x14ac:dyDescent="0.2">
      <c r="A4931" s="31">
        <v>0.46349854729898882</v>
      </c>
      <c r="B4931" s="31"/>
      <c r="C4931" s="2" t="s">
        <v>855</v>
      </c>
      <c r="D4931" s="31">
        <f t="shared" si="161"/>
        <v>9.0845715270601812E-2</v>
      </c>
      <c r="F4931" s="2" t="s">
        <v>822</v>
      </c>
      <c r="G4931" s="23" t="s">
        <v>902</v>
      </c>
      <c r="H4931" s="2" t="s">
        <v>822</v>
      </c>
      <c r="J4931" s="31">
        <v>51.481800100000001</v>
      </c>
      <c r="K4931" s="31">
        <v>-17.704700500000001</v>
      </c>
      <c r="L4931" s="31"/>
      <c r="M4931" s="31" t="s">
        <v>854</v>
      </c>
      <c r="N4931" s="6" t="s">
        <v>856</v>
      </c>
    </row>
    <row r="4932" spans="1:14" ht="15" customHeight="1" x14ac:dyDescent="0.2">
      <c r="A4932" s="31">
        <v>0.46281151491301348</v>
      </c>
      <c r="B4932" s="31"/>
      <c r="C4932" s="2" t="s">
        <v>855</v>
      </c>
      <c r="D4932" s="31">
        <f t="shared" si="161"/>
        <v>9.0711056922950645E-2</v>
      </c>
      <c r="F4932" s="2" t="s">
        <v>822</v>
      </c>
      <c r="G4932" s="23" t="s">
        <v>902</v>
      </c>
      <c r="H4932" s="2" t="s">
        <v>822</v>
      </c>
      <c r="J4932" s="31">
        <v>51.423999799999997</v>
      </c>
      <c r="K4932" s="31">
        <v>-24.5240002</v>
      </c>
      <c r="L4932" s="31"/>
      <c r="M4932" s="31" t="s">
        <v>854</v>
      </c>
      <c r="N4932" s="6" t="s">
        <v>856</v>
      </c>
    </row>
    <row r="4933" spans="1:14" ht="15" customHeight="1" x14ac:dyDescent="0.2">
      <c r="A4933" s="31">
        <v>0.46273204631721709</v>
      </c>
      <c r="B4933" s="31"/>
      <c r="C4933" s="2" t="s">
        <v>855</v>
      </c>
      <c r="D4933" s="31">
        <f t="shared" si="161"/>
        <v>9.0695481078174559E-2</v>
      </c>
      <c r="F4933" s="2" t="s">
        <v>822</v>
      </c>
      <c r="G4933" s="23" t="s">
        <v>902</v>
      </c>
      <c r="H4933" s="2" t="s">
        <v>822</v>
      </c>
      <c r="J4933" s="31">
        <v>56.281101200000002</v>
      </c>
      <c r="K4933" s="31">
        <v>5.0640402</v>
      </c>
      <c r="L4933" s="31"/>
      <c r="M4933" s="31" t="s">
        <v>854</v>
      </c>
      <c r="N4933" s="6" t="s">
        <v>856</v>
      </c>
    </row>
    <row r="4934" spans="1:14" ht="15" customHeight="1" x14ac:dyDescent="0.2">
      <c r="A4934" s="31">
        <v>0.46272214288676727</v>
      </c>
      <c r="B4934" s="31"/>
      <c r="C4934" s="2" t="s">
        <v>855</v>
      </c>
      <c r="D4934" s="31">
        <f t="shared" si="161"/>
        <v>9.0693540005806386E-2</v>
      </c>
      <c r="F4934" s="2" t="s">
        <v>822</v>
      </c>
      <c r="G4934" s="23" t="s">
        <v>902</v>
      </c>
      <c r="H4934" s="2" t="s">
        <v>822</v>
      </c>
      <c r="J4934" s="31">
        <v>56.093799599999997</v>
      </c>
      <c r="K4934" s="31">
        <v>-13.252800000000001</v>
      </c>
      <c r="L4934" s="31"/>
      <c r="M4934" s="31" t="s">
        <v>854</v>
      </c>
      <c r="N4934" s="6" t="s">
        <v>856</v>
      </c>
    </row>
    <row r="4935" spans="1:14" ht="15" customHeight="1" x14ac:dyDescent="0.2">
      <c r="A4935" s="31">
        <v>0.46263835051654362</v>
      </c>
      <c r="B4935" s="31"/>
      <c r="C4935" s="2" t="s">
        <v>855</v>
      </c>
      <c r="D4935" s="31">
        <f t="shared" si="161"/>
        <v>9.0677116701242552E-2</v>
      </c>
      <c r="F4935" s="2" t="s">
        <v>822</v>
      </c>
      <c r="G4935" s="23" t="s">
        <v>902</v>
      </c>
      <c r="H4935" s="2" t="s">
        <v>822</v>
      </c>
      <c r="J4935" s="31">
        <v>55.2505989</v>
      </c>
      <c r="K4935" s="31">
        <v>3.2178399999999998</v>
      </c>
      <c r="L4935" s="31"/>
      <c r="M4935" s="31" t="s">
        <v>854</v>
      </c>
      <c r="N4935" s="6" t="s">
        <v>856</v>
      </c>
    </row>
    <row r="4936" spans="1:14" ht="15" customHeight="1" x14ac:dyDescent="0.2">
      <c r="A4936" s="31">
        <v>0.46241286629564199</v>
      </c>
      <c r="B4936" s="31"/>
      <c r="C4936" s="2" t="s">
        <v>855</v>
      </c>
      <c r="D4936" s="31">
        <f t="shared" si="161"/>
        <v>9.0632921793945831E-2</v>
      </c>
      <c r="F4936" s="2" t="s">
        <v>822</v>
      </c>
      <c r="G4936" s="23" t="s">
        <v>902</v>
      </c>
      <c r="H4936" s="2" t="s">
        <v>822</v>
      </c>
      <c r="J4936" s="31">
        <v>34.723998999999999</v>
      </c>
      <c r="K4936" s="31">
        <v>-21.851999299999999</v>
      </c>
      <c r="L4936" s="31"/>
      <c r="M4936" s="31" t="s">
        <v>854</v>
      </c>
      <c r="N4936" s="6" t="s">
        <v>856</v>
      </c>
    </row>
    <row r="4937" spans="1:14" ht="15" customHeight="1" x14ac:dyDescent="0.2">
      <c r="A4937" s="31">
        <v>0.46229639280005308</v>
      </c>
      <c r="B4937" s="31"/>
      <c r="C4937" s="2" t="s">
        <v>855</v>
      </c>
      <c r="D4937" s="31">
        <f t="shared" si="161"/>
        <v>9.0610092988810412E-2</v>
      </c>
      <c r="F4937" s="2" t="s">
        <v>822</v>
      </c>
      <c r="G4937" s="23" t="s">
        <v>902</v>
      </c>
      <c r="H4937" s="2" t="s">
        <v>822</v>
      </c>
      <c r="J4937" s="31">
        <v>54.166599300000001</v>
      </c>
      <c r="K4937" s="31">
        <v>5.5359997999999999</v>
      </c>
      <c r="L4937" s="31"/>
      <c r="M4937" s="31" t="s">
        <v>854</v>
      </c>
      <c r="N4937" s="6" t="s">
        <v>856</v>
      </c>
    </row>
    <row r="4938" spans="1:14" ht="15" customHeight="1" x14ac:dyDescent="0.2">
      <c r="A4938" s="31">
        <v>0.4622684172962801</v>
      </c>
      <c r="B4938" s="31"/>
      <c r="C4938" s="2" t="s">
        <v>855</v>
      </c>
      <c r="D4938" s="31">
        <f t="shared" si="161"/>
        <v>9.06046097900709E-2</v>
      </c>
      <c r="F4938" s="2" t="s">
        <v>822</v>
      </c>
      <c r="G4938" s="23" t="s">
        <v>902</v>
      </c>
      <c r="H4938" s="2" t="s">
        <v>822</v>
      </c>
      <c r="J4938" s="31">
        <v>43.238601699999997</v>
      </c>
      <c r="K4938" s="31">
        <v>-41.285198200000004</v>
      </c>
      <c r="L4938" s="31"/>
      <c r="M4938" s="31" t="s">
        <v>854</v>
      </c>
      <c r="N4938" s="6" t="s">
        <v>856</v>
      </c>
    </row>
    <row r="4939" spans="1:14" ht="15" customHeight="1" x14ac:dyDescent="0.2">
      <c r="A4939" s="31">
        <v>0.46223204001222301</v>
      </c>
      <c r="B4939" s="31"/>
      <c r="C4939" s="2" t="s">
        <v>855</v>
      </c>
      <c r="D4939" s="31">
        <f t="shared" si="161"/>
        <v>9.0597479842395717E-2</v>
      </c>
      <c r="F4939" s="2" t="s">
        <v>822</v>
      </c>
      <c r="G4939" s="23" t="s">
        <v>902</v>
      </c>
      <c r="H4939" s="2" t="s">
        <v>822</v>
      </c>
      <c r="J4939" s="31">
        <v>48.083999599999999</v>
      </c>
      <c r="K4939" s="31">
        <v>-33.875999499999999</v>
      </c>
      <c r="L4939" s="31"/>
      <c r="M4939" s="31" t="s">
        <v>854</v>
      </c>
      <c r="N4939" s="6" t="s">
        <v>856</v>
      </c>
    </row>
    <row r="4940" spans="1:14" ht="15" customHeight="1" x14ac:dyDescent="0.2">
      <c r="A4940" s="31">
        <v>0.46201924142866541</v>
      </c>
      <c r="B4940" s="31"/>
      <c r="C4940" s="2" t="s">
        <v>855</v>
      </c>
      <c r="D4940" s="31">
        <f t="shared" si="161"/>
        <v>9.0555771320018422E-2</v>
      </c>
      <c r="F4940" s="2" t="s">
        <v>822</v>
      </c>
      <c r="G4940" s="23" t="s">
        <v>902</v>
      </c>
      <c r="H4940" s="2" t="s">
        <v>822</v>
      </c>
      <c r="J4940" s="31">
        <v>41.8423996</v>
      </c>
      <c r="K4940" s="31">
        <v>-12.7096996</v>
      </c>
      <c r="L4940" s="31"/>
      <c r="M4940" s="31" t="s">
        <v>854</v>
      </c>
      <c r="N4940" s="6" t="s">
        <v>856</v>
      </c>
    </row>
    <row r="4941" spans="1:14" ht="15" customHeight="1" x14ac:dyDescent="0.2">
      <c r="A4941" s="31">
        <v>0.46190779559785111</v>
      </c>
      <c r="B4941" s="31"/>
      <c r="C4941" s="2" t="s">
        <v>855</v>
      </c>
      <c r="D4941" s="31">
        <f t="shared" si="161"/>
        <v>9.0533927937178821E-2</v>
      </c>
      <c r="F4941" s="2" t="s">
        <v>822</v>
      </c>
      <c r="G4941" s="23" t="s">
        <v>902</v>
      </c>
      <c r="H4941" s="2" t="s">
        <v>822</v>
      </c>
      <c r="J4941" s="31">
        <v>48.077899899999998</v>
      </c>
      <c r="K4941" s="31">
        <v>-12.847700100000001</v>
      </c>
      <c r="L4941" s="31"/>
      <c r="M4941" s="31" t="s">
        <v>854</v>
      </c>
      <c r="N4941" s="6" t="s">
        <v>856</v>
      </c>
    </row>
    <row r="4942" spans="1:14" ht="15" customHeight="1" x14ac:dyDescent="0.2">
      <c r="A4942" s="31">
        <v>0.46166742154552343</v>
      </c>
      <c r="B4942" s="31"/>
      <c r="C4942" s="2" t="s">
        <v>855</v>
      </c>
      <c r="D4942" s="31">
        <f t="shared" si="161"/>
        <v>9.0486814622922601E-2</v>
      </c>
      <c r="F4942" s="2" t="s">
        <v>822</v>
      </c>
      <c r="G4942" s="23" t="s">
        <v>902</v>
      </c>
      <c r="H4942" s="2" t="s">
        <v>822</v>
      </c>
      <c r="J4942" s="31">
        <v>37.165298499999999</v>
      </c>
      <c r="K4942" s="31">
        <v>-15.7224998</v>
      </c>
      <c r="L4942" s="31"/>
      <c r="M4942" s="31" t="s">
        <v>854</v>
      </c>
      <c r="N4942" s="6" t="s">
        <v>856</v>
      </c>
    </row>
    <row r="4943" spans="1:14" ht="15" customHeight="1" x14ac:dyDescent="0.2">
      <c r="A4943" s="31">
        <v>0.46144952154137397</v>
      </c>
      <c r="B4943" s="31"/>
      <c r="C4943" s="2" t="s">
        <v>855</v>
      </c>
      <c r="D4943" s="31">
        <f t="shared" si="161"/>
        <v>9.04441062221093E-2</v>
      </c>
      <c r="F4943" s="2" t="s">
        <v>822</v>
      </c>
      <c r="G4943" s="23" t="s">
        <v>902</v>
      </c>
      <c r="H4943" s="2" t="s">
        <v>822</v>
      </c>
      <c r="J4943" s="31">
        <v>48.083999599999999</v>
      </c>
      <c r="K4943" s="31">
        <v>-40.555999800000002</v>
      </c>
      <c r="L4943" s="31"/>
      <c r="M4943" s="31" t="s">
        <v>854</v>
      </c>
      <c r="N4943" s="6" t="s">
        <v>856</v>
      </c>
    </row>
    <row r="4944" spans="1:14" ht="15" customHeight="1" x14ac:dyDescent="0.2">
      <c r="A4944" s="31">
        <v>0.4614107779247385</v>
      </c>
      <c r="B4944" s="31"/>
      <c r="C4944" s="2" t="s">
        <v>855</v>
      </c>
      <c r="D4944" s="31">
        <f t="shared" si="161"/>
        <v>9.0436512473248756E-2</v>
      </c>
      <c r="F4944" s="2" t="s">
        <v>822</v>
      </c>
      <c r="G4944" s="23" t="s">
        <v>902</v>
      </c>
      <c r="H4944" s="2" t="s">
        <v>822</v>
      </c>
      <c r="J4944" s="31">
        <v>28.711999899999999</v>
      </c>
      <c r="K4944" s="31">
        <v>-41.891998299999997</v>
      </c>
      <c r="L4944" s="31"/>
      <c r="M4944" s="31" t="s">
        <v>854</v>
      </c>
      <c r="N4944" s="6" t="s">
        <v>856</v>
      </c>
    </row>
    <row r="4945" spans="1:14" ht="15" customHeight="1" x14ac:dyDescent="0.2">
      <c r="A4945" s="31">
        <v>0.4613136591710108</v>
      </c>
      <c r="B4945" s="31"/>
      <c r="C4945" s="2" t="s">
        <v>855</v>
      </c>
      <c r="D4945" s="31">
        <f t="shared" si="161"/>
        <v>9.0417477197518123E-2</v>
      </c>
      <c r="F4945" s="2" t="s">
        <v>822</v>
      </c>
      <c r="G4945" s="23" t="s">
        <v>902</v>
      </c>
      <c r="H4945" s="2" t="s">
        <v>822</v>
      </c>
      <c r="J4945" s="31">
        <v>54.541599300000001</v>
      </c>
      <c r="K4945" s="31">
        <v>4.1999997999999996</v>
      </c>
      <c r="L4945" s="31"/>
      <c r="M4945" s="31" t="s">
        <v>854</v>
      </c>
      <c r="N4945" s="6" t="s">
        <v>856</v>
      </c>
    </row>
    <row r="4946" spans="1:14" ht="15" customHeight="1" x14ac:dyDescent="0.2">
      <c r="A4946" s="31">
        <v>0.46067740807853153</v>
      </c>
      <c r="B4946" s="31"/>
      <c r="C4946" s="2" t="s">
        <v>855</v>
      </c>
      <c r="D4946" s="31">
        <f t="shared" si="161"/>
        <v>9.0292771983392181E-2</v>
      </c>
      <c r="F4946" s="2" t="s">
        <v>822</v>
      </c>
      <c r="G4946" s="23" t="s">
        <v>902</v>
      </c>
      <c r="H4946" s="2" t="s">
        <v>822</v>
      </c>
      <c r="J4946" s="31">
        <v>58.420501700000003</v>
      </c>
      <c r="K4946" s="31">
        <v>-5.2848201000000001</v>
      </c>
      <c r="L4946" s="31"/>
      <c r="M4946" s="31" t="s">
        <v>854</v>
      </c>
      <c r="N4946" s="6" t="s">
        <v>856</v>
      </c>
    </row>
    <row r="4947" spans="1:14" ht="15" customHeight="1" x14ac:dyDescent="0.2">
      <c r="A4947" s="31">
        <v>0.46059673338106361</v>
      </c>
      <c r="B4947" s="31"/>
      <c r="C4947" s="2" t="s">
        <v>855</v>
      </c>
      <c r="D4947" s="31">
        <f t="shared" si="161"/>
        <v>9.027695974268847E-2</v>
      </c>
      <c r="F4947" s="2" t="s">
        <v>822</v>
      </c>
      <c r="G4947" s="23" t="s">
        <v>902</v>
      </c>
      <c r="H4947" s="2" t="s">
        <v>822</v>
      </c>
      <c r="J4947" s="31">
        <v>49.755298600000003</v>
      </c>
      <c r="K4947" s="31">
        <v>-2.0213301000000001</v>
      </c>
      <c r="L4947" s="31"/>
      <c r="M4947" s="31" t="s">
        <v>854</v>
      </c>
      <c r="N4947" s="6" t="s">
        <v>856</v>
      </c>
    </row>
    <row r="4948" spans="1:14" ht="15" customHeight="1" x14ac:dyDescent="0.2">
      <c r="A4948" s="31">
        <v>0.46057616671833768</v>
      </c>
      <c r="B4948" s="31"/>
      <c r="C4948" s="2" t="s">
        <v>855</v>
      </c>
      <c r="D4948" s="31">
        <f t="shared" si="161"/>
        <v>9.0272928676794192E-2</v>
      </c>
      <c r="F4948" s="2" t="s">
        <v>822</v>
      </c>
      <c r="G4948" s="23" t="s">
        <v>902</v>
      </c>
      <c r="H4948" s="2" t="s">
        <v>822</v>
      </c>
      <c r="J4948" s="31">
        <v>50.756000499999999</v>
      </c>
      <c r="K4948" s="31">
        <v>-35.880001100000001</v>
      </c>
      <c r="L4948" s="31"/>
      <c r="M4948" s="31" t="s">
        <v>854</v>
      </c>
      <c r="N4948" s="6" t="s">
        <v>856</v>
      </c>
    </row>
    <row r="4949" spans="1:14" ht="15" customHeight="1" x14ac:dyDescent="0.2">
      <c r="A4949" s="31">
        <v>0.4605128914690691</v>
      </c>
      <c r="B4949" s="31"/>
      <c r="C4949" s="2" t="s">
        <v>855</v>
      </c>
      <c r="D4949" s="31">
        <f t="shared" si="161"/>
        <v>9.0260526727937551E-2</v>
      </c>
      <c r="F4949" s="2" t="s">
        <v>822</v>
      </c>
      <c r="G4949" s="23" t="s">
        <v>902</v>
      </c>
      <c r="H4949" s="2" t="s">
        <v>822</v>
      </c>
      <c r="J4949" s="31">
        <v>55.2505989</v>
      </c>
      <c r="K4949" s="31">
        <v>7.8058399999999999</v>
      </c>
      <c r="L4949" s="31"/>
      <c r="M4949" s="31" t="s">
        <v>854</v>
      </c>
      <c r="N4949" s="6" t="s">
        <v>856</v>
      </c>
    </row>
    <row r="4950" spans="1:14" ht="15" customHeight="1" x14ac:dyDescent="0.2">
      <c r="A4950" s="31">
        <v>0.4605025116119616</v>
      </c>
      <c r="B4950" s="31"/>
      <c r="C4950" s="2" t="s">
        <v>855</v>
      </c>
      <c r="D4950" s="31">
        <f t="shared" si="161"/>
        <v>9.0258492275944471E-2</v>
      </c>
      <c r="F4950" s="2" t="s">
        <v>822</v>
      </c>
      <c r="G4950" s="23" t="s">
        <v>902</v>
      </c>
      <c r="H4950" s="2" t="s">
        <v>822</v>
      </c>
      <c r="J4950" s="31">
        <v>48.518501299999997</v>
      </c>
      <c r="K4950" s="31">
        <v>-11.625100099999999</v>
      </c>
      <c r="L4950" s="31"/>
      <c r="M4950" s="31" t="s">
        <v>854</v>
      </c>
      <c r="N4950" s="6" t="s">
        <v>856</v>
      </c>
    </row>
    <row r="4951" spans="1:14" ht="15" customHeight="1" x14ac:dyDescent="0.2">
      <c r="A4951" s="31">
        <v>0.46029167614504329</v>
      </c>
      <c r="B4951" s="31"/>
      <c r="C4951" s="2" t="s">
        <v>855</v>
      </c>
      <c r="D4951" s="31">
        <f t="shared" si="161"/>
        <v>9.0217168524428487E-2</v>
      </c>
      <c r="F4951" s="2" t="s">
        <v>822</v>
      </c>
      <c r="G4951" s="23" t="s">
        <v>902</v>
      </c>
      <c r="H4951" s="2" t="s">
        <v>822</v>
      </c>
      <c r="J4951" s="31">
        <v>54.2820015</v>
      </c>
      <c r="K4951" s="31">
        <v>-12.922499699999999</v>
      </c>
      <c r="L4951" s="31"/>
      <c r="M4951" s="31" t="s">
        <v>854</v>
      </c>
      <c r="N4951" s="6" t="s">
        <v>856</v>
      </c>
    </row>
    <row r="4952" spans="1:14" ht="15" customHeight="1" x14ac:dyDescent="0.2">
      <c r="A4952" s="31">
        <v>0.46009583546164678</v>
      </c>
      <c r="B4952" s="31"/>
      <c r="C4952" s="2" t="s">
        <v>855</v>
      </c>
      <c r="D4952" s="31">
        <f t="shared" si="161"/>
        <v>9.0178783750482772E-2</v>
      </c>
      <c r="F4952" s="2" t="s">
        <v>822</v>
      </c>
      <c r="G4952" s="23" t="s">
        <v>902</v>
      </c>
      <c r="H4952" s="2" t="s">
        <v>822</v>
      </c>
      <c r="J4952" s="31">
        <v>54.007999400000003</v>
      </c>
      <c r="K4952" s="31">
        <v>-3.2216599000000001</v>
      </c>
      <c r="L4952" s="31"/>
      <c r="M4952" s="31" t="s">
        <v>854</v>
      </c>
      <c r="N4952" s="6" t="s">
        <v>856</v>
      </c>
    </row>
    <row r="4953" spans="1:14" ht="15" customHeight="1" x14ac:dyDescent="0.2">
      <c r="A4953" s="31">
        <v>0.45938656527580191</v>
      </c>
      <c r="B4953" s="31"/>
      <c r="C4953" s="2" t="s">
        <v>855</v>
      </c>
      <c r="D4953" s="31">
        <f t="shared" si="161"/>
        <v>9.0039766794057174E-2</v>
      </c>
      <c r="F4953" s="2" t="s">
        <v>822</v>
      </c>
      <c r="G4953" s="23" t="s">
        <v>902</v>
      </c>
      <c r="H4953" s="2" t="s">
        <v>822</v>
      </c>
      <c r="J4953" s="31">
        <v>44.4950981</v>
      </c>
      <c r="K4953" s="31">
        <v>-25.728200900000001</v>
      </c>
      <c r="L4953" s="31"/>
      <c r="M4953" s="31" t="s">
        <v>854</v>
      </c>
      <c r="N4953" s="6" t="s">
        <v>856</v>
      </c>
    </row>
    <row r="4954" spans="1:14" ht="15" customHeight="1" x14ac:dyDescent="0.2">
      <c r="A4954" s="31">
        <v>0.45935610219561179</v>
      </c>
      <c r="B4954" s="31"/>
      <c r="C4954" s="2" t="s">
        <v>855</v>
      </c>
      <c r="D4954" s="31">
        <f t="shared" si="161"/>
        <v>9.003379603033991E-2</v>
      </c>
      <c r="F4954" s="2" t="s">
        <v>822</v>
      </c>
      <c r="G4954" s="23" t="s">
        <v>902</v>
      </c>
      <c r="H4954" s="2" t="s">
        <v>822</v>
      </c>
      <c r="J4954" s="31">
        <v>52.775001500000002</v>
      </c>
      <c r="K4954" s="31">
        <v>-18.6781006</v>
      </c>
      <c r="L4954" s="31"/>
      <c r="M4954" s="31" t="s">
        <v>854</v>
      </c>
      <c r="N4954" s="6" t="s">
        <v>856</v>
      </c>
    </row>
    <row r="4955" spans="1:14" ht="15" customHeight="1" x14ac:dyDescent="0.2">
      <c r="A4955" s="31">
        <v>0.45920866744155808</v>
      </c>
      <c r="B4955" s="31"/>
      <c r="C4955" s="2" t="s">
        <v>855</v>
      </c>
      <c r="D4955" s="31">
        <f t="shared" si="161"/>
        <v>9.0004898818545384E-2</v>
      </c>
      <c r="F4955" s="2" t="s">
        <v>822</v>
      </c>
      <c r="G4955" s="23" t="s">
        <v>902</v>
      </c>
      <c r="H4955" s="2" t="s">
        <v>822</v>
      </c>
      <c r="J4955" s="31">
        <v>54.741901400000003</v>
      </c>
      <c r="K4955" s="31">
        <v>-14.6190996</v>
      </c>
      <c r="L4955" s="31"/>
      <c r="M4955" s="31" t="s">
        <v>854</v>
      </c>
      <c r="N4955" s="6" t="s">
        <v>856</v>
      </c>
    </row>
    <row r="4956" spans="1:14" ht="15" customHeight="1" x14ac:dyDescent="0.2">
      <c r="A4956" s="31">
        <v>0.45912508377903988</v>
      </c>
      <c r="B4956" s="31"/>
      <c r="C4956" s="2" t="s">
        <v>855</v>
      </c>
      <c r="D4956" s="31">
        <f t="shared" si="161"/>
        <v>8.9988516420691819E-2</v>
      </c>
      <c r="F4956" s="2" t="s">
        <v>822</v>
      </c>
      <c r="G4956" s="23" t="s">
        <v>902</v>
      </c>
      <c r="H4956" s="2" t="s">
        <v>822</v>
      </c>
      <c r="J4956" s="31">
        <v>52.091999100000002</v>
      </c>
      <c r="K4956" s="31">
        <v>-18.511999100000001</v>
      </c>
      <c r="L4956" s="31"/>
      <c r="M4956" s="31" t="s">
        <v>854</v>
      </c>
      <c r="N4956" s="6" t="s">
        <v>856</v>
      </c>
    </row>
    <row r="4957" spans="1:14" ht="15" customHeight="1" x14ac:dyDescent="0.2">
      <c r="A4957" s="31">
        <v>0.45910207489812832</v>
      </c>
      <c r="B4957" s="31"/>
      <c r="C4957" s="2" t="s">
        <v>855</v>
      </c>
      <c r="D4957" s="31">
        <f t="shared" si="161"/>
        <v>8.998400668003316E-2</v>
      </c>
      <c r="F4957" s="2" t="s">
        <v>822</v>
      </c>
      <c r="G4957" s="23" t="s">
        <v>902</v>
      </c>
      <c r="H4957" s="2" t="s">
        <v>822</v>
      </c>
      <c r="J4957" s="31">
        <v>56.454101600000001</v>
      </c>
      <c r="K4957" s="31">
        <v>-2.7875399999999999</v>
      </c>
      <c r="L4957" s="31"/>
      <c r="M4957" s="31" t="s">
        <v>854</v>
      </c>
      <c r="N4957" s="6" t="s">
        <v>856</v>
      </c>
    </row>
    <row r="4958" spans="1:14" ht="15" customHeight="1" x14ac:dyDescent="0.2">
      <c r="A4958" s="31">
        <v>0.45899210992119449</v>
      </c>
      <c r="B4958" s="31"/>
      <c r="C4958" s="2" t="s">
        <v>855</v>
      </c>
      <c r="D4958" s="31">
        <f t="shared" si="161"/>
        <v>8.9962453544554122E-2</v>
      </c>
      <c r="F4958" s="2" t="s">
        <v>822</v>
      </c>
      <c r="G4958" s="23" t="s">
        <v>902</v>
      </c>
      <c r="H4958" s="2" t="s">
        <v>822</v>
      </c>
      <c r="J4958" s="31">
        <v>46.080001799999998</v>
      </c>
      <c r="K4958" s="31">
        <v>-8.4919995999999998</v>
      </c>
      <c r="L4958" s="31"/>
      <c r="M4958" s="31" t="s">
        <v>854</v>
      </c>
      <c r="N4958" s="6" t="s">
        <v>856</v>
      </c>
    </row>
    <row r="4959" spans="1:14" ht="15" customHeight="1" x14ac:dyDescent="0.2">
      <c r="A4959" s="31">
        <v>0.45886269501958188</v>
      </c>
      <c r="B4959" s="31"/>
      <c r="C4959" s="2" t="s">
        <v>855</v>
      </c>
      <c r="D4959" s="31">
        <f t="shared" si="161"/>
        <v>8.9937088223838058E-2</v>
      </c>
      <c r="F4959" s="2" t="s">
        <v>822</v>
      </c>
      <c r="G4959" s="23" t="s">
        <v>902</v>
      </c>
      <c r="H4959" s="2" t="s">
        <v>822</v>
      </c>
      <c r="J4959" s="31">
        <v>58.086601299999998</v>
      </c>
      <c r="K4959" s="31">
        <v>-7.7511600999999999</v>
      </c>
      <c r="L4959" s="31"/>
      <c r="M4959" s="31" t="s">
        <v>854</v>
      </c>
      <c r="N4959" s="6" t="s">
        <v>856</v>
      </c>
    </row>
    <row r="4960" spans="1:14" ht="15" customHeight="1" x14ac:dyDescent="0.2">
      <c r="A4960" s="31">
        <v>0.45883748546497161</v>
      </c>
      <c r="B4960" s="31"/>
      <c r="C4960" s="2" t="s">
        <v>855</v>
      </c>
      <c r="D4960" s="31">
        <f t="shared" si="161"/>
        <v>8.9932147151134442E-2</v>
      </c>
      <c r="F4960" s="2" t="s">
        <v>822</v>
      </c>
      <c r="G4960" s="23" t="s">
        <v>902</v>
      </c>
      <c r="H4960" s="2" t="s">
        <v>822</v>
      </c>
      <c r="J4960" s="31">
        <v>54.096000699999998</v>
      </c>
      <c r="K4960" s="31">
        <v>-20.516000699999999</v>
      </c>
      <c r="L4960" s="31"/>
      <c r="M4960" s="31" t="s">
        <v>854</v>
      </c>
      <c r="N4960" s="6" t="s">
        <v>856</v>
      </c>
    </row>
    <row r="4961" spans="1:14" ht="15" customHeight="1" x14ac:dyDescent="0.2">
      <c r="A4961" s="31">
        <v>0.45847290475529662</v>
      </c>
      <c r="B4961" s="31"/>
      <c r="C4961" s="2" t="s">
        <v>855</v>
      </c>
      <c r="D4961" s="31">
        <f t="shared" si="161"/>
        <v>8.9860689332038141E-2</v>
      </c>
      <c r="F4961" s="2" t="s">
        <v>822</v>
      </c>
      <c r="G4961" s="23" t="s">
        <v>902</v>
      </c>
      <c r="H4961" s="2" t="s">
        <v>822</v>
      </c>
      <c r="J4961" s="31">
        <v>54.504501300000001</v>
      </c>
      <c r="K4961" s="31">
        <v>-9.9810800999999998</v>
      </c>
      <c r="L4961" s="31"/>
      <c r="M4961" s="31" t="s">
        <v>854</v>
      </c>
      <c r="N4961" s="6" t="s">
        <v>856</v>
      </c>
    </row>
    <row r="4962" spans="1:14" ht="15" customHeight="1" x14ac:dyDescent="0.2">
      <c r="A4962" s="31">
        <v>0.45810073194371681</v>
      </c>
      <c r="B4962" s="31"/>
      <c r="C4962" s="2" t="s">
        <v>855</v>
      </c>
      <c r="D4962" s="31">
        <f t="shared" si="161"/>
        <v>8.9787743460968503E-2</v>
      </c>
      <c r="F4962" s="2" t="s">
        <v>822</v>
      </c>
      <c r="G4962" s="23" t="s">
        <v>902</v>
      </c>
      <c r="H4962" s="2" t="s">
        <v>822</v>
      </c>
      <c r="J4962" s="31">
        <v>56.103698700000002</v>
      </c>
      <c r="K4962" s="31">
        <v>-2.7870499999999998</v>
      </c>
      <c r="L4962" s="31"/>
      <c r="M4962" s="31" t="s">
        <v>854</v>
      </c>
      <c r="N4962" s="6" t="s">
        <v>856</v>
      </c>
    </row>
    <row r="4963" spans="1:14" ht="15" customHeight="1" x14ac:dyDescent="0.2">
      <c r="A4963" s="31">
        <v>0.45783176248160562</v>
      </c>
      <c r="B4963" s="31"/>
      <c r="C4963" s="2" t="s">
        <v>855</v>
      </c>
      <c r="D4963" s="31">
        <f t="shared" si="161"/>
        <v>8.9735025446394709E-2</v>
      </c>
      <c r="F4963" s="2" t="s">
        <v>822</v>
      </c>
      <c r="G4963" s="23" t="s">
        <v>902</v>
      </c>
      <c r="H4963" s="2" t="s">
        <v>822</v>
      </c>
      <c r="J4963" s="31">
        <v>59.838298799999997</v>
      </c>
      <c r="K4963" s="31">
        <v>22.318100000000001</v>
      </c>
      <c r="L4963" s="31"/>
      <c r="M4963" s="31" t="s">
        <v>854</v>
      </c>
      <c r="N4963" s="6" t="s">
        <v>856</v>
      </c>
    </row>
    <row r="4964" spans="1:14" ht="15" customHeight="1" x14ac:dyDescent="0.2">
      <c r="A4964" s="31">
        <v>0.45782736256637829</v>
      </c>
      <c r="B4964" s="31"/>
      <c r="C4964" s="2" t="s">
        <v>855</v>
      </c>
      <c r="D4964" s="31">
        <f t="shared" si="161"/>
        <v>8.9734163063010144E-2</v>
      </c>
      <c r="F4964" s="2" t="s">
        <v>822</v>
      </c>
      <c r="G4964" s="23" t="s">
        <v>902</v>
      </c>
      <c r="H4964" s="2" t="s">
        <v>822</v>
      </c>
      <c r="J4964" s="31">
        <v>48.751998899999997</v>
      </c>
      <c r="K4964" s="31">
        <v>-37.215999600000004</v>
      </c>
      <c r="L4964" s="31"/>
      <c r="M4964" s="31" t="s">
        <v>854</v>
      </c>
      <c r="N4964" s="6" t="s">
        <v>856</v>
      </c>
    </row>
    <row r="4965" spans="1:14" ht="15" customHeight="1" x14ac:dyDescent="0.2">
      <c r="A4965" s="31">
        <v>0.45770673821589247</v>
      </c>
      <c r="B4965" s="31"/>
      <c r="C4965" s="2" t="s">
        <v>855</v>
      </c>
      <c r="D4965" s="31">
        <f t="shared" si="161"/>
        <v>8.9710520690314932E-2</v>
      </c>
      <c r="F4965" s="2" t="s">
        <v>822</v>
      </c>
      <c r="G4965" s="23" t="s">
        <v>902</v>
      </c>
      <c r="H4965" s="2" t="s">
        <v>822</v>
      </c>
      <c r="J4965" s="31">
        <v>35.120498699999999</v>
      </c>
      <c r="K4965" s="31">
        <v>-29.867999999999999</v>
      </c>
      <c r="L4965" s="31"/>
      <c r="M4965" s="31" t="s">
        <v>854</v>
      </c>
      <c r="N4965" s="6" t="s">
        <v>856</v>
      </c>
    </row>
    <row r="4966" spans="1:14" ht="15" customHeight="1" x14ac:dyDescent="0.2">
      <c r="A4966" s="31">
        <v>0.45761183975278591</v>
      </c>
      <c r="B4966" s="31"/>
      <c r="C4966" s="2" t="s">
        <v>855</v>
      </c>
      <c r="D4966" s="31">
        <f t="shared" si="161"/>
        <v>8.9691920591546043E-2</v>
      </c>
      <c r="F4966" s="2" t="s">
        <v>822</v>
      </c>
      <c r="G4966" s="23" t="s">
        <v>902</v>
      </c>
      <c r="H4966" s="2" t="s">
        <v>822</v>
      </c>
      <c r="J4966" s="31">
        <v>45.400699600000003</v>
      </c>
      <c r="K4966" s="31">
        <v>-28.697099699999999</v>
      </c>
      <c r="L4966" s="31"/>
      <c r="M4966" s="31" t="s">
        <v>854</v>
      </c>
      <c r="N4966" s="6" t="s">
        <v>856</v>
      </c>
    </row>
    <row r="4967" spans="1:14" ht="15" customHeight="1" x14ac:dyDescent="0.2">
      <c r="A4967" s="31">
        <v>0.45757989203881971</v>
      </c>
      <c r="B4967" s="31"/>
      <c r="C4967" s="2" t="s">
        <v>855</v>
      </c>
      <c r="D4967" s="31">
        <f t="shared" si="161"/>
        <v>8.9685658839608662E-2</v>
      </c>
      <c r="F4967" s="2" t="s">
        <v>822</v>
      </c>
      <c r="G4967" s="23" t="s">
        <v>902</v>
      </c>
      <c r="H4967" s="2" t="s">
        <v>822</v>
      </c>
      <c r="J4967" s="31">
        <v>46.757900200000002</v>
      </c>
      <c r="K4967" s="31">
        <v>-41.221099899999999</v>
      </c>
      <c r="L4967" s="31"/>
      <c r="M4967" s="31" t="s">
        <v>854</v>
      </c>
      <c r="N4967" s="6" t="s">
        <v>856</v>
      </c>
    </row>
    <row r="4968" spans="1:14" ht="15" customHeight="1" x14ac:dyDescent="0.2">
      <c r="A4968" s="31">
        <v>0.45746719815715658</v>
      </c>
      <c r="B4968" s="31"/>
      <c r="C4968" s="2" t="s">
        <v>855</v>
      </c>
      <c r="D4968" s="31">
        <f t="shared" si="161"/>
        <v>8.9663570838802692E-2</v>
      </c>
      <c r="F4968" s="2" t="s">
        <v>822</v>
      </c>
      <c r="G4968" s="23" t="s">
        <v>902</v>
      </c>
      <c r="H4968" s="2" t="s">
        <v>822</v>
      </c>
      <c r="J4968" s="31">
        <v>44.989898699999998</v>
      </c>
      <c r="K4968" s="31">
        <v>-21.894599899999999</v>
      </c>
      <c r="L4968" s="31"/>
      <c r="M4968" s="31" t="s">
        <v>854</v>
      </c>
      <c r="N4968" s="6" t="s">
        <v>856</v>
      </c>
    </row>
    <row r="4969" spans="1:14" ht="15" customHeight="1" x14ac:dyDescent="0.2">
      <c r="A4969" s="31">
        <v>0.4572848497167567</v>
      </c>
      <c r="B4969" s="31"/>
      <c r="C4969" s="2" t="s">
        <v>855</v>
      </c>
      <c r="D4969" s="31">
        <f t="shared" si="161"/>
        <v>8.962783054448431E-2</v>
      </c>
      <c r="F4969" s="2" t="s">
        <v>822</v>
      </c>
      <c r="G4969" s="23" t="s">
        <v>902</v>
      </c>
      <c r="H4969" s="2" t="s">
        <v>822</v>
      </c>
      <c r="J4969" s="31">
        <v>48.500999499999999</v>
      </c>
      <c r="K4969" s="31">
        <v>-11.203700100000001</v>
      </c>
      <c r="L4969" s="31"/>
      <c r="M4969" s="31" t="s">
        <v>854</v>
      </c>
      <c r="N4969" s="6" t="s">
        <v>856</v>
      </c>
    </row>
    <row r="4970" spans="1:14" ht="15" customHeight="1" x14ac:dyDescent="0.2">
      <c r="A4970" s="31">
        <v>0.45727683240102801</v>
      </c>
      <c r="B4970" s="31"/>
      <c r="C4970" s="2" t="s">
        <v>855</v>
      </c>
      <c r="D4970" s="31">
        <f t="shared" si="161"/>
        <v>8.9626259150601489E-2</v>
      </c>
      <c r="F4970" s="2" t="s">
        <v>822</v>
      </c>
      <c r="G4970" s="23" t="s">
        <v>902</v>
      </c>
      <c r="H4970" s="2" t="s">
        <v>822</v>
      </c>
      <c r="J4970" s="31">
        <v>48.751998899999997</v>
      </c>
      <c r="K4970" s="31">
        <v>-23.856000900000002</v>
      </c>
      <c r="L4970" s="31"/>
      <c r="M4970" s="31" t="s">
        <v>854</v>
      </c>
      <c r="N4970" s="6" t="s">
        <v>856</v>
      </c>
    </row>
    <row r="4971" spans="1:14" ht="15" customHeight="1" x14ac:dyDescent="0.2">
      <c r="A4971" s="31">
        <v>0.45724709085588422</v>
      </c>
      <c r="B4971" s="31"/>
      <c r="C4971" s="2" t="s">
        <v>855</v>
      </c>
      <c r="D4971" s="31">
        <f t="shared" si="161"/>
        <v>8.962042980775331E-2</v>
      </c>
      <c r="F4971" s="2" t="s">
        <v>822</v>
      </c>
      <c r="G4971" s="23" t="s">
        <v>902</v>
      </c>
      <c r="H4971" s="2" t="s">
        <v>822</v>
      </c>
      <c r="J4971" s="31">
        <v>34.055999800000002</v>
      </c>
      <c r="K4971" s="31">
        <v>-13.8360004</v>
      </c>
      <c r="L4971" s="31"/>
      <c r="M4971" s="31" t="s">
        <v>854</v>
      </c>
      <c r="N4971" s="6" t="s">
        <v>856</v>
      </c>
    </row>
    <row r="4972" spans="1:14" ht="15" customHeight="1" x14ac:dyDescent="0.2">
      <c r="A4972" s="31">
        <v>0.45713269427739539</v>
      </c>
      <c r="B4972" s="31"/>
      <c r="C4972" s="2" t="s">
        <v>855</v>
      </c>
      <c r="D4972" s="31">
        <f t="shared" si="161"/>
        <v>8.9598008078369498E-2</v>
      </c>
      <c r="F4972" s="2" t="s">
        <v>822</v>
      </c>
      <c r="G4972" s="23" t="s">
        <v>902</v>
      </c>
      <c r="H4972" s="2" t="s">
        <v>822</v>
      </c>
      <c r="J4972" s="31">
        <v>44.473400099999999</v>
      </c>
      <c r="K4972" s="31">
        <v>-23.7936993</v>
      </c>
      <c r="L4972" s="31"/>
      <c r="M4972" s="31" t="s">
        <v>854</v>
      </c>
      <c r="N4972" s="6" t="s">
        <v>856</v>
      </c>
    </row>
    <row r="4973" spans="1:14" ht="15" customHeight="1" x14ac:dyDescent="0.2">
      <c r="A4973" s="31">
        <v>0.45699305233786841</v>
      </c>
      <c r="B4973" s="31"/>
      <c r="C4973" s="2" t="s">
        <v>855</v>
      </c>
      <c r="D4973" s="31">
        <f t="shared" si="161"/>
        <v>8.9570638258222215E-2</v>
      </c>
      <c r="F4973" s="2" t="s">
        <v>822</v>
      </c>
      <c r="G4973" s="23" t="s">
        <v>902</v>
      </c>
      <c r="H4973" s="2" t="s">
        <v>822</v>
      </c>
      <c r="J4973" s="31">
        <v>32.354999499999998</v>
      </c>
      <c r="K4973" s="31">
        <v>-17.620399500000001</v>
      </c>
      <c r="L4973" s="31"/>
      <c r="M4973" s="31" t="s">
        <v>854</v>
      </c>
      <c r="N4973" s="6" t="s">
        <v>856</v>
      </c>
    </row>
    <row r="4974" spans="1:14" ht="15" customHeight="1" x14ac:dyDescent="0.2">
      <c r="A4974" s="31">
        <v>0.45694055268770889</v>
      </c>
      <c r="B4974" s="31"/>
      <c r="C4974" s="2" t="s">
        <v>855</v>
      </c>
      <c r="D4974" s="31">
        <f t="shared" si="161"/>
        <v>8.9560348326790939E-2</v>
      </c>
      <c r="F4974" s="2" t="s">
        <v>822</v>
      </c>
      <c r="G4974" s="23" t="s">
        <v>902</v>
      </c>
      <c r="H4974" s="2" t="s">
        <v>822</v>
      </c>
      <c r="J4974" s="31">
        <v>31.384000799999999</v>
      </c>
      <c r="K4974" s="31">
        <v>-33.208000200000001</v>
      </c>
      <c r="L4974" s="31"/>
      <c r="M4974" s="31" t="s">
        <v>854</v>
      </c>
      <c r="N4974" s="6" t="s">
        <v>856</v>
      </c>
    </row>
    <row r="4975" spans="1:14" ht="15" customHeight="1" x14ac:dyDescent="0.2">
      <c r="A4975" s="31">
        <v>0.45667580480990388</v>
      </c>
      <c r="B4975" s="31"/>
      <c r="C4975" s="2" t="s">
        <v>855</v>
      </c>
      <c r="D4975" s="31">
        <f t="shared" si="161"/>
        <v>8.950845774274116E-2</v>
      </c>
      <c r="F4975" s="2" t="s">
        <v>822</v>
      </c>
      <c r="G4975" s="23" t="s">
        <v>902</v>
      </c>
      <c r="H4975" s="2" t="s">
        <v>822</v>
      </c>
      <c r="J4975" s="31">
        <v>53.688201900000003</v>
      </c>
      <c r="K4975" s="31">
        <v>-0.27532600000000002</v>
      </c>
      <c r="L4975" s="31"/>
      <c r="M4975" s="31" t="s">
        <v>854</v>
      </c>
      <c r="N4975" s="6" t="s">
        <v>856</v>
      </c>
    </row>
    <row r="4976" spans="1:14" ht="15" customHeight="1" x14ac:dyDescent="0.2">
      <c r="A4976" s="31">
        <v>0.45629780320601881</v>
      </c>
      <c r="B4976" s="31"/>
      <c r="C4976" s="2" t="s">
        <v>855</v>
      </c>
      <c r="D4976" s="31">
        <f t="shared" si="161"/>
        <v>8.9434369428379693E-2</v>
      </c>
      <c r="F4976" s="2" t="s">
        <v>822</v>
      </c>
      <c r="G4976" s="23" t="s">
        <v>902</v>
      </c>
      <c r="H4976" s="2" t="s">
        <v>822</v>
      </c>
      <c r="J4976" s="31">
        <v>30.698699999999999</v>
      </c>
      <c r="K4976" s="31">
        <v>-36.537700700000002</v>
      </c>
      <c r="L4976" s="31"/>
      <c r="M4976" s="31" t="s">
        <v>854</v>
      </c>
      <c r="N4976" s="6" t="s">
        <v>856</v>
      </c>
    </row>
    <row r="4977" spans="1:14" ht="15" customHeight="1" x14ac:dyDescent="0.2">
      <c r="A4977" s="31">
        <v>0.45621938055238193</v>
      </c>
      <c r="B4977" s="31"/>
      <c r="C4977" s="2" t="s">
        <v>855</v>
      </c>
      <c r="D4977" s="31">
        <f t="shared" si="161"/>
        <v>8.9418998588266865E-2</v>
      </c>
      <c r="F4977" s="2" t="s">
        <v>822</v>
      </c>
      <c r="G4977" s="23" t="s">
        <v>902</v>
      </c>
      <c r="H4977" s="2" t="s">
        <v>822</v>
      </c>
      <c r="J4977" s="31">
        <v>53.123600000000003</v>
      </c>
      <c r="K4977" s="31">
        <v>1.528</v>
      </c>
      <c r="L4977" s="31"/>
      <c r="M4977" s="31" t="s">
        <v>854</v>
      </c>
      <c r="N4977" s="6" t="s">
        <v>856</v>
      </c>
    </row>
    <row r="4978" spans="1:14" ht="15" customHeight="1" x14ac:dyDescent="0.2">
      <c r="A4978" s="31">
        <v>0.45611273493575077</v>
      </c>
      <c r="B4978" s="31"/>
      <c r="C4978" s="2" t="s">
        <v>855</v>
      </c>
      <c r="D4978" s="31">
        <f t="shared" si="161"/>
        <v>8.9398096047407158E-2</v>
      </c>
      <c r="F4978" s="2" t="s">
        <v>822</v>
      </c>
      <c r="G4978" s="23" t="s">
        <v>902</v>
      </c>
      <c r="H4978" s="2" t="s">
        <v>822</v>
      </c>
      <c r="J4978" s="31">
        <v>50.088001300000002</v>
      </c>
      <c r="K4978" s="31">
        <v>-39.220001199999999</v>
      </c>
      <c r="L4978" s="31"/>
      <c r="M4978" s="31" t="s">
        <v>854</v>
      </c>
      <c r="N4978" s="6" t="s">
        <v>856</v>
      </c>
    </row>
    <row r="4979" spans="1:14" ht="15" customHeight="1" x14ac:dyDescent="0.2">
      <c r="A4979" s="31">
        <v>0.45595540250223132</v>
      </c>
      <c r="B4979" s="31"/>
      <c r="C4979" s="2" t="s">
        <v>855</v>
      </c>
      <c r="D4979" s="31">
        <f t="shared" si="161"/>
        <v>8.936725889043734E-2</v>
      </c>
      <c r="F4979" s="2" t="s">
        <v>822</v>
      </c>
      <c r="G4979" s="23" t="s">
        <v>902</v>
      </c>
      <c r="H4979" s="2" t="s">
        <v>822</v>
      </c>
      <c r="J4979" s="31">
        <v>55.148498500000002</v>
      </c>
      <c r="K4979" s="31">
        <v>1.15808</v>
      </c>
      <c r="L4979" s="31"/>
      <c r="M4979" s="31" t="s">
        <v>854</v>
      </c>
      <c r="N4979" s="6" t="s">
        <v>856</v>
      </c>
    </row>
    <row r="4980" spans="1:14" ht="15" customHeight="1" x14ac:dyDescent="0.2">
      <c r="A4980" s="31">
        <v>0.45555791113779381</v>
      </c>
      <c r="B4980" s="31"/>
      <c r="C4980" s="2" t="s">
        <v>855</v>
      </c>
      <c r="D4980" s="31">
        <f t="shared" si="161"/>
        <v>8.928935058300759E-2</v>
      </c>
      <c r="F4980" s="2" t="s">
        <v>822</v>
      </c>
      <c r="G4980" s="23" t="s">
        <v>902</v>
      </c>
      <c r="H4980" s="2" t="s">
        <v>822</v>
      </c>
      <c r="J4980" s="31">
        <v>49.419998200000002</v>
      </c>
      <c r="K4980" s="31">
        <v>-37.215999600000004</v>
      </c>
      <c r="L4980" s="31"/>
      <c r="M4980" s="31" t="s">
        <v>854</v>
      </c>
      <c r="N4980" s="6" t="s">
        <v>856</v>
      </c>
    </row>
    <row r="4981" spans="1:14" ht="15" customHeight="1" x14ac:dyDescent="0.2">
      <c r="A4981" s="31">
        <v>0.45511781798389078</v>
      </c>
      <c r="B4981" s="31"/>
      <c r="C4981" s="2" t="s">
        <v>855</v>
      </c>
      <c r="D4981" s="31">
        <f t="shared" si="161"/>
        <v>8.9203092324842595E-2</v>
      </c>
      <c r="F4981" s="2" t="s">
        <v>822</v>
      </c>
      <c r="G4981" s="23" t="s">
        <v>902</v>
      </c>
      <c r="H4981" s="2" t="s">
        <v>822</v>
      </c>
      <c r="J4981" s="31">
        <v>28.711999899999999</v>
      </c>
      <c r="K4981" s="31">
        <v>-31.204000499999999</v>
      </c>
      <c r="L4981" s="31"/>
      <c r="M4981" s="31" t="s">
        <v>854</v>
      </c>
      <c r="N4981" s="6" t="s">
        <v>856</v>
      </c>
    </row>
    <row r="4982" spans="1:14" ht="15" customHeight="1" x14ac:dyDescent="0.2">
      <c r="A4982" s="31">
        <v>0.4547851802425667</v>
      </c>
      <c r="B4982" s="31"/>
      <c r="C4982" s="2" t="s">
        <v>855</v>
      </c>
      <c r="D4982" s="31">
        <f t="shared" si="161"/>
        <v>8.9137895327543071E-2</v>
      </c>
      <c r="F4982" s="2" t="s">
        <v>822</v>
      </c>
      <c r="G4982" s="23" t="s">
        <v>902</v>
      </c>
      <c r="H4982" s="2" t="s">
        <v>822</v>
      </c>
      <c r="J4982" s="31">
        <v>52.091999100000002</v>
      </c>
      <c r="K4982" s="31">
        <v>-17.8439999</v>
      </c>
      <c r="L4982" s="31"/>
      <c r="M4982" s="31" t="s">
        <v>854</v>
      </c>
      <c r="N4982" s="6" t="s">
        <v>856</v>
      </c>
    </row>
    <row r="4983" spans="1:14" ht="15" customHeight="1" x14ac:dyDescent="0.2">
      <c r="A4983" s="31">
        <v>0.45467580608528568</v>
      </c>
      <c r="B4983" s="31"/>
      <c r="C4983" s="2" t="s">
        <v>855</v>
      </c>
      <c r="D4983" s="31">
        <f t="shared" si="161"/>
        <v>8.9116457992716003E-2</v>
      </c>
      <c r="F4983" s="2" t="s">
        <v>822</v>
      </c>
      <c r="G4983" s="23" t="s">
        <v>902</v>
      </c>
      <c r="H4983" s="2" t="s">
        <v>822</v>
      </c>
      <c r="J4983" s="31">
        <v>48.751998899999997</v>
      </c>
      <c r="K4983" s="31">
        <v>-31.8719997</v>
      </c>
      <c r="L4983" s="31"/>
      <c r="M4983" s="31" t="s">
        <v>854</v>
      </c>
      <c r="N4983" s="6" t="s">
        <v>856</v>
      </c>
    </row>
    <row r="4984" spans="1:14" ht="15" customHeight="1" x14ac:dyDescent="0.2">
      <c r="A4984" s="31">
        <v>0.45432795973264273</v>
      </c>
      <c r="B4984" s="31"/>
      <c r="C4984" s="2" t="s">
        <v>855</v>
      </c>
      <c r="D4984" s="31">
        <f t="shared" si="161"/>
        <v>8.904828010759798E-2</v>
      </c>
      <c r="F4984" s="2" t="s">
        <v>822</v>
      </c>
      <c r="G4984" s="23" t="s">
        <v>902</v>
      </c>
      <c r="H4984" s="2" t="s">
        <v>822</v>
      </c>
      <c r="J4984" s="31">
        <v>55.511398300000003</v>
      </c>
      <c r="K4984" s="31">
        <v>2.8988999999999998</v>
      </c>
      <c r="L4984" s="31"/>
      <c r="M4984" s="31" t="s">
        <v>854</v>
      </c>
      <c r="N4984" s="6" t="s">
        <v>856</v>
      </c>
    </row>
    <row r="4985" spans="1:14" ht="15" customHeight="1" x14ac:dyDescent="0.2">
      <c r="A4985" s="31">
        <v>0.4539363111371526</v>
      </c>
      <c r="B4985" s="31"/>
      <c r="C4985" s="2" t="s">
        <v>855</v>
      </c>
      <c r="D4985" s="31">
        <f t="shared" si="161"/>
        <v>8.8971516982881915E-2</v>
      </c>
      <c r="F4985" s="2" t="s">
        <v>822</v>
      </c>
      <c r="G4985" s="23" t="s">
        <v>902</v>
      </c>
      <c r="H4985" s="2" t="s">
        <v>822</v>
      </c>
      <c r="J4985" s="31">
        <v>57.711601299999998</v>
      </c>
      <c r="K4985" s="31">
        <v>-8.0851603000000001</v>
      </c>
      <c r="L4985" s="31"/>
      <c r="M4985" s="31" t="s">
        <v>854</v>
      </c>
      <c r="N4985" s="6" t="s">
        <v>856</v>
      </c>
    </row>
    <row r="4986" spans="1:14" ht="15" customHeight="1" x14ac:dyDescent="0.2">
      <c r="A4986" s="31">
        <v>0.45385485268811182</v>
      </c>
      <c r="B4986" s="31"/>
      <c r="C4986" s="2" t="s">
        <v>855</v>
      </c>
      <c r="D4986" s="31">
        <f t="shared" si="161"/>
        <v>8.8955551126869925E-2</v>
      </c>
      <c r="F4986" s="2" t="s">
        <v>822</v>
      </c>
      <c r="G4986" s="23" t="s">
        <v>902</v>
      </c>
      <c r="H4986" s="2" t="s">
        <v>822</v>
      </c>
      <c r="J4986" s="31">
        <v>58.783901200000003</v>
      </c>
      <c r="K4986" s="31">
        <v>-1.3678900000000001</v>
      </c>
      <c r="L4986" s="31"/>
      <c r="M4986" s="31" t="s">
        <v>854</v>
      </c>
      <c r="N4986" s="6" t="s">
        <v>856</v>
      </c>
    </row>
    <row r="4987" spans="1:14" ht="15" customHeight="1" x14ac:dyDescent="0.2">
      <c r="A4987" s="31">
        <v>0.45361103805234693</v>
      </c>
      <c r="B4987" s="31"/>
      <c r="C4987" s="2" t="s">
        <v>855</v>
      </c>
      <c r="D4987" s="31">
        <f t="shared" si="161"/>
        <v>8.890776345826E-2</v>
      </c>
      <c r="F4987" s="2" t="s">
        <v>822</v>
      </c>
      <c r="G4987" s="23" t="s">
        <v>902</v>
      </c>
      <c r="H4987" s="2" t="s">
        <v>822</v>
      </c>
      <c r="J4987" s="31">
        <v>34.7378006</v>
      </c>
      <c r="K4987" s="31">
        <v>-33.219001800000001</v>
      </c>
      <c r="L4987" s="31"/>
      <c r="M4987" s="31" t="s">
        <v>854</v>
      </c>
      <c r="N4987" s="6" t="s">
        <v>856</v>
      </c>
    </row>
    <row r="4988" spans="1:14" ht="15" customHeight="1" x14ac:dyDescent="0.2">
      <c r="A4988" s="31">
        <v>0.45341524536431899</v>
      </c>
      <c r="B4988" s="31"/>
      <c r="C4988" s="2" t="s">
        <v>855</v>
      </c>
      <c r="D4988" s="31">
        <f t="shared" si="161"/>
        <v>8.8869388091406529E-2</v>
      </c>
      <c r="F4988" s="2" t="s">
        <v>822</v>
      </c>
      <c r="G4988" s="23" t="s">
        <v>902</v>
      </c>
      <c r="H4988" s="2" t="s">
        <v>822</v>
      </c>
      <c r="J4988" s="31">
        <v>44.828800200000003</v>
      </c>
      <c r="K4988" s="31">
        <v>-19.239900599999999</v>
      </c>
      <c r="L4988" s="31"/>
      <c r="M4988" s="31" t="s">
        <v>854</v>
      </c>
      <c r="N4988" s="6" t="s">
        <v>856</v>
      </c>
    </row>
    <row r="4989" spans="1:14" ht="15" customHeight="1" x14ac:dyDescent="0.2">
      <c r="A4989" s="31">
        <v>0.45334484404283232</v>
      </c>
      <c r="B4989" s="31"/>
      <c r="C4989" s="2" t="s">
        <v>855</v>
      </c>
      <c r="D4989" s="31">
        <f t="shared" si="161"/>
        <v>8.8855589432395132E-2</v>
      </c>
      <c r="F4989" s="2" t="s">
        <v>822</v>
      </c>
      <c r="G4989" s="23" t="s">
        <v>902</v>
      </c>
      <c r="H4989" s="2" t="s">
        <v>822</v>
      </c>
      <c r="J4989" s="31">
        <v>58.001800500000002</v>
      </c>
      <c r="K4989" s="31">
        <v>-6.3008598999999998</v>
      </c>
      <c r="L4989" s="31"/>
      <c r="M4989" s="31" t="s">
        <v>854</v>
      </c>
      <c r="N4989" s="6" t="s">
        <v>856</v>
      </c>
    </row>
    <row r="4990" spans="1:14" ht="15" customHeight="1" x14ac:dyDescent="0.2">
      <c r="A4990" s="31">
        <v>0.45309085999974308</v>
      </c>
      <c r="B4990" s="31"/>
      <c r="C4990" s="2" t="s">
        <v>855</v>
      </c>
      <c r="D4990" s="31">
        <f t="shared" ref="D4990:D5053" si="162" xml:space="preserve"> A4990 * 0.196</f>
        <v>8.8805808559949642E-2</v>
      </c>
      <c r="F4990" s="2" t="s">
        <v>822</v>
      </c>
      <c r="G4990" s="23" t="s">
        <v>902</v>
      </c>
      <c r="H4990" s="2" t="s">
        <v>822</v>
      </c>
      <c r="J4990" s="31">
        <v>48.083999599999999</v>
      </c>
      <c r="K4990" s="31">
        <v>-33.208000200000001</v>
      </c>
      <c r="L4990" s="31"/>
      <c r="M4990" s="31" t="s">
        <v>854</v>
      </c>
      <c r="N4990" s="6" t="s">
        <v>856</v>
      </c>
    </row>
    <row r="4991" spans="1:14" ht="15" customHeight="1" x14ac:dyDescent="0.2">
      <c r="A4991" s="31">
        <v>0.4530135159748015</v>
      </c>
      <c r="B4991" s="31"/>
      <c r="C4991" s="2" t="s">
        <v>855</v>
      </c>
      <c r="D4991" s="31">
        <f t="shared" si="162"/>
        <v>8.8790649131061092E-2</v>
      </c>
      <c r="F4991" s="2" t="s">
        <v>822</v>
      </c>
      <c r="G4991" s="23" t="s">
        <v>902</v>
      </c>
      <c r="H4991" s="2" t="s">
        <v>822</v>
      </c>
      <c r="J4991" s="31">
        <v>47.416000400000001</v>
      </c>
      <c r="K4991" s="31">
        <v>-14.5039997</v>
      </c>
      <c r="L4991" s="31"/>
      <c r="M4991" s="31" t="s">
        <v>854</v>
      </c>
      <c r="N4991" s="6" t="s">
        <v>856</v>
      </c>
    </row>
    <row r="4992" spans="1:14" ht="15" customHeight="1" x14ac:dyDescent="0.2">
      <c r="A4992" s="31">
        <v>0.45273579040899548</v>
      </c>
      <c r="B4992" s="31"/>
      <c r="C4992" s="2" t="s">
        <v>855</v>
      </c>
      <c r="D4992" s="31">
        <f t="shared" si="162"/>
        <v>8.873621492016312E-2</v>
      </c>
      <c r="F4992" s="2" t="s">
        <v>822</v>
      </c>
      <c r="G4992" s="23" t="s">
        <v>902</v>
      </c>
      <c r="H4992" s="2" t="s">
        <v>822</v>
      </c>
      <c r="J4992" s="31">
        <v>35.264099100000003</v>
      </c>
      <c r="K4992" s="31">
        <v>33.977699299999998</v>
      </c>
      <c r="L4992" s="31"/>
      <c r="M4992" s="31" t="s">
        <v>854</v>
      </c>
      <c r="N4992" s="6" t="s">
        <v>856</v>
      </c>
    </row>
    <row r="4993" spans="1:14" ht="15" customHeight="1" x14ac:dyDescent="0.2">
      <c r="A4993" s="31">
        <v>0.45256867502933618</v>
      </c>
      <c r="B4993" s="31"/>
      <c r="C4993" s="2" t="s">
        <v>855</v>
      </c>
      <c r="D4993" s="31">
        <f t="shared" si="162"/>
        <v>8.8703460305749895E-2</v>
      </c>
      <c r="F4993" s="2" t="s">
        <v>822</v>
      </c>
      <c r="G4993" s="23" t="s">
        <v>902</v>
      </c>
      <c r="H4993" s="2" t="s">
        <v>822</v>
      </c>
      <c r="J4993" s="31">
        <v>53.322299999999998</v>
      </c>
      <c r="K4993" s="31">
        <v>-2.7708900000000001</v>
      </c>
      <c r="L4993" s="31"/>
      <c r="M4993" s="31" t="s">
        <v>854</v>
      </c>
      <c r="N4993" s="6" t="s">
        <v>856</v>
      </c>
    </row>
    <row r="4994" spans="1:14" ht="15" customHeight="1" x14ac:dyDescent="0.2">
      <c r="A4994" s="31">
        <v>0.45233376408370551</v>
      </c>
      <c r="B4994" s="31"/>
      <c r="C4994" s="2" t="s">
        <v>855</v>
      </c>
      <c r="D4994" s="31">
        <f t="shared" si="162"/>
        <v>8.8657417760406282E-2</v>
      </c>
      <c r="F4994" s="2" t="s">
        <v>822</v>
      </c>
      <c r="G4994" s="23" t="s">
        <v>902</v>
      </c>
      <c r="H4994" s="2" t="s">
        <v>822</v>
      </c>
      <c r="J4994" s="31">
        <v>38.536899599999998</v>
      </c>
      <c r="K4994" s="31">
        <v>4.2748599</v>
      </c>
      <c r="L4994" s="31"/>
      <c r="M4994" s="31" t="s">
        <v>854</v>
      </c>
      <c r="N4994" s="6" t="s">
        <v>856</v>
      </c>
    </row>
    <row r="4995" spans="1:14" ht="15" customHeight="1" x14ac:dyDescent="0.2">
      <c r="A4995" s="31">
        <v>0.4522211018514023</v>
      </c>
      <c r="B4995" s="31"/>
      <c r="C4995" s="2" t="s">
        <v>855</v>
      </c>
      <c r="D4995" s="31">
        <f t="shared" si="162"/>
        <v>8.8635335962874859E-2</v>
      </c>
      <c r="F4995" s="2" t="s">
        <v>822</v>
      </c>
      <c r="G4995" s="23" t="s">
        <v>902</v>
      </c>
      <c r="H4995" s="2" t="s">
        <v>822</v>
      </c>
      <c r="J4995" s="31">
        <v>46.015098600000002</v>
      </c>
      <c r="K4995" s="31">
        <v>-9.8750601000000007</v>
      </c>
      <c r="L4995" s="31"/>
      <c r="M4995" s="31" t="s">
        <v>854</v>
      </c>
      <c r="N4995" s="6" t="s">
        <v>856</v>
      </c>
    </row>
    <row r="4996" spans="1:14" ht="15" customHeight="1" x14ac:dyDescent="0.2">
      <c r="A4996" s="31">
        <v>0.45216677251496018</v>
      </c>
      <c r="B4996" s="31"/>
      <c r="C4996" s="2" t="s">
        <v>855</v>
      </c>
      <c r="D4996" s="31">
        <f t="shared" si="162"/>
        <v>8.8624687412932196E-2</v>
      </c>
      <c r="F4996" s="2" t="s">
        <v>822</v>
      </c>
      <c r="G4996" s="23" t="s">
        <v>902</v>
      </c>
      <c r="H4996" s="2" t="s">
        <v>822</v>
      </c>
      <c r="J4996" s="31">
        <v>57.386501299999999</v>
      </c>
      <c r="K4996" s="31">
        <v>10.972100299999999</v>
      </c>
      <c r="L4996" s="31"/>
      <c r="M4996" s="31" t="s">
        <v>854</v>
      </c>
      <c r="N4996" s="6" t="s">
        <v>856</v>
      </c>
    </row>
    <row r="4997" spans="1:14" ht="15" customHeight="1" x14ac:dyDescent="0.2">
      <c r="A4997" s="31">
        <v>0.45200937270932678</v>
      </c>
      <c r="B4997" s="31"/>
      <c r="C4997" s="2" t="s">
        <v>855</v>
      </c>
      <c r="D4997" s="31">
        <f t="shared" si="162"/>
        <v>8.8593837051028052E-2</v>
      </c>
      <c r="F4997" s="2" t="s">
        <v>822</v>
      </c>
      <c r="G4997" s="23" t="s">
        <v>902</v>
      </c>
      <c r="H4997" s="2" t="s">
        <v>822</v>
      </c>
      <c r="J4997" s="31">
        <v>48.083999599999999</v>
      </c>
      <c r="K4997" s="31">
        <v>-37.215999600000004</v>
      </c>
      <c r="L4997" s="31"/>
      <c r="M4997" s="31" t="s">
        <v>854</v>
      </c>
      <c r="N4997" s="6" t="s">
        <v>856</v>
      </c>
    </row>
    <row r="4998" spans="1:14" ht="15" customHeight="1" x14ac:dyDescent="0.2">
      <c r="A4998" s="31">
        <v>0.45190528355412329</v>
      </c>
      <c r="B4998" s="31"/>
      <c r="C4998" s="2" t="s">
        <v>855</v>
      </c>
      <c r="D4998" s="31">
        <f t="shared" si="162"/>
        <v>8.857343557660817E-2</v>
      </c>
      <c r="F4998" s="2" t="s">
        <v>822</v>
      </c>
      <c r="G4998" s="23" t="s">
        <v>902</v>
      </c>
      <c r="H4998" s="2" t="s">
        <v>822</v>
      </c>
      <c r="J4998" s="31">
        <v>36.728000600000001</v>
      </c>
      <c r="K4998" s="31">
        <v>-29.200000800000002</v>
      </c>
      <c r="L4998" s="31"/>
      <c r="M4998" s="31" t="s">
        <v>854</v>
      </c>
      <c r="N4998" s="6" t="s">
        <v>856</v>
      </c>
    </row>
    <row r="4999" spans="1:14" ht="15" customHeight="1" x14ac:dyDescent="0.2">
      <c r="A4999" s="31">
        <v>0.45186515240619279</v>
      </c>
      <c r="B4999" s="31"/>
      <c r="C4999" s="2" t="s">
        <v>855</v>
      </c>
      <c r="D4999" s="31">
        <f t="shared" si="162"/>
        <v>8.8565569871613792E-2</v>
      </c>
      <c r="F4999" s="2" t="s">
        <v>822</v>
      </c>
      <c r="G4999" s="23" t="s">
        <v>902</v>
      </c>
      <c r="H4999" s="2" t="s">
        <v>822</v>
      </c>
      <c r="J4999" s="31">
        <v>39.278198199999999</v>
      </c>
      <c r="K4999" s="31">
        <v>25.858299299999999</v>
      </c>
      <c r="L4999" s="31"/>
      <c r="M4999" s="31" t="s">
        <v>854</v>
      </c>
      <c r="N4999" s="6" t="s">
        <v>856</v>
      </c>
    </row>
    <row r="5000" spans="1:14" ht="15" customHeight="1" x14ac:dyDescent="0.2">
      <c r="A5000" s="31">
        <v>0.45143136930835942</v>
      </c>
      <c r="B5000" s="31"/>
      <c r="C5000" s="2" t="s">
        <v>855</v>
      </c>
      <c r="D5000" s="31">
        <f t="shared" si="162"/>
        <v>8.8480548384438445E-2</v>
      </c>
      <c r="F5000" s="2" t="s">
        <v>822</v>
      </c>
      <c r="G5000" s="23" t="s">
        <v>902</v>
      </c>
      <c r="H5000" s="2" t="s">
        <v>822</v>
      </c>
      <c r="J5000" s="31">
        <v>63.278999300000002</v>
      </c>
      <c r="K5000" s="31">
        <v>-18.490400300000001</v>
      </c>
      <c r="L5000" s="31"/>
      <c r="M5000" s="31" t="s">
        <v>854</v>
      </c>
      <c r="N5000" s="6" t="s">
        <v>856</v>
      </c>
    </row>
    <row r="5001" spans="1:14" ht="15" customHeight="1" x14ac:dyDescent="0.2">
      <c r="A5001" s="31">
        <v>0.45091899767797328</v>
      </c>
      <c r="B5001" s="31"/>
      <c r="C5001" s="2" t="s">
        <v>855</v>
      </c>
      <c r="D5001" s="31">
        <f t="shared" si="162"/>
        <v>8.8380123544882769E-2</v>
      </c>
      <c r="F5001" s="2" t="s">
        <v>822</v>
      </c>
      <c r="G5001" s="23" t="s">
        <v>902</v>
      </c>
      <c r="H5001" s="2" t="s">
        <v>822</v>
      </c>
      <c r="J5001" s="31">
        <v>46.748001100000003</v>
      </c>
      <c r="K5001" s="31">
        <v>-15.8400002</v>
      </c>
      <c r="L5001" s="31"/>
      <c r="M5001" s="31" t="s">
        <v>854</v>
      </c>
      <c r="N5001" s="6" t="s">
        <v>856</v>
      </c>
    </row>
    <row r="5002" spans="1:14" ht="15" customHeight="1" x14ac:dyDescent="0.2">
      <c r="A5002" s="31">
        <v>0.45044728345099921</v>
      </c>
      <c r="B5002" s="31"/>
      <c r="C5002" s="2" t="s">
        <v>855</v>
      </c>
      <c r="D5002" s="31">
        <f t="shared" si="162"/>
        <v>8.8287667556395846E-2</v>
      </c>
      <c r="F5002" s="2" t="s">
        <v>822</v>
      </c>
      <c r="G5002" s="23" t="s">
        <v>902</v>
      </c>
      <c r="H5002" s="2" t="s">
        <v>822</v>
      </c>
      <c r="J5002" s="31">
        <v>52.090999600000004</v>
      </c>
      <c r="K5002" s="31">
        <v>-7.1474599999999997</v>
      </c>
      <c r="L5002" s="31"/>
      <c r="M5002" s="31" t="s">
        <v>854</v>
      </c>
      <c r="N5002" s="6" t="s">
        <v>856</v>
      </c>
    </row>
    <row r="5003" spans="1:14" ht="15" customHeight="1" x14ac:dyDescent="0.2">
      <c r="A5003" s="31">
        <v>0.45039668256163712</v>
      </c>
      <c r="B5003" s="31"/>
      <c r="C5003" s="2" t="s">
        <v>855</v>
      </c>
      <c r="D5003" s="31">
        <f t="shared" si="162"/>
        <v>8.8277749782080875E-2</v>
      </c>
      <c r="F5003" s="2" t="s">
        <v>822</v>
      </c>
      <c r="G5003" s="23" t="s">
        <v>902</v>
      </c>
      <c r="H5003" s="2" t="s">
        <v>822</v>
      </c>
      <c r="J5003" s="31">
        <v>36.082901</v>
      </c>
      <c r="K5003" s="31">
        <v>-20.4125996</v>
      </c>
      <c r="L5003" s="31"/>
      <c r="M5003" s="31" t="s">
        <v>854</v>
      </c>
      <c r="N5003" s="6" t="s">
        <v>856</v>
      </c>
    </row>
    <row r="5004" spans="1:14" ht="15" customHeight="1" x14ac:dyDescent="0.2">
      <c r="A5004" s="31">
        <v>0.45018999581925251</v>
      </c>
      <c r="B5004" s="31"/>
      <c r="C5004" s="2" t="s">
        <v>855</v>
      </c>
      <c r="D5004" s="31">
        <f t="shared" si="162"/>
        <v>8.8237239180573496E-2</v>
      </c>
      <c r="F5004" s="2" t="s">
        <v>822</v>
      </c>
      <c r="G5004" s="23" t="s">
        <v>902</v>
      </c>
      <c r="H5004" s="2" t="s">
        <v>822</v>
      </c>
      <c r="J5004" s="31">
        <v>58.096401200000003</v>
      </c>
      <c r="K5004" s="31">
        <v>9.9991597999999993</v>
      </c>
      <c r="L5004" s="31"/>
      <c r="M5004" s="31" t="s">
        <v>854</v>
      </c>
      <c r="N5004" s="6" t="s">
        <v>856</v>
      </c>
    </row>
    <row r="5005" spans="1:14" ht="15" customHeight="1" x14ac:dyDescent="0.2">
      <c r="A5005" s="31">
        <v>0.44991821352990891</v>
      </c>
      <c r="B5005" s="31"/>
      <c r="C5005" s="2" t="s">
        <v>855</v>
      </c>
      <c r="D5005" s="31">
        <f t="shared" si="162"/>
        <v>8.8183969851862151E-2</v>
      </c>
      <c r="F5005" s="2" t="s">
        <v>822</v>
      </c>
      <c r="G5005" s="23" t="s">
        <v>902</v>
      </c>
      <c r="H5005" s="2" t="s">
        <v>822</v>
      </c>
      <c r="J5005" s="31">
        <v>50.528301200000001</v>
      </c>
      <c r="K5005" s="31">
        <v>-13.228899999999999</v>
      </c>
      <c r="L5005" s="31"/>
      <c r="M5005" s="31" t="s">
        <v>854</v>
      </c>
      <c r="N5005" s="6" t="s">
        <v>856</v>
      </c>
    </row>
    <row r="5006" spans="1:14" ht="15" customHeight="1" x14ac:dyDescent="0.2">
      <c r="A5006" s="31">
        <v>0.4499169423953312</v>
      </c>
      <c r="B5006" s="31"/>
      <c r="C5006" s="2" t="s">
        <v>855</v>
      </c>
      <c r="D5006" s="31">
        <f t="shared" si="162"/>
        <v>8.8183720709484922E-2</v>
      </c>
      <c r="F5006" s="2" t="s">
        <v>822</v>
      </c>
      <c r="G5006" s="23" t="s">
        <v>902</v>
      </c>
      <c r="H5006" s="2" t="s">
        <v>822</v>
      </c>
      <c r="J5006" s="31">
        <v>33.764800999999999</v>
      </c>
      <c r="K5006" s="31">
        <v>-30.102100400000001</v>
      </c>
      <c r="L5006" s="31"/>
      <c r="M5006" s="31" t="s">
        <v>854</v>
      </c>
      <c r="N5006" s="6" t="s">
        <v>856</v>
      </c>
    </row>
    <row r="5007" spans="1:14" ht="15" customHeight="1" x14ac:dyDescent="0.2">
      <c r="A5007" s="31">
        <v>0.44976447561664612</v>
      </c>
      <c r="B5007" s="31"/>
      <c r="C5007" s="2" t="s">
        <v>855</v>
      </c>
      <c r="D5007" s="31">
        <f t="shared" si="162"/>
        <v>8.8153837220862646E-2</v>
      </c>
      <c r="F5007" s="2" t="s">
        <v>822</v>
      </c>
      <c r="G5007" s="23" t="s">
        <v>902</v>
      </c>
      <c r="H5007" s="2" t="s">
        <v>822</v>
      </c>
      <c r="J5007" s="31">
        <v>52.729301499999998</v>
      </c>
      <c r="K5007" s="31">
        <v>-4.9134798000000002</v>
      </c>
      <c r="L5007" s="31"/>
      <c r="M5007" s="31" t="s">
        <v>854</v>
      </c>
      <c r="N5007" s="6" t="s">
        <v>856</v>
      </c>
    </row>
    <row r="5008" spans="1:14" ht="15" customHeight="1" x14ac:dyDescent="0.2">
      <c r="A5008" s="31">
        <v>0.44951159469681778</v>
      </c>
      <c r="B5008" s="31"/>
      <c r="C5008" s="2" t="s">
        <v>855</v>
      </c>
      <c r="D5008" s="31">
        <f t="shared" si="162"/>
        <v>8.8104272560576291E-2</v>
      </c>
      <c r="F5008" s="2" t="s">
        <v>822</v>
      </c>
      <c r="G5008" s="23" t="s">
        <v>902</v>
      </c>
      <c r="H5008" s="2" t="s">
        <v>822</v>
      </c>
      <c r="J5008" s="31">
        <v>52.080600699999998</v>
      </c>
      <c r="K5008" s="31">
        <v>3.2178399999999998</v>
      </c>
      <c r="L5008" s="31"/>
      <c r="M5008" s="31" t="s">
        <v>854</v>
      </c>
      <c r="N5008" s="6" t="s">
        <v>856</v>
      </c>
    </row>
    <row r="5009" spans="1:14" ht="15" customHeight="1" x14ac:dyDescent="0.2">
      <c r="A5009" s="31">
        <v>0.44942944848352362</v>
      </c>
      <c r="B5009" s="31"/>
      <c r="C5009" s="2" t="s">
        <v>855</v>
      </c>
      <c r="D5009" s="31">
        <f t="shared" si="162"/>
        <v>8.8088171902770629E-2</v>
      </c>
      <c r="F5009" s="2" t="s">
        <v>822</v>
      </c>
      <c r="G5009" s="23" t="s">
        <v>902</v>
      </c>
      <c r="H5009" s="2" t="s">
        <v>822</v>
      </c>
      <c r="J5009" s="31">
        <v>63.717601799999997</v>
      </c>
      <c r="K5009" s="31">
        <v>-15.8400002</v>
      </c>
      <c r="L5009" s="31"/>
      <c r="M5009" s="31" t="s">
        <v>854</v>
      </c>
      <c r="N5009" s="6" t="s">
        <v>856</v>
      </c>
    </row>
    <row r="5010" spans="1:14" ht="15" customHeight="1" x14ac:dyDescent="0.2">
      <c r="A5010" s="31">
        <v>0.44939476169092668</v>
      </c>
      <c r="B5010" s="31"/>
      <c r="C5010" s="2" t="s">
        <v>855</v>
      </c>
      <c r="D5010" s="31">
        <f t="shared" si="162"/>
        <v>8.8081373291421627E-2</v>
      </c>
      <c r="F5010" s="2" t="s">
        <v>822</v>
      </c>
      <c r="G5010" s="23" t="s">
        <v>902</v>
      </c>
      <c r="H5010" s="2" t="s">
        <v>822</v>
      </c>
      <c r="J5010" s="31">
        <v>36.677101100000002</v>
      </c>
      <c r="K5010" s="31">
        <v>-13.7348003</v>
      </c>
      <c r="L5010" s="31"/>
      <c r="M5010" s="31" t="s">
        <v>854</v>
      </c>
      <c r="N5010" s="6" t="s">
        <v>856</v>
      </c>
    </row>
    <row r="5011" spans="1:14" ht="15" customHeight="1" x14ac:dyDescent="0.2">
      <c r="A5011" s="31">
        <v>0.44920775468764018</v>
      </c>
      <c r="B5011" s="31"/>
      <c r="C5011" s="2" t="s">
        <v>855</v>
      </c>
      <c r="D5011" s="31">
        <f t="shared" si="162"/>
        <v>8.8044719918777478E-2</v>
      </c>
      <c r="F5011" s="2" t="s">
        <v>822</v>
      </c>
      <c r="G5011" s="23" t="s">
        <v>902</v>
      </c>
      <c r="H5011" s="2" t="s">
        <v>822</v>
      </c>
      <c r="J5011" s="31">
        <v>54.623100299999997</v>
      </c>
      <c r="K5011" s="31">
        <v>11.5478001</v>
      </c>
      <c r="L5011" s="31"/>
      <c r="M5011" s="31" t="s">
        <v>854</v>
      </c>
      <c r="N5011" s="6" t="s">
        <v>856</v>
      </c>
    </row>
    <row r="5012" spans="1:14" ht="15" customHeight="1" x14ac:dyDescent="0.2">
      <c r="A5012" s="31">
        <v>0.44894100223453243</v>
      </c>
      <c r="B5012" s="31"/>
      <c r="C5012" s="2" t="s">
        <v>855</v>
      </c>
      <c r="D5012" s="31">
        <f t="shared" si="162"/>
        <v>8.7992436437968363E-2</v>
      </c>
      <c r="F5012" s="2" t="s">
        <v>822</v>
      </c>
      <c r="G5012" s="23" t="s">
        <v>902</v>
      </c>
      <c r="H5012" s="2" t="s">
        <v>822</v>
      </c>
      <c r="J5012" s="31">
        <v>57.436000800000002</v>
      </c>
      <c r="K5012" s="31">
        <v>-24.5240002</v>
      </c>
      <c r="L5012" s="31"/>
      <c r="M5012" s="31" t="s">
        <v>854</v>
      </c>
      <c r="N5012" s="6" t="s">
        <v>856</v>
      </c>
    </row>
    <row r="5013" spans="1:14" ht="15" customHeight="1" x14ac:dyDescent="0.2">
      <c r="A5013" s="31">
        <v>0.44852410762993078</v>
      </c>
      <c r="B5013" s="31"/>
      <c r="C5013" s="2" t="s">
        <v>855</v>
      </c>
      <c r="D5013" s="31">
        <f t="shared" si="162"/>
        <v>8.7910725095466435E-2</v>
      </c>
      <c r="F5013" s="2" t="s">
        <v>822</v>
      </c>
      <c r="G5013" s="23" t="s">
        <v>902</v>
      </c>
      <c r="H5013" s="2" t="s">
        <v>822</v>
      </c>
      <c r="J5013" s="31">
        <v>31.653699899999999</v>
      </c>
      <c r="K5013" s="31">
        <v>19.8551006</v>
      </c>
      <c r="L5013" s="31"/>
      <c r="M5013" s="31" t="s">
        <v>854</v>
      </c>
      <c r="N5013" s="6" t="s">
        <v>856</v>
      </c>
    </row>
    <row r="5014" spans="1:14" ht="15" customHeight="1" x14ac:dyDescent="0.2">
      <c r="A5014" s="31">
        <v>0.4483214536486595</v>
      </c>
      <c r="B5014" s="31"/>
      <c r="C5014" s="2" t="s">
        <v>855</v>
      </c>
      <c r="D5014" s="31">
        <f t="shared" si="162"/>
        <v>8.787100491513726E-2</v>
      </c>
      <c r="F5014" s="2" t="s">
        <v>822</v>
      </c>
      <c r="G5014" s="23" t="s">
        <v>902</v>
      </c>
      <c r="H5014" s="2" t="s">
        <v>822</v>
      </c>
      <c r="J5014" s="31">
        <v>41.111598999999998</v>
      </c>
      <c r="K5014" s="31">
        <v>-14.5039997</v>
      </c>
      <c r="L5014" s="31"/>
      <c r="M5014" s="31" t="s">
        <v>854</v>
      </c>
      <c r="N5014" s="6" t="s">
        <v>856</v>
      </c>
    </row>
    <row r="5015" spans="1:14" ht="15" customHeight="1" x14ac:dyDescent="0.2">
      <c r="A5015" s="31">
        <v>0.44825603863281999</v>
      </c>
      <c r="B5015" s="31"/>
      <c r="C5015" s="2" t="s">
        <v>855</v>
      </c>
      <c r="D5015" s="31">
        <f t="shared" si="162"/>
        <v>8.7858183572032719E-2</v>
      </c>
      <c r="F5015" s="2" t="s">
        <v>822</v>
      </c>
      <c r="G5015" s="23" t="s">
        <v>902</v>
      </c>
      <c r="H5015" s="2" t="s">
        <v>822</v>
      </c>
      <c r="J5015" s="31">
        <v>33.810001399999997</v>
      </c>
      <c r="K5015" s="31">
        <v>20.502899200000002</v>
      </c>
      <c r="L5015" s="31"/>
      <c r="M5015" s="31" t="s">
        <v>854</v>
      </c>
      <c r="N5015" s="6" t="s">
        <v>856</v>
      </c>
    </row>
    <row r="5016" spans="1:14" ht="15" customHeight="1" x14ac:dyDescent="0.2">
      <c r="A5016" s="31">
        <v>0.44803672490579588</v>
      </c>
      <c r="B5016" s="31"/>
      <c r="C5016" s="2" t="s">
        <v>855</v>
      </c>
      <c r="D5016" s="31">
        <f t="shared" si="162"/>
        <v>8.7815198081535997E-2</v>
      </c>
      <c r="F5016" s="2" t="s">
        <v>822</v>
      </c>
      <c r="G5016" s="23" t="s">
        <v>902</v>
      </c>
      <c r="H5016" s="2" t="s">
        <v>822</v>
      </c>
      <c r="J5016" s="31">
        <v>51.4009018</v>
      </c>
      <c r="K5016" s="31">
        <v>-19.815999999999999</v>
      </c>
      <c r="L5016" s="31"/>
      <c r="M5016" s="31" t="s">
        <v>854</v>
      </c>
      <c r="N5016" s="6" t="s">
        <v>856</v>
      </c>
    </row>
    <row r="5017" spans="1:14" ht="15" customHeight="1" x14ac:dyDescent="0.2">
      <c r="A5017" s="31">
        <v>0.44768261802601139</v>
      </c>
      <c r="B5017" s="31"/>
      <c r="C5017" s="2" t="s">
        <v>855</v>
      </c>
      <c r="D5017" s="31">
        <f t="shared" si="162"/>
        <v>8.7745793133098229E-2</v>
      </c>
      <c r="F5017" s="2" t="s">
        <v>822</v>
      </c>
      <c r="G5017" s="23" t="s">
        <v>902</v>
      </c>
      <c r="H5017" s="2" t="s">
        <v>822</v>
      </c>
      <c r="J5017" s="31">
        <v>55.794498400000002</v>
      </c>
      <c r="K5017" s="31">
        <v>5.3908199999999997</v>
      </c>
      <c r="L5017" s="31"/>
      <c r="M5017" s="31" t="s">
        <v>854</v>
      </c>
      <c r="N5017" s="6" t="s">
        <v>856</v>
      </c>
    </row>
    <row r="5018" spans="1:14" ht="15" customHeight="1" x14ac:dyDescent="0.2">
      <c r="A5018" s="31">
        <v>0.44727421062013029</v>
      </c>
      <c r="B5018" s="31"/>
      <c r="C5018" s="2" t="s">
        <v>855</v>
      </c>
      <c r="D5018" s="31">
        <f t="shared" si="162"/>
        <v>8.766574528154554E-2</v>
      </c>
      <c r="F5018" s="2" t="s">
        <v>822</v>
      </c>
      <c r="G5018" s="23" t="s">
        <v>902</v>
      </c>
      <c r="H5018" s="2" t="s">
        <v>822</v>
      </c>
      <c r="J5018" s="31">
        <v>33.970001199999999</v>
      </c>
      <c r="K5018" s="31">
        <v>-36.486598999999998</v>
      </c>
      <c r="L5018" s="31"/>
      <c r="M5018" s="31" t="s">
        <v>854</v>
      </c>
      <c r="N5018" s="6" t="s">
        <v>856</v>
      </c>
    </row>
    <row r="5019" spans="1:14" ht="15" customHeight="1" x14ac:dyDescent="0.2">
      <c r="A5019" s="31">
        <v>0.44718224747124791</v>
      </c>
      <c r="B5019" s="31"/>
      <c r="C5019" s="2" t="s">
        <v>855</v>
      </c>
      <c r="D5019" s="31">
        <f t="shared" si="162"/>
        <v>8.764772050436459E-2</v>
      </c>
      <c r="F5019" s="2" t="s">
        <v>822</v>
      </c>
      <c r="G5019" s="23" t="s">
        <v>902</v>
      </c>
      <c r="H5019" s="2" t="s">
        <v>822</v>
      </c>
      <c r="J5019" s="31">
        <v>48.751998899999997</v>
      </c>
      <c r="K5019" s="31">
        <v>-23.187999699999999</v>
      </c>
      <c r="L5019" s="31"/>
      <c r="M5019" s="31" t="s">
        <v>854</v>
      </c>
      <c r="N5019" s="6" t="s">
        <v>856</v>
      </c>
    </row>
    <row r="5020" spans="1:14" ht="15" customHeight="1" x14ac:dyDescent="0.2">
      <c r="A5020" s="31">
        <v>0.44714473980556868</v>
      </c>
      <c r="B5020" s="31"/>
      <c r="C5020" s="2" t="s">
        <v>855</v>
      </c>
      <c r="D5020" s="31">
        <f t="shared" si="162"/>
        <v>8.7640369001891469E-2</v>
      </c>
      <c r="F5020" s="2" t="s">
        <v>822</v>
      </c>
      <c r="G5020" s="23" t="s">
        <v>902</v>
      </c>
      <c r="H5020" s="2" t="s">
        <v>822</v>
      </c>
      <c r="J5020" s="31">
        <v>55.432399699999998</v>
      </c>
      <c r="K5020" s="31">
        <v>-11.9158001</v>
      </c>
      <c r="L5020" s="31"/>
      <c r="M5020" s="31" t="s">
        <v>854</v>
      </c>
      <c r="N5020" s="6" t="s">
        <v>856</v>
      </c>
    </row>
    <row r="5021" spans="1:14" ht="15" customHeight="1" x14ac:dyDescent="0.2">
      <c r="A5021" s="31">
        <v>0.44688814063162402</v>
      </c>
      <c r="B5021" s="31"/>
      <c r="C5021" s="2" t="s">
        <v>855</v>
      </c>
      <c r="D5021" s="31">
        <f t="shared" si="162"/>
        <v>8.7590075563798317E-2</v>
      </c>
      <c r="F5021" s="2" t="s">
        <v>822</v>
      </c>
      <c r="G5021" s="23" t="s">
        <v>902</v>
      </c>
      <c r="H5021" s="2" t="s">
        <v>822</v>
      </c>
      <c r="J5021" s="31">
        <v>46.080001799999998</v>
      </c>
      <c r="K5021" s="31">
        <v>-19.1800003</v>
      </c>
      <c r="L5021" s="31"/>
      <c r="M5021" s="31" t="s">
        <v>854</v>
      </c>
      <c r="N5021" s="6" t="s">
        <v>856</v>
      </c>
    </row>
    <row r="5022" spans="1:14" ht="15" customHeight="1" x14ac:dyDescent="0.2">
      <c r="A5022" s="31">
        <v>0.44625484506695973</v>
      </c>
      <c r="B5022" s="31"/>
      <c r="C5022" s="2" t="s">
        <v>855</v>
      </c>
      <c r="D5022" s="31">
        <f t="shared" si="162"/>
        <v>8.746594963312411E-2</v>
      </c>
      <c r="F5022" s="2" t="s">
        <v>822</v>
      </c>
      <c r="G5022" s="23" t="s">
        <v>902</v>
      </c>
      <c r="H5022" s="2" t="s">
        <v>822</v>
      </c>
      <c r="J5022" s="31">
        <v>50.819099399999999</v>
      </c>
      <c r="K5022" s="31">
        <v>-27.617999999999999</v>
      </c>
      <c r="L5022" s="31"/>
      <c r="M5022" s="31" t="s">
        <v>854</v>
      </c>
      <c r="N5022" s="6" t="s">
        <v>856</v>
      </c>
    </row>
    <row r="5023" spans="1:14" ht="15" customHeight="1" x14ac:dyDescent="0.2">
      <c r="A5023" s="31">
        <v>0.44596189355266891</v>
      </c>
      <c r="B5023" s="31"/>
      <c r="C5023" s="2" t="s">
        <v>855</v>
      </c>
      <c r="D5023" s="31">
        <f t="shared" si="162"/>
        <v>8.7408531136323103E-2</v>
      </c>
      <c r="F5023" s="2" t="s">
        <v>822</v>
      </c>
      <c r="G5023" s="23" t="s">
        <v>902</v>
      </c>
      <c r="H5023" s="2" t="s">
        <v>822</v>
      </c>
      <c r="J5023" s="31">
        <v>42.740001700000001</v>
      </c>
      <c r="K5023" s="31">
        <v>-40.951198599999998</v>
      </c>
      <c r="L5023" s="31"/>
      <c r="M5023" s="31" t="s">
        <v>854</v>
      </c>
      <c r="N5023" s="6" t="s">
        <v>856</v>
      </c>
    </row>
    <row r="5024" spans="1:14" ht="15" customHeight="1" x14ac:dyDescent="0.2">
      <c r="A5024" s="31">
        <v>0.44588644963190732</v>
      </c>
      <c r="B5024" s="31"/>
      <c r="C5024" s="2" t="s">
        <v>855</v>
      </c>
      <c r="D5024" s="31">
        <f t="shared" si="162"/>
        <v>8.7393744127853834E-2</v>
      </c>
      <c r="F5024" s="2" t="s">
        <v>822</v>
      </c>
      <c r="G5024" s="23" t="s">
        <v>902</v>
      </c>
      <c r="H5024" s="2" t="s">
        <v>822</v>
      </c>
      <c r="J5024" s="31">
        <v>44.076000200000003</v>
      </c>
      <c r="K5024" s="31">
        <v>-17.5100002</v>
      </c>
      <c r="L5024" s="31"/>
      <c r="M5024" s="31" t="s">
        <v>854</v>
      </c>
      <c r="N5024" s="6" t="s">
        <v>856</v>
      </c>
    </row>
    <row r="5025" spans="1:14" ht="15" customHeight="1" x14ac:dyDescent="0.2">
      <c r="A5025" s="31">
        <v>0.44588331697734518</v>
      </c>
      <c r="B5025" s="31"/>
      <c r="C5025" s="2" t="s">
        <v>855</v>
      </c>
      <c r="D5025" s="31">
        <f t="shared" si="162"/>
        <v>8.7393130127559657E-2</v>
      </c>
      <c r="F5025" s="2" t="s">
        <v>822</v>
      </c>
      <c r="G5025" s="23" t="s">
        <v>902</v>
      </c>
      <c r="H5025" s="2" t="s">
        <v>822</v>
      </c>
      <c r="J5025" s="31">
        <v>55.4319992</v>
      </c>
      <c r="K5025" s="31">
        <v>-17.8439999</v>
      </c>
      <c r="L5025" s="31"/>
      <c r="M5025" s="31" t="s">
        <v>854</v>
      </c>
      <c r="N5025" s="6" t="s">
        <v>856</v>
      </c>
    </row>
    <row r="5026" spans="1:14" ht="15" customHeight="1" x14ac:dyDescent="0.2">
      <c r="A5026" s="31">
        <v>0.44582305040156789</v>
      </c>
      <c r="B5026" s="31"/>
      <c r="C5026" s="2" t="s">
        <v>855</v>
      </c>
      <c r="D5026" s="31">
        <f t="shared" si="162"/>
        <v>8.7381317878707315E-2</v>
      </c>
      <c r="F5026" s="2" t="s">
        <v>822</v>
      </c>
      <c r="G5026" s="23" t="s">
        <v>902</v>
      </c>
      <c r="H5026" s="2" t="s">
        <v>822</v>
      </c>
      <c r="J5026" s="31">
        <v>63.443901099999998</v>
      </c>
      <c r="K5026" s="31">
        <v>-22.516399400000001</v>
      </c>
      <c r="L5026" s="31"/>
      <c r="M5026" s="31" t="s">
        <v>854</v>
      </c>
      <c r="N5026" s="6" t="s">
        <v>856</v>
      </c>
    </row>
    <row r="5027" spans="1:14" ht="15" customHeight="1" x14ac:dyDescent="0.2">
      <c r="A5027" s="31">
        <v>0.44572476493545388</v>
      </c>
      <c r="B5027" s="31"/>
      <c r="C5027" s="2" t="s">
        <v>855</v>
      </c>
      <c r="D5027" s="31">
        <f t="shared" si="162"/>
        <v>8.7362053927348957E-2</v>
      </c>
      <c r="F5027" s="2" t="s">
        <v>822</v>
      </c>
      <c r="G5027" s="23" t="s">
        <v>902</v>
      </c>
      <c r="H5027" s="2" t="s">
        <v>822</v>
      </c>
      <c r="J5027" s="31">
        <v>56.661098500000001</v>
      </c>
      <c r="K5027" s="31">
        <v>10.6394997</v>
      </c>
      <c r="L5027" s="31"/>
      <c r="M5027" s="31" t="s">
        <v>854</v>
      </c>
      <c r="N5027" s="6" t="s">
        <v>856</v>
      </c>
    </row>
    <row r="5028" spans="1:14" ht="15" customHeight="1" x14ac:dyDescent="0.2">
      <c r="A5028" s="31">
        <v>0.44552913380846032</v>
      </c>
      <c r="B5028" s="31"/>
      <c r="C5028" s="2" t="s">
        <v>855</v>
      </c>
      <c r="D5028" s="31">
        <f t="shared" si="162"/>
        <v>8.7323710226458226E-2</v>
      </c>
      <c r="F5028" s="2" t="s">
        <v>822</v>
      </c>
      <c r="G5028" s="23" t="s">
        <v>902</v>
      </c>
      <c r="H5028" s="2" t="s">
        <v>822</v>
      </c>
      <c r="J5028" s="31">
        <v>50.088001300000002</v>
      </c>
      <c r="K5028" s="31">
        <v>-24.5240002</v>
      </c>
      <c r="L5028" s="31"/>
      <c r="M5028" s="31" t="s">
        <v>854</v>
      </c>
      <c r="N5028" s="6" t="s">
        <v>856</v>
      </c>
    </row>
    <row r="5029" spans="1:14" ht="15" customHeight="1" x14ac:dyDescent="0.2">
      <c r="A5029" s="31">
        <v>0.4454356456666706</v>
      </c>
      <c r="B5029" s="31"/>
      <c r="C5029" s="2" t="s">
        <v>855</v>
      </c>
      <c r="D5029" s="31">
        <f t="shared" si="162"/>
        <v>8.7305386550667441E-2</v>
      </c>
      <c r="F5029" s="2" t="s">
        <v>822</v>
      </c>
      <c r="G5029" s="23" t="s">
        <v>902</v>
      </c>
      <c r="H5029" s="2" t="s">
        <v>822</v>
      </c>
      <c r="J5029" s="31">
        <v>58.420101199999998</v>
      </c>
      <c r="K5029" s="31">
        <v>-3.0472299999999999</v>
      </c>
      <c r="L5029" s="31"/>
      <c r="M5029" s="31" t="s">
        <v>854</v>
      </c>
      <c r="N5029" s="6" t="s">
        <v>856</v>
      </c>
    </row>
    <row r="5030" spans="1:14" ht="15" customHeight="1" x14ac:dyDescent="0.2">
      <c r="A5030" s="31">
        <v>0.44522027849440299</v>
      </c>
      <c r="B5030" s="31"/>
      <c r="C5030" s="2" t="s">
        <v>855</v>
      </c>
      <c r="D5030" s="31">
        <f t="shared" si="162"/>
        <v>8.7263174584902986E-2</v>
      </c>
      <c r="F5030" s="2" t="s">
        <v>822</v>
      </c>
      <c r="G5030" s="23" t="s">
        <v>902</v>
      </c>
      <c r="H5030" s="2" t="s">
        <v>822</v>
      </c>
      <c r="J5030" s="31">
        <v>26.0837994</v>
      </c>
      <c r="K5030" s="31">
        <v>-33.899101299999998</v>
      </c>
      <c r="L5030" s="31"/>
      <c r="M5030" s="31" t="s">
        <v>854</v>
      </c>
      <c r="N5030" s="6" t="s">
        <v>856</v>
      </c>
    </row>
    <row r="5031" spans="1:14" ht="15" customHeight="1" x14ac:dyDescent="0.2">
      <c r="A5031" s="31">
        <v>0.44515368780900899</v>
      </c>
      <c r="B5031" s="31"/>
      <c r="C5031" s="2" t="s">
        <v>855</v>
      </c>
      <c r="D5031" s="31">
        <f t="shared" si="162"/>
        <v>8.7250122810565767E-2</v>
      </c>
      <c r="F5031" s="2" t="s">
        <v>822</v>
      </c>
      <c r="G5031" s="23" t="s">
        <v>902</v>
      </c>
      <c r="H5031" s="2" t="s">
        <v>822</v>
      </c>
      <c r="J5031" s="31">
        <v>50.088001300000002</v>
      </c>
      <c r="K5031" s="31">
        <v>-15.8400002</v>
      </c>
      <c r="L5031" s="31"/>
      <c r="M5031" s="31" t="s">
        <v>854</v>
      </c>
      <c r="N5031" s="6" t="s">
        <v>856</v>
      </c>
    </row>
    <row r="5032" spans="1:14" ht="15" customHeight="1" x14ac:dyDescent="0.2">
      <c r="A5032" s="31">
        <v>0.44499320348461108</v>
      </c>
      <c r="B5032" s="31"/>
      <c r="C5032" s="2" t="s">
        <v>855</v>
      </c>
      <c r="D5032" s="31">
        <f t="shared" si="162"/>
        <v>8.7218667882983769E-2</v>
      </c>
      <c r="F5032" s="2" t="s">
        <v>822</v>
      </c>
      <c r="G5032" s="23" t="s">
        <v>902</v>
      </c>
      <c r="H5032" s="2" t="s">
        <v>822</v>
      </c>
      <c r="J5032" s="31">
        <v>58.124698600000002</v>
      </c>
      <c r="K5032" s="31">
        <v>-7.0906301000000003</v>
      </c>
      <c r="L5032" s="31"/>
      <c r="M5032" s="31" t="s">
        <v>854</v>
      </c>
      <c r="N5032" s="6" t="s">
        <v>856</v>
      </c>
    </row>
    <row r="5033" spans="1:14" ht="15" customHeight="1" x14ac:dyDescent="0.2">
      <c r="A5033" s="31">
        <v>0.44493699684714172</v>
      </c>
      <c r="B5033" s="31"/>
      <c r="C5033" s="2" t="s">
        <v>855</v>
      </c>
      <c r="D5033" s="31">
        <f t="shared" si="162"/>
        <v>8.7207651382039786E-2</v>
      </c>
      <c r="F5033" s="2" t="s">
        <v>822</v>
      </c>
      <c r="G5033" s="23" t="s">
        <v>902</v>
      </c>
      <c r="H5033" s="2" t="s">
        <v>822</v>
      </c>
      <c r="J5033" s="31">
        <v>45.046699500000003</v>
      </c>
      <c r="K5033" s="31">
        <v>-37.6615982</v>
      </c>
      <c r="L5033" s="31"/>
      <c r="M5033" s="31" t="s">
        <v>854</v>
      </c>
      <c r="N5033" s="6" t="s">
        <v>856</v>
      </c>
    </row>
    <row r="5034" spans="1:14" ht="15" customHeight="1" x14ac:dyDescent="0.2">
      <c r="A5034" s="31">
        <v>0.44484313688456473</v>
      </c>
      <c r="B5034" s="31"/>
      <c r="C5034" s="2" t="s">
        <v>855</v>
      </c>
      <c r="D5034" s="31">
        <f t="shared" si="162"/>
        <v>8.7189254829374688E-2</v>
      </c>
      <c r="F5034" s="2" t="s">
        <v>822</v>
      </c>
      <c r="G5034" s="23" t="s">
        <v>902</v>
      </c>
      <c r="H5034" s="2" t="s">
        <v>822</v>
      </c>
      <c r="J5034" s="31">
        <v>52.759998299999999</v>
      </c>
      <c r="K5034" s="31">
        <v>3.9268401000000002</v>
      </c>
      <c r="L5034" s="31"/>
      <c r="M5034" s="31" t="s">
        <v>854</v>
      </c>
      <c r="N5034" s="6" t="s">
        <v>856</v>
      </c>
    </row>
    <row r="5035" spans="1:14" ht="15" customHeight="1" x14ac:dyDescent="0.2">
      <c r="A5035" s="31">
        <v>0.44480219465648652</v>
      </c>
      <c r="B5035" s="31"/>
      <c r="C5035" s="2" t="s">
        <v>855</v>
      </c>
      <c r="D5035" s="31">
        <f t="shared" si="162"/>
        <v>8.718123015267136E-2</v>
      </c>
      <c r="F5035" s="2" t="s">
        <v>822</v>
      </c>
      <c r="G5035" s="23" t="s">
        <v>902</v>
      </c>
      <c r="H5035" s="2" t="s">
        <v>822</v>
      </c>
      <c r="J5035" s="31">
        <v>55.037601500000001</v>
      </c>
      <c r="K5035" s="31">
        <v>-9.1536998999999994</v>
      </c>
      <c r="L5035" s="31"/>
      <c r="M5035" s="31" t="s">
        <v>854</v>
      </c>
      <c r="N5035" s="6" t="s">
        <v>856</v>
      </c>
    </row>
    <row r="5036" spans="1:14" ht="15" customHeight="1" x14ac:dyDescent="0.2">
      <c r="A5036" s="31">
        <v>0.44453624407113762</v>
      </c>
      <c r="B5036" s="31"/>
      <c r="C5036" s="2" t="s">
        <v>855</v>
      </c>
      <c r="D5036" s="31">
        <f t="shared" si="162"/>
        <v>8.7129103837942978E-2</v>
      </c>
      <c r="F5036" s="2" t="s">
        <v>822</v>
      </c>
      <c r="G5036" s="23" t="s">
        <v>902</v>
      </c>
      <c r="H5036" s="2" t="s">
        <v>822</v>
      </c>
      <c r="J5036" s="31">
        <v>49.950901000000002</v>
      </c>
      <c r="K5036" s="31">
        <v>-0.91226700000000005</v>
      </c>
      <c r="L5036" s="31"/>
      <c r="M5036" s="31" t="s">
        <v>854</v>
      </c>
      <c r="N5036" s="6" t="s">
        <v>856</v>
      </c>
    </row>
    <row r="5037" spans="1:14" ht="15" customHeight="1" x14ac:dyDescent="0.2">
      <c r="A5037" s="31">
        <v>0.44441504685586403</v>
      </c>
      <c r="B5037" s="31"/>
      <c r="C5037" s="2" t="s">
        <v>855</v>
      </c>
      <c r="D5037" s="31">
        <f t="shared" si="162"/>
        <v>8.7105349183749348E-2</v>
      </c>
      <c r="F5037" s="2" t="s">
        <v>822</v>
      </c>
      <c r="G5037" s="23" t="s">
        <v>902</v>
      </c>
      <c r="H5037" s="2" t="s">
        <v>822</v>
      </c>
      <c r="J5037" s="31">
        <v>51.423999799999997</v>
      </c>
      <c r="K5037" s="31">
        <v>-28.531999599999999</v>
      </c>
      <c r="L5037" s="31"/>
      <c r="M5037" s="31" t="s">
        <v>854</v>
      </c>
      <c r="N5037" s="6" t="s">
        <v>856</v>
      </c>
    </row>
    <row r="5038" spans="1:14" ht="15" customHeight="1" x14ac:dyDescent="0.2">
      <c r="A5038" s="31">
        <v>0.44436336676252908</v>
      </c>
      <c r="B5038" s="31"/>
      <c r="C5038" s="2" t="s">
        <v>855</v>
      </c>
      <c r="D5038" s="31">
        <f t="shared" si="162"/>
        <v>8.7095219885455696E-2</v>
      </c>
      <c r="F5038" s="2" t="s">
        <v>822</v>
      </c>
      <c r="G5038" s="23" t="s">
        <v>902</v>
      </c>
      <c r="H5038" s="2" t="s">
        <v>822</v>
      </c>
      <c r="J5038" s="31">
        <v>32.051998099999999</v>
      </c>
      <c r="K5038" s="31">
        <v>-32.540000900000003</v>
      </c>
      <c r="L5038" s="31"/>
      <c r="M5038" s="31" t="s">
        <v>854</v>
      </c>
      <c r="N5038" s="6" t="s">
        <v>856</v>
      </c>
    </row>
    <row r="5039" spans="1:14" ht="15" customHeight="1" x14ac:dyDescent="0.2">
      <c r="A5039" s="31">
        <v>0.44354163503414362</v>
      </c>
      <c r="B5039" s="31"/>
      <c r="C5039" s="2" t="s">
        <v>855</v>
      </c>
      <c r="D5039" s="31">
        <f t="shared" si="162"/>
        <v>8.6934160466692154E-2</v>
      </c>
      <c r="F5039" s="2" t="s">
        <v>822</v>
      </c>
      <c r="G5039" s="23" t="s">
        <v>902</v>
      </c>
      <c r="H5039" s="2" t="s">
        <v>822</v>
      </c>
      <c r="J5039" s="31">
        <v>47.416000400000001</v>
      </c>
      <c r="K5039" s="31">
        <v>-40.555999800000002</v>
      </c>
      <c r="L5039" s="31"/>
      <c r="M5039" s="31" t="s">
        <v>854</v>
      </c>
      <c r="N5039" s="6" t="s">
        <v>856</v>
      </c>
    </row>
    <row r="5040" spans="1:14" ht="15" customHeight="1" x14ac:dyDescent="0.2">
      <c r="A5040" s="31">
        <v>0.44291240511024488</v>
      </c>
      <c r="B5040" s="31"/>
      <c r="C5040" s="2" t="s">
        <v>855</v>
      </c>
      <c r="D5040" s="31">
        <f t="shared" si="162"/>
        <v>8.6810831401608002E-2</v>
      </c>
      <c r="F5040" s="2" t="s">
        <v>822</v>
      </c>
      <c r="G5040" s="23" t="s">
        <v>902</v>
      </c>
      <c r="H5040" s="2" t="s">
        <v>822</v>
      </c>
      <c r="J5040" s="31">
        <v>46.080001799999998</v>
      </c>
      <c r="K5040" s="31">
        <v>-36.548000299999998</v>
      </c>
      <c r="L5040" s="31"/>
      <c r="M5040" s="31" t="s">
        <v>854</v>
      </c>
      <c r="N5040" s="6" t="s">
        <v>856</v>
      </c>
    </row>
    <row r="5041" spans="1:14" ht="15" customHeight="1" x14ac:dyDescent="0.2">
      <c r="A5041" s="31">
        <v>0.44241152544545759</v>
      </c>
      <c r="B5041" s="31"/>
      <c r="C5041" s="2" t="s">
        <v>855</v>
      </c>
      <c r="D5041" s="31">
        <f t="shared" si="162"/>
        <v>8.671265898730969E-2</v>
      </c>
      <c r="F5041" s="2" t="s">
        <v>822</v>
      </c>
      <c r="G5041" s="23" t="s">
        <v>902</v>
      </c>
      <c r="H5041" s="2" t="s">
        <v>822</v>
      </c>
      <c r="J5041" s="31">
        <v>50.756000499999999</v>
      </c>
      <c r="K5041" s="31">
        <v>-31.8719997</v>
      </c>
      <c r="L5041" s="31"/>
      <c r="M5041" s="31" t="s">
        <v>854</v>
      </c>
      <c r="N5041" s="6" t="s">
        <v>856</v>
      </c>
    </row>
    <row r="5042" spans="1:14" ht="15" customHeight="1" x14ac:dyDescent="0.2">
      <c r="A5042" s="31">
        <v>0.44216448704964539</v>
      </c>
      <c r="B5042" s="31"/>
      <c r="C5042" s="2" t="s">
        <v>855</v>
      </c>
      <c r="D5042" s="31">
        <f t="shared" si="162"/>
        <v>8.6664239461730505E-2</v>
      </c>
      <c r="F5042" s="2" t="s">
        <v>822</v>
      </c>
      <c r="G5042" s="23" t="s">
        <v>902</v>
      </c>
      <c r="H5042" s="2" t="s">
        <v>822</v>
      </c>
      <c r="J5042" s="31">
        <v>51.705600699999998</v>
      </c>
      <c r="K5042" s="31">
        <v>2.8640001000000002</v>
      </c>
      <c r="L5042" s="31"/>
      <c r="M5042" s="31" t="s">
        <v>854</v>
      </c>
      <c r="N5042" s="6" t="s">
        <v>856</v>
      </c>
    </row>
    <row r="5043" spans="1:14" ht="15" customHeight="1" x14ac:dyDescent="0.2">
      <c r="A5043" s="31">
        <v>0.44206366629072991</v>
      </c>
      <c r="B5043" s="31"/>
      <c r="C5043" s="2" t="s">
        <v>855</v>
      </c>
      <c r="D5043" s="31">
        <f t="shared" si="162"/>
        <v>8.6644478592983062E-2</v>
      </c>
      <c r="F5043" s="2" t="s">
        <v>822</v>
      </c>
      <c r="G5043" s="23" t="s">
        <v>902</v>
      </c>
      <c r="H5043" s="2" t="s">
        <v>822</v>
      </c>
      <c r="J5043" s="31">
        <v>57.367198899999998</v>
      </c>
      <c r="K5043" s="31">
        <v>4.5016198000000003</v>
      </c>
      <c r="L5043" s="31"/>
      <c r="M5043" s="31" t="s">
        <v>854</v>
      </c>
      <c r="N5043" s="6" t="s">
        <v>856</v>
      </c>
    </row>
    <row r="5044" spans="1:14" ht="15" customHeight="1" x14ac:dyDescent="0.2">
      <c r="A5044" s="31">
        <v>0.44191148631618521</v>
      </c>
      <c r="B5044" s="31"/>
      <c r="C5044" s="2" t="s">
        <v>855</v>
      </c>
      <c r="D5044" s="31">
        <f t="shared" si="162"/>
        <v>8.6614651317972302E-2</v>
      </c>
      <c r="F5044" s="2" t="s">
        <v>822</v>
      </c>
      <c r="G5044" s="23" t="s">
        <v>902</v>
      </c>
      <c r="H5044" s="2" t="s">
        <v>822</v>
      </c>
      <c r="J5044" s="31">
        <v>51.423999799999997</v>
      </c>
      <c r="K5044" s="31">
        <v>-22.520000499999998</v>
      </c>
      <c r="L5044" s="31"/>
      <c r="M5044" s="31" t="s">
        <v>854</v>
      </c>
      <c r="N5044" s="6" t="s">
        <v>856</v>
      </c>
    </row>
    <row r="5045" spans="1:14" ht="15" customHeight="1" x14ac:dyDescent="0.2">
      <c r="A5045" s="31">
        <v>0.44182864440178188</v>
      </c>
      <c r="B5045" s="31"/>
      <c r="C5045" s="2" t="s">
        <v>855</v>
      </c>
      <c r="D5045" s="31">
        <f t="shared" si="162"/>
        <v>8.6598414302749255E-2</v>
      </c>
      <c r="F5045" s="2" t="s">
        <v>822</v>
      </c>
      <c r="G5045" s="23" t="s">
        <v>902</v>
      </c>
      <c r="H5045" s="2" t="s">
        <v>822</v>
      </c>
      <c r="J5045" s="31">
        <v>35.666698500000003</v>
      </c>
      <c r="K5045" s="31">
        <v>16.5879993</v>
      </c>
      <c r="L5045" s="31"/>
      <c r="M5045" s="31" t="s">
        <v>854</v>
      </c>
      <c r="N5045" s="6" t="s">
        <v>856</v>
      </c>
    </row>
    <row r="5046" spans="1:14" ht="15" customHeight="1" x14ac:dyDescent="0.2">
      <c r="A5046" s="31">
        <v>0.44180478764757558</v>
      </c>
      <c r="B5046" s="31"/>
      <c r="C5046" s="2" t="s">
        <v>855</v>
      </c>
      <c r="D5046" s="31">
        <f t="shared" si="162"/>
        <v>8.6593738378924812E-2</v>
      </c>
      <c r="F5046" s="2" t="s">
        <v>822</v>
      </c>
      <c r="G5046" s="23" t="s">
        <v>902</v>
      </c>
      <c r="H5046" s="2" t="s">
        <v>822</v>
      </c>
      <c r="J5046" s="31">
        <v>46.838501000000001</v>
      </c>
      <c r="K5046" s="31">
        <v>-13.8668003</v>
      </c>
      <c r="L5046" s="31"/>
      <c r="M5046" s="31" t="s">
        <v>854</v>
      </c>
      <c r="N5046" s="6" t="s">
        <v>856</v>
      </c>
    </row>
    <row r="5047" spans="1:14" ht="15" customHeight="1" x14ac:dyDescent="0.2">
      <c r="A5047" s="31">
        <v>0.44154067565361188</v>
      </c>
      <c r="B5047" s="31"/>
      <c r="C5047" s="2" t="s">
        <v>855</v>
      </c>
      <c r="D5047" s="31">
        <f t="shared" si="162"/>
        <v>8.6541972428107933E-2</v>
      </c>
      <c r="F5047" s="2" t="s">
        <v>822</v>
      </c>
      <c r="G5047" s="23" t="s">
        <v>902</v>
      </c>
      <c r="H5047" s="2" t="s">
        <v>822</v>
      </c>
      <c r="J5047" s="31">
        <v>35.293598199999998</v>
      </c>
      <c r="K5047" s="31">
        <v>-15.7713003</v>
      </c>
      <c r="L5047" s="31"/>
      <c r="M5047" s="31" t="s">
        <v>854</v>
      </c>
      <c r="N5047" s="6" t="s">
        <v>856</v>
      </c>
    </row>
    <row r="5048" spans="1:14" ht="15" customHeight="1" x14ac:dyDescent="0.2">
      <c r="A5048" s="31">
        <v>0.44153196804417122</v>
      </c>
      <c r="B5048" s="31"/>
      <c r="C5048" s="2" t="s">
        <v>855</v>
      </c>
      <c r="D5048" s="31">
        <f t="shared" si="162"/>
        <v>8.654026573665756E-2</v>
      </c>
      <c r="F5048" s="2" t="s">
        <v>822</v>
      </c>
      <c r="G5048" s="23" t="s">
        <v>902</v>
      </c>
      <c r="H5048" s="2" t="s">
        <v>822</v>
      </c>
      <c r="J5048" s="31">
        <v>52.765899699999999</v>
      </c>
      <c r="K5048" s="31">
        <v>-31.200300200000001</v>
      </c>
      <c r="L5048" s="31"/>
      <c r="M5048" s="31" t="s">
        <v>854</v>
      </c>
      <c r="N5048" s="6" t="s">
        <v>856</v>
      </c>
    </row>
    <row r="5049" spans="1:14" ht="15" customHeight="1" x14ac:dyDescent="0.2">
      <c r="A5049" s="31">
        <v>0.44150326146104241</v>
      </c>
      <c r="B5049" s="31"/>
      <c r="C5049" s="2" t="s">
        <v>855</v>
      </c>
      <c r="D5049" s="31">
        <f t="shared" si="162"/>
        <v>8.6534639246364314E-2</v>
      </c>
      <c r="F5049" s="2" t="s">
        <v>822</v>
      </c>
      <c r="G5049" s="23" t="s">
        <v>902</v>
      </c>
      <c r="H5049" s="2" t="s">
        <v>822</v>
      </c>
      <c r="J5049" s="31">
        <v>56.383300800000001</v>
      </c>
      <c r="K5049" s="31">
        <v>-6.9015998999999999</v>
      </c>
      <c r="L5049" s="31"/>
      <c r="M5049" s="31" t="s">
        <v>854</v>
      </c>
      <c r="N5049" s="6" t="s">
        <v>856</v>
      </c>
    </row>
    <row r="5050" spans="1:14" ht="15" customHeight="1" x14ac:dyDescent="0.2">
      <c r="A5050" s="31">
        <v>0.44134114665438551</v>
      </c>
      <c r="B5050" s="31"/>
      <c r="C5050" s="2" t="s">
        <v>855</v>
      </c>
      <c r="D5050" s="31">
        <f t="shared" si="162"/>
        <v>8.6502864744259569E-2</v>
      </c>
      <c r="F5050" s="2" t="s">
        <v>822</v>
      </c>
      <c r="G5050" s="23" t="s">
        <v>902</v>
      </c>
      <c r="H5050" s="2" t="s">
        <v>822</v>
      </c>
      <c r="J5050" s="31">
        <v>51.733501400000002</v>
      </c>
      <c r="K5050" s="31">
        <v>-32.961101499999998</v>
      </c>
      <c r="L5050" s="31"/>
      <c r="M5050" s="31" t="s">
        <v>854</v>
      </c>
      <c r="N5050" s="6" t="s">
        <v>856</v>
      </c>
    </row>
    <row r="5051" spans="1:14" ht="15" customHeight="1" x14ac:dyDescent="0.2">
      <c r="A5051" s="31">
        <v>0.44118230630993432</v>
      </c>
      <c r="B5051" s="31"/>
      <c r="C5051" s="2" t="s">
        <v>855</v>
      </c>
      <c r="D5051" s="31">
        <f t="shared" si="162"/>
        <v>8.6471732036747129E-2</v>
      </c>
      <c r="F5051" s="2" t="s">
        <v>822</v>
      </c>
      <c r="G5051" s="23" t="s">
        <v>902</v>
      </c>
      <c r="H5051" s="2" t="s">
        <v>822</v>
      </c>
      <c r="J5051" s="31">
        <v>48.083999599999999</v>
      </c>
      <c r="K5051" s="31">
        <v>-22.520000499999998</v>
      </c>
      <c r="L5051" s="31"/>
      <c r="M5051" s="31" t="s">
        <v>854</v>
      </c>
      <c r="N5051" s="6" t="s">
        <v>856</v>
      </c>
    </row>
    <row r="5052" spans="1:14" ht="15" customHeight="1" x14ac:dyDescent="0.2">
      <c r="A5052" s="31">
        <v>0.44095229196929181</v>
      </c>
      <c r="B5052" s="31"/>
      <c r="C5052" s="2" t="s">
        <v>855</v>
      </c>
      <c r="D5052" s="31">
        <f t="shared" si="162"/>
        <v>8.64266492259812E-2</v>
      </c>
      <c r="F5052" s="2" t="s">
        <v>822</v>
      </c>
      <c r="G5052" s="23" t="s">
        <v>902</v>
      </c>
      <c r="H5052" s="2" t="s">
        <v>822</v>
      </c>
      <c r="J5052" s="31">
        <v>46.080001799999998</v>
      </c>
      <c r="K5052" s="31">
        <v>-12.5</v>
      </c>
      <c r="L5052" s="31"/>
      <c r="M5052" s="31" t="s">
        <v>854</v>
      </c>
      <c r="N5052" s="6" t="s">
        <v>856</v>
      </c>
    </row>
    <row r="5053" spans="1:14" ht="15" customHeight="1" x14ac:dyDescent="0.2">
      <c r="A5053" s="31">
        <v>0.4409510879603678</v>
      </c>
      <c r="B5053" s="31"/>
      <c r="C5053" s="2" t="s">
        <v>855</v>
      </c>
      <c r="D5053" s="31">
        <f t="shared" si="162"/>
        <v>8.6426413240232092E-2</v>
      </c>
      <c r="F5053" s="2" t="s">
        <v>822</v>
      </c>
      <c r="G5053" s="23" t="s">
        <v>902</v>
      </c>
      <c r="H5053" s="2" t="s">
        <v>822</v>
      </c>
      <c r="J5053" s="31">
        <v>55.956699399999998</v>
      </c>
      <c r="K5053" s="31">
        <v>6.2101698000000001</v>
      </c>
      <c r="L5053" s="31"/>
      <c r="M5053" s="31" t="s">
        <v>854</v>
      </c>
      <c r="N5053" s="6" t="s">
        <v>856</v>
      </c>
    </row>
    <row r="5054" spans="1:14" ht="15" customHeight="1" x14ac:dyDescent="0.2">
      <c r="A5054" s="31">
        <v>0.440878574742195</v>
      </c>
      <c r="B5054" s="31"/>
      <c r="C5054" s="2" t="s">
        <v>855</v>
      </c>
      <c r="D5054" s="31">
        <f t="shared" ref="D5054:D5117" si="163" xml:space="preserve"> A5054 * 0.196</f>
        <v>8.6412200649470222E-2</v>
      </c>
      <c r="F5054" s="2" t="s">
        <v>822</v>
      </c>
      <c r="G5054" s="23" t="s">
        <v>902</v>
      </c>
      <c r="H5054" s="2" t="s">
        <v>822</v>
      </c>
      <c r="J5054" s="31">
        <v>56.668598199999998</v>
      </c>
      <c r="K5054" s="31">
        <v>7.4718399</v>
      </c>
      <c r="L5054" s="31"/>
      <c r="M5054" s="31" t="s">
        <v>854</v>
      </c>
      <c r="N5054" s="6" t="s">
        <v>856</v>
      </c>
    </row>
    <row r="5055" spans="1:14" ht="15" customHeight="1" x14ac:dyDescent="0.2">
      <c r="A5055" s="31">
        <v>0.44050727019273989</v>
      </c>
      <c r="B5055" s="31"/>
      <c r="C5055" s="2" t="s">
        <v>855</v>
      </c>
      <c r="D5055" s="31">
        <f t="shared" si="163"/>
        <v>8.6339424957777022E-2</v>
      </c>
      <c r="F5055" s="2" t="s">
        <v>822</v>
      </c>
      <c r="G5055" s="23" t="s">
        <v>902</v>
      </c>
      <c r="H5055" s="2" t="s">
        <v>822</v>
      </c>
      <c r="J5055" s="31">
        <v>52.759998299999999</v>
      </c>
      <c r="K5055" s="31">
        <v>-20.516000699999999</v>
      </c>
      <c r="L5055" s="31"/>
      <c r="M5055" s="31" t="s">
        <v>854</v>
      </c>
      <c r="N5055" s="6" t="s">
        <v>856</v>
      </c>
    </row>
    <row r="5056" spans="1:14" ht="15" customHeight="1" x14ac:dyDescent="0.2">
      <c r="A5056" s="31">
        <v>0.44021994445281393</v>
      </c>
      <c r="B5056" s="31"/>
      <c r="C5056" s="2" t="s">
        <v>855</v>
      </c>
      <c r="D5056" s="31">
        <f t="shared" si="163"/>
        <v>8.6283109112751527E-2</v>
      </c>
      <c r="F5056" s="2" t="s">
        <v>822</v>
      </c>
      <c r="G5056" s="23" t="s">
        <v>902</v>
      </c>
      <c r="H5056" s="2" t="s">
        <v>822</v>
      </c>
      <c r="J5056" s="31">
        <v>58.771999399999999</v>
      </c>
      <c r="K5056" s="31">
        <v>3.5518401000000002</v>
      </c>
      <c r="L5056" s="31"/>
      <c r="M5056" s="31" t="s">
        <v>854</v>
      </c>
      <c r="N5056" s="6" t="s">
        <v>856</v>
      </c>
    </row>
    <row r="5057" spans="1:14" ht="15" customHeight="1" x14ac:dyDescent="0.2">
      <c r="A5057" s="31">
        <v>0.44006108843594699</v>
      </c>
      <c r="B5057" s="31"/>
      <c r="C5057" s="2" t="s">
        <v>855</v>
      </c>
      <c r="D5057" s="31">
        <f t="shared" si="163"/>
        <v>8.6251973333445614E-2</v>
      </c>
      <c r="F5057" s="2" t="s">
        <v>822</v>
      </c>
      <c r="G5057" s="23" t="s">
        <v>902</v>
      </c>
      <c r="H5057" s="2" t="s">
        <v>822</v>
      </c>
      <c r="J5057" s="31">
        <v>40.356998400000002</v>
      </c>
      <c r="K5057" s="31">
        <v>-19.236499800000001</v>
      </c>
      <c r="L5057" s="31"/>
      <c r="M5057" s="31" t="s">
        <v>854</v>
      </c>
      <c r="N5057" s="6" t="s">
        <v>856</v>
      </c>
    </row>
    <row r="5058" spans="1:14" ht="15" customHeight="1" x14ac:dyDescent="0.2">
      <c r="A5058" s="31">
        <v>0.43988620005920442</v>
      </c>
      <c r="B5058" s="31"/>
      <c r="C5058" s="2" t="s">
        <v>855</v>
      </c>
      <c r="D5058" s="31">
        <f t="shared" si="163"/>
        <v>8.6217695211604065E-2</v>
      </c>
      <c r="F5058" s="2" t="s">
        <v>822</v>
      </c>
      <c r="G5058" s="23" t="s">
        <v>902</v>
      </c>
      <c r="H5058" s="2" t="s">
        <v>822</v>
      </c>
      <c r="J5058" s="31">
        <v>50.088001300000002</v>
      </c>
      <c r="K5058" s="31">
        <v>-22.520000499999998</v>
      </c>
      <c r="L5058" s="31"/>
      <c r="M5058" s="31" t="s">
        <v>854</v>
      </c>
      <c r="N5058" s="6" t="s">
        <v>856</v>
      </c>
    </row>
    <row r="5059" spans="1:14" ht="15" customHeight="1" x14ac:dyDescent="0.2">
      <c r="A5059" s="31">
        <v>0.43978439699847482</v>
      </c>
      <c r="B5059" s="31"/>
      <c r="C5059" s="2" t="s">
        <v>855</v>
      </c>
      <c r="D5059" s="31">
        <f t="shared" si="163"/>
        <v>8.6197741811701076E-2</v>
      </c>
      <c r="F5059" s="2" t="s">
        <v>822</v>
      </c>
      <c r="G5059" s="23" t="s">
        <v>902</v>
      </c>
      <c r="H5059" s="2" t="s">
        <v>822</v>
      </c>
      <c r="J5059" s="31">
        <v>55.584598499999998</v>
      </c>
      <c r="K5059" s="31">
        <v>-8.0851603000000001</v>
      </c>
      <c r="L5059" s="31"/>
      <c r="M5059" s="31" t="s">
        <v>854</v>
      </c>
      <c r="N5059" s="6" t="s">
        <v>856</v>
      </c>
    </row>
    <row r="5060" spans="1:14" ht="15" customHeight="1" x14ac:dyDescent="0.2">
      <c r="A5060" s="31">
        <v>0.43918538565755427</v>
      </c>
      <c r="B5060" s="31"/>
      <c r="C5060" s="2" t="s">
        <v>855</v>
      </c>
      <c r="D5060" s="31">
        <f t="shared" si="163"/>
        <v>8.6080335588880647E-2</v>
      </c>
      <c r="F5060" s="2" t="s">
        <v>822</v>
      </c>
      <c r="G5060" s="23" t="s">
        <v>902</v>
      </c>
      <c r="H5060" s="2" t="s">
        <v>822</v>
      </c>
      <c r="J5060" s="31">
        <v>59.452201799999997</v>
      </c>
      <c r="K5060" s="31">
        <v>-2.4714100000000001</v>
      </c>
      <c r="L5060" s="31"/>
      <c r="M5060" s="31" t="s">
        <v>854</v>
      </c>
      <c r="N5060" s="6" t="s">
        <v>856</v>
      </c>
    </row>
    <row r="5061" spans="1:14" ht="15" customHeight="1" x14ac:dyDescent="0.2">
      <c r="A5061" s="31">
        <v>0.43910817095116239</v>
      </c>
      <c r="B5061" s="31"/>
      <c r="C5061" s="2" t="s">
        <v>855</v>
      </c>
      <c r="D5061" s="31">
        <f t="shared" si="163"/>
        <v>8.6065201506427838E-2</v>
      </c>
      <c r="F5061" s="2" t="s">
        <v>822</v>
      </c>
      <c r="G5061" s="23" t="s">
        <v>902</v>
      </c>
      <c r="H5061" s="2" t="s">
        <v>822</v>
      </c>
      <c r="J5061" s="31">
        <v>61.358001700000003</v>
      </c>
      <c r="K5061" s="31">
        <v>19.007299400000001</v>
      </c>
      <c r="L5061" s="31"/>
      <c r="M5061" s="31" t="s">
        <v>854</v>
      </c>
      <c r="N5061" s="6" t="s">
        <v>856</v>
      </c>
    </row>
    <row r="5062" spans="1:14" ht="15" customHeight="1" x14ac:dyDescent="0.2">
      <c r="A5062" s="31">
        <v>0.43907989714029588</v>
      </c>
      <c r="B5062" s="31"/>
      <c r="C5062" s="2" t="s">
        <v>855</v>
      </c>
      <c r="D5062" s="31">
        <f t="shared" si="163"/>
        <v>8.6059659839497996E-2</v>
      </c>
      <c r="F5062" s="2" t="s">
        <v>822</v>
      </c>
      <c r="G5062" s="23" t="s">
        <v>902</v>
      </c>
      <c r="H5062" s="2" t="s">
        <v>822</v>
      </c>
      <c r="J5062" s="31">
        <v>53.651599900000001</v>
      </c>
      <c r="K5062" s="31">
        <v>-14.720199600000001</v>
      </c>
      <c r="L5062" s="31"/>
      <c r="M5062" s="31" t="s">
        <v>854</v>
      </c>
      <c r="N5062" s="6" t="s">
        <v>856</v>
      </c>
    </row>
    <row r="5063" spans="1:14" ht="15" customHeight="1" x14ac:dyDescent="0.2">
      <c r="A5063" s="31">
        <v>0.43893589481453199</v>
      </c>
      <c r="B5063" s="31"/>
      <c r="C5063" s="2" t="s">
        <v>855</v>
      </c>
      <c r="D5063" s="31">
        <f t="shared" si="163"/>
        <v>8.6031435383648269E-2</v>
      </c>
      <c r="F5063" s="2" t="s">
        <v>822</v>
      </c>
      <c r="G5063" s="23" t="s">
        <v>902</v>
      </c>
      <c r="H5063" s="2" t="s">
        <v>822</v>
      </c>
      <c r="J5063" s="31">
        <v>44.743999500000001</v>
      </c>
      <c r="K5063" s="31">
        <v>-20.516000699999999</v>
      </c>
      <c r="L5063" s="31"/>
      <c r="M5063" s="31" t="s">
        <v>854</v>
      </c>
      <c r="N5063" s="6" t="s">
        <v>856</v>
      </c>
    </row>
    <row r="5064" spans="1:14" ht="15" customHeight="1" x14ac:dyDescent="0.2">
      <c r="A5064" s="31">
        <v>0.43889297033858338</v>
      </c>
      <c r="B5064" s="31"/>
      <c r="C5064" s="2" t="s">
        <v>855</v>
      </c>
      <c r="D5064" s="31">
        <f t="shared" si="163"/>
        <v>8.6023022186362347E-2</v>
      </c>
      <c r="F5064" s="2" t="s">
        <v>822</v>
      </c>
      <c r="G5064" s="23" t="s">
        <v>902</v>
      </c>
      <c r="H5064" s="2" t="s">
        <v>822</v>
      </c>
      <c r="J5064" s="31">
        <v>50.972698200000004</v>
      </c>
      <c r="K5064" s="31">
        <v>-24.436300299999999</v>
      </c>
      <c r="L5064" s="31"/>
      <c r="M5064" s="31" t="s">
        <v>854</v>
      </c>
      <c r="N5064" s="6" t="s">
        <v>856</v>
      </c>
    </row>
    <row r="5065" spans="1:14" ht="15" customHeight="1" x14ac:dyDescent="0.2">
      <c r="A5065" s="31">
        <v>0.43885810102792289</v>
      </c>
      <c r="B5065" s="31"/>
      <c r="C5065" s="2" t="s">
        <v>855</v>
      </c>
      <c r="D5065" s="31">
        <f t="shared" si="163"/>
        <v>8.6016187801472896E-2</v>
      </c>
      <c r="F5065" s="2" t="s">
        <v>822</v>
      </c>
      <c r="G5065" s="23" t="s">
        <v>902</v>
      </c>
      <c r="H5065" s="2" t="s">
        <v>822</v>
      </c>
      <c r="J5065" s="31">
        <v>34.858299299999999</v>
      </c>
      <c r="K5065" s="31">
        <v>17.1156006</v>
      </c>
      <c r="L5065" s="31"/>
      <c r="M5065" s="31" t="s">
        <v>854</v>
      </c>
      <c r="N5065" s="6" t="s">
        <v>856</v>
      </c>
    </row>
    <row r="5066" spans="1:14" ht="15" customHeight="1" x14ac:dyDescent="0.2">
      <c r="A5066" s="31">
        <v>0.43857738361065918</v>
      </c>
      <c r="B5066" s="31"/>
      <c r="C5066" s="2" t="s">
        <v>855</v>
      </c>
      <c r="D5066" s="31">
        <f t="shared" si="163"/>
        <v>8.5961167187689203E-2</v>
      </c>
      <c r="F5066" s="2" t="s">
        <v>822</v>
      </c>
      <c r="G5066" s="23" t="s">
        <v>902</v>
      </c>
      <c r="H5066" s="2" t="s">
        <v>822</v>
      </c>
      <c r="J5066" s="31">
        <v>55.231498700000003</v>
      </c>
      <c r="K5066" s="31">
        <v>-6.5498700000000003</v>
      </c>
      <c r="L5066" s="31"/>
      <c r="M5066" s="31" t="s">
        <v>854</v>
      </c>
      <c r="N5066" s="6" t="s">
        <v>856</v>
      </c>
    </row>
    <row r="5067" spans="1:14" ht="15" customHeight="1" x14ac:dyDescent="0.2">
      <c r="A5067" s="31">
        <v>0.43814825414315478</v>
      </c>
      <c r="B5067" s="31"/>
      <c r="C5067" s="2" t="s">
        <v>855</v>
      </c>
      <c r="D5067" s="31">
        <f t="shared" si="163"/>
        <v>8.5877057812058344E-2</v>
      </c>
      <c r="F5067" s="2" t="s">
        <v>822</v>
      </c>
      <c r="G5067" s="23" t="s">
        <v>902</v>
      </c>
      <c r="H5067" s="2" t="s">
        <v>822</v>
      </c>
      <c r="J5067" s="31">
        <v>55.4319992</v>
      </c>
      <c r="K5067" s="31">
        <v>-17.176000599999998</v>
      </c>
      <c r="L5067" s="31"/>
      <c r="M5067" s="31" t="s">
        <v>854</v>
      </c>
      <c r="N5067" s="6" t="s">
        <v>856</v>
      </c>
    </row>
    <row r="5068" spans="1:14" ht="15" customHeight="1" x14ac:dyDescent="0.2">
      <c r="A5068" s="31">
        <v>0.43790632842798888</v>
      </c>
      <c r="B5068" s="31"/>
      <c r="C5068" s="2" t="s">
        <v>855</v>
      </c>
      <c r="D5068" s="31">
        <f t="shared" si="163"/>
        <v>8.5829640371885826E-2</v>
      </c>
      <c r="F5068" s="2" t="s">
        <v>822</v>
      </c>
      <c r="G5068" s="23" t="s">
        <v>902</v>
      </c>
      <c r="H5068" s="2" t="s">
        <v>822</v>
      </c>
      <c r="J5068" s="31">
        <v>48.7450981</v>
      </c>
      <c r="K5068" s="31">
        <v>-29.209600399999999</v>
      </c>
      <c r="L5068" s="31"/>
      <c r="M5068" s="31" t="s">
        <v>854</v>
      </c>
      <c r="N5068" s="6" t="s">
        <v>856</v>
      </c>
    </row>
    <row r="5069" spans="1:14" ht="15" customHeight="1" x14ac:dyDescent="0.2">
      <c r="A5069" s="31">
        <v>0.43786811009380328</v>
      </c>
      <c r="B5069" s="31"/>
      <c r="C5069" s="2" t="s">
        <v>855</v>
      </c>
      <c r="D5069" s="31">
        <f t="shared" si="163"/>
        <v>8.5822149578385451E-2</v>
      </c>
      <c r="F5069" s="2" t="s">
        <v>822</v>
      </c>
      <c r="G5069" s="23" t="s">
        <v>902</v>
      </c>
      <c r="H5069" s="2" t="s">
        <v>822</v>
      </c>
      <c r="J5069" s="31">
        <v>63.008598300000003</v>
      </c>
      <c r="K5069" s="31">
        <v>-17.261199999999999</v>
      </c>
      <c r="L5069" s="31"/>
      <c r="M5069" s="31" t="s">
        <v>854</v>
      </c>
      <c r="N5069" s="6" t="s">
        <v>856</v>
      </c>
    </row>
    <row r="5070" spans="1:14" ht="15" customHeight="1" x14ac:dyDescent="0.2">
      <c r="A5070" s="31">
        <v>0.43755223621363898</v>
      </c>
      <c r="B5070" s="31"/>
      <c r="C5070" s="2" t="s">
        <v>855</v>
      </c>
      <c r="D5070" s="31">
        <f t="shared" si="163"/>
        <v>8.5760238297873242E-2</v>
      </c>
      <c r="F5070" s="2" t="s">
        <v>822</v>
      </c>
      <c r="G5070" s="23" t="s">
        <v>902</v>
      </c>
      <c r="H5070" s="2" t="s">
        <v>822</v>
      </c>
      <c r="J5070" s="31">
        <v>34.085399600000002</v>
      </c>
      <c r="K5070" s="31">
        <v>17.628799399999998</v>
      </c>
      <c r="L5070" s="31"/>
      <c r="M5070" s="31" t="s">
        <v>854</v>
      </c>
      <c r="N5070" s="6" t="s">
        <v>856</v>
      </c>
    </row>
    <row r="5071" spans="1:14" ht="15" customHeight="1" x14ac:dyDescent="0.2">
      <c r="A5071" s="31">
        <v>0.43730131403886457</v>
      </c>
      <c r="B5071" s="31"/>
      <c r="C5071" s="2" t="s">
        <v>855</v>
      </c>
      <c r="D5071" s="31">
        <f t="shared" si="163"/>
        <v>8.5711057551617453E-2</v>
      </c>
      <c r="F5071" s="2" t="s">
        <v>822</v>
      </c>
      <c r="G5071" s="23" t="s">
        <v>902</v>
      </c>
      <c r="H5071" s="2" t="s">
        <v>822</v>
      </c>
      <c r="J5071" s="31">
        <v>54.109699200000001</v>
      </c>
      <c r="K5071" s="31">
        <v>-14.5615997</v>
      </c>
      <c r="L5071" s="31"/>
      <c r="M5071" s="31" t="s">
        <v>854</v>
      </c>
      <c r="N5071" s="6" t="s">
        <v>856</v>
      </c>
    </row>
    <row r="5072" spans="1:14" ht="15" customHeight="1" x14ac:dyDescent="0.2">
      <c r="A5072" s="31">
        <v>0.43714657957810849</v>
      </c>
      <c r="B5072" s="31"/>
      <c r="C5072" s="2" t="s">
        <v>855</v>
      </c>
      <c r="D5072" s="31">
        <f t="shared" si="163"/>
        <v>8.5680729597309269E-2</v>
      </c>
      <c r="F5072" s="2" t="s">
        <v>822</v>
      </c>
      <c r="G5072" s="23" t="s">
        <v>902</v>
      </c>
      <c r="H5072" s="2" t="s">
        <v>822</v>
      </c>
      <c r="J5072" s="31">
        <v>56.993099200000003</v>
      </c>
      <c r="K5072" s="31">
        <v>-2.0741798999999999</v>
      </c>
      <c r="L5072" s="31"/>
      <c r="M5072" s="31" t="s">
        <v>854</v>
      </c>
      <c r="N5072" s="6" t="s">
        <v>856</v>
      </c>
    </row>
    <row r="5073" spans="1:14" ht="15" customHeight="1" x14ac:dyDescent="0.2">
      <c r="A5073" s="31">
        <v>0.437082933504712</v>
      </c>
      <c r="B5073" s="31"/>
      <c r="C5073" s="2" t="s">
        <v>855</v>
      </c>
      <c r="D5073" s="31">
        <f t="shared" si="163"/>
        <v>8.5668254966923554E-2</v>
      </c>
      <c r="F5073" s="2" t="s">
        <v>822</v>
      </c>
      <c r="G5073" s="23" t="s">
        <v>902</v>
      </c>
      <c r="H5073" s="2" t="s">
        <v>822</v>
      </c>
      <c r="J5073" s="31">
        <v>53.039001499999998</v>
      </c>
      <c r="K5073" s="31">
        <v>-13.9111004</v>
      </c>
      <c r="L5073" s="31"/>
      <c r="M5073" s="31" t="s">
        <v>854</v>
      </c>
      <c r="N5073" s="6" t="s">
        <v>856</v>
      </c>
    </row>
    <row r="5074" spans="1:14" ht="15" customHeight="1" x14ac:dyDescent="0.2">
      <c r="A5074" s="31">
        <v>0.43656639454048379</v>
      </c>
      <c r="B5074" s="31"/>
      <c r="C5074" s="2" t="s">
        <v>855</v>
      </c>
      <c r="D5074" s="31">
        <f t="shared" si="163"/>
        <v>8.5567013329934827E-2</v>
      </c>
      <c r="F5074" s="2" t="s">
        <v>822</v>
      </c>
      <c r="G5074" s="23" t="s">
        <v>902</v>
      </c>
      <c r="H5074" s="2" t="s">
        <v>822</v>
      </c>
      <c r="J5074" s="31">
        <v>52.091999100000002</v>
      </c>
      <c r="K5074" s="31">
        <v>-24.5240002</v>
      </c>
      <c r="L5074" s="31"/>
      <c r="M5074" s="31" t="s">
        <v>854</v>
      </c>
      <c r="N5074" s="6" t="s">
        <v>856</v>
      </c>
    </row>
    <row r="5075" spans="1:14" ht="15" customHeight="1" x14ac:dyDescent="0.2">
      <c r="A5075" s="31">
        <v>0.43651298271400352</v>
      </c>
      <c r="B5075" s="31"/>
      <c r="C5075" s="2" t="s">
        <v>855</v>
      </c>
      <c r="D5075" s="31">
        <f t="shared" si="163"/>
        <v>8.5556544611944688E-2</v>
      </c>
      <c r="F5075" s="2" t="s">
        <v>822</v>
      </c>
      <c r="G5075" s="23" t="s">
        <v>902</v>
      </c>
      <c r="H5075" s="2" t="s">
        <v>822</v>
      </c>
      <c r="J5075" s="31">
        <v>54.096000699999998</v>
      </c>
      <c r="K5075" s="31">
        <v>-23.187999699999999</v>
      </c>
      <c r="L5075" s="31"/>
      <c r="M5075" s="31" t="s">
        <v>854</v>
      </c>
      <c r="N5075" s="6" t="s">
        <v>856</v>
      </c>
    </row>
    <row r="5076" spans="1:14" ht="15" customHeight="1" x14ac:dyDescent="0.2">
      <c r="A5076" s="31">
        <v>0.43637083465995058</v>
      </c>
      <c r="B5076" s="31"/>
      <c r="C5076" s="2" t="s">
        <v>855</v>
      </c>
      <c r="D5076" s="31">
        <f t="shared" si="163"/>
        <v>8.5528683593350321E-2</v>
      </c>
      <c r="F5076" s="2" t="s">
        <v>822</v>
      </c>
      <c r="G5076" s="23" t="s">
        <v>902</v>
      </c>
      <c r="H5076" s="2" t="s">
        <v>822</v>
      </c>
      <c r="J5076" s="31">
        <v>55.709201800000002</v>
      </c>
      <c r="K5076" s="31">
        <v>-1.8118700000000001</v>
      </c>
      <c r="L5076" s="31"/>
      <c r="M5076" s="31" t="s">
        <v>854</v>
      </c>
      <c r="N5076" s="6" t="s">
        <v>856</v>
      </c>
    </row>
    <row r="5077" spans="1:14" ht="15" customHeight="1" x14ac:dyDescent="0.2">
      <c r="A5077" s="31">
        <v>0.43627077207748111</v>
      </c>
      <c r="B5077" s="31"/>
      <c r="C5077" s="2" t="s">
        <v>855</v>
      </c>
      <c r="D5077" s="31">
        <f t="shared" si="163"/>
        <v>8.5509071327186298E-2</v>
      </c>
      <c r="F5077" s="2" t="s">
        <v>822</v>
      </c>
      <c r="G5077" s="23" t="s">
        <v>902</v>
      </c>
      <c r="H5077" s="2" t="s">
        <v>822</v>
      </c>
      <c r="J5077" s="31">
        <v>43.619300799999998</v>
      </c>
      <c r="K5077" s="31">
        <v>-33.274700199999998</v>
      </c>
      <c r="L5077" s="31"/>
      <c r="M5077" s="31" t="s">
        <v>854</v>
      </c>
      <c r="N5077" s="6" t="s">
        <v>856</v>
      </c>
    </row>
    <row r="5078" spans="1:14" ht="15" customHeight="1" x14ac:dyDescent="0.2">
      <c r="A5078" s="31">
        <v>0.43624338463160212</v>
      </c>
      <c r="B5078" s="31"/>
      <c r="C5078" s="2" t="s">
        <v>855</v>
      </c>
      <c r="D5078" s="31">
        <f t="shared" si="163"/>
        <v>8.5503703387794019E-2</v>
      </c>
      <c r="F5078" s="2" t="s">
        <v>822</v>
      </c>
      <c r="G5078" s="23" t="s">
        <v>902</v>
      </c>
      <c r="H5078" s="2" t="s">
        <v>822</v>
      </c>
      <c r="J5078" s="31">
        <v>41.403999300000002</v>
      </c>
      <c r="K5078" s="31">
        <v>-25.1919994</v>
      </c>
      <c r="L5078" s="31"/>
      <c r="M5078" s="31" t="s">
        <v>854</v>
      </c>
      <c r="N5078" s="6" t="s">
        <v>856</v>
      </c>
    </row>
    <row r="5079" spans="1:14" ht="15" customHeight="1" x14ac:dyDescent="0.2">
      <c r="A5079" s="31">
        <v>0.43614371795994977</v>
      </c>
      <c r="B5079" s="31"/>
      <c r="C5079" s="2" t="s">
        <v>855</v>
      </c>
      <c r="D5079" s="31">
        <f t="shared" si="163"/>
        <v>8.5484168720150161E-2</v>
      </c>
      <c r="F5079" s="2" t="s">
        <v>822</v>
      </c>
      <c r="G5079" s="23" t="s">
        <v>902</v>
      </c>
      <c r="H5079" s="2" t="s">
        <v>822</v>
      </c>
      <c r="J5079" s="31">
        <v>55.575901000000002</v>
      </c>
      <c r="K5079" s="31">
        <v>3.5447600000000001</v>
      </c>
      <c r="L5079" s="31"/>
      <c r="M5079" s="31" t="s">
        <v>854</v>
      </c>
      <c r="N5079" s="6" t="s">
        <v>856</v>
      </c>
    </row>
    <row r="5080" spans="1:14" ht="15" customHeight="1" x14ac:dyDescent="0.2">
      <c r="A5080" s="31">
        <v>0.43613791837278681</v>
      </c>
      <c r="B5080" s="31"/>
      <c r="C5080" s="2" t="s">
        <v>855</v>
      </c>
      <c r="D5080" s="31">
        <f t="shared" si="163"/>
        <v>8.5483032001066217E-2</v>
      </c>
      <c r="F5080" s="2" t="s">
        <v>822</v>
      </c>
      <c r="G5080" s="23" t="s">
        <v>902</v>
      </c>
      <c r="H5080" s="2" t="s">
        <v>822</v>
      </c>
      <c r="J5080" s="31">
        <v>57.510299699999997</v>
      </c>
      <c r="K5080" s="31">
        <v>9.5596104000000004</v>
      </c>
      <c r="L5080" s="31"/>
      <c r="M5080" s="31" t="s">
        <v>854</v>
      </c>
      <c r="N5080" s="6" t="s">
        <v>856</v>
      </c>
    </row>
    <row r="5081" spans="1:14" ht="15" customHeight="1" x14ac:dyDescent="0.2">
      <c r="A5081" s="31">
        <v>0.43610681797056999</v>
      </c>
      <c r="B5081" s="31"/>
      <c r="C5081" s="2" t="s">
        <v>855</v>
      </c>
      <c r="D5081" s="31">
        <f t="shared" si="163"/>
        <v>8.5476936322231717E-2</v>
      </c>
      <c r="F5081" s="2" t="s">
        <v>822</v>
      </c>
      <c r="G5081" s="23" t="s">
        <v>902</v>
      </c>
      <c r="H5081" s="2" t="s">
        <v>822</v>
      </c>
      <c r="J5081" s="31">
        <v>48.083698300000002</v>
      </c>
      <c r="K5081" s="31">
        <v>-10.496199600000001</v>
      </c>
      <c r="L5081" s="31"/>
      <c r="M5081" s="31" t="s">
        <v>854</v>
      </c>
      <c r="N5081" s="6" t="s">
        <v>856</v>
      </c>
    </row>
    <row r="5082" spans="1:14" ht="15" customHeight="1" x14ac:dyDescent="0.2">
      <c r="A5082" s="31">
        <v>0.43610212769770851</v>
      </c>
      <c r="B5082" s="31"/>
      <c r="C5082" s="2" t="s">
        <v>855</v>
      </c>
      <c r="D5082" s="31">
        <f t="shared" si="163"/>
        <v>8.5476017028750864E-2</v>
      </c>
      <c r="F5082" s="2" t="s">
        <v>822</v>
      </c>
      <c r="G5082" s="23" t="s">
        <v>902</v>
      </c>
      <c r="H5082" s="2" t="s">
        <v>822</v>
      </c>
      <c r="J5082" s="31">
        <v>46.748001100000003</v>
      </c>
      <c r="K5082" s="31">
        <v>-22.520000499999998</v>
      </c>
      <c r="L5082" s="31"/>
      <c r="M5082" s="31" t="s">
        <v>854</v>
      </c>
      <c r="N5082" s="6" t="s">
        <v>856</v>
      </c>
    </row>
    <row r="5083" spans="1:14" ht="15" customHeight="1" x14ac:dyDescent="0.2">
      <c r="A5083" s="31">
        <v>0.43593000523601239</v>
      </c>
      <c r="B5083" s="31"/>
      <c r="C5083" s="2" t="s">
        <v>855</v>
      </c>
      <c r="D5083" s="31">
        <f t="shared" si="163"/>
        <v>8.5442281026258435E-2</v>
      </c>
      <c r="F5083" s="2" t="s">
        <v>822</v>
      </c>
      <c r="G5083" s="23" t="s">
        <v>902</v>
      </c>
      <c r="H5083" s="2" t="s">
        <v>822</v>
      </c>
      <c r="J5083" s="31">
        <v>49.419998200000002</v>
      </c>
      <c r="K5083" s="31">
        <v>-33.875999499999999</v>
      </c>
      <c r="L5083" s="31"/>
      <c r="M5083" s="31" t="s">
        <v>854</v>
      </c>
      <c r="N5083" s="6" t="s">
        <v>856</v>
      </c>
    </row>
    <row r="5084" spans="1:14" ht="15" customHeight="1" x14ac:dyDescent="0.2">
      <c r="A5084" s="31">
        <v>0.43582978926344368</v>
      </c>
      <c r="B5084" s="31"/>
      <c r="C5084" s="2" t="s">
        <v>855</v>
      </c>
      <c r="D5084" s="31">
        <f t="shared" si="163"/>
        <v>8.5422638695634961E-2</v>
      </c>
      <c r="F5084" s="2" t="s">
        <v>822</v>
      </c>
      <c r="G5084" s="23" t="s">
        <v>902</v>
      </c>
      <c r="H5084" s="2" t="s">
        <v>822</v>
      </c>
      <c r="J5084" s="31">
        <v>32.051998099999999</v>
      </c>
      <c r="K5084" s="31">
        <v>-23.187999699999999</v>
      </c>
      <c r="L5084" s="31"/>
      <c r="M5084" s="31" t="s">
        <v>854</v>
      </c>
      <c r="N5084" s="6" t="s">
        <v>856</v>
      </c>
    </row>
    <row r="5085" spans="1:14" ht="15" customHeight="1" x14ac:dyDescent="0.2">
      <c r="A5085" s="31">
        <v>0.43574252832536808</v>
      </c>
      <c r="B5085" s="31"/>
      <c r="C5085" s="2" t="s">
        <v>855</v>
      </c>
      <c r="D5085" s="31">
        <f t="shared" si="163"/>
        <v>8.5405535551772147E-2</v>
      </c>
      <c r="F5085" s="2" t="s">
        <v>822</v>
      </c>
      <c r="G5085" s="23" t="s">
        <v>902</v>
      </c>
      <c r="H5085" s="2" t="s">
        <v>822</v>
      </c>
      <c r="J5085" s="31">
        <v>47.4729004</v>
      </c>
      <c r="K5085" s="31">
        <v>-8.0243196000000001</v>
      </c>
      <c r="L5085" s="31"/>
      <c r="M5085" s="31" t="s">
        <v>854</v>
      </c>
      <c r="N5085" s="6" t="s">
        <v>856</v>
      </c>
    </row>
    <row r="5086" spans="1:14" ht="15" customHeight="1" x14ac:dyDescent="0.2">
      <c r="A5086" s="31">
        <v>0.43566057449860079</v>
      </c>
      <c r="B5086" s="31"/>
      <c r="C5086" s="2" t="s">
        <v>855</v>
      </c>
      <c r="D5086" s="31">
        <f t="shared" si="163"/>
        <v>8.538947260172576E-2</v>
      </c>
      <c r="F5086" s="2" t="s">
        <v>822</v>
      </c>
      <c r="G5086" s="23" t="s">
        <v>902</v>
      </c>
      <c r="H5086" s="2" t="s">
        <v>822</v>
      </c>
      <c r="J5086" s="31">
        <v>44.078300499999997</v>
      </c>
      <c r="K5086" s="31">
        <v>-23.857799499999999</v>
      </c>
      <c r="L5086" s="31"/>
      <c r="M5086" s="31" t="s">
        <v>854</v>
      </c>
      <c r="N5086" s="6" t="s">
        <v>856</v>
      </c>
    </row>
    <row r="5087" spans="1:14" ht="15" customHeight="1" x14ac:dyDescent="0.2">
      <c r="A5087" s="31">
        <v>0.43554778072584022</v>
      </c>
      <c r="B5087" s="31"/>
      <c r="C5087" s="2" t="s">
        <v>855</v>
      </c>
      <c r="D5087" s="31">
        <f t="shared" si="163"/>
        <v>8.5367365022264691E-2</v>
      </c>
      <c r="F5087" s="2" t="s">
        <v>822</v>
      </c>
      <c r="G5087" s="23" t="s">
        <v>902</v>
      </c>
      <c r="H5087" s="2" t="s">
        <v>822</v>
      </c>
      <c r="J5087" s="31">
        <v>51.360599499999999</v>
      </c>
      <c r="K5087" s="31">
        <v>1.79939</v>
      </c>
      <c r="L5087" s="31"/>
      <c r="M5087" s="31" t="s">
        <v>854</v>
      </c>
      <c r="N5087" s="6" t="s">
        <v>856</v>
      </c>
    </row>
    <row r="5088" spans="1:14" ht="15" customHeight="1" x14ac:dyDescent="0.2">
      <c r="A5088" s="31">
        <v>0.435270878579053</v>
      </c>
      <c r="B5088" s="31"/>
      <c r="C5088" s="2" t="s">
        <v>855</v>
      </c>
      <c r="D5088" s="31">
        <f t="shared" si="163"/>
        <v>8.5313092201494398E-2</v>
      </c>
      <c r="F5088" s="2" t="s">
        <v>822</v>
      </c>
      <c r="G5088" s="23" t="s">
        <v>902</v>
      </c>
      <c r="H5088" s="2" t="s">
        <v>822</v>
      </c>
      <c r="J5088" s="31">
        <v>57.429599799999998</v>
      </c>
      <c r="K5088" s="31">
        <v>7.1506800999999998</v>
      </c>
      <c r="L5088" s="31"/>
      <c r="M5088" s="31" t="s">
        <v>854</v>
      </c>
      <c r="N5088" s="6" t="s">
        <v>856</v>
      </c>
    </row>
    <row r="5089" spans="1:14" ht="15" customHeight="1" x14ac:dyDescent="0.2">
      <c r="A5089" s="31">
        <v>0.4344804042224012</v>
      </c>
      <c r="B5089" s="31"/>
      <c r="C5089" s="2" t="s">
        <v>855</v>
      </c>
      <c r="D5089" s="31">
        <f t="shared" si="163"/>
        <v>8.5158159227590638E-2</v>
      </c>
      <c r="F5089" s="2" t="s">
        <v>822</v>
      </c>
      <c r="G5089" s="23" t="s">
        <v>902</v>
      </c>
      <c r="H5089" s="2" t="s">
        <v>822</v>
      </c>
      <c r="J5089" s="31">
        <v>55.207000700000002</v>
      </c>
      <c r="K5089" s="31">
        <v>-1.35822</v>
      </c>
      <c r="L5089" s="31"/>
      <c r="M5089" s="31" t="s">
        <v>854</v>
      </c>
      <c r="N5089" s="6" t="s">
        <v>856</v>
      </c>
    </row>
    <row r="5090" spans="1:14" ht="15" customHeight="1" x14ac:dyDescent="0.2">
      <c r="A5090" s="31">
        <v>0.43393516539388088</v>
      </c>
      <c r="B5090" s="31"/>
      <c r="C5090" s="2" t="s">
        <v>855</v>
      </c>
      <c r="D5090" s="31">
        <f t="shared" si="163"/>
        <v>8.5051292417200663E-2</v>
      </c>
      <c r="F5090" s="2" t="s">
        <v>822</v>
      </c>
      <c r="G5090" s="23" t="s">
        <v>902</v>
      </c>
      <c r="H5090" s="2" t="s">
        <v>822</v>
      </c>
      <c r="J5090" s="31">
        <v>48.751998899999997</v>
      </c>
      <c r="K5090" s="31">
        <v>-18.511999100000001</v>
      </c>
      <c r="L5090" s="31"/>
      <c r="M5090" s="31" t="s">
        <v>854</v>
      </c>
      <c r="N5090" s="6" t="s">
        <v>856</v>
      </c>
    </row>
    <row r="5091" spans="1:14" ht="15" customHeight="1" x14ac:dyDescent="0.2">
      <c r="A5091" s="31">
        <v>0.4337384296540357</v>
      </c>
      <c r="B5091" s="31"/>
      <c r="C5091" s="2" t="s">
        <v>855</v>
      </c>
      <c r="D5091" s="31">
        <f t="shared" si="163"/>
        <v>8.5012732212190995E-2</v>
      </c>
      <c r="F5091" s="2" t="s">
        <v>822</v>
      </c>
      <c r="G5091" s="23" t="s">
        <v>902</v>
      </c>
      <c r="H5091" s="2" t="s">
        <v>822</v>
      </c>
      <c r="J5091" s="31">
        <v>53.123600000000003</v>
      </c>
      <c r="K5091" s="31">
        <v>2.1960001</v>
      </c>
      <c r="L5091" s="31"/>
      <c r="M5091" s="31" t="s">
        <v>854</v>
      </c>
      <c r="N5091" s="6" t="s">
        <v>856</v>
      </c>
    </row>
    <row r="5092" spans="1:14" ht="15" customHeight="1" x14ac:dyDescent="0.2">
      <c r="A5092" s="31">
        <v>0.43334022974874781</v>
      </c>
      <c r="B5092" s="31"/>
      <c r="C5092" s="2" t="s">
        <v>855</v>
      </c>
      <c r="D5092" s="31">
        <f t="shared" si="163"/>
        <v>8.4934685030754575E-2</v>
      </c>
      <c r="F5092" s="2" t="s">
        <v>822</v>
      </c>
      <c r="G5092" s="23" t="s">
        <v>902</v>
      </c>
      <c r="H5092" s="2" t="s">
        <v>822</v>
      </c>
      <c r="J5092" s="31">
        <v>39.329898800000002</v>
      </c>
      <c r="K5092" s="31">
        <v>26.230499300000002</v>
      </c>
      <c r="L5092" s="31"/>
      <c r="M5092" s="31" t="s">
        <v>854</v>
      </c>
      <c r="N5092" s="6" t="s">
        <v>856</v>
      </c>
    </row>
    <row r="5093" spans="1:14" ht="15" customHeight="1" x14ac:dyDescent="0.2">
      <c r="A5093" s="31">
        <v>0.43329746851187378</v>
      </c>
      <c r="B5093" s="31"/>
      <c r="C5093" s="2" t="s">
        <v>855</v>
      </c>
      <c r="D5093" s="31">
        <f t="shared" si="163"/>
        <v>8.4926303828327263E-2</v>
      </c>
      <c r="F5093" s="2" t="s">
        <v>822</v>
      </c>
      <c r="G5093" s="23" t="s">
        <v>902</v>
      </c>
      <c r="H5093" s="2" t="s">
        <v>822</v>
      </c>
      <c r="J5093" s="31">
        <v>63.3993988</v>
      </c>
      <c r="K5093" s="31">
        <v>-22.931699800000001</v>
      </c>
      <c r="L5093" s="31"/>
      <c r="M5093" s="31" t="s">
        <v>854</v>
      </c>
      <c r="N5093" s="6" t="s">
        <v>856</v>
      </c>
    </row>
    <row r="5094" spans="1:14" ht="15" customHeight="1" x14ac:dyDescent="0.2">
      <c r="A5094" s="31">
        <v>0.43321235299982558</v>
      </c>
      <c r="B5094" s="31"/>
      <c r="C5094" s="2" t="s">
        <v>855</v>
      </c>
      <c r="D5094" s="31">
        <f t="shared" si="163"/>
        <v>8.4909621187965814E-2</v>
      </c>
      <c r="F5094" s="2" t="s">
        <v>822</v>
      </c>
      <c r="G5094" s="23" t="s">
        <v>902</v>
      </c>
      <c r="H5094" s="2" t="s">
        <v>822</v>
      </c>
      <c r="J5094" s="31">
        <v>57.342498800000001</v>
      </c>
      <c r="K5094" s="31">
        <v>8.8537797999999999</v>
      </c>
      <c r="L5094" s="31"/>
      <c r="M5094" s="31" t="s">
        <v>854</v>
      </c>
      <c r="N5094" s="6" t="s">
        <v>856</v>
      </c>
    </row>
    <row r="5095" spans="1:14" ht="15" customHeight="1" x14ac:dyDescent="0.2">
      <c r="A5095" s="31">
        <v>0.43314776662365367</v>
      </c>
      <c r="B5095" s="31"/>
      <c r="C5095" s="2" t="s">
        <v>855</v>
      </c>
      <c r="D5095" s="31">
        <f t="shared" si="163"/>
        <v>8.4896962258236119E-2</v>
      </c>
      <c r="F5095" s="2" t="s">
        <v>822</v>
      </c>
      <c r="G5095" s="23" t="s">
        <v>902</v>
      </c>
      <c r="H5095" s="2" t="s">
        <v>822</v>
      </c>
      <c r="J5095" s="31">
        <v>58.932201399999997</v>
      </c>
      <c r="K5095" s="31">
        <v>5.3646598000000001</v>
      </c>
      <c r="L5095" s="31"/>
      <c r="M5095" s="31" t="s">
        <v>854</v>
      </c>
      <c r="N5095" s="6" t="s">
        <v>856</v>
      </c>
    </row>
    <row r="5096" spans="1:14" ht="15" customHeight="1" x14ac:dyDescent="0.2">
      <c r="A5096" s="31">
        <v>0.43313862417679411</v>
      </c>
      <c r="B5096" s="31"/>
      <c r="C5096" s="2" t="s">
        <v>855</v>
      </c>
      <c r="D5096" s="31">
        <f t="shared" si="163"/>
        <v>8.4895170338651654E-2</v>
      </c>
      <c r="F5096" s="2" t="s">
        <v>822</v>
      </c>
      <c r="G5096" s="23" t="s">
        <v>902</v>
      </c>
      <c r="H5096" s="2" t="s">
        <v>822</v>
      </c>
      <c r="J5096" s="31">
        <v>52.127800000000001</v>
      </c>
      <c r="K5096" s="31">
        <v>-29.168600099999999</v>
      </c>
      <c r="L5096" s="31"/>
      <c r="M5096" s="31" t="s">
        <v>854</v>
      </c>
      <c r="N5096" s="6" t="s">
        <v>856</v>
      </c>
    </row>
    <row r="5097" spans="1:14" ht="15" customHeight="1" x14ac:dyDescent="0.2">
      <c r="A5097" s="31">
        <v>0.43311895748033641</v>
      </c>
      <c r="B5097" s="31"/>
      <c r="C5097" s="2" t="s">
        <v>855</v>
      </c>
      <c r="D5097" s="31">
        <f t="shared" si="163"/>
        <v>8.4891315666145939E-2</v>
      </c>
      <c r="F5097" s="2" t="s">
        <v>822</v>
      </c>
      <c r="G5097" s="23" t="s">
        <v>902</v>
      </c>
      <c r="H5097" s="2" t="s">
        <v>822</v>
      </c>
      <c r="J5097" s="31">
        <v>57.376098599999999</v>
      </c>
      <c r="K5097" s="31">
        <v>-7.7528199999999998</v>
      </c>
      <c r="L5097" s="31"/>
      <c r="M5097" s="31" t="s">
        <v>854</v>
      </c>
      <c r="N5097" s="6" t="s">
        <v>856</v>
      </c>
    </row>
    <row r="5098" spans="1:14" ht="15" customHeight="1" x14ac:dyDescent="0.2">
      <c r="A5098" s="31">
        <v>0.43301866956210011</v>
      </c>
      <c r="B5098" s="31"/>
      <c r="C5098" s="2" t="s">
        <v>855</v>
      </c>
      <c r="D5098" s="31">
        <f t="shared" si="163"/>
        <v>8.4871659234171629E-2</v>
      </c>
      <c r="F5098" s="2" t="s">
        <v>822</v>
      </c>
      <c r="G5098" s="23" t="s">
        <v>902</v>
      </c>
      <c r="H5098" s="2" t="s">
        <v>822</v>
      </c>
      <c r="J5098" s="31">
        <v>54.763999900000002</v>
      </c>
      <c r="K5098" s="31">
        <v>-16.507999399999999</v>
      </c>
      <c r="L5098" s="31"/>
      <c r="M5098" s="31" t="s">
        <v>854</v>
      </c>
      <c r="N5098" s="6" t="s">
        <v>856</v>
      </c>
    </row>
    <row r="5099" spans="1:14" ht="15" customHeight="1" x14ac:dyDescent="0.2">
      <c r="A5099" s="31">
        <v>0.43250720440143281</v>
      </c>
      <c r="B5099" s="31"/>
      <c r="C5099" s="2" t="s">
        <v>855</v>
      </c>
      <c r="D5099" s="31">
        <f t="shared" si="163"/>
        <v>8.4771412062680837E-2</v>
      </c>
      <c r="F5099" s="2" t="s">
        <v>822</v>
      </c>
      <c r="G5099" s="23" t="s">
        <v>902</v>
      </c>
      <c r="H5099" s="2" t="s">
        <v>822</v>
      </c>
      <c r="J5099" s="31">
        <v>62.674598699999997</v>
      </c>
      <c r="K5099" s="31">
        <v>-21.184000000000001</v>
      </c>
      <c r="L5099" s="31"/>
      <c r="M5099" s="31" t="s">
        <v>854</v>
      </c>
      <c r="N5099" s="6" t="s">
        <v>856</v>
      </c>
    </row>
    <row r="5100" spans="1:14" ht="15" customHeight="1" x14ac:dyDescent="0.2">
      <c r="A5100" s="31">
        <v>0.43234240085442138</v>
      </c>
      <c r="B5100" s="31"/>
      <c r="C5100" s="2" t="s">
        <v>855</v>
      </c>
      <c r="D5100" s="31">
        <f t="shared" si="163"/>
        <v>8.4739110567466594E-2</v>
      </c>
      <c r="F5100" s="2" t="s">
        <v>822</v>
      </c>
      <c r="G5100" s="23" t="s">
        <v>902</v>
      </c>
      <c r="H5100" s="2" t="s">
        <v>822</v>
      </c>
      <c r="J5100" s="31">
        <v>33.346000699999998</v>
      </c>
      <c r="K5100" s="31">
        <v>-33.760200500000003</v>
      </c>
      <c r="L5100" s="31"/>
      <c r="M5100" s="31" t="s">
        <v>854</v>
      </c>
      <c r="N5100" s="6" t="s">
        <v>856</v>
      </c>
    </row>
    <row r="5101" spans="1:14" ht="15" customHeight="1" x14ac:dyDescent="0.2">
      <c r="A5101" s="31">
        <v>0.43189629864508372</v>
      </c>
      <c r="B5101" s="31"/>
      <c r="C5101" s="2" t="s">
        <v>855</v>
      </c>
      <c r="D5101" s="31">
        <f t="shared" si="163"/>
        <v>8.4651674534436408E-2</v>
      </c>
      <c r="F5101" s="2" t="s">
        <v>822</v>
      </c>
      <c r="G5101" s="23" t="s">
        <v>902</v>
      </c>
      <c r="H5101" s="2" t="s">
        <v>822</v>
      </c>
      <c r="J5101" s="31">
        <v>54.576999700000002</v>
      </c>
      <c r="K5101" s="31">
        <v>3.4987599999999999</v>
      </c>
      <c r="L5101" s="31"/>
      <c r="M5101" s="31" t="s">
        <v>854</v>
      </c>
      <c r="N5101" s="6" t="s">
        <v>856</v>
      </c>
    </row>
    <row r="5102" spans="1:14" ht="15" customHeight="1" x14ac:dyDescent="0.2">
      <c r="A5102" s="31">
        <v>0.43164766054361448</v>
      </c>
      <c r="B5102" s="31"/>
      <c r="C5102" s="2" t="s">
        <v>855</v>
      </c>
      <c r="D5102" s="31">
        <f t="shared" si="163"/>
        <v>8.460294146654844E-2</v>
      </c>
      <c r="F5102" s="2" t="s">
        <v>822</v>
      </c>
      <c r="G5102" s="23" t="s">
        <v>902</v>
      </c>
      <c r="H5102" s="2" t="s">
        <v>822</v>
      </c>
      <c r="J5102" s="31">
        <v>48.5215988</v>
      </c>
      <c r="K5102" s="31">
        <v>-24.9615993</v>
      </c>
      <c r="L5102" s="31"/>
      <c r="M5102" s="31" t="s">
        <v>854</v>
      </c>
      <c r="N5102" s="6" t="s">
        <v>856</v>
      </c>
    </row>
    <row r="5103" spans="1:14" ht="15" customHeight="1" x14ac:dyDescent="0.2">
      <c r="A5103" s="31">
        <v>0.43161276157644801</v>
      </c>
      <c r="B5103" s="31"/>
      <c r="C5103" s="2" t="s">
        <v>855</v>
      </c>
      <c r="D5103" s="31">
        <f t="shared" si="163"/>
        <v>8.4596101268983814E-2</v>
      </c>
      <c r="F5103" s="2" t="s">
        <v>822</v>
      </c>
      <c r="G5103" s="23" t="s">
        <v>902</v>
      </c>
      <c r="H5103" s="2" t="s">
        <v>822</v>
      </c>
      <c r="J5103" s="31">
        <v>31.625699999999998</v>
      </c>
      <c r="K5103" s="31">
        <v>19.9237003</v>
      </c>
      <c r="L5103" s="31"/>
      <c r="M5103" s="31" t="s">
        <v>854</v>
      </c>
      <c r="N5103" s="6" t="s">
        <v>856</v>
      </c>
    </row>
    <row r="5104" spans="1:14" ht="15" customHeight="1" x14ac:dyDescent="0.2">
      <c r="A5104" s="31">
        <v>0.4315660374590603</v>
      </c>
      <c r="B5104" s="31"/>
      <c r="C5104" s="2" t="s">
        <v>855</v>
      </c>
      <c r="D5104" s="31">
        <f t="shared" si="163"/>
        <v>8.458694334197582E-2</v>
      </c>
      <c r="F5104" s="2" t="s">
        <v>822</v>
      </c>
      <c r="G5104" s="23" t="s">
        <v>902</v>
      </c>
      <c r="H5104" s="2" t="s">
        <v>822</v>
      </c>
      <c r="J5104" s="31">
        <v>55.4319992</v>
      </c>
      <c r="K5104" s="31">
        <v>-16.507999399999999</v>
      </c>
      <c r="L5104" s="31"/>
      <c r="M5104" s="31" t="s">
        <v>854</v>
      </c>
      <c r="N5104" s="6" t="s">
        <v>856</v>
      </c>
    </row>
    <row r="5105" spans="1:14" ht="15" customHeight="1" x14ac:dyDescent="0.2">
      <c r="A5105" s="31">
        <v>0.43155588648387477</v>
      </c>
      <c r="B5105" s="31"/>
      <c r="C5105" s="2" t="s">
        <v>855</v>
      </c>
      <c r="D5105" s="31">
        <f t="shared" si="163"/>
        <v>8.4584953750839464E-2</v>
      </c>
      <c r="F5105" s="2" t="s">
        <v>822</v>
      </c>
      <c r="G5105" s="23" t="s">
        <v>902</v>
      </c>
      <c r="H5105" s="2" t="s">
        <v>822</v>
      </c>
      <c r="J5105" s="31">
        <v>52.198299400000003</v>
      </c>
      <c r="K5105" s="31">
        <v>-33.326900500000001</v>
      </c>
      <c r="L5105" s="31"/>
      <c r="M5105" s="31" t="s">
        <v>854</v>
      </c>
      <c r="N5105" s="6" t="s">
        <v>856</v>
      </c>
    </row>
    <row r="5106" spans="1:14" ht="15" customHeight="1" x14ac:dyDescent="0.2">
      <c r="A5106" s="31">
        <v>0.4313649293186394</v>
      </c>
      <c r="B5106" s="31"/>
      <c r="C5106" s="2" t="s">
        <v>855</v>
      </c>
      <c r="D5106" s="31">
        <f t="shared" si="163"/>
        <v>8.454752614645332E-2</v>
      </c>
      <c r="F5106" s="2" t="s">
        <v>822</v>
      </c>
      <c r="G5106" s="23" t="s">
        <v>902</v>
      </c>
      <c r="H5106" s="2" t="s">
        <v>822</v>
      </c>
      <c r="J5106" s="31">
        <v>41.111598999999998</v>
      </c>
      <c r="K5106" s="31">
        <v>-8.7941599000000004</v>
      </c>
      <c r="L5106" s="31"/>
      <c r="M5106" s="31" t="s">
        <v>854</v>
      </c>
      <c r="N5106" s="6" t="s">
        <v>856</v>
      </c>
    </row>
    <row r="5107" spans="1:14" ht="15" customHeight="1" x14ac:dyDescent="0.2">
      <c r="A5107" s="31">
        <v>0.43058084739223168</v>
      </c>
      <c r="B5107" s="31"/>
      <c r="C5107" s="2" t="s">
        <v>855</v>
      </c>
      <c r="D5107" s="31">
        <f t="shared" si="163"/>
        <v>8.4393846088877414E-2</v>
      </c>
      <c r="F5107" s="2" t="s">
        <v>822</v>
      </c>
      <c r="G5107" s="23" t="s">
        <v>902</v>
      </c>
      <c r="H5107" s="2" t="s">
        <v>822</v>
      </c>
      <c r="J5107" s="31">
        <v>56.668201400000001</v>
      </c>
      <c r="K5107" s="31">
        <v>11.5478001</v>
      </c>
      <c r="L5107" s="31"/>
      <c r="M5107" s="31" t="s">
        <v>854</v>
      </c>
      <c r="N5107" s="6" t="s">
        <v>856</v>
      </c>
    </row>
    <row r="5108" spans="1:14" ht="15" customHeight="1" x14ac:dyDescent="0.2">
      <c r="A5108" s="31">
        <v>0.43049183160581478</v>
      </c>
      <c r="B5108" s="31"/>
      <c r="C5108" s="2" t="s">
        <v>855</v>
      </c>
      <c r="D5108" s="31">
        <f t="shared" si="163"/>
        <v>8.4376398994739699E-2</v>
      </c>
      <c r="F5108" s="2" t="s">
        <v>822</v>
      </c>
      <c r="G5108" s="23" t="s">
        <v>902</v>
      </c>
      <c r="H5108" s="2" t="s">
        <v>822</v>
      </c>
      <c r="J5108" s="31">
        <v>49.557399699999998</v>
      </c>
      <c r="K5108" s="31">
        <v>-28.419099800000001</v>
      </c>
      <c r="L5108" s="31"/>
      <c r="M5108" s="31" t="s">
        <v>854</v>
      </c>
      <c r="N5108" s="6" t="s">
        <v>856</v>
      </c>
    </row>
    <row r="5109" spans="1:14" ht="15" customHeight="1" x14ac:dyDescent="0.2">
      <c r="A5109" s="31">
        <v>0.43001437577912632</v>
      </c>
      <c r="B5109" s="31"/>
      <c r="C5109" s="2" t="s">
        <v>855</v>
      </c>
      <c r="D5109" s="31">
        <f t="shared" si="163"/>
        <v>8.4282817652708758E-2</v>
      </c>
      <c r="F5109" s="2" t="s">
        <v>822</v>
      </c>
      <c r="G5109" s="23" t="s">
        <v>902</v>
      </c>
      <c r="H5109" s="2" t="s">
        <v>822</v>
      </c>
      <c r="J5109" s="31">
        <v>47.416000400000001</v>
      </c>
      <c r="K5109" s="31">
        <v>-28.531999599999999</v>
      </c>
      <c r="L5109" s="31"/>
      <c r="M5109" s="31" t="s">
        <v>854</v>
      </c>
      <c r="N5109" s="6" t="s">
        <v>856</v>
      </c>
    </row>
    <row r="5110" spans="1:14" ht="15" customHeight="1" x14ac:dyDescent="0.2">
      <c r="A5110" s="31">
        <v>0.42965233204665759</v>
      </c>
      <c r="B5110" s="31"/>
      <c r="C5110" s="2" t="s">
        <v>855</v>
      </c>
      <c r="D5110" s="31">
        <f t="shared" si="163"/>
        <v>8.4211857081144897E-2</v>
      </c>
      <c r="F5110" s="2" t="s">
        <v>822</v>
      </c>
      <c r="G5110" s="23" t="s">
        <v>902</v>
      </c>
      <c r="H5110" s="2" t="s">
        <v>822</v>
      </c>
      <c r="J5110" s="31">
        <v>55.4319992</v>
      </c>
      <c r="K5110" s="31">
        <v>-19.847999600000001</v>
      </c>
      <c r="L5110" s="31"/>
      <c r="M5110" s="31" t="s">
        <v>854</v>
      </c>
      <c r="N5110" s="6" t="s">
        <v>856</v>
      </c>
    </row>
    <row r="5111" spans="1:14" ht="15" customHeight="1" x14ac:dyDescent="0.2">
      <c r="A5111" s="31">
        <v>0.42912648647484242</v>
      </c>
      <c r="B5111" s="31"/>
      <c r="C5111" s="2" t="s">
        <v>855</v>
      </c>
      <c r="D5111" s="31">
        <f t="shared" si="163"/>
        <v>8.4108791349069123E-2</v>
      </c>
      <c r="F5111" s="2" t="s">
        <v>822</v>
      </c>
      <c r="G5111" s="23" t="s">
        <v>902</v>
      </c>
      <c r="H5111" s="2" t="s">
        <v>822</v>
      </c>
      <c r="J5111" s="31">
        <v>48.577701599999997</v>
      </c>
      <c r="K5111" s="31">
        <v>-24.7784996</v>
      </c>
      <c r="L5111" s="31"/>
      <c r="M5111" s="31" t="s">
        <v>854</v>
      </c>
      <c r="N5111" s="6" t="s">
        <v>856</v>
      </c>
    </row>
    <row r="5112" spans="1:14" ht="15" customHeight="1" x14ac:dyDescent="0.2">
      <c r="A5112" s="31">
        <v>0.42903102167694129</v>
      </c>
      <c r="B5112" s="31"/>
      <c r="C5112" s="2" t="s">
        <v>855</v>
      </c>
      <c r="D5112" s="31">
        <f t="shared" si="163"/>
        <v>8.409008024868049E-2</v>
      </c>
      <c r="F5112" s="2" t="s">
        <v>822</v>
      </c>
      <c r="G5112" s="23" t="s">
        <v>902</v>
      </c>
      <c r="H5112" s="2" t="s">
        <v>822</v>
      </c>
      <c r="J5112" s="31">
        <v>64.092102100000005</v>
      </c>
      <c r="K5112" s="31">
        <v>-14.465700099999999</v>
      </c>
      <c r="L5112" s="31"/>
      <c r="M5112" s="31" t="s">
        <v>854</v>
      </c>
      <c r="N5112" s="6" t="s">
        <v>856</v>
      </c>
    </row>
    <row r="5113" spans="1:14" ht="15" customHeight="1" x14ac:dyDescent="0.2">
      <c r="A5113" s="31">
        <v>0.42870588675779342</v>
      </c>
      <c r="B5113" s="31"/>
      <c r="C5113" s="2" t="s">
        <v>855</v>
      </c>
      <c r="D5113" s="31">
        <f t="shared" si="163"/>
        <v>8.4026353804527512E-2</v>
      </c>
      <c r="F5113" s="2" t="s">
        <v>822</v>
      </c>
      <c r="G5113" s="23" t="s">
        <v>902</v>
      </c>
      <c r="H5113" s="2" t="s">
        <v>822</v>
      </c>
      <c r="J5113" s="31">
        <v>58.102298699999999</v>
      </c>
      <c r="K5113" s="31">
        <v>4.8711900999999997</v>
      </c>
      <c r="L5113" s="31"/>
      <c r="M5113" s="31" t="s">
        <v>854</v>
      </c>
      <c r="N5113" s="6" t="s">
        <v>856</v>
      </c>
    </row>
    <row r="5114" spans="1:14" ht="15" customHeight="1" x14ac:dyDescent="0.2">
      <c r="A5114" s="31">
        <v>0.42867727226224212</v>
      </c>
      <c r="B5114" s="31"/>
      <c r="C5114" s="2" t="s">
        <v>855</v>
      </c>
      <c r="D5114" s="31">
        <f t="shared" si="163"/>
        <v>8.4020745363399457E-2</v>
      </c>
      <c r="F5114" s="2" t="s">
        <v>822</v>
      </c>
      <c r="G5114" s="23" t="s">
        <v>902</v>
      </c>
      <c r="H5114" s="2" t="s">
        <v>822</v>
      </c>
      <c r="J5114" s="31">
        <v>48.950599699999998</v>
      </c>
      <c r="K5114" s="31">
        <v>-7.8467498000000004</v>
      </c>
      <c r="L5114" s="31"/>
      <c r="M5114" s="31" t="s">
        <v>854</v>
      </c>
      <c r="N5114" s="6" t="s">
        <v>856</v>
      </c>
    </row>
    <row r="5115" spans="1:14" ht="15" customHeight="1" x14ac:dyDescent="0.2">
      <c r="A5115" s="31">
        <v>0.42849051941205057</v>
      </c>
      <c r="B5115" s="31"/>
      <c r="C5115" s="2" t="s">
        <v>855</v>
      </c>
      <c r="D5115" s="31">
        <f t="shared" si="163"/>
        <v>8.3984141804761922E-2</v>
      </c>
      <c r="F5115" s="2" t="s">
        <v>822</v>
      </c>
      <c r="G5115" s="23" t="s">
        <v>902</v>
      </c>
      <c r="H5115" s="2" t="s">
        <v>822</v>
      </c>
      <c r="J5115" s="31">
        <v>51.5646019</v>
      </c>
      <c r="K5115" s="31">
        <v>-21.194200500000001</v>
      </c>
      <c r="L5115" s="31"/>
      <c r="M5115" s="31" t="s">
        <v>854</v>
      </c>
      <c r="N5115" s="6" t="s">
        <v>856</v>
      </c>
    </row>
    <row r="5116" spans="1:14" ht="15" customHeight="1" x14ac:dyDescent="0.2">
      <c r="A5116" s="31">
        <v>0.42822238287518838</v>
      </c>
      <c r="B5116" s="31"/>
      <c r="C5116" s="2" t="s">
        <v>855</v>
      </c>
      <c r="D5116" s="31">
        <f t="shared" si="163"/>
        <v>8.3931587043536926E-2</v>
      </c>
      <c r="F5116" s="2" t="s">
        <v>822</v>
      </c>
      <c r="G5116" s="23" t="s">
        <v>902</v>
      </c>
      <c r="H5116" s="2" t="s">
        <v>822</v>
      </c>
      <c r="J5116" s="31">
        <v>50.655101799999997</v>
      </c>
      <c r="K5116" s="31">
        <v>0.76227199999999995</v>
      </c>
      <c r="L5116" s="31"/>
      <c r="M5116" s="31" t="s">
        <v>854</v>
      </c>
      <c r="N5116" s="6" t="s">
        <v>856</v>
      </c>
    </row>
    <row r="5117" spans="1:14" ht="15" customHeight="1" x14ac:dyDescent="0.2">
      <c r="A5117" s="31">
        <v>0.42816534293597658</v>
      </c>
      <c r="B5117" s="31"/>
      <c r="C5117" s="2" t="s">
        <v>855</v>
      </c>
      <c r="D5117" s="31">
        <f t="shared" si="163"/>
        <v>8.3920407215451409E-2</v>
      </c>
      <c r="F5117" s="2" t="s">
        <v>822</v>
      </c>
      <c r="G5117" s="23" t="s">
        <v>902</v>
      </c>
      <c r="H5117" s="2" t="s">
        <v>822</v>
      </c>
      <c r="J5117" s="31">
        <v>57.5768013</v>
      </c>
      <c r="K5117" s="31">
        <v>9.0813103000000002</v>
      </c>
      <c r="L5117" s="31"/>
      <c r="M5117" s="31" t="s">
        <v>854</v>
      </c>
      <c r="N5117" s="6" t="s">
        <v>856</v>
      </c>
    </row>
    <row r="5118" spans="1:14" ht="15" customHeight="1" x14ac:dyDescent="0.2">
      <c r="A5118" s="31">
        <v>0.42812602900121649</v>
      </c>
      <c r="B5118" s="31"/>
      <c r="C5118" s="2" t="s">
        <v>855</v>
      </c>
      <c r="D5118" s="31">
        <f t="shared" ref="D5118:D5181" si="164" xml:space="preserve"> A5118 * 0.196</f>
        <v>8.3912701684238436E-2</v>
      </c>
      <c r="F5118" s="2" t="s">
        <v>822</v>
      </c>
      <c r="G5118" s="23" t="s">
        <v>902</v>
      </c>
      <c r="H5118" s="2" t="s">
        <v>822</v>
      </c>
      <c r="J5118" s="31">
        <v>48.751998899999997</v>
      </c>
      <c r="K5118" s="31">
        <v>-38.551998099999999</v>
      </c>
      <c r="L5118" s="31"/>
      <c r="M5118" s="31" t="s">
        <v>854</v>
      </c>
      <c r="N5118" s="6" t="s">
        <v>856</v>
      </c>
    </row>
    <row r="5119" spans="1:14" ht="15" customHeight="1" x14ac:dyDescent="0.2">
      <c r="A5119" s="31">
        <v>0.42782723142530921</v>
      </c>
      <c r="B5119" s="31"/>
      <c r="C5119" s="2" t="s">
        <v>855</v>
      </c>
      <c r="D5119" s="31">
        <f t="shared" si="164"/>
        <v>8.3854137359360606E-2</v>
      </c>
      <c r="F5119" s="2" t="s">
        <v>822</v>
      </c>
      <c r="G5119" s="23" t="s">
        <v>902</v>
      </c>
      <c r="H5119" s="2" t="s">
        <v>822</v>
      </c>
      <c r="J5119" s="31">
        <v>47.419399300000002</v>
      </c>
      <c r="K5119" s="31">
        <v>-27.202499400000001</v>
      </c>
      <c r="L5119" s="31"/>
      <c r="M5119" s="31" t="s">
        <v>854</v>
      </c>
      <c r="N5119" s="6" t="s">
        <v>856</v>
      </c>
    </row>
    <row r="5120" spans="1:14" ht="15" customHeight="1" x14ac:dyDescent="0.2">
      <c r="A5120" s="31">
        <v>0.42771464510981722</v>
      </c>
      <c r="B5120" s="31"/>
      <c r="C5120" s="2" t="s">
        <v>855</v>
      </c>
      <c r="D5120" s="31">
        <f t="shared" si="164"/>
        <v>8.3832070441524173E-2</v>
      </c>
      <c r="F5120" s="2" t="s">
        <v>822</v>
      </c>
      <c r="G5120" s="23" t="s">
        <v>902</v>
      </c>
      <c r="H5120" s="2" t="s">
        <v>822</v>
      </c>
      <c r="J5120" s="31">
        <v>41.445598599999997</v>
      </c>
      <c r="K5120" s="31">
        <v>-36.548000299999998</v>
      </c>
      <c r="L5120" s="31"/>
      <c r="M5120" s="31" t="s">
        <v>854</v>
      </c>
      <c r="N5120" s="6" t="s">
        <v>856</v>
      </c>
    </row>
    <row r="5121" spans="1:14" ht="15" customHeight="1" x14ac:dyDescent="0.2">
      <c r="A5121" s="31">
        <v>0.42759838155196012</v>
      </c>
      <c r="B5121" s="31"/>
      <c r="C5121" s="2" t="s">
        <v>855</v>
      </c>
      <c r="D5121" s="31">
        <f t="shared" si="164"/>
        <v>8.3809282784184189E-2</v>
      </c>
      <c r="F5121" s="2" t="s">
        <v>822</v>
      </c>
      <c r="G5121" s="23" t="s">
        <v>902</v>
      </c>
      <c r="H5121" s="2" t="s">
        <v>822</v>
      </c>
      <c r="J5121" s="31">
        <v>63.323200200000002</v>
      </c>
      <c r="K5121" s="31">
        <v>-19.8540001</v>
      </c>
      <c r="L5121" s="31"/>
      <c r="M5121" s="31" t="s">
        <v>854</v>
      </c>
      <c r="N5121" s="6" t="s">
        <v>856</v>
      </c>
    </row>
    <row r="5122" spans="1:14" ht="15" customHeight="1" x14ac:dyDescent="0.2">
      <c r="A5122" s="31">
        <v>0.4273046785625314</v>
      </c>
      <c r="B5122" s="31"/>
      <c r="C5122" s="2" t="s">
        <v>855</v>
      </c>
      <c r="D5122" s="31">
        <f t="shared" si="164"/>
        <v>8.3751716998256162E-2</v>
      </c>
      <c r="F5122" s="2" t="s">
        <v>822</v>
      </c>
      <c r="G5122" s="23" t="s">
        <v>902</v>
      </c>
      <c r="H5122" s="2" t="s">
        <v>822</v>
      </c>
      <c r="J5122" s="31">
        <v>52.091999100000002</v>
      </c>
      <c r="K5122" s="31">
        <v>-21.184000000000001</v>
      </c>
      <c r="L5122" s="31"/>
      <c r="M5122" s="31" t="s">
        <v>854</v>
      </c>
      <c r="N5122" s="6" t="s">
        <v>856</v>
      </c>
    </row>
    <row r="5123" spans="1:14" ht="15" customHeight="1" x14ac:dyDescent="0.2">
      <c r="A5123" s="31">
        <v>0.42719400208841962</v>
      </c>
      <c r="B5123" s="31"/>
      <c r="C5123" s="2" t="s">
        <v>855</v>
      </c>
      <c r="D5123" s="31">
        <f t="shared" si="164"/>
        <v>8.373002440933025E-2</v>
      </c>
      <c r="F5123" s="2" t="s">
        <v>822</v>
      </c>
      <c r="G5123" s="23" t="s">
        <v>902</v>
      </c>
      <c r="H5123" s="2" t="s">
        <v>822</v>
      </c>
      <c r="J5123" s="31">
        <v>55.173698399999999</v>
      </c>
      <c r="K5123" s="31">
        <v>-14.625</v>
      </c>
      <c r="L5123" s="31"/>
      <c r="M5123" s="31" t="s">
        <v>854</v>
      </c>
      <c r="N5123" s="6" t="s">
        <v>856</v>
      </c>
    </row>
    <row r="5124" spans="1:14" ht="15" customHeight="1" x14ac:dyDescent="0.2">
      <c r="A5124" s="31">
        <v>0.42705778010635981</v>
      </c>
      <c r="B5124" s="31"/>
      <c r="C5124" s="2" t="s">
        <v>855</v>
      </c>
      <c r="D5124" s="31">
        <f t="shared" si="164"/>
        <v>8.3703324900846532E-2</v>
      </c>
      <c r="F5124" s="2" t="s">
        <v>822</v>
      </c>
      <c r="G5124" s="23" t="s">
        <v>902</v>
      </c>
      <c r="H5124" s="2" t="s">
        <v>822</v>
      </c>
      <c r="J5124" s="31">
        <v>57.436000800000002</v>
      </c>
      <c r="K5124" s="31">
        <v>-15.171999899999999</v>
      </c>
      <c r="L5124" s="31"/>
      <c r="M5124" s="31" t="s">
        <v>854</v>
      </c>
      <c r="N5124" s="6" t="s">
        <v>856</v>
      </c>
    </row>
    <row r="5125" spans="1:14" ht="15" customHeight="1" x14ac:dyDescent="0.2">
      <c r="A5125" s="31">
        <v>0.4270444228618579</v>
      </c>
      <c r="B5125" s="31"/>
      <c r="C5125" s="2" t="s">
        <v>855</v>
      </c>
      <c r="D5125" s="31">
        <f t="shared" si="164"/>
        <v>8.3700706880924153E-2</v>
      </c>
      <c r="F5125" s="2" t="s">
        <v>822</v>
      </c>
      <c r="G5125" s="23" t="s">
        <v>902</v>
      </c>
      <c r="H5125" s="2" t="s">
        <v>822</v>
      </c>
      <c r="J5125" s="31">
        <v>47.017501799999998</v>
      </c>
      <c r="K5125" s="31">
        <v>-10.5671997</v>
      </c>
      <c r="L5125" s="31"/>
      <c r="M5125" s="31" t="s">
        <v>854</v>
      </c>
      <c r="N5125" s="6" t="s">
        <v>856</v>
      </c>
    </row>
    <row r="5126" spans="1:14" ht="15" customHeight="1" x14ac:dyDescent="0.2">
      <c r="A5126" s="31">
        <v>0.4268995437170901</v>
      </c>
      <c r="B5126" s="31"/>
      <c r="C5126" s="2" t="s">
        <v>855</v>
      </c>
      <c r="D5126" s="31">
        <f t="shared" si="164"/>
        <v>8.3672310568549665E-2</v>
      </c>
      <c r="F5126" s="2" t="s">
        <v>822</v>
      </c>
      <c r="G5126" s="23" t="s">
        <v>902</v>
      </c>
      <c r="H5126" s="2" t="s">
        <v>822</v>
      </c>
      <c r="J5126" s="31">
        <v>53.835601799999999</v>
      </c>
      <c r="K5126" s="31">
        <v>0.22231100000000001</v>
      </c>
      <c r="L5126" s="31"/>
      <c r="M5126" s="31" t="s">
        <v>854</v>
      </c>
      <c r="N5126" s="6" t="s">
        <v>856</v>
      </c>
    </row>
    <row r="5127" spans="1:14" ht="15" customHeight="1" x14ac:dyDescent="0.2">
      <c r="A5127" s="31">
        <v>0.42681774365221209</v>
      </c>
      <c r="B5127" s="31"/>
      <c r="C5127" s="2" t="s">
        <v>855</v>
      </c>
      <c r="D5127" s="31">
        <f t="shared" si="164"/>
        <v>8.3656277755833577E-2</v>
      </c>
      <c r="F5127" s="2" t="s">
        <v>822</v>
      </c>
      <c r="G5127" s="23" t="s">
        <v>902</v>
      </c>
      <c r="H5127" s="2" t="s">
        <v>822</v>
      </c>
      <c r="J5127" s="31">
        <v>57.286399799999998</v>
      </c>
      <c r="K5127" s="31">
        <v>9.2237396</v>
      </c>
      <c r="L5127" s="31"/>
      <c r="M5127" s="31" t="s">
        <v>854</v>
      </c>
      <c r="N5127" s="6" t="s">
        <v>856</v>
      </c>
    </row>
    <row r="5128" spans="1:14" ht="15" customHeight="1" x14ac:dyDescent="0.2">
      <c r="A5128" s="31">
        <v>0.42671402600423702</v>
      </c>
      <c r="B5128" s="31"/>
      <c r="C5128" s="2" t="s">
        <v>855</v>
      </c>
      <c r="D5128" s="31">
        <f t="shared" si="164"/>
        <v>8.3635949096830461E-2</v>
      </c>
      <c r="F5128" s="2" t="s">
        <v>822</v>
      </c>
      <c r="G5128" s="23" t="s">
        <v>902</v>
      </c>
      <c r="H5128" s="2" t="s">
        <v>822</v>
      </c>
      <c r="J5128" s="31">
        <v>57.809600799999998</v>
      </c>
      <c r="K5128" s="31">
        <v>9.9883804000000005</v>
      </c>
      <c r="L5128" s="31"/>
      <c r="M5128" s="31" t="s">
        <v>854</v>
      </c>
      <c r="N5128" s="6" t="s">
        <v>856</v>
      </c>
    </row>
    <row r="5129" spans="1:14" ht="15" customHeight="1" x14ac:dyDescent="0.2">
      <c r="A5129" s="31">
        <v>0.42650007203626161</v>
      </c>
      <c r="B5129" s="31"/>
      <c r="C5129" s="2" t="s">
        <v>855</v>
      </c>
      <c r="D5129" s="31">
        <f t="shared" si="164"/>
        <v>8.3594014119107274E-2</v>
      </c>
      <c r="F5129" s="2" t="s">
        <v>822</v>
      </c>
      <c r="G5129" s="23" t="s">
        <v>902</v>
      </c>
      <c r="H5129" s="2" t="s">
        <v>822</v>
      </c>
      <c r="J5129" s="31">
        <v>60.076400800000002</v>
      </c>
      <c r="K5129" s="31">
        <v>-1.00342</v>
      </c>
      <c r="L5129" s="31"/>
      <c r="M5129" s="31" t="s">
        <v>854</v>
      </c>
      <c r="N5129" s="6" t="s">
        <v>856</v>
      </c>
    </row>
    <row r="5130" spans="1:14" ht="15" customHeight="1" x14ac:dyDescent="0.2">
      <c r="A5130" s="31">
        <v>0.42649823415451948</v>
      </c>
      <c r="B5130" s="31"/>
      <c r="C5130" s="2" t="s">
        <v>855</v>
      </c>
      <c r="D5130" s="31">
        <f t="shared" si="164"/>
        <v>8.3593653894285816E-2</v>
      </c>
      <c r="F5130" s="2" t="s">
        <v>822</v>
      </c>
      <c r="G5130" s="23" t="s">
        <v>902</v>
      </c>
      <c r="H5130" s="2" t="s">
        <v>822</v>
      </c>
      <c r="J5130" s="31">
        <v>54.8755989</v>
      </c>
      <c r="K5130" s="31">
        <v>4.6358398999999997</v>
      </c>
      <c r="L5130" s="31"/>
      <c r="M5130" s="31" t="s">
        <v>854</v>
      </c>
      <c r="N5130" s="6" t="s">
        <v>856</v>
      </c>
    </row>
    <row r="5131" spans="1:14" ht="15" customHeight="1" x14ac:dyDescent="0.2">
      <c r="A5131" s="31">
        <v>0.4263629198880845</v>
      </c>
      <c r="B5131" s="31"/>
      <c r="C5131" s="2" t="s">
        <v>855</v>
      </c>
      <c r="D5131" s="31">
        <f t="shared" si="164"/>
        <v>8.3567132298064561E-2</v>
      </c>
      <c r="F5131" s="2" t="s">
        <v>822</v>
      </c>
      <c r="G5131" s="23" t="s">
        <v>902</v>
      </c>
      <c r="H5131" s="2" t="s">
        <v>822</v>
      </c>
      <c r="J5131" s="31">
        <v>50.088001300000002</v>
      </c>
      <c r="K5131" s="31">
        <v>-36.548000299999998</v>
      </c>
      <c r="L5131" s="31"/>
      <c r="M5131" s="31" t="s">
        <v>854</v>
      </c>
      <c r="N5131" s="6" t="s">
        <v>856</v>
      </c>
    </row>
    <row r="5132" spans="1:14" ht="15" customHeight="1" x14ac:dyDescent="0.2">
      <c r="A5132" s="31">
        <v>0.42616070759433772</v>
      </c>
      <c r="B5132" s="31"/>
      <c r="C5132" s="2" t="s">
        <v>855</v>
      </c>
      <c r="D5132" s="31">
        <f t="shared" si="164"/>
        <v>8.3527498688490201E-2</v>
      </c>
      <c r="F5132" s="2" t="s">
        <v>822</v>
      </c>
      <c r="G5132" s="23" t="s">
        <v>902</v>
      </c>
      <c r="H5132" s="2" t="s">
        <v>822</v>
      </c>
      <c r="J5132" s="31">
        <v>62.018501299999997</v>
      </c>
      <c r="K5132" s="31">
        <v>4.6023301999999999</v>
      </c>
      <c r="L5132" s="31"/>
      <c r="M5132" s="31" t="s">
        <v>854</v>
      </c>
      <c r="N5132" s="6" t="s">
        <v>856</v>
      </c>
    </row>
    <row r="5133" spans="1:14" ht="15" customHeight="1" x14ac:dyDescent="0.2">
      <c r="A5133" s="31">
        <v>0.42577267437008731</v>
      </c>
      <c r="B5133" s="31"/>
      <c r="C5133" s="2" t="s">
        <v>855</v>
      </c>
      <c r="D5133" s="31">
        <f t="shared" si="164"/>
        <v>8.3451444176537118E-2</v>
      </c>
      <c r="F5133" s="2" t="s">
        <v>822</v>
      </c>
      <c r="G5133" s="23" t="s">
        <v>902</v>
      </c>
      <c r="H5133" s="2" t="s">
        <v>822</v>
      </c>
      <c r="J5133" s="31">
        <v>52.272598299999999</v>
      </c>
      <c r="K5133" s="31">
        <v>-30.5249004</v>
      </c>
      <c r="L5133" s="31"/>
      <c r="M5133" s="31" t="s">
        <v>854</v>
      </c>
      <c r="N5133" s="6" t="s">
        <v>856</v>
      </c>
    </row>
    <row r="5134" spans="1:14" ht="15" customHeight="1" x14ac:dyDescent="0.2">
      <c r="A5134" s="31">
        <v>0.42506028923054628</v>
      </c>
      <c r="B5134" s="31"/>
      <c r="C5134" s="2" t="s">
        <v>855</v>
      </c>
      <c r="D5134" s="31">
        <f t="shared" si="164"/>
        <v>8.3311816689187079E-2</v>
      </c>
      <c r="F5134" s="2" t="s">
        <v>822</v>
      </c>
      <c r="G5134" s="23" t="s">
        <v>902</v>
      </c>
      <c r="H5134" s="2" t="s">
        <v>822</v>
      </c>
      <c r="J5134" s="31">
        <v>48.083999599999999</v>
      </c>
      <c r="K5134" s="31">
        <v>-23.187999699999999</v>
      </c>
      <c r="L5134" s="31"/>
      <c r="M5134" s="31" t="s">
        <v>854</v>
      </c>
      <c r="N5134" s="6" t="s">
        <v>856</v>
      </c>
    </row>
    <row r="5135" spans="1:14" ht="15" customHeight="1" x14ac:dyDescent="0.2">
      <c r="A5135" s="31">
        <v>0.42419504705969319</v>
      </c>
      <c r="B5135" s="31"/>
      <c r="C5135" s="2" t="s">
        <v>855</v>
      </c>
      <c r="D5135" s="31">
        <f t="shared" si="164"/>
        <v>8.3142229223699862E-2</v>
      </c>
      <c r="F5135" s="2" t="s">
        <v>822</v>
      </c>
      <c r="G5135" s="23" t="s">
        <v>902</v>
      </c>
      <c r="H5135" s="2" t="s">
        <v>822</v>
      </c>
      <c r="J5135" s="31">
        <v>48.083999599999999</v>
      </c>
      <c r="K5135" s="31">
        <v>-41.223998999999999</v>
      </c>
      <c r="L5135" s="31"/>
      <c r="M5135" s="31" t="s">
        <v>854</v>
      </c>
      <c r="N5135" s="6" t="s">
        <v>856</v>
      </c>
    </row>
    <row r="5136" spans="1:14" ht="15" customHeight="1" x14ac:dyDescent="0.2">
      <c r="A5136" s="31">
        <v>0.42417761875518822</v>
      </c>
      <c r="B5136" s="31"/>
      <c r="C5136" s="2" t="s">
        <v>855</v>
      </c>
      <c r="D5136" s="31">
        <f t="shared" si="164"/>
        <v>8.3138813276016896E-2</v>
      </c>
      <c r="F5136" s="2" t="s">
        <v>822</v>
      </c>
      <c r="G5136" s="23" t="s">
        <v>902</v>
      </c>
      <c r="H5136" s="2" t="s">
        <v>822</v>
      </c>
      <c r="J5136" s="31">
        <v>54.997001599999997</v>
      </c>
      <c r="K5136" s="31">
        <v>-7.6258898000000004</v>
      </c>
      <c r="L5136" s="31"/>
      <c r="M5136" s="31" t="s">
        <v>854</v>
      </c>
      <c r="N5136" s="6" t="s">
        <v>856</v>
      </c>
    </row>
    <row r="5137" spans="1:14" ht="15" customHeight="1" x14ac:dyDescent="0.2">
      <c r="A5137" s="31">
        <v>0.42417472659097422</v>
      </c>
      <c r="B5137" s="31"/>
      <c r="C5137" s="2" t="s">
        <v>855</v>
      </c>
      <c r="D5137" s="31">
        <f t="shared" si="164"/>
        <v>8.3138246411830943E-2</v>
      </c>
      <c r="F5137" s="2" t="s">
        <v>822</v>
      </c>
      <c r="G5137" s="23" t="s">
        <v>902</v>
      </c>
      <c r="H5137" s="2" t="s">
        <v>822</v>
      </c>
      <c r="J5137" s="31">
        <v>53.240799000000003</v>
      </c>
      <c r="K5137" s="31">
        <v>-17.0967007</v>
      </c>
      <c r="L5137" s="31"/>
      <c r="M5137" s="31" t="s">
        <v>854</v>
      </c>
      <c r="N5137" s="6" t="s">
        <v>856</v>
      </c>
    </row>
    <row r="5138" spans="1:14" ht="15" customHeight="1" x14ac:dyDescent="0.2">
      <c r="A5138" s="31">
        <v>0.42414213741431078</v>
      </c>
      <c r="B5138" s="31"/>
      <c r="C5138" s="2" t="s">
        <v>855</v>
      </c>
      <c r="D5138" s="31">
        <f t="shared" si="164"/>
        <v>8.3131858933204919E-2</v>
      </c>
      <c r="F5138" s="2" t="s">
        <v>822</v>
      </c>
      <c r="G5138" s="23" t="s">
        <v>902</v>
      </c>
      <c r="H5138" s="2" t="s">
        <v>822</v>
      </c>
      <c r="J5138" s="31">
        <v>52.778301200000001</v>
      </c>
      <c r="K5138" s="31">
        <v>-11.387299499999999</v>
      </c>
      <c r="L5138" s="31"/>
      <c r="M5138" s="31" t="s">
        <v>854</v>
      </c>
      <c r="N5138" s="6" t="s">
        <v>856</v>
      </c>
    </row>
    <row r="5139" spans="1:14" ht="15" customHeight="1" x14ac:dyDescent="0.2">
      <c r="A5139" s="31">
        <v>0.42404907924009028</v>
      </c>
      <c r="B5139" s="31"/>
      <c r="C5139" s="2" t="s">
        <v>855</v>
      </c>
      <c r="D5139" s="31">
        <f t="shared" si="164"/>
        <v>8.3113619531057698E-2</v>
      </c>
      <c r="F5139" s="2" t="s">
        <v>822</v>
      </c>
      <c r="G5139" s="23" t="s">
        <v>902</v>
      </c>
      <c r="H5139" s="2" t="s">
        <v>822</v>
      </c>
      <c r="J5139" s="31">
        <v>55.447498299999999</v>
      </c>
      <c r="K5139" s="31">
        <v>1.10382</v>
      </c>
      <c r="L5139" s="31"/>
      <c r="M5139" s="31" t="s">
        <v>854</v>
      </c>
      <c r="N5139" s="6" t="s">
        <v>856</v>
      </c>
    </row>
    <row r="5140" spans="1:14" ht="15" customHeight="1" x14ac:dyDescent="0.2">
      <c r="A5140" s="31">
        <v>0.42397286875372941</v>
      </c>
      <c r="B5140" s="31"/>
      <c r="C5140" s="2" t="s">
        <v>855</v>
      </c>
      <c r="D5140" s="31">
        <f t="shared" si="164"/>
        <v>8.3098682275730973E-2</v>
      </c>
      <c r="F5140" s="2" t="s">
        <v>822</v>
      </c>
      <c r="G5140" s="23" t="s">
        <v>902</v>
      </c>
      <c r="H5140" s="2" t="s">
        <v>822</v>
      </c>
      <c r="J5140" s="31">
        <v>28.711999899999999</v>
      </c>
      <c r="K5140" s="31">
        <v>-34.543998700000003</v>
      </c>
      <c r="L5140" s="31"/>
      <c r="M5140" s="31" t="s">
        <v>854</v>
      </c>
      <c r="N5140" s="6" t="s">
        <v>856</v>
      </c>
    </row>
    <row r="5141" spans="1:14" ht="15" customHeight="1" x14ac:dyDescent="0.2">
      <c r="A5141" s="31">
        <v>0.42392866147063468</v>
      </c>
      <c r="B5141" s="31"/>
      <c r="C5141" s="2" t="s">
        <v>855</v>
      </c>
      <c r="D5141" s="31">
        <f t="shared" si="164"/>
        <v>8.3090017648244405E-2</v>
      </c>
      <c r="F5141" s="2" t="s">
        <v>822</v>
      </c>
      <c r="G5141" s="23" t="s">
        <v>902</v>
      </c>
      <c r="H5141" s="2" t="s">
        <v>822</v>
      </c>
      <c r="J5141" s="31">
        <v>51.423999799999997</v>
      </c>
      <c r="K5141" s="31">
        <v>-25.1919994</v>
      </c>
      <c r="L5141" s="31"/>
      <c r="M5141" s="31" t="s">
        <v>854</v>
      </c>
      <c r="N5141" s="6" t="s">
        <v>856</v>
      </c>
    </row>
    <row r="5142" spans="1:14" ht="15" customHeight="1" x14ac:dyDescent="0.2">
      <c r="A5142" s="31">
        <v>0.4232113293720014</v>
      </c>
      <c r="B5142" s="31"/>
      <c r="C5142" s="2" t="s">
        <v>855</v>
      </c>
      <c r="D5142" s="31">
        <f t="shared" si="164"/>
        <v>8.2949420556912276E-2</v>
      </c>
      <c r="F5142" s="2" t="s">
        <v>822</v>
      </c>
      <c r="G5142" s="23" t="s">
        <v>902</v>
      </c>
      <c r="H5142" s="2" t="s">
        <v>822</v>
      </c>
      <c r="J5142" s="31">
        <v>46.080001799999998</v>
      </c>
      <c r="K5142" s="31">
        <v>-35.212001800000003</v>
      </c>
      <c r="L5142" s="31"/>
      <c r="M5142" s="31" t="s">
        <v>854</v>
      </c>
      <c r="N5142" s="6" t="s">
        <v>856</v>
      </c>
    </row>
    <row r="5143" spans="1:14" ht="15" customHeight="1" x14ac:dyDescent="0.2">
      <c r="A5143" s="31">
        <v>0.42246844379483212</v>
      </c>
      <c r="B5143" s="31"/>
      <c r="C5143" s="2" t="s">
        <v>855</v>
      </c>
      <c r="D5143" s="31">
        <f t="shared" si="164"/>
        <v>8.2803814983787097E-2</v>
      </c>
      <c r="F5143" s="2" t="s">
        <v>822</v>
      </c>
      <c r="G5143" s="23" t="s">
        <v>902</v>
      </c>
      <c r="H5143" s="2" t="s">
        <v>822</v>
      </c>
      <c r="J5143" s="31">
        <v>63.717601799999997</v>
      </c>
      <c r="K5143" s="31">
        <v>-16.507999399999999</v>
      </c>
      <c r="L5143" s="31"/>
      <c r="M5143" s="31" t="s">
        <v>854</v>
      </c>
      <c r="N5143" s="6" t="s">
        <v>856</v>
      </c>
    </row>
    <row r="5144" spans="1:14" ht="15" customHeight="1" x14ac:dyDescent="0.2">
      <c r="A5144" s="31">
        <v>0.42203230096743199</v>
      </c>
      <c r="B5144" s="31"/>
      <c r="C5144" s="2" t="s">
        <v>855</v>
      </c>
      <c r="D5144" s="31">
        <f t="shared" si="164"/>
        <v>8.2718330989616673E-2</v>
      </c>
      <c r="F5144" s="2" t="s">
        <v>822</v>
      </c>
      <c r="G5144" s="23" t="s">
        <v>902</v>
      </c>
      <c r="H5144" s="2" t="s">
        <v>822</v>
      </c>
      <c r="J5144" s="31">
        <v>52.795600899999997</v>
      </c>
      <c r="K5144" s="31">
        <v>-9.2678899999999995</v>
      </c>
      <c r="L5144" s="31"/>
      <c r="M5144" s="31" t="s">
        <v>854</v>
      </c>
      <c r="N5144" s="6" t="s">
        <v>856</v>
      </c>
    </row>
    <row r="5145" spans="1:14" ht="15" customHeight="1" x14ac:dyDescent="0.2">
      <c r="A5145" s="31">
        <v>0.42202761228444502</v>
      </c>
      <c r="B5145" s="31"/>
      <c r="C5145" s="2" t="s">
        <v>855</v>
      </c>
      <c r="D5145" s="31">
        <f t="shared" si="164"/>
        <v>8.271741200775122E-2</v>
      </c>
      <c r="F5145" s="2" t="s">
        <v>822</v>
      </c>
      <c r="G5145" s="23" t="s">
        <v>902</v>
      </c>
      <c r="H5145" s="2" t="s">
        <v>822</v>
      </c>
      <c r="J5145" s="31">
        <v>34.7290001</v>
      </c>
      <c r="K5145" s="31">
        <v>-23.5254993</v>
      </c>
      <c r="L5145" s="31"/>
      <c r="M5145" s="31" t="s">
        <v>854</v>
      </c>
      <c r="N5145" s="6" t="s">
        <v>856</v>
      </c>
    </row>
    <row r="5146" spans="1:14" ht="15" customHeight="1" x14ac:dyDescent="0.2">
      <c r="A5146" s="31">
        <v>0.42199057278081209</v>
      </c>
      <c r="B5146" s="31"/>
      <c r="C5146" s="2" t="s">
        <v>855</v>
      </c>
      <c r="D5146" s="31">
        <f t="shared" si="164"/>
        <v>8.2710152265039166E-2</v>
      </c>
      <c r="F5146" s="2" t="s">
        <v>822</v>
      </c>
      <c r="G5146" s="23" t="s">
        <v>902</v>
      </c>
      <c r="H5146" s="2" t="s">
        <v>822</v>
      </c>
      <c r="J5146" s="31">
        <v>36.809898400000002</v>
      </c>
      <c r="K5146" s="31">
        <v>-17.2124004</v>
      </c>
      <c r="L5146" s="31"/>
      <c r="M5146" s="31" t="s">
        <v>854</v>
      </c>
      <c r="N5146" s="6" t="s">
        <v>856</v>
      </c>
    </row>
    <row r="5147" spans="1:14" ht="15" customHeight="1" x14ac:dyDescent="0.2">
      <c r="A5147" s="31">
        <v>0.42184950871863153</v>
      </c>
      <c r="B5147" s="31"/>
      <c r="C5147" s="2" t="s">
        <v>855</v>
      </c>
      <c r="D5147" s="31">
        <f t="shared" si="164"/>
        <v>8.2682503708851787E-2</v>
      </c>
      <c r="F5147" s="2" t="s">
        <v>822</v>
      </c>
      <c r="G5147" s="23" t="s">
        <v>902</v>
      </c>
      <c r="H5147" s="2" t="s">
        <v>822</v>
      </c>
      <c r="J5147" s="31">
        <v>26.708000200000001</v>
      </c>
      <c r="K5147" s="31">
        <v>-37.215999600000004</v>
      </c>
      <c r="L5147" s="31"/>
      <c r="M5147" s="31" t="s">
        <v>854</v>
      </c>
      <c r="N5147" s="6" t="s">
        <v>856</v>
      </c>
    </row>
    <row r="5148" spans="1:14" ht="15" customHeight="1" x14ac:dyDescent="0.2">
      <c r="A5148" s="31">
        <v>0.42142250754439298</v>
      </c>
      <c r="B5148" s="31"/>
      <c r="C5148" s="2" t="s">
        <v>855</v>
      </c>
      <c r="D5148" s="31">
        <f t="shared" si="164"/>
        <v>8.2598811478701031E-2</v>
      </c>
      <c r="F5148" s="2" t="s">
        <v>822</v>
      </c>
      <c r="G5148" s="23" t="s">
        <v>902</v>
      </c>
      <c r="H5148" s="2" t="s">
        <v>822</v>
      </c>
      <c r="J5148" s="31">
        <v>54.5807991</v>
      </c>
      <c r="K5148" s="31">
        <v>-9.1373300999999998</v>
      </c>
      <c r="L5148" s="31"/>
      <c r="M5148" s="31" t="s">
        <v>854</v>
      </c>
      <c r="N5148" s="6" t="s">
        <v>856</v>
      </c>
    </row>
    <row r="5149" spans="1:14" ht="15" customHeight="1" x14ac:dyDescent="0.2">
      <c r="A5149" s="31">
        <v>0.42111257610042019</v>
      </c>
      <c r="B5149" s="31"/>
      <c r="C5149" s="2" t="s">
        <v>855</v>
      </c>
      <c r="D5149" s="31">
        <f t="shared" si="164"/>
        <v>8.2538064915682358E-2</v>
      </c>
      <c r="F5149" s="2" t="s">
        <v>822</v>
      </c>
      <c r="G5149" s="23" t="s">
        <v>902</v>
      </c>
      <c r="H5149" s="2" t="s">
        <v>822</v>
      </c>
      <c r="J5149" s="31">
        <v>44.409698499999998</v>
      </c>
      <c r="K5149" s="31">
        <v>-24.4573994</v>
      </c>
      <c r="L5149" s="31"/>
      <c r="M5149" s="31" t="s">
        <v>854</v>
      </c>
      <c r="N5149" s="6" t="s">
        <v>856</v>
      </c>
    </row>
    <row r="5150" spans="1:14" ht="15" customHeight="1" x14ac:dyDescent="0.2">
      <c r="A5150" s="31">
        <v>0.42095155352965352</v>
      </c>
      <c r="B5150" s="31"/>
      <c r="C5150" s="2" t="s">
        <v>855</v>
      </c>
      <c r="D5150" s="31">
        <f t="shared" si="164"/>
        <v>8.2506504491812099E-2</v>
      </c>
      <c r="F5150" s="2" t="s">
        <v>822</v>
      </c>
      <c r="G5150" s="23" t="s">
        <v>902</v>
      </c>
      <c r="H5150" s="2" t="s">
        <v>822</v>
      </c>
      <c r="J5150" s="31">
        <v>57.811698900000003</v>
      </c>
      <c r="K5150" s="31">
        <v>9.7218999999999998</v>
      </c>
      <c r="L5150" s="31"/>
      <c r="M5150" s="31" t="s">
        <v>854</v>
      </c>
      <c r="N5150" s="6" t="s">
        <v>856</v>
      </c>
    </row>
    <row r="5151" spans="1:14" ht="15" customHeight="1" x14ac:dyDescent="0.2">
      <c r="A5151" s="31">
        <v>0.42089901698219362</v>
      </c>
      <c r="B5151" s="31"/>
      <c r="C5151" s="2" t="s">
        <v>855</v>
      </c>
      <c r="D5151" s="31">
        <f t="shared" si="164"/>
        <v>8.2496207328509957E-2</v>
      </c>
      <c r="F5151" s="2" t="s">
        <v>822</v>
      </c>
      <c r="G5151" s="23" t="s">
        <v>902</v>
      </c>
      <c r="H5151" s="2" t="s">
        <v>822</v>
      </c>
      <c r="J5151" s="31">
        <v>60.108001700000003</v>
      </c>
      <c r="K5151" s="31">
        <v>-21.184000000000001</v>
      </c>
      <c r="L5151" s="31"/>
      <c r="M5151" s="31" t="s">
        <v>854</v>
      </c>
      <c r="N5151" s="6" t="s">
        <v>856</v>
      </c>
    </row>
    <row r="5152" spans="1:14" ht="15" customHeight="1" x14ac:dyDescent="0.2">
      <c r="A5152" s="31">
        <v>0.42086176622804983</v>
      </c>
      <c r="B5152" s="31"/>
      <c r="C5152" s="2" t="s">
        <v>855</v>
      </c>
      <c r="D5152" s="31">
        <f t="shared" si="164"/>
        <v>8.2488906180697763E-2</v>
      </c>
      <c r="F5152" s="2" t="s">
        <v>822</v>
      </c>
      <c r="G5152" s="23" t="s">
        <v>902</v>
      </c>
      <c r="H5152" s="2" t="s">
        <v>822</v>
      </c>
      <c r="J5152" s="31">
        <v>64.0774002</v>
      </c>
      <c r="K5152" s="31">
        <v>-22.9344997</v>
      </c>
      <c r="L5152" s="31"/>
      <c r="M5152" s="31" t="s">
        <v>854</v>
      </c>
      <c r="N5152" s="6" t="s">
        <v>856</v>
      </c>
    </row>
    <row r="5153" spans="1:14" ht="15" customHeight="1" x14ac:dyDescent="0.2">
      <c r="A5153" s="31">
        <v>0.42079343780239908</v>
      </c>
      <c r="B5153" s="31"/>
      <c r="C5153" s="2" t="s">
        <v>855</v>
      </c>
      <c r="D5153" s="31">
        <f t="shared" si="164"/>
        <v>8.2475513809270221E-2</v>
      </c>
      <c r="F5153" s="2" t="s">
        <v>822</v>
      </c>
      <c r="G5153" s="23" t="s">
        <v>902</v>
      </c>
      <c r="H5153" s="2" t="s">
        <v>822</v>
      </c>
      <c r="J5153" s="31">
        <v>37.541198700000002</v>
      </c>
      <c r="K5153" s="31">
        <v>-19.879600499999999</v>
      </c>
      <c r="L5153" s="31"/>
      <c r="M5153" s="31" t="s">
        <v>854</v>
      </c>
      <c r="N5153" s="6" t="s">
        <v>856</v>
      </c>
    </row>
    <row r="5154" spans="1:14" ht="15" customHeight="1" x14ac:dyDescent="0.2">
      <c r="A5154" s="31">
        <v>0.42014231528514329</v>
      </c>
      <c r="B5154" s="31"/>
      <c r="C5154" s="2" t="s">
        <v>855</v>
      </c>
      <c r="D5154" s="31">
        <f t="shared" si="164"/>
        <v>8.2347893795888083E-2</v>
      </c>
      <c r="F5154" s="2" t="s">
        <v>822</v>
      </c>
      <c r="G5154" s="23" t="s">
        <v>902</v>
      </c>
      <c r="H5154" s="2" t="s">
        <v>822</v>
      </c>
      <c r="J5154" s="31">
        <v>58.861400600000003</v>
      </c>
      <c r="K5154" s="31">
        <v>-4.9144502000000001</v>
      </c>
      <c r="L5154" s="31"/>
      <c r="M5154" s="31" t="s">
        <v>854</v>
      </c>
      <c r="N5154" s="6" t="s">
        <v>856</v>
      </c>
    </row>
    <row r="5155" spans="1:14" ht="15" customHeight="1" x14ac:dyDescent="0.2">
      <c r="A5155" s="31">
        <v>0.41975311242632868</v>
      </c>
      <c r="B5155" s="31"/>
      <c r="C5155" s="2" t="s">
        <v>855</v>
      </c>
      <c r="D5155" s="31">
        <f t="shared" si="164"/>
        <v>8.2271610035560425E-2</v>
      </c>
      <c r="F5155" s="2" t="s">
        <v>822</v>
      </c>
      <c r="G5155" s="23" t="s">
        <v>902</v>
      </c>
      <c r="H5155" s="2" t="s">
        <v>822</v>
      </c>
      <c r="J5155" s="31">
        <v>53.661399799999998</v>
      </c>
      <c r="K5155" s="31">
        <v>-16.490400300000001</v>
      </c>
      <c r="L5155" s="31"/>
      <c r="M5155" s="31" t="s">
        <v>854</v>
      </c>
      <c r="N5155" s="6" t="s">
        <v>856</v>
      </c>
    </row>
    <row r="5156" spans="1:14" ht="15" customHeight="1" x14ac:dyDescent="0.2">
      <c r="A5156" s="31">
        <v>0.41952699632272489</v>
      </c>
      <c r="B5156" s="31"/>
      <c r="C5156" s="2" t="s">
        <v>855</v>
      </c>
      <c r="D5156" s="31">
        <f t="shared" si="164"/>
        <v>8.2227291279254086E-2</v>
      </c>
      <c r="F5156" s="2" t="s">
        <v>822</v>
      </c>
      <c r="G5156" s="23" t="s">
        <v>902</v>
      </c>
      <c r="H5156" s="2" t="s">
        <v>822</v>
      </c>
      <c r="J5156" s="31">
        <v>50.791698500000003</v>
      </c>
      <c r="K5156" s="31">
        <v>-29.466400100000001</v>
      </c>
      <c r="L5156" s="31"/>
      <c r="M5156" s="31" t="s">
        <v>854</v>
      </c>
      <c r="N5156" s="6" t="s">
        <v>856</v>
      </c>
    </row>
    <row r="5157" spans="1:14" ht="15" customHeight="1" x14ac:dyDescent="0.2">
      <c r="A5157" s="31">
        <v>0.41948399490725757</v>
      </c>
      <c r="B5157" s="31"/>
      <c r="C5157" s="2" t="s">
        <v>855</v>
      </c>
      <c r="D5157" s="31">
        <f t="shared" si="164"/>
        <v>8.221886300182249E-2</v>
      </c>
      <c r="F5157" s="2" t="s">
        <v>822</v>
      </c>
      <c r="G5157" s="23" t="s">
        <v>902</v>
      </c>
      <c r="H5157" s="2" t="s">
        <v>822</v>
      </c>
      <c r="J5157" s="31">
        <v>54.716598500000003</v>
      </c>
      <c r="K5157" s="31">
        <v>-15.4127998</v>
      </c>
      <c r="L5157" s="31"/>
      <c r="M5157" s="31" t="s">
        <v>854</v>
      </c>
      <c r="N5157" s="6" t="s">
        <v>856</v>
      </c>
    </row>
    <row r="5158" spans="1:14" ht="15" customHeight="1" x14ac:dyDescent="0.2">
      <c r="A5158" s="31">
        <v>0.41944188613828037</v>
      </c>
      <c r="B5158" s="31"/>
      <c r="C5158" s="2" t="s">
        <v>855</v>
      </c>
      <c r="D5158" s="31">
        <f t="shared" si="164"/>
        <v>8.2210609683102953E-2</v>
      </c>
      <c r="F5158" s="2" t="s">
        <v>822</v>
      </c>
      <c r="G5158" s="23" t="s">
        <v>902</v>
      </c>
      <c r="H5158" s="2" t="s">
        <v>822</v>
      </c>
      <c r="J5158" s="31">
        <v>56.9557991</v>
      </c>
      <c r="K5158" s="31">
        <v>-2.1674600000000002</v>
      </c>
      <c r="L5158" s="31"/>
      <c r="M5158" s="31" t="s">
        <v>854</v>
      </c>
      <c r="N5158" s="6" t="s">
        <v>856</v>
      </c>
    </row>
    <row r="5159" spans="1:14" ht="15" customHeight="1" x14ac:dyDescent="0.2">
      <c r="A5159" s="31">
        <v>0.41919817745038818</v>
      </c>
      <c r="B5159" s="31"/>
      <c r="C5159" s="2" t="s">
        <v>855</v>
      </c>
      <c r="D5159" s="31">
        <f t="shared" si="164"/>
        <v>8.216284278027608E-2</v>
      </c>
      <c r="F5159" s="2" t="s">
        <v>822</v>
      </c>
      <c r="G5159" s="23" t="s">
        <v>902</v>
      </c>
      <c r="H5159" s="2" t="s">
        <v>822</v>
      </c>
      <c r="J5159" s="31">
        <v>62.296199799999997</v>
      </c>
      <c r="K5159" s="31">
        <v>-7.8299197999999999</v>
      </c>
      <c r="L5159" s="31"/>
      <c r="M5159" s="31" t="s">
        <v>854</v>
      </c>
      <c r="N5159" s="6" t="s">
        <v>856</v>
      </c>
    </row>
    <row r="5160" spans="1:14" ht="15" customHeight="1" x14ac:dyDescent="0.2">
      <c r="A5160" s="31">
        <v>0.41917343807554353</v>
      </c>
      <c r="B5160" s="31"/>
      <c r="C5160" s="2" t="s">
        <v>855</v>
      </c>
      <c r="D5160" s="31">
        <f t="shared" si="164"/>
        <v>8.2157993862806533E-2</v>
      </c>
      <c r="F5160" s="2" t="s">
        <v>822</v>
      </c>
      <c r="G5160" s="23" t="s">
        <v>902</v>
      </c>
      <c r="H5160" s="2" t="s">
        <v>822</v>
      </c>
      <c r="J5160" s="31">
        <v>54.096000699999998</v>
      </c>
      <c r="K5160" s="31">
        <v>-16.507999399999999</v>
      </c>
      <c r="L5160" s="31"/>
      <c r="M5160" s="31" t="s">
        <v>854</v>
      </c>
      <c r="N5160" s="6" t="s">
        <v>856</v>
      </c>
    </row>
    <row r="5161" spans="1:14" ht="15" customHeight="1" x14ac:dyDescent="0.2">
      <c r="A5161" s="31">
        <v>0.41913247946330617</v>
      </c>
      <c r="B5161" s="31"/>
      <c r="C5161" s="2" t="s">
        <v>855</v>
      </c>
      <c r="D5161" s="31">
        <f t="shared" si="164"/>
        <v>8.2149965974808017E-2</v>
      </c>
      <c r="F5161" s="2" t="s">
        <v>822</v>
      </c>
      <c r="G5161" s="23" t="s">
        <v>902</v>
      </c>
      <c r="H5161" s="2" t="s">
        <v>822</v>
      </c>
      <c r="J5161" s="31">
        <v>58.420600899999997</v>
      </c>
      <c r="K5161" s="31">
        <v>-7.04216</v>
      </c>
      <c r="L5161" s="31"/>
      <c r="M5161" s="31" t="s">
        <v>854</v>
      </c>
      <c r="N5161" s="6" t="s">
        <v>856</v>
      </c>
    </row>
    <row r="5162" spans="1:14" ht="15" customHeight="1" x14ac:dyDescent="0.2">
      <c r="A5162" s="31">
        <v>0.41904922816550849</v>
      </c>
      <c r="B5162" s="31"/>
      <c r="C5162" s="2" t="s">
        <v>855</v>
      </c>
      <c r="D5162" s="31">
        <f t="shared" si="164"/>
        <v>8.213364872043967E-2</v>
      </c>
      <c r="F5162" s="2" t="s">
        <v>822</v>
      </c>
      <c r="G5162" s="23" t="s">
        <v>902</v>
      </c>
      <c r="H5162" s="2" t="s">
        <v>822</v>
      </c>
      <c r="J5162" s="31">
        <v>58.771999399999999</v>
      </c>
      <c r="K5162" s="31">
        <v>3.2178399999999998</v>
      </c>
      <c r="L5162" s="31"/>
      <c r="M5162" s="31" t="s">
        <v>854</v>
      </c>
      <c r="N5162" s="6" t="s">
        <v>856</v>
      </c>
    </row>
    <row r="5163" spans="1:14" ht="15" customHeight="1" x14ac:dyDescent="0.2">
      <c r="A5163" s="31">
        <v>0.41859298453887961</v>
      </c>
      <c r="B5163" s="31"/>
      <c r="C5163" s="2" t="s">
        <v>855</v>
      </c>
      <c r="D5163" s="31">
        <f t="shared" si="164"/>
        <v>8.2044224969620411E-2</v>
      </c>
      <c r="F5163" s="2" t="s">
        <v>822</v>
      </c>
      <c r="G5163" s="23" t="s">
        <v>902</v>
      </c>
      <c r="H5163" s="2" t="s">
        <v>822</v>
      </c>
      <c r="J5163" s="31">
        <v>46.748001100000003</v>
      </c>
      <c r="K5163" s="31">
        <v>-36.548000299999998</v>
      </c>
      <c r="L5163" s="31"/>
      <c r="M5163" s="31" t="s">
        <v>854</v>
      </c>
      <c r="N5163" s="6" t="s">
        <v>856</v>
      </c>
    </row>
    <row r="5164" spans="1:14" ht="15" customHeight="1" x14ac:dyDescent="0.2">
      <c r="A5164" s="31">
        <v>0.41853519361064229</v>
      </c>
      <c r="B5164" s="31"/>
      <c r="C5164" s="2" t="s">
        <v>855</v>
      </c>
      <c r="D5164" s="31">
        <f t="shared" si="164"/>
        <v>8.2032897947685895E-2</v>
      </c>
      <c r="F5164" s="2" t="s">
        <v>822</v>
      </c>
      <c r="G5164" s="23" t="s">
        <v>902</v>
      </c>
      <c r="H5164" s="2" t="s">
        <v>822</v>
      </c>
      <c r="J5164" s="31">
        <v>57.7256012</v>
      </c>
      <c r="K5164" s="31">
        <v>-3.11551</v>
      </c>
      <c r="L5164" s="31"/>
      <c r="M5164" s="31" t="s">
        <v>854</v>
      </c>
      <c r="N5164" s="6" t="s">
        <v>856</v>
      </c>
    </row>
    <row r="5165" spans="1:14" ht="15" customHeight="1" x14ac:dyDescent="0.2">
      <c r="A5165" s="31">
        <v>0.41842041567540827</v>
      </c>
      <c r="B5165" s="31"/>
      <c r="C5165" s="2" t="s">
        <v>855</v>
      </c>
      <c r="D5165" s="31">
        <f t="shared" si="164"/>
        <v>8.2010401472380021E-2</v>
      </c>
      <c r="F5165" s="2" t="s">
        <v>822</v>
      </c>
      <c r="G5165" s="23" t="s">
        <v>902</v>
      </c>
      <c r="H5165" s="2" t="s">
        <v>822</v>
      </c>
      <c r="J5165" s="31">
        <v>49.419998200000002</v>
      </c>
      <c r="K5165" s="31">
        <v>-31.8719997</v>
      </c>
      <c r="L5165" s="31"/>
      <c r="M5165" s="31" t="s">
        <v>854</v>
      </c>
      <c r="N5165" s="6" t="s">
        <v>856</v>
      </c>
    </row>
    <row r="5166" spans="1:14" ht="15" customHeight="1" x14ac:dyDescent="0.2">
      <c r="A5166" s="31">
        <v>0.41836185551465888</v>
      </c>
      <c r="B5166" s="31"/>
      <c r="C5166" s="2" t="s">
        <v>855</v>
      </c>
      <c r="D5166" s="31">
        <f t="shared" si="164"/>
        <v>8.1998923680873137E-2</v>
      </c>
      <c r="F5166" s="2" t="s">
        <v>822</v>
      </c>
      <c r="G5166" s="23" t="s">
        <v>902</v>
      </c>
      <c r="H5166" s="2" t="s">
        <v>822</v>
      </c>
      <c r="J5166" s="31">
        <v>62.674598699999997</v>
      </c>
      <c r="K5166" s="31">
        <v>-21.851999299999999</v>
      </c>
      <c r="L5166" s="31"/>
      <c r="M5166" s="31" t="s">
        <v>854</v>
      </c>
      <c r="N5166" s="6" t="s">
        <v>856</v>
      </c>
    </row>
    <row r="5167" spans="1:14" ht="15" customHeight="1" x14ac:dyDescent="0.2">
      <c r="A5167" s="31">
        <v>0.41810457225886177</v>
      </c>
      <c r="B5167" s="31"/>
      <c r="C5167" s="2" t="s">
        <v>855</v>
      </c>
      <c r="D5167" s="31">
        <f t="shared" si="164"/>
        <v>8.1948496162736917E-2</v>
      </c>
      <c r="F5167" s="2" t="s">
        <v>822</v>
      </c>
      <c r="G5167" s="23" t="s">
        <v>902</v>
      </c>
      <c r="H5167" s="2" t="s">
        <v>822</v>
      </c>
      <c r="J5167" s="31">
        <v>60.141998299999997</v>
      </c>
      <c r="K5167" s="31">
        <v>18.905399299999999</v>
      </c>
      <c r="L5167" s="31"/>
      <c r="M5167" s="31" t="s">
        <v>854</v>
      </c>
      <c r="N5167" s="6" t="s">
        <v>856</v>
      </c>
    </row>
    <row r="5168" spans="1:14" ht="15" customHeight="1" x14ac:dyDescent="0.2">
      <c r="A5168" s="31">
        <v>0.4180105516611704</v>
      </c>
      <c r="B5168" s="31"/>
      <c r="C5168" s="2" t="s">
        <v>855</v>
      </c>
      <c r="D5168" s="31">
        <f t="shared" si="164"/>
        <v>8.1930068125589409E-2</v>
      </c>
      <c r="F5168" s="2" t="s">
        <v>822</v>
      </c>
      <c r="G5168" s="23" t="s">
        <v>902</v>
      </c>
      <c r="H5168" s="2" t="s">
        <v>822</v>
      </c>
      <c r="J5168" s="31">
        <v>51.423999799999997</v>
      </c>
      <c r="K5168" s="31">
        <v>-14.5039997</v>
      </c>
      <c r="L5168" s="31"/>
      <c r="M5168" s="31" t="s">
        <v>854</v>
      </c>
      <c r="N5168" s="6" t="s">
        <v>856</v>
      </c>
    </row>
    <row r="5169" spans="1:14" ht="15" customHeight="1" x14ac:dyDescent="0.2">
      <c r="A5169" s="31">
        <v>0.41738008578957658</v>
      </c>
      <c r="B5169" s="31"/>
      <c r="C5169" s="2" t="s">
        <v>855</v>
      </c>
      <c r="D5169" s="31">
        <f t="shared" si="164"/>
        <v>8.1806496814757018E-2</v>
      </c>
      <c r="F5169" s="2" t="s">
        <v>822</v>
      </c>
      <c r="G5169" s="23" t="s">
        <v>902</v>
      </c>
      <c r="H5169" s="2" t="s">
        <v>822</v>
      </c>
      <c r="J5169" s="31">
        <v>60.569900500000003</v>
      </c>
      <c r="K5169" s="31">
        <v>-1.3624000999999999</v>
      </c>
      <c r="L5169" s="31"/>
      <c r="M5169" s="31" t="s">
        <v>854</v>
      </c>
      <c r="N5169" s="6" t="s">
        <v>856</v>
      </c>
    </row>
    <row r="5170" spans="1:14" ht="15" customHeight="1" x14ac:dyDescent="0.2">
      <c r="A5170" s="31">
        <v>0.41699222343024139</v>
      </c>
      <c r="B5170" s="31"/>
      <c r="C5170" s="2" t="s">
        <v>855</v>
      </c>
      <c r="D5170" s="31">
        <f t="shared" si="164"/>
        <v>8.1730475792327312E-2</v>
      </c>
      <c r="F5170" s="2" t="s">
        <v>822</v>
      </c>
      <c r="G5170" s="23" t="s">
        <v>902</v>
      </c>
      <c r="H5170" s="2" t="s">
        <v>822</v>
      </c>
      <c r="J5170" s="31">
        <v>26.708000200000001</v>
      </c>
      <c r="K5170" s="31">
        <v>-39.888000499999997</v>
      </c>
      <c r="L5170" s="31"/>
      <c r="M5170" s="31" t="s">
        <v>854</v>
      </c>
      <c r="N5170" s="6" t="s">
        <v>856</v>
      </c>
    </row>
    <row r="5171" spans="1:14" ht="15" customHeight="1" x14ac:dyDescent="0.2">
      <c r="A5171" s="31">
        <v>0.41684666681495081</v>
      </c>
      <c r="B5171" s="31"/>
      <c r="C5171" s="2" t="s">
        <v>855</v>
      </c>
      <c r="D5171" s="31">
        <f t="shared" si="164"/>
        <v>8.170194669573036E-2</v>
      </c>
      <c r="F5171" s="2" t="s">
        <v>822</v>
      </c>
      <c r="G5171" s="23" t="s">
        <v>902</v>
      </c>
      <c r="H5171" s="2" t="s">
        <v>822</v>
      </c>
      <c r="J5171" s="31">
        <v>52.754299199999998</v>
      </c>
      <c r="K5171" s="31">
        <v>-19.307600000000001</v>
      </c>
      <c r="L5171" s="31"/>
      <c r="M5171" s="31" t="s">
        <v>854</v>
      </c>
      <c r="N5171" s="6" t="s">
        <v>856</v>
      </c>
    </row>
    <row r="5172" spans="1:14" ht="15" customHeight="1" x14ac:dyDescent="0.2">
      <c r="A5172" s="31">
        <v>0.41654206165471941</v>
      </c>
      <c r="B5172" s="31"/>
      <c r="C5172" s="2" t="s">
        <v>855</v>
      </c>
      <c r="D5172" s="31">
        <f t="shared" si="164"/>
        <v>8.1642244084325008E-2</v>
      </c>
      <c r="F5172" s="2" t="s">
        <v>822</v>
      </c>
      <c r="G5172" s="23" t="s">
        <v>902</v>
      </c>
      <c r="H5172" s="2" t="s">
        <v>822</v>
      </c>
      <c r="J5172" s="31">
        <v>50.991500899999998</v>
      </c>
      <c r="K5172" s="31">
        <v>-14.027299899999999</v>
      </c>
      <c r="L5172" s="31"/>
      <c r="M5172" s="31" t="s">
        <v>854</v>
      </c>
      <c r="N5172" s="6" t="s">
        <v>856</v>
      </c>
    </row>
    <row r="5173" spans="1:14" ht="15" customHeight="1" x14ac:dyDescent="0.2">
      <c r="A5173" s="31">
        <v>0.41651114736895789</v>
      </c>
      <c r="B5173" s="31"/>
      <c r="C5173" s="2" t="s">
        <v>855</v>
      </c>
      <c r="D5173" s="31">
        <f t="shared" si="164"/>
        <v>8.1636184884315746E-2</v>
      </c>
      <c r="F5173" s="2" t="s">
        <v>822</v>
      </c>
      <c r="G5173" s="23" t="s">
        <v>902</v>
      </c>
      <c r="H5173" s="2" t="s">
        <v>822</v>
      </c>
      <c r="J5173" s="31">
        <v>50.602401700000001</v>
      </c>
      <c r="K5173" s="31">
        <v>4.1206E-2</v>
      </c>
      <c r="L5173" s="31"/>
      <c r="M5173" s="31" t="s">
        <v>854</v>
      </c>
      <c r="N5173" s="6" t="s">
        <v>856</v>
      </c>
    </row>
    <row r="5174" spans="1:14" ht="15" customHeight="1" x14ac:dyDescent="0.2">
      <c r="A5174" s="31">
        <v>0.41633854739288001</v>
      </c>
      <c r="B5174" s="31"/>
      <c r="C5174" s="2" t="s">
        <v>855</v>
      </c>
      <c r="D5174" s="31">
        <f t="shared" si="164"/>
        <v>8.1602355289004488E-2</v>
      </c>
      <c r="F5174" s="2" t="s">
        <v>822</v>
      </c>
      <c r="G5174" s="23" t="s">
        <v>902</v>
      </c>
      <c r="H5174" s="2" t="s">
        <v>822</v>
      </c>
      <c r="J5174" s="31">
        <v>64.246299699999994</v>
      </c>
      <c r="K5174" s="31">
        <v>-22.4482994</v>
      </c>
      <c r="L5174" s="31"/>
      <c r="M5174" s="31" t="s">
        <v>854</v>
      </c>
      <c r="N5174" s="6" t="s">
        <v>856</v>
      </c>
    </row>
    <row r="5175" spans="1:14" ht="15" customHeight="1" x14ac:dyDescent="0.2">
      <c r="A5175" s="31">
        <v>0.41617971598937431</v>
      </c>
      <c r="B5175" s="31"/>
      <c r="C5175" s="2" t="s">
        <v>855</v>
      </c>
      <c r="D5175" s="31">
        <f t="shared" si="164"/>
        <v>8.1571224333917364E-2</v>
      </c>
      <c r="F5175" s="2" t="s">
        <v>822</v>
      </c>
      <c r="G5175" s="23" t="s">
        <v>902</v>
      </c>
      <c r="H5175" s="2" t="s">
        <v>822</v>
      </c>
      <c r="J5175" s="31">
        <v>49.419998200000002</v>
      </c>
      <c r="K5175" s="31">
        <v>-15.8400002</v>
      </c>
      <c r="L5175" s="31"/>
      <c r="M5175" s="31" t="s">
        <v>854</v>
      </c>
      <c r="N5175" s="6" t="s">
        <v>856</v>
      </c>
    </row>
    <row r="5176" spans="1:14" ht="15" customHeight="1" x14ac:dyDescent="0.2">
      <c r="A5176" s="31">
        <v>0.41498852108136058</v>
      </c>
      <c r="B5176" s="31"/>
      <c r="C5176" s="2" t="s">
        <v>855</v>
      </c>
      <c r="D5176" s="31">
        <f t="shared" si="164"/>
        <v>8.1337750131946676E-2</v>
      </c>
      <c r="F5176" s="2" t="s">
        <v>822</v>
      </c>
      <c r="G5176" s="23" t="s">
        <v>902</v>
      </c>
      <c r="H5176" s="2" t="s">
        <v>822</v>
      </c>
      <c r="J5176" s="31">
        <v>55.5237999</v>
      </c>
      <c r="K5176" s="31">
        <v>-5.0819602000000001</v>
      </c>
      <c r="L5176" s="31"/>
      <c r="M5176" s="31" t="s">
        <v>854</v>
      </c>
      <c r="N5176" s="6" t="s">
        <v>856</v>
      </c>
    </row>
    <row r="5177" spans="1:14" ht="15" customHeight="1" x14ac:dyDescent="0.2">
      <c r="A5177" s="31">
        <v>0.41476174247018599</v>
      </c>
      <c r="B5177" s="31"/>
      <c r="C5177" s="2" t="s">
        <v>855</v>
      </c>
      <c r="D5177" s="31">
        <f t="shared" si="164"/>
        <v>8.1293301524156453E-2</v>
      </c>
      <c r="F5177" s="2" t="s">
        <v>822</v>
      </c>
      <c r="G5177" s="23" t="s">
        <v>902</v>
      </c>
      <c r="H5177" s="2" t="s">
        <v>822</v>
      </c>
      <c r="J5177" s="31">
        <v>58.4225998</v>
      </c>
      <c r="K5177" s="31">
        <v>-6.3894900999999997</v>
      </c>
      <c r="L5177" s="31"/>
      <c r="M5177" s="31" t="s">
        <v>854</v>
      </c>
      <c r="N5177" s="6" t="s">
        <v>856</v>
      </c>
    </row>
    <row r="5178" spans="1:14" ht="15" customHeight="1" x14ac:dyDescent="0.2">
      <c r="A5178" s="31">
        <v>0.41464872643311912</v>
      </c>
      <c r="B5178" s="31"/>
      <c r="C5178" s="2" t="s">
        <v>855</v>
      </c>
      <c r="D5178" s="31">
        <f t="shared" si="164"/>
        <v>8.1271150380891347E-2</v>
      </c>
      <c r="F5178" s="2" t="s">
        <v>822</v>
      </c>
      <c r="G5178" s="23" t="s">
        <v>902</v>
      </c>
      <c r="H5178" s="2" t="s">
        <v>822</v>
      </c>
      <c r="J5178" s="31">
        <v>52.257099199999999</v>
      </c>
      <c r="K5178" s="31">
        <v>-29.864700299999999</v>
      </c>
      <c r="L5178" s="31"/>
      <c r="M5178" s="31" t="s">
        <v>854</v>
      </c>
      <c r="N5178" s="6" t="s">
        <v>856</v>
      </c>
    </row>
    <row r="5179" spans="1:14" ht="15" customHeight="1" x14ac:dyDescent="0.2">
      <c r="A5179" s="31">
        <v>0.41422562057836709</v>
      </c>
      <c r="B5179" s="31"/>
      <c r="C5179" s="2" t="s">
        <v>855</v>
      </c>
      <c r="D5179" s="31">
        <f t="shared" si="164"/>
        <v>8.1188221633359953E-2</v>
      </c>
      <c r="F5179" s="2" t="s">
        <v>822</v>
      </c>
      <c r="G5179" s="23" t="s">
        <v>902</v>
      </c>
      <c r="H5179" s="2" t="s">
        <v>822</v>
      </c>
      <c r="J5179" s="31">
        <v>53.457599600000002</v>
      </c>
      <c r="K5179" s="31">
        <v>2.8640001000000002</v>
      </c>
      <c r="L5179" s="31"/>
      <c r="M5179" s="31" t="s">
        <v>854</v>
      </c>
      <c r="N5179" s="6" t="s">
        <v>856</v>
      </c>
    </row>
    <row r="5180" spans="1:14" ht="15" customHeight="1" x14ac:dyDescent="0.2">
      <c r="A5180" s="31">
        <v>0.41416754382822307</v>
      </c>
      <c r="B5180" s="31"/>
      <c r="C5180" s="2" t="s">
        <v>855</v>
      </c>
      <c r="D5180" s="31">
        <f t="shared" si="164"/>
        <v>8.1176838590331729E-2</v>
      </c>
      <c r="F5180" s="2" t="s">
        <v>822</v>
      </c>
      <c r="G5180" s="23" t="s">
        <v>902</v>
      </c>
      <c r="H5180" s="2" t="s">
        <v>822</v>
      </c>
      <c r="J5180" s="31">
        <v>25.3719997</v>
      </c>
      <c r="K5180" s="31">
        <v>-41.223998999999999</v>
      </c>
      <c r="L5180" s="31"/>
      <c r="M5180" s="31" t="s">
        <v>854</v>
      </c>
      <c r="N5180" s="6" t="s">
        <v>856</v>
      </c>
    </row>
    <row r="5181" spans="1:14" ht="15" customHeight="1" x14ac:dyDescent="0.2">
      <c r="A5181" s="31">
        <v>0.41407868655097901</v>
      </c>
      <c r="B5181" s="31"/>
      <c r="C5181" s="2" t="s">
        <v>855</v>
      </c>
      <c r="D5181" s="31">
        <f t="shared" si="164"/>
        <v>8.115942256399189E-2</v>
      </c>
      <c r="F5181" s="2" t="s">
        <v>822</v>
      </c>
      <c r="G5181" s="23" t="s">
        <v>902</v>
      </c>
      <c r="H5181" s="2" t="s">
        <v>822</v>
      </c>
      <c r="J5181" s="31">
        <v>51.705600699999998</v>
      </c>
      <c r="K5181" s="31">
        <v>1.46584</v>
      </c>
      <c r="L5181" s="31"/>
      <c r="M5181" s="31" t="s">
        <v>854</v>
      </c>
      <c r="N5181" s="6" t="s">
        <v>856</v>
      </c>
    </row>
    <row r="5182" spans="1:14" ht="15" customHeight="1" x14ac:dyDescent="0.2">
      <c r="A5182" s="31">
        <v>0.41405977877521899</v>
      </c>
      <c r="B5182" s="31"/>
      <c r="C5182" s="2" t="s">
        <v>855</v>
      </c>
      <c r="D5182" s="31">
        <f t="shared" ref="D5182:D5245" si="165" xml:space="preserve"> A5182 * 0.196</f>
        <v>8.1155716639942921E-2</v>
      </c>
      <c r="F5182" s="2" t="s">
        <v>822</v>
      </c>
      <c r="G5182" s="23" t="s">
        <v>902</v>
      </c>
      <c r="H5182" s="2" t="s">
        <v>822</v>
      </c>
      <c r="J5182" s="31">
        <v>54.280101799999997</v>
      </c>
      <c r="K5182" s="31">
        <v>2.2162799999999998</v>
      </c>
      <c r="L5182" s="31"/>
      <c r="M5182" s="31" t="s">
        <v>854</v>
      </c>
      <c r="N5182" s="6" t="s">
        <v>856</v>
      </c>
    </row>
    <row r="5183" spans="1:14" ht="15" customHeight="1" x14ac:dyDescent="0.2">
      <c r="A5183" s="31">
        <v>0.41351683426663449</v>
      </c>
      <c r="B5183" s="31"/>
      <c r="C5183" s="2" t="s">
        <v>855</v>
      </c>
      <c r="D5183" s="31">
        <f t="shared" si="165"/>
        <v>8.1049299516260359E-2</v>
      </c>
      <c r="F5183" s="2" t="s">
        <v>822</v>
      </c>
      <c r="G5183" s="23" t="s">
        <v>902</v>
      </c>
      <c r="H5183" s="2" t="s">
        <v>822</v>
      </c>
      <c r="J5183" s="31">
        <v>53.123600000000003</v>
      </c>
      <c r="K5183" s="31">
        <v>4.6358398999999997</v>
      </c>
      <c r="L5183" s="31"/>
      <c r="M5183" s="31" t="s">
        <v>854</v>
      </c>
      <c r="N5183" s="6" t="s">
        <v>856</v>
      </c>
    </row>
    <row r="5184" spans="1:14" ht="15" customHeight="1" x14ac:dyDescent="0.2">
      <c r="A5184" s="31">
        <v>0.41302376849141409</v>
      </c>
      <c r="B5184" s="31"/>
      <c r="C5184" s="2" t="s">
        <v>855</v>
      </c>
      <c r="D5184" s="31">
        <f t="shared" si="165"/>
        <v>8.0952658624317164E-2</v>
      </c>
      <c r="F5184" s="2" t="s">
        <v>822</v>
      </c>
      <c r="G5184" s="23" t="s">
        <v>902</v>
      </c>
      <c r="H5184" s="2" t="s">
        <v>822</v>
      </c>
      <c r="J5184" s="31">
        <v>57.863700899999998</v>
      </c>
      <c r="K5184" s="31">
        <v>-4.2557602000000001</v>
      </c>
      <c r="L5184" s="31"/>
      <c r="M5184" s="31" t="s">
        <v>854</v>
      </c>
      <c r="N5184" s="6" t="s">
        <v>856</v>
      </c>
    </row>
    <row r="5185" spans="1:14" ht="15" customHeight="1" x14ac:dyDescent="0.2">
      <c r="A5185" s="31">
        <v>0.4125643597696092</v>
      </c>
      <c r="B5185" s="31"/>
      <c r="C5185" s="2" t="s">
        <v>855</v>
      </c>
      <c r="D5185" s="31">
        <f t="shared" si="165"/>
        <v>8.0862614514843403E-2</v>
      </c>
      <c r="F5185" s="2" t="s">
        <v>822</v>
      </c>
      <c r="G5185" s="23" t="s">
        <v>902</v>
      </c>
      <c r="H5185" s="2" t="s">
        <v>822</v>
      </c>
      <c r="J5185" s="31">
        <v>45.0774002</v>
      </c>
      <c r="K5185" s="31">
        <v>-34.880199400000002</v>
      </c>
      <c r="L5185" s="31"/>
      <c r="M5185" s="31" t="s">
        <v>854</v>
      </c>
      <c r="N5185" s="6" t="s">
        <v>856</v>
      </c>
    </row>
    <row r="5186" spans="1:14" ht="15" customHeight="1" x14ac:dyDescent="0.2">
      <c r="A5186" s="31">
        <v>0.41200277804002111</v>
      </c>
      <c r="B5186" s="31"/>
      <c r="C5186" s="2" t="s">
        <v>855</v>
      </c>
      <c r="D5186" s="31">
        <f t="shared" si="165"/>
        <v>8.0752544495844139E-2</v>
      </c>
      <c r="F5186" s="2" t="s">
        <v>822</v>
      </c>
      <c r="G5186" s="23" t="s">
        <v>902</v>
      </c>
      <c r="H5186" s="2" t="s">
        <v>822</v>
      </c>
      <c r="J5186" s="31">
        <v>56.685501100000003</v>
      </c>
      <c r="K5186" s="31">
        <v>5.7019900999999997</v>
      </c>
      <c r="L5186" s="31"/>
      <c r="M5186" s="31" t="s">
        <v>854</v>
      </c>
      <c r="N5186" s="6" t="s">
        <v>856</v>
      </c>
    </row>
    <row r="5187" spans="1:14" ht="15" customHeight="1" x14ac:dyDescent="0.2">
      <c r="A5187" s="31">
        <v>0.4116737597512351</v>
      </c>
      <c r="B5187" s="31"/>
      <c r="C5187" s="2" t="s">
        <v>855</v>
      </c>
      <c r="D5187" s="31">
        <f t="shared" si="165"/>
        <v>8.068805691124209E-2</v>
      </c>
      <c r="F5187" s="2" t="s">
        <v>822</v>
      </c>
      <c r="G5187" s="23" t="s">
        <v>902</v>
      </c>
      <c r="H5187" s="2" t="s">
        <v>822</v>
      </c>
      <c r="J5187" s="31">
        <v>63.819698299999999</v>
      </c>
      <c r="K5187" s="31">
        <v>-17.0016003</v>
      </c>
      <c r="L5187" s="31"/>
      <c r="M5187" s="31" t="s">
        <v>854</v>
      </c>
      <c r="N5187" s="6" t="s">
        <v>856</v>
      </c>
    </row>
    <row r="5188" spans="1:14" ht="15" customHeight="1" x14ac:dyDescent="0.2">
      <c r="A5188" s="31">
        <v>0.41120674851716382</v>
      </c>
      <c r="B5188" s="31"/>
      <c r="C5188" s="2" t="s">
        <v>855</v>
      </c>
      <c r="D5188" s="31">
        <f t="shared" si="165"/>
        <v>8.0596522709364113E-2</v>
      </c>
      <c r="F5188" s="2" t="s">
        <v>822</v>
      </c>
      <c r="G5188" s="23" t="s">
        <v>902</v>
      </c>
      <c r="H5188" s="2" t="s">
        <v>822</v>
      </c>
      <c r="J5188" s="31">
        <v>54.416801499999998</v>
      </c>
      <c r="K5188" s="31">
        <v>0.54350299999999996</v>
      </c>
      <c r="L5188" s="31"/>
      <c r="M5188" s="31" t="s">
        <v>854</v>
      </c>
      <c r="N5188" s="6" t="s">
        <v>856</v>
      </c>
    </row>
    <row r="5189" spans="1:14" ht="15" customHeight="1" x14ac:dyDescent="0.2">
      <c r="A5189" s="31">
        <v>0.41089362160045428</v>
      </c>
      <c r="B5189" s="31"/>
      <c r="C5189" s="2" t="s">
        <v>855</v>
      </c>
      <c r="D5189" s="31">
        <f t="shared" si="165"/>
        <v>8.0535149833689049E-2</v>
      </c>
      <c r="F5189" s="2" t="s">
        <v>822</v>
      </c>
      <c r="G5189" s="23" t="s">
        <v>902</v>
      </c>
      <c r="H5189" s="2" t="s">
        <v>822</v>
      </c>
      <c r="J5189" s="31">
        <v>57.707500500000002</v>
      </c>
      <c r="K5189" s="31">
        <v>-8.7948599000000005</v>
      </c>
      <c r="L5189" s="31"/>
      <c r="M5189" s="31" t="s">
        <v>854</v>
      </c>
      <c r="N5189" s="6" t="s">
        <v>856</v>
      </c>
    </row>
    <row r="5190" spans="1:14" ht="15" customHeight="1" x14ac:dyDescent="0.2">
      <c r="A5190" s="31">
        <v>0.41087074343052898</v>
      </c>
      <c r="B5190" s="31"/>
      <c r="C5190" s="2" t="s">
        <v>855</v>
      </c>
      <c r="D5190" s="31">
        <f t="shared" si="165"/>
        <v>8.0530665712383681E-2</v>
      </c>
      <c r="F5190" s="2" t="s">
        <v>822</v>
      </c>
      <c r="G5190" s="23" t="s">
        <v>902</v>
      </c>
      <c r="H5190" s="2" t="s">
        <v>822</v>
      </c>
      <c r="J5190" s="31">
        <v>63.383598300000003</v>
      </c>
      <c r="K5190" s="31">
        <v>-16.927200299999999</v>
      </c>
      <c r="L5190" s="31"/>
      <c r="M5190" s="31" t="s">
        <v>854</v>
      </c>
      <c r="N5190" s="6" t="s">
        <v>856</v>
      </c>
    </row>
    <row r="5191" spans="1:14" ht="15" customHeight="1" x14ac:dyDescent="0.2">
      <c r="A5191" s="31">
        <v>0.41007530571878298</v>
      </c>
      <c r="B5191" s="31"/>
      <c r="C5191" s="2" t="s">
        <v>855</v>
      </c>
      <c r="D5191" s="31">
        <f t="shared" si="165"/>
        <v>8.0374759920881472E-2</v>
      </c>
      <c r="F5191" s="2" t="s">
        <v>822</v>
      </c>
      <c r="G5191" s="23" t="s">
        <v>902</v>
      </c>
      <c r="H5191" s="2" t="s">
        <v>822</v>
      </c>
      <c r="J5191" s="31">
        <v>56.580100999999999</v>
      </c>
      <c r="K5191" s="31">
        <v>1.5629799999999999E-2</v>
      </c>
      <c r="L5191" s="31"/>
      <c r="M5191" s="31" t="s">
        <v>854</v>
      </c>
      <c r="N5191" s="6" t="s">
        <v>856</v>
      </c>
    </row>
    <row r="5192" spans="1:14" ht="15" customHeight="1" x14ac:dyDescent="0.2">
      <c r="A5192" s="31">
        <v>0.40989694701072282</v>
      </c>
      <c r="B5192" s="31"/>
      <c r="C5192" s="2" t="s">
        <v>855</v>
      </c>
      <c r="D5192" s="31">
        <f t="shared" si="165"/>
        <v>8.0339801614101675E-2</v>
      </c>
      <c r="F5192" s="2" t="s">
        <v>822</v>
      </c>
      <c r="G5192" s="23" t="s">
        <v>902</v>
      </c>
      <c r="H5192" s="2" t="s">
        <v>822</v>
      </c>
      <c r="J5192" s="31">
        <v>56.769001000000003</v>
      </c>
      <c r="K5192" s="31">
        <v>-13.167900100000001</v>
      </c>
      <c r="L5192" s="31"/>
      <c r="M5192" s="31" t="s">
        <v>854</v>
      </c>
      <c r="N5192" s="6" t="s">
        <v>856</v>
      </c>
    </row>
    <row r="5193" spans="1:14" ht="15" customHeight="1" x14ac:dyDescent="0.2">
      <c r="A5193" s="31">
        <v>0.4098241937665783</v>
      </c>
      <c r="B5193" s="31"/>
      <c r="C5193" s="2" t="s">
        <v>855</v>
      </c>
      <c r="D5193" s="31">
        <f t="shared" si="165"/>
        <v>8.0325541978249357E-2</v>
      </c>
      <c r="F5193" s="2" t="s">
        <v>822</v>
      </c>
      <c r="G5193" s="23" t="s">
        <v>902</v>
      </c>
      <c r="H5193" s="2" t="s">
        <v>822</v>
      </c>
      <c r="J5193" s="31">
        <v>55.959598499999998</v>
      </c>
      <c r="K5193" s="31">
        <v>10.9757996</v>
      </c>
      <c r="L5193" s="31"/>
      <c r="M5193" s="31" t="s">
        <v>854</v>
      </c>
      <c r="N5193" s="6" t="s">
        <v>856</v>
      </c>
    </row>
    <row r="5194" spans="1:14" ht="15" customHeight="1" x14ac:dyDescent="0.2">
      <c r="A5194" s="31">
        <v>0.40973001438332901</v>
      </c>
      <c r="B5194" s="31"/>
      <c r="C5194" s="2" t="s">
        <v>855</v>
      </c>
      <c r="D5194" s="31">
        <f t="shared" si="165"/>
        <v>8.0307082819132486E-2</v>
      </c>
      <c r="F5194" s="2" t="s">
        <v>822</v>
      </c>
      <c r="G5194" s="23" t="s">
        <v>902</v>
      </c>
      <c r="H5194" s="2" t="s">
        <v>822</v>
      </c>
      <c r="J5194" s="31">
        <v>55.234100300000001</v>
      </c>
      <c r="K5194" s="31">
        <v>1.5625599999999999</v>
      </c>
      <c r="L5194" s="31"/>
      <c r="M5194" s="31" t="s">
        <v>854</v>
      </c>
      <c r="N5194" s="6" t="s">
        <v>856</v>
      </c>
    </row>
    <row r="5195" spans="1:14" ht="15" customHeight="1" x14ac:dyDescent="0.2">
      <c r="A5195" s="31">
        <v>0.40960271569977807</v>
      </c>
      <c r="B5195" s="31"/>
      <c r="C5195" s="2" t="s">
        <v>855</v>
      </c>
      <c r="D5195" s="31">
        <f t="shared" si="165"/>
        <v>8.0282132277156512E-2</v>
      </c>
      <c r="F5195" s="2" t="s">
        <v>822</v>
      </c>
      <c r="G5195" s="23" t="s">
        <v>902</v>
      </c>
      <c r="H5195" s="2" t="s">
        <v>822</v>
      </c>
      <c r="J5195" s="31">
        <v>56.099998499999998</v>
      </c>
      <c r="K5195" s="31">
        <v>-9.1599997999999996</v>
      </c>
      <c r="L5195" s="31"/>
      <c r="M5195" s="31" t="s">
        <v>854</v>
      </c>
      <c r="N5195" s="6" t="s">
        <v>856</v>
      </c>
    </row>
    <row r="5196" spans="1:14" ht="15" customHeight="1" x14ac:dyDescent="0.2">
      <c r="A5196" s="31">
        <v>0.40948892563666961</v>
      </c>
      <c r="B5196" s="31"/>
      <c r="C5196" s="2" t="s">
        <v>855</v>
      </c>
      <c r="D5196" s="31">
        <f t="shared" si="165"/>
        <v>8.0259829424787252E-2</v>
      </c>
      <c r="F5196" s="2" t="s">
        <v>822</v>
      </c>
      <c r="G5196" s="23" t="s">
        <v>902</v>
      </c>
      <c r="H5196" s="2" t="s">
        <v>822</v>
      </c>
      <c r="J5196" s="31">
        <v>56.786899599999998</v>
      </c>
      <c r="K5196" s="31">
        <v>-13.7309999</v>
      </c>
      <c r="L5196" s="31"/>
      <c r="M5196" s="31" t="s">
        <v>854</v>
      </c>
      <c r="N5196" s="6" t="s">
        <v>856</v>
      </c>
    </row>
    <row r="5197" spans="1:14" ht="15" customHeight="1" x14ac:dyDescent="0.2">
      <c r="A5197" s="31">
        <v>0.40922441541281579</v>
      </c>
      <c r="B5197" s="31"/>
      <c r="C5197" s="2" t="s">
        <v>855</v>
      </c>
      <c r="D5197" s="31">
        <f t="shared" si="165"/>
        <v>8.0207985420911898E-2</v>
      </c>
      <c r="F5197" s="2" t="s">
        <v>822</v>
      </c>
      <c r="G5197" s="23" t="s">
        <v>902</v>
      </c>
      <c r="H5197" s="2" t="s">
        <v>822</v>
      </c>
      <c r="J5197" s="31">
        <v>50.724201200000003</v>
      </c>
      <c r="K5197" s="31">
        <v>-29.903200099999999</v>
      </c>
      <c r="L5197" s="31"/>
      <c r="M5197" s="31" t="s">
        <v>854</v>
      </c>
      <c r="N5197" s="6" t="s">
        <v>856</v>
      </c>
    </row>
    <row r="5198" spans="1:14" ht="15" customHeight="1" x14ac:dyDescent="0.2">
      <c r="A5198" s="31">
        <v>0.40899419133303921</v>
      </c>
      <c r="B5198" s="31"/>
      <c r="C5198" s="2" t="s">
        <v>855</v>
      </c>
      <c r="D5198" s="31">
        <f t="shared" si="165"/>
        <v>8.016286150127569E-2</v>
      </c>
      <c r="F5198" s="2" t="s">
        <v>822</v>
      </c>
      <c r="G5198" s="23" t="s">
        <v>902</v>
      </c>
      <c r="H5198" s="2" t="s">
        <v>822</v>
      </c>
      <c r="J5198" s="31">
        <v>51.371700300000001</v>
      </c>
      <c r="K5198" s="31">
        <v>2.5088301</v>
      </c>
      <c r="L5198" s="31"/>
      <c r="M5198" s="31" t="s">
        <v>854</v>
      </c>
      <c r="N5198" s="6" t="s">
        <v>856</v>
      </c>
    </row>
    <row r="5199" spans="1:14" ht="15" customHeight="1" x14ac:dyDescent="0.2">
      <c r="A5199" s="31">
        <v>0.4088679265664224</v>
      </c>
      <c r="B5199" s="31"/>
      <c r="C5199" s="2" t="s">
        <v>855</v>
      </c>
      <c r="D5199" s="31">
        <f t="shared" si="165"/>
        <v>8.0138113607018793E-2</v>
      </c>
      <c r="F5199" s="2" t="s">
        <v>822</v>
      </c>
      <c r="G5199" s="23" t="s">
        <v>902</v>
      </c>
      <c r="H5199" s="2" t="s">
        <v>822</v>
      </c>
      <c r="J5199" s="31">
        <v>56.099998499999998</v>
      </c>
      <c r="K5199" s="31">
        <v>7.4718399</v>
      </c>
      <c r="L5199" s="31"/>
      <c r="M5199" s="31" t="s">
        <v>854</v>
      </c>
      <c r="N5199" s="6" t="s">
        <v>856</v>
      </c>
    </row>
    <row r="5200" spans="1:14" ht="15" customHeight="1" x14ac:dyDescent="0.2">
      <c r="A5200" s="31">
        <v>0.40875668057484082</v>
      </c>
      <c r="B5200" s="31"/>
      <c r="C5200" s="2" t="s">
        <v>855</v>
      </c>
      <c r="D5200" s="31">
        <f t="shared" si="165"/>
        <v>8.0116309392668811E-2</v>
      </c>
      <c r="F5200" s="2" t="s">
        <v>822</v>
      </c>
      <c r="G5200" s="23" t="s">
        <v>902</v>
      </c>
      <c r="H5200" s="2" t="s">
        <v>822</v>
      </c>
      <c r="J5200" s="31">
        <v>53.540698999999996</v>
      </c>
      <c r="K5200" s="31">
        <v>-17.223800700000002</v>
      </c>
      <c r="L5200" s="31"/>
      <c r="M5200" s="31" t="s">
        <v>854</v>
      </c>
      <c r="N5200" s="6" t="s">
        <v>856</v>
      </c>
    </row>
    <row r="5201" spans="1:14" ht="15" customHeight="1" x14ac:dyDescent="0.2">
      <c r="A5201" s="31">
        <v>0.40859389642537558</v>
      </c>
      <c r="B5201" s="31"/>
      <c r="C5201" s="2" t="s">
        <v>855</v>
      </c>
      <c r="D5201" s="31">
        <f t="shared" si="165"/>
        <v>8.0084403699373613E-2</v>
      </c>
      <c r="F5201" s="2" t="s">
        <v>822</v>
      </c>
      <c r="G5201" s="23" t="s">
        <v>902</v>
      </c>
      <c r="H5201" s="2" t="s">
        <v>822</v>
      </c>
      <c r="J5201" s="31">
        <v>48.751998899999997</v>
      </c>
      <c r="K5201" s="31">
        <v>-33.875999499999999</v>
      </c>
      <c r="L5201" s="31"/>
      <c r="M5201" s="31" t="s">
        <v>854</v>
      </c>
      <c r="N5201" s="6" t="s">
        <v>856</v>
      </c>
    </row>
    <row r="5202" spans="1:14" ht="15" customHeight="1" x14ac:dyDescent="0.2">
      <c r="A5202" s="31">
        <v>0.40838869036178971</v>
      </c>
      <c r="B5202" s="31"/>
      <c r="C5202" s="2" t="s">
        <v>855</v>
      </c>
      <c r="D5202" s="31">
        <f t="shared" si="165"/>
        <v>8.0044183310910788E-2</v>
      </c>
      <c r="F5202" s="2" t="s">
        <v>822</v>
      </c>
      <c r="G5202" s="23" t="s">
        <v>902</v>
      </c>
      <c r="H5202" s="2" t="s">
        <v>822</v>
      </c>
      <c r="J5202" s="31">
        <v>56.8307991</v>
      </c>
      <c r="K5202" s="31">
        <v>-2.0791599999999999</v>
      </c>
      <c r="L5202" s="31"/>
      <c r="M5202" s="31" t="s">
        <v>854</v>
      </c>
      <c r="N5202" s="6" t="s">
        <v>856</v>
      </c>
    </row>
    <row r="5203" spans="1:14" ht="15" customHeight="1" x14ac:dyDescent="0.2">
      <c r="A5203" s="31">
        <v>0.40835008343942969</v>
      </c>
      <c r="B5203" s="31"/>
      <c r="C5203" s="2" t="s">
        <v>855</v>
      </c>
      <c r="D5203" s="31">
        <f t="shared" si="165"/>
        <v>8.0036616354128218E-2</v>
      </c>
      <c r="F5203" s="2" t="s">
        <v>822</v>
      </c>
      <c r="G5203" s="23" t="s">
        <v>902</v>
      </c>
      <c r="H5203" s="2" t="s">
        <v>822</v>
      </c>
      <c r="J5203" s="31">
        <v>54.016201000000002</v>
      </c>
      <c r="K5203" s="31">
        <v>1.5647399</v>
      </c>
      <c r="L5203" s="31"/>
      <c r="M5203" s="31" t="s">
        <v>854</v>
      </c>
      <c r="N5203" s="6" t="s">
        <v>856</v>
      </c>
    </row>
    <row r="5204" spans="1:14" ht="15" customHeight="1" x14ac:dyDescent="0.2">
      <c r="A5204" s="31">
        <v>0.40828988574755898</v>
      </c>
      <c r="B5204" s="31"/>
      <c r="C5204" s="2" t="s">
        <v>855</v>
      </c>
      <c r="D5204" s="31">
        <f t="shared" si="165"/>
        <v>8.0024817606521567E-2</v>
      </c>
      <c r="F5204" s="2" t="s">
        <v>822</v>
      </c>
      <c r="G5204" s="23" t="s">
        <v>902</v>
      </c>
      <c r="H5204" s="2" t="s">
        <v>822</v>
      </c>
      <c r="J5204" s="31">
        <v>60.108001700000003</v>
      </c>
      <c r="K5204" s="31">
        <v>-23.856000900000002</v>
      </c>
      <c r="L5204" s="31"/>
      <c r="M5204" s="31" t="s">
        <v>854</v>
      </c>
      <c r="N5204" s="6" t="s">
        <v>856</v>
      </c>
    </row>
    <row r="5205" spans="1:14" ht="15" customHeight="1" x14ac:dyDescent="0.2">
      <c r="A5205" s="31">
        <v>0.40815682279151549</v>
      </c>
      <c r="B5205" s="31"/>
      <c r="C5205" s="2" t="s">
        <v>855</v>
      </c>
      <c r="D5205" s="31">
        <f t="shared" si="165"/>
        <v>7.9998737267137035E-2</v>
      </c>
      <c r="F5205" s="2" t="s">
        <v>822</v>
      </c>
      <c r="G5205" s="23" t="s">
        <v>902</v>
      </c>
      <c r="H5205" s="2" t="s">
        <v>822</v>
      </c>
      <c r="J5205" s="31">
        <v>53.832599600000002</v>
      </c>
      <c r="K5205" s="31">
        <v>4.9698399999999996</v>
      </c>
      <c r="L5205" s="31"/>
      <c r="M5205" s="31" t="s">
        <v>854</v>
      </c>
      <c r="N5205" s="6" t="s">
        <v>856</v>
      </c>
    </row>
    <row r="5206" spans="1:14" ht="15" customHeight="1" x14ac:dyDescent="0.2">
      <c r="A5206" s="31">
        <v>0.40770475579632309</v>
      </c>
      <c r="B5206" s="31"/>
      <c r="C5206" s="2" t="s">
        <v>855</v>
      </c>
      <c r="D5206" s="31">
        <f t="shared" si="165"/>
        <v>7.9910132136079323E-2</v>
      </c>
      <c r="F5206" s="2" t="s">
        <v>822</v>
      </c>
      <c r="G5206" s="23" t="s">
        <v>902</v>
      </c>
      <c r="H5206" s="2" t="s">
        <v>822</v>
      </c>
      <c r="J5206" s="31">
        <v>51.705600699999998</v>
      </c>
      <c r="K5206" s="31">
        <v>3.2178399999999998</v>
      </c>
      <c r="L5206" s="31"/>
      <c r="M5206" s="31" t="s">
        <v>854</v>
      </c>
      <c r="N5206" s="6" t="s">
        <v>856</v>
      </c>
    </row>
    <row r="5207" spans="1:14" ht="15" customHeight="1" x14ac:dyDescent="0.2">
      <c r="A5207" s="31">
        <v>0.40739429394428028</v>
      </c>
      <c r="B5207" s="31"/>
      <c r="C5207" s="2" t="s">
        <v>855</v>
      </c>
      <c r="D5207" s="31">
        <f t="shared" si="165"/>
        <v>7.9849281613078943E-2</v>
      </c>
      <c r="F5207" s="2" t="s">
        <v>822</v>
      </c>
      <c r="G5207" s="23" t="s">
        <v>902</v>
      </c>
      <c r="H5207" s="2" t="s">
        <v>822</v>
      </c>
      <c r="J5207" s="31">
        <v>55.627498600000003</v>
      </c>
      <c r="K5207" s="31">
        <v>-9.5306996999999996</v>
      </c>
      <c r="L5207" s="31"/>
      <c r="M5207" s="31" t="s">
        <v>854</v>
      </c>
      <c r="N5207" s="6" t="s">
        <v>856</v>
      </c>
    </row>
    <row r="5208" spans="1:14" ht="15" customHeight="1" x14ac:dyDescent="0.2">
      <c r="A5208" s="31">
        <v>0.40718505167301888</v>
      </c>
      <c r="B5208" s="31"/>
      <c r="C5208" s="2" t="s">
        <v>855</v>
      </c>
      <c r="D5208" s="31">
        <f t="shared" si="165"/>
        <v>7.980827012791171E-2</v>
      </c>
      <c r="F5208" s="2" t="s">
        <v>822</v>
      </c>
      <c r="G5208" s="23" t="s">
        <v>902</v>
      </c>
      <c r="H5208" s="2" t="s">
        <v>822</v>
      </c>
      <c r="J5208" s="31">
        <v>51.705600699999998</v>
      </c>
      <c r="K5208" s="31">
        <v>-19.054199199999999</v>
      </c>
      <c r="L5208" s="31"/>
      <c r="M5208" s="31" t="s">
        <v>854</v>
      </c>
      <c r="N5208" s="6" t="s">
        <v>856</v>
      </c>
    </row>
    <row r="5209" spans="1:14" ht="15" customHeight="1" x14ac:dyDescent="0.2">
      <c r="A5209" s="31">
        <v>0.40707911153023058</v>
      </c>
      <c r="B5209" s="31"/>
      <c r="C5209" s="2" t="s">
        <v>855</v>
      </c>
      <c r="D5209" s="31">
        <f t="shared" si="165"/>
        <v>7.9787505859925195E-2</v>
      </c>
      <c r="F5209" s="2" t="s">
        <v>822</v>
      </c>
      <c r="G5209" s="23" t="s">
        <v>902</v>
      </c>
      <c r="H5209" s="2" t="s">
        <v>822</v>
      </c>
      <c r="J5209" s="31">
        <v>54.277198800000001</v>
      </c>
      <c r="K5209" s="31">
        <v>15.2298002</v>
      </c>
      <c r="L5209" s="31"/>
      <c r="M5209" s="31" t="s">
        <v>854</v>
      </c>
      <c r="N5209" s="6" t="s">
        <v>856</v>
      </c>
    </row>
    <row r="5210" spans="1:14" ht="15" customHeight="1" x14ac:dyDescent="0.2">
      <c r="A5210" s="31">
        <v>0.40690917671416232</v>
      </c>
      <c r="B5210" s="31"/>
      <c r="C5210" s="2" t="s">
        <v>855</v>
      </c>
      <c r="D5210" s="31">
        <f t="shared" si="165"/>
        <v>7.9754198635975812E-2</v>
      </c>
      <c r="F5210" s="2" t="s">
        <v>822</v>
      </c>
      <c r="G5210" s="23" t="s">
        <v>902</v>
      </c>
      <c r="H5210" s="2" t="s">
        <v>822</v>
      </c>
      <c r="J5210" s="31">
        <v>43.332000700000002</v>
      </c>
      <c r="K5210" s="31">
        <v>-39.876098599999999</v>
      </c>
      <c r="L5210" s="31"/>
      <c r="M5210" s="31" t="s">
        <v>854</v>
      </c>
      <c r="N5210" s="6" t="s">
        <v>856</v>
      </c>
    </row>
    <row r="5211" spans="1:14" ht="15" customHeight="1" x14ac:dyDescent="0.2">
      <c r="A5211" s="31">
        <v>0.40681254482103962</v>
      </c>
      <c r="B5211" s="31"/>
      <c r="C5211" s="2" t="s">
        <v>855</v>
      </c>
      <c r="D5211" s="31">
        <f t="shared" si="165"/>
        <v>7.9735258784923768E-2</v>
      </c>
      <c r="F5211" s="2" t="s">
        <v>822</v>
      </c>
      <c r="G5211" s="23" t="s">
        <v>902</v>
      </c>
      <c r="H5211" s="2" t="s">
        <v>822</v>
      </c>
      <c r="J5211" s="31">
        <v>50.917999299999998</v>
      </c>
      <c r="K5211" s="31">
        <v>-22.578699100000001</v>
      </c>
      <c r="L5211" s="31"/>
      <c r="M5211" s="31" t="s">
        <v>854</v>
      </c>
      <c r="N5211" s="6" t="s">
        <v>856</v>
      </c>
    </row>
    <row r="5212" spans="1:14" ht="15" customHeight="1" x14ac:dyDescent="0.2">
      <c r="A5212" s="31">
        <v>0.40666406721187209</v>
      </c>
      <c r="B5212" s="31"/>
      <c r="C5212" s="2" t="s">
        <v>855</v>
      </c>
      <c r="D5212" s="31">
        <f t="shared" si="165"/>
        <v>7.9706157173526929E-2</v>
      </c>
      <c r="F5212" s="2" t="s">
        <v>822</v>
      </c>
      <c r="G5212" s="23" t="s">
        <v>902</v>
      </c>
      <c r="H5212" s="2" t="s">
        <v>822</v>
      </c>
      <c r="J5212" s="31">
        <v>53.408298500000001</v>
      </c>
      <c r="K5212" s="31">
        <v>-15.1368999</v>
      </c>
      <c r="L5212" s="31"/>
      <c r="M5212" s="31" t="s">
        <v>854</v>
      </c>
      <c r="N5212" s="6" t="s">
        <v>856</v>
      </c>
    </row>
    <row r="5213" spans="1:14" ht="15" customHeight="1" x14ac:dyDescent="0.2">
      <c r="A5213" s="31">
        <v>0.40661900455369993</v>
      </c>
      <c r="B5213" s="31"/>
      <c r="C5213" s="2" t="s">
        <v>855</v>
      </c>
      <c r="D5213" s="31">
        <f t="shared" si="165"/>
        <v>7.9697324892525193E-2</v>
      </c>
      <c r="F5213" s="2" t="s">
        <v>822</v>
      </c>
      <c r="G5213" s="23" t="s">
        <v>902</v>
      </c>
      <c r="H5213" s="2" t="s">
        <v>822</v>
      </c>
      <c r="J5213" s="31">
        <v>50.088001300000002</v>
      </c>
      <c r="K5213" s="31">
        <v>-33.875999499999999</v>
      </c>
      <c r="L5213" s="31"/>
      <c r="M5213" s="31" t="s">
        <v>854</v>
      </c>
      <c r="N5213" s="6" t="s">
        <v>856</v>
      </c>
    </row>
    <row r="5214" spans="1:14" ht="15" customHeight="1" x14ac:dyDescent="0.2">
      <c r="A5214" s="31">
        <v>0.40657552124841362</v>
      </c>
      <c r="B5214" s="31"/>
      <c r="C5214" s="2" t="s">
        <v>855</v>
      </c>
      <c r="D5214" s="31">
        <f t="shared" si="165"/>
        <v>7.9688802164689071E-2</v>
      </c>
      <c r="F5214" s="2" t="s">
        <v>822</v>
      </c>
      <c r="G5214" s="23" t="s">
        <v>902</v>
      </c>
      <c r="H5214" s="2" t="s">
        <v>822</v>
      </c>
      <c r="J5214" s="31">
        <v>50.756000499999999</v>
      </c>
      <c r="K5214" s="31">
        <v>-30.5359993</v>
      </c>
      <c r="L5214" s="31"/>
      <c r="M5214" s="31" t="s">
        <v>854</v>
      </c>
      <c r="N5214" s="6" t="s">
        <v>856</v>
      </c>
    </row>
    <row r="5215" spans="1:14" ht="15" customHeight="1" x14ac:dyDescent="0.2">
      <c r="A5215" s="31">
        <v>0.40616566120554448</v>
      </c>
      <c r="B5215" s="31"/>
      <c r="C5215" s="2" t="s">
        <v>855</v>
      </c>
      <c r="D5215" s="31">
        <f t="shared" si="165"/>
        <v>7.9608469596286716E-2</v>
      </c>
      <c r="F5215" s="2" t="s">
        <v>822</v>
      </c>
      <c r="G5215" s="23" t="s">
        <v>902</v>
      </c>
      <c r="H5215" s="2" t="s">
        <v>822</v>
      </c>
      <c r="J5215" s="31">
        <v>63.008598300000003</v>
      </c>
      <c r="K5215" s="31">
        <v>-24.3512001</v>
      </c>
      <c r="L5215" s="31"/>
      <c r="M5215" s="31" t="s">
        <v>854</v>
      </c>
      <c r="N5215" s="6" t="s">
        <v>856</v>
      </c>
    </row>
    <row r="5216" spans="1:14" ht="15" customHeight="1" x14ac:dyDescent="0.2">
      <c r="A5216" s="31">
        <v>0.406052432797954</v>
      </c>
      <c r="B5216" s="31"/>
      <c r="C5216" s="2" t="s">
        <v>855</v>
      </c>
      <c r="D5216" s="31">
        <f t="shared" si="165"/>
        <v>7.9586276828398986E-2</v>
      </c>
      <c r="F5216" s="2" t="s">
        <v>822</v>
      </c>
      <c r="G5216" s="23" t="s">
        <v>902</v>
      </c>
      <c r="H5216" s="2" t="s">
        <v>822</v>
      </c>
      <c r="J5216" s="31">
        <v>58.771999399999999</v>
      </c>
      <c r="K5216" s="31">
        <v>-5.8200002</v>
      </c>
      <c r="L5216" s="31"/>
      <c r="M5216" s="31" t="s">
        <v>854</v>
      </c>
      <c r="N5216" s="6" t="s">
        <v>856</v>
      </c>
    </row>
    <row r="5217" spans="1:14" ht="15" customHeight="1" x14ac:dyDescent="0.2">
      <c r="A5217" s="31">
        <v>0.40600659987289728</v>
      </c>
      <c r="B5217" s="31"/>
      <c r="C5217" s="2" t="s">
        <v>855</v>
      </c>
      <c r="D5217" s="31">
        <f t="shared" si="165"/>
        <v>7.9577293575087873E-2</v>
      </c>
      <c r="F5217" s="2" t="s">
        <v>822</v>
      </c>
      <c r="G5217" s="23" t="s">
        <v>902</v>
      </c>
      <c r="H5217" s="2" t="s">
        <v>822</v>
      </c>
      <c r="J5217" s="31">
        <v>47.416000400000001</v>
      </c>
      <c r="K5217" s="31">
        <v>-10.4960003</v>
      </c>
      <c r="L5217" s="31"/>
      <c r="M5217" s="31" t="s">
        <v>854</v>
      </c>
      <c r="N5217" s="6" t="s">
        <v>856</v>
      </c>
    </row>
    <row r="5218" spans="1:14" ht="15" customHeight="1" x14ac:dyDescent="0.2">
      <c r="A5218" s="31">
        <v>0.40598074714139498</v>
      </c>
      <c r="B5218" s="31"/>
      <c r="C5218" s="2" t="s">
        <v>855</v>
      </c>
      <c r="D5218" s="31">
        <f t="shared" si="165"/>
        <v>7.9572226439713414E-2</v>
      </c>
      <c r="F5218" s="2" t="s">
        <v>822</v>
      </c>
      <c r="G5218" s="23" t="s">
        <v>902</v>
      </c>
      <c r="H5218" s="2" t="s">
        <v>822</v>
      </c>
      <c r="J5218" s="31">
        <v>54.166599300000001</v>
      </c>
      <c r="K5218" s="31">
        <v>7.4718399</v>
      </c>
      <c r="L5218" s="31"/>
      <c r="M5218" s="31" t="s">
        <v>854</v>
      </c>
      <c r="N5218" s="6" t="s">
        <v>856</v>
      </c>
    </row>
    <row r="5219" spans="1:14" ht="15" customHeight="1" x14ac:dyDescent="0.2">
      <c r="A5219" s="31">
        <v>0.40578084245155382</v>
      </c>
      <c r="B5219" s="31"/>
      <c r="C5219" s="2" t="s">
        <v>855</v>
      </c>
      <c r="D5219" s="31">
        <f t="shared" si="165"/>
        <v>7.9533045120504547E-2</v>
      </c>
      <c r="F5219" s="2" t="s">
        <v>822</v>
      </c>
      <c r="G5219" s="23" t="s">
        <v>902</v>
      </c>
      <c r="H5219" s="2" t="s">
        <v>822</v>
      </c>
      <c r="J5219" s="31">
        <v>47.416000400000001</v>
      </c>
      <c r="K5219" s="31">
        <v>-24.5240002</v>
      </c>
      <c r="L5219" s="31"/>
      <c r="M5219" s="31" t="s">
        <v>854</v>
      </c>
      <c r="N5219" s="6" t="s">
        <v>856</v>
      </c>
    </row>
    <row r="5220" spans="1:14" ht="15" customHeight="1" x14ac:dyDescent="0.2">
      <c r="A5220" s="31">
        <v>0.40503382032266338</v>
      </c>
      <c r="B5220" s="31"/>
      <c r="C5220" s="2" t="s">
        <v>855</v>
      </c>
      <c r="D5220" s="31">
        <f t="shared" si="165"/>
        <v>7.9386628783242028E-2</v>
      </c>
      <c r="F5220" s="2" t="s">
        <v>822</v>
      </c>
      <c r="G5220" s="23" t="s">
        <v>902</v>
      </c>
      <c r="H5220" s="2" t="s">
        <v>822</v>
      </c>
      <c r="J5220" s="31">
        <v>64.184097300000005</v>
      </c>
      <c r="K5220" s="31">
        <v>-14.676299999999999</v>
      </c>
      <c r="L5220" s="31"/>
      <c r="M5220" s="31" t="s">
        <v>854</v>
      </c>
      <c r="N5220" s="6" t="s">
        <v>856</v>
      </c>
    </row>
    <row r="5221" spans="1:14" ht="15" customHeight="1" x14ac:dyDescent="0.2">
      <c r="A5221" s="31">
        <v>0.40490586515095289</v>
      </c>
      <c r="B5221" s="31"/>
      <c r="C5221" s="2" t="s">
        <v>855</v>
      </c>
      <c r="D5221" s="31">
        <f t="shared" si="165"/>
        <v>7.936154956958677E-2</v>
      </c>
      <c r="F5221" s="2" t="s">
        <v>822</v>
      </c>
      <c r="G5221" s="23" t="s">
        <v>902</v>
      </c>
      <c r="H5221" s="2" t="s">
        <v>822</v>
      </c>
      <c r="J5221" s="31">
        <v>50.3506012</v>
      </c>
      <c r="K5221" s="31">
        <v>-17.249200800000001</v>
      </c>
      <c r="L5221" s="31"/>
      <c r="M5221" s="31" t="s">
        <v>854</v>
      </c>
      <c r="N5221" s="6" t="s">
        <v>856</v>
      </c>
    </row>
    <row r="5222" spans="1:14" ht="15" customHeight="1" x14ac:dyDescent="0.2">
      <c r="A5222" s="31">
        <v>0.40474027898082698</v>
      </c>
      <c r="B5222" s="31"/>
      <c r="C5222" s="2" t="s">
        <v>855</v>
      </c>
      <c r="D5222" s="31">
        <f t="shared" si="165"/>
        <v>7.9329094680242088E-2</v>
      </c>
      <c r="F5222" s="2" t="s">
        <v>822</v>
      </c>
      <c r="G5222" s="23" t="s">
        <v>902</v>
      </c>
      <c r="H5222" s="2" t="s">
        <v>822</v>
      </c>
      <c r="J5222" s="31">
        <v>45.130199400000002</v>
      </c>
      <c r="K5222" s="31">
        <v>-20.435600300000001</v>
      </c>
      <c r="L5222" s="31"/>
      <c r="M5222" s="31" t="s">
        <v>854</v>
      </c>
      <c r="N5222" s="6" t="s">
        <v>856</v>
      </c>
    </row>
    <row r="5223" spans="1:14" ht="15" customHeight="1" x14ac:dyDescent="0.2">
      <c r="A5223" s="31">
        <v>0.40459366202800512</v>
      </c>
      <c r="B5223" s="31"/>
      <c r="C5223" s="2" t="s">
        <v>855</v>
      </c>
      <c r="D5223" s="31">
        <f t="shared" si="165"/>
        <v>7.9300357757489004E-2</v>
      </c>
      <c r="F5223" s="2" t="s">
        <v>822</v>
      </c>
      <c r="G5223" s="23" t="s">
        <v>902</v>
      </c>
      <c r="H5223" s="2" t="s">
        <v>822</v>
      </c>
      <c r="J5223" s="31">
        <v>56.528301200000001</v>
      </c>
      <c r="K5223" s="31">
        <v>12.0598001</v>
      </c>
      <c r="L5223" s="31"/>
      <c r="M5223" s="31" t="s">
        <v>854</v>
      </c>
      <c r="N5223" s="6" t="s">
        <v>856</v>
      </c>
    </row>
    <row r="5224" spans="1:14" ht="15" customHeight="1" x14ac:dyDescent="0.2">
      <c r="A5224" s="31">
        <v>0.40441858776843531</v>
      </c>
      <c r="B5224" s="31"/>
      <c r="C5224" s="2" t="s">
        <v>855</v>
      </c>
      <c r="D5224" s="31">
        <f t="shared" si="165"/>
        <v>7.9266043202613323E-2</v>
      </c>
      <c r="F5224" s="2" t="s">
        <v>822</v>
      </c>
      <c r="G5224" s="23" t="s">
        <v>902</v>
      </c>
      <c r="H5224" s="2" t="s">
        <v>822</v>
      </c>
      <c r="J5224" s="31">
        <v>57.714298200000002</v>
      </c>
      <c r="K5224" s="31">
        <v>-7.3766297999999999</v>
      </c>
      <c r="L5224" s="31"/>
      <c r="M5224" s="31" t="s">
        <v>854</v>
      </c>
      <c r="N5224" s="6" t="s">
        <v>856</v>
      </c>
    </row>
    <row r="5225" spans="1:14" ht="15" customHeight="1" x14ac:dyDescent="0.2">
      <c r="A5225" s="31">
        <v>0.40417474931872238</v>
      </c>
      <c r="B5225" s="31"/>
      <c r="C5225" s="2" t="s">
        <v>855</v>
      </c>
      <c r="D5225" s="31">
        <f t="shared" si="165"/>
        <v>7.9218250866469594E-2</v>
      </c>
      <c r="F5225" s="2" t="s">
        <v>822</v>
      </c>
      <c r="G5225" s="23" t="s">
        <v>902</v>
      </c>
      <c r="H5225" s="2" t="s">
        <v>822</v>
      </c>
      <c r="J5225" s="31">
        <v>46.078601800000001</v>
      </c>
      <c r="K5225" s="31">
        <v>-26.520500200000001</v>
      </c>
      <c r="L5225" s="31"/>
      <c r="M5225" s="31" t="s">
        <v>854</v>
      </c>
      <c r="N5225" s="6" t="s">
        <v>856</v>
      </c>
    </row>
    <row r="5226" spans="1:14" ht="15" customHeight="1" x14ac:dyDescent="0.2">
      <c r="A5226" s="31">
        <v>0.40391365716957062</v>
      </c>
      <c r="B5226" s="31"/>
      <c r="C5226" s="2" t="s">
        <v>855</v>
      </c>
      <c r="D5226" s="31">
        <f t="shared" si="165"/>
        <v>7.9167076805235839E-2</v>
      </c>
      <c r="F5226" s="2" t="s">
        <v>822</v>
      </c>
      <c r="G5226" s="23" t="s">
        <v>902</v>
      </c>
      <c r="H5226" s="2" t="s">
        <v>822</v>
      </c>
      <c r="J5226" s="31">
        <v>49.9557991</v>
      </c>
      <c r="K5226" s="31">
        <v>-1.13533</v>
      </c>
      <c r="L5226" s="31"/>
      <c r="M5226" s="31" t="s">
        <v>854</v>
      </c>
      <c r="N5226" s="6" t="s">
        <v>856</v>
      </c>
    </row>
    <row r="5227" spans="1:14" ht="15" customHeight="1" x14ac:dyDescent="0.2">
      <c r="A5227" s="31">
        <v>0.40387122090743438</v>
      </c>
      <c r="B5227" s="31"/>
      <c r="C5227" s="2" t="s">
        <v>855</v>
      </c>
      <c r="D5227" s="31">
        <f t="shared" si="165"/>
        <v>7.9158759297857137E-2</v>
      </c>
      <c r="F5227" s="2" t="s">
        <v>822</v>
      </c>
      <c r="G5227" s="23" t="s">
        <v>902</v>
      </c>
      <c r="H5227" s="2" t="s">
        <v>822</v>
      </c>
      <c r="J5227" s="31">
        <v>56.212100999999997</v>
      </c>
      <c r="K5227" s="31">
        <v>10.384400400000001</v>
      </c>
      <c r="L5227" s="31"/>
      <c r="M5227" s="31" t="s">
        <v>854</v>
      </c>
      <c r="N5227" s="6" t="s">
        <v>856</v>
      </c>
    </row>
    <row r="5228" spans="1:14" ht="15" customHeight="1" x14ac:dyDescent="0.2">
      <c r="A5228" s="31">
        <v>0.40360906862604279</v>
      </c>
      <c r="B5228" s="31"/>
      <c r="C5228" s="2" t="s">
        <v>855</v>
      </c>
      <c r="D5228" s="31">
        <f t="shared" si="165"/>
        <v>7.9107377450704383E-2</v>
      </c>
      <c r="F5228" s="2" t="s">
        <v>822</v>
      </c>
      <c r="G5228" s="23" t="s">
        <v>902</v>
      </c>
      <c r="H5228" s="2" t="s">
        <v>822</v>
      </c>
      <c r="J5228" s="31">
        <v>32.6902008</v>
      </c>
      <c r="K5228" s="31">
        <v>-16.058299999999999</v>
      </c>
      <c r="L5228" s="31"/>
      <c r="M5228" s="31" t="s">
        <v>854</v>
      </c>
      <c r="N5228" s="6" t="s">
        <v>856</v>
      </c>
    </row>
    <row r="5229" spans="1:14" ht="15" customHeight="1" x14ac:dyDescent="0.2">
      <c r="A5229" s="31">
        <v>0.40351781325498409</v>
      </c>
      <c r="B5229" s="31"/>
      <c r="C5229" s="2" t="s">
        <v>855</v>
      </c>
      <c r="D5229" s="31">
        <f t="shared" si="165"/>
        <v>7.9089491397976885E-2</v>
      </c>
      <c r="F5229" s="2" t="s">
        <v>822</v>
      </c>
      <c r="G5229" s="23" t="s">
        <v>902</v>
      </c>
      <c r="H5229" s="2" t="s">
        <v>822</v>
      </c>
      <c r="J5229" s="31">
        <v>47.417900099999997</v>
      </c>
      <c r="K5229" s="31">
        <v>-25.8393002</v>
      </c>
      <c r="L5229" s="31"/>
      <c r="M5229" s="31" t="s">
        <v>854</v>
      </c>
      <c r="N5229" s="6" t="s">
        <v>856</v>
      </c>
    </row>
    <row r="5230" spans="1:14" ht="15" customHeight="1" x14ac:dyDescent="0.2">
      <c r="A5230" s="31">
        <v>0.40338995552274398</v>
      </c>
      <c r="B5230" s="31"/>
      <c r="C5230" s="2" t="s">
        <v>855</v>
      </c>
      <c r="D5230" s="31">
        <f t="shared" si="165"/>
        <v>7.9064431282457825E-2</v>
      </c>
      <c r="F5230" s="2" t="s">
        <v>822</v>
      </c>
      <c r="G5230" s="23" t="s">
        <v>902</v>
      </c>
      <c r="H5230" s="2" t="s">
        <v>822</v>
      </c>
      <c r="J5230" s="31">
        <v>63.978298199999998</v>
      </c>
      <c r="K5230" s="31">
        <v>-15.8118</v>
      </c>
      <c r="L5230" s="31"/>
      <c r="M5230" s="31" t="s">
        <v>854</v>
      </c>
      <c r="N5230" s="6" t="s">
        <v>856</v>
      </c>
    </row>
    <row r="5231" spans="1:14" ht="15" customHeight="1" x14ac:dyDescent="0.2">
      <c r="A5231" s="31">
        <v>0.40326609314151218</v>
      </c>
      <c r="B5231" s="31"/>
      <c r="C5231" s="2" t="s">
        <v>855</v>
      </c>
      <c r="D5231" s="31">
        <f t="shared" si="165"/>
        <v>7.9040154255736392E-2</v>
      </c>
      <c r="F5231" s="2" t="s">
        <v>822</v>
      </c>
      <c r="G5231" s="23" t="s">
        <v>902</v>
      </c>
      <c r="H5231" s="2" t="s">
        <v>822</v>
      </c>
      <c r="J5231" s="31">
        <v>45.5154991</v>
      </c>
      <c r="K5231" s="31">
        <v>-17.207000699999998</v>
      </c>
      <c r="L5231" s="31"/>
      <c r="M5231" s="31" t="s">
        <v>854</v>
      </c>
      <c r="N5231" s="6" t="s">
        <v>856</v>
      </c>
    </row>
    <row r="5232" spans="1:14" ht="15" customHeight="1" x14ac:dyDescent="0.2">
      <c r="A5232" s="31">
        <v>0.4030549826587802</v>
      </c>
      <c r="B5232" s="31"/>
      <c r="C5232" s="2" t="s">
        <v>855</v>
      </c>
      <c r="D5232" s="31">
        <f t="shared" si="165"/>
        <v>7.8998776601120924E-2</v>
      </c>
      <c r="F5232" s="2" t="s">
        <v>822</v>
      </c>
      <c r="G5232" s="23" t="s">
        <v>902</v>
      </c>
      <c r="H5232" s="2" t="s">
        <v>822</v>
      </c>
      <c r="J5232" s="31">
        <v>52.096000699999998</v>
      </c>
      <c r="K5232" s="31">
        <v>-33.883701299999998</v>
      </c>
      <c r="L5232" s="31"/>
      <c r="M5232" s="31" t="s">
        <v>854</v>
      </c>
      <c r="N5232" s="6" t="s">
        <v>856</v>
      </c>
    </row>
    <row r="5233" spans="1:14" ht="15" customHeight="1" x14ac:dyDescent="0.2">
      <c r="A5233" s="31">
        <v>0.40281179616735241</v>
      </c>
      <c r="B5233" s="31"/>
      <c r="C5233" s="2" t="s">
        <v>855</v>
      </c>
      <c r="D5233" s="31">
        <f t="shared" si="165"/>
        <v>7.8951112048801078E-2</v>
      </c>
      <c r="F5233" s="2" t="s">
        <v>822</v>
      </c>
      <c r="G5233" s="23" t="s">
        <v>902</v>
      </c>
      <c r="H5233" s="2" t="s">
        <v>822</v>
      </c>
      <c r="J5233" s="31">
        <v>39.852401700000001</v>
      </c>
      <c r="K5233" s="31">
        <v>25.109899500000001</v>
      </c>
      <c r="L5233" s="31"/>
      <c r="M5233" s="31" t="s">
        <v>854</v>
      </c>
      <c r="N5233" s="6" t="s">
        <v>856</v>
      </c>
    </row>
    <row r="5234" spans="1:14" ht="15" customHeight="1" x14ac:dyDescent="0.2">
      <c r="A5234" s="31">
        <v>0.4026089224801444</v>
      </c>
      <c r="B5234" s="31"/>
      <c r="C5234" s="2" t="s">
        <v>855</v>
      </c>
      <c r="D5234" s="31">
        <f t="shared" si="165"/>
        <v>7.8911348806108311E-2</v>
      </c>
      <c r="F5234" s="2" t="s">
        <v>822</v>
      </c>
      <c r="G5234" s="23" t="s">
        <v>902</v>
      </c>
      <c r="H5234" s="2" t="s">
        <v>822</v>
      </c>
      <c r="J5234" s="31">
        <v>49.419998200000002</v>
      </c>
      <c r="K5234" s="31">
        <v>-32.540000900000003</v>
      </c>
      <c r="L5234" s="31"/>
      <c r="M5234" s="31" t="s">
        <v>854</v>
      </c>
      <c r="N5234" s="6" t="s">
        <v>856</v>
      </c>
    </row>
    <row r="5235" spans="1:14" ht="15" customHeight="1" x14ac:dyDescent="0.2">
      <c r="A5235" s="31">
        <v>0.40259200147663948</v>
      </c>
      <c r="B5235" s="31"/>
      <c r="C5235" s="2" t="s">
        <v>855</v>
      </c>
      <c r="D5235" s="31">
        <f t="shared" si="165"/>
        <v>7.8908032289421337E-2</v>
      </c>
      <c r="F5235" s="2" t="s">
        <v>822</v>
      </c>
      <c r="G5235" s="23" t="s">
        <v>902</v>
      </c>
      <c r="H5235" s="2" t="s">
        <v>822</v>
      </c>
      <c r="J5235" s="31">
        <v>53.979801199999997</v>
      </c>
      <c r="K5235" s="31">
        <v>0.95615499999999998</v>
      </c>
      <c r="L5235" s="31"/>
      <c r="M5235" s="31" t="s">
        <v>854</v>
      </c>
      <c r="N5235" s="6" t="s">
        <v>856</v>
      </c>
    </row>
    <row r="5236" spans="1:14" ht="15" customHeight="1" x14ac:dyDescent="0.2">
      <c r="A5236" s="31">
        <v>0.40173270945218892</v>
      </c>
      <c r="B5236" s="31"/>
      <c r="C5236" s="2" t="s">
        <v>855</v>
      </c>
      <c r="D5236" s="31">
        <f t="shared" si="165"/>
        <v>7.8739611052629027E-2</v>
      </c>
      <c r="F5236" s="2" t="s">
        <v>822</v>
      </c>
      <c r="G5236" s="23" t="s">
        <v>902</v>
      </c>
      <c r="H5236" s="2" t="s">
        <v>822</v>
      </c>
      <c r="J5236" s="31">
        <v>58.7411995</v>
      </c>
      <c r="K5236" s="31">
        <v>5.06006</v>
      </c>
      <c r="L5236" s="31"/>
      <c r="M5236" s="31" t="s">
        <v>854</v>
      </c>
      <c r="N5236" s="6" t="s">
        <v>856</v>
      </c>
    </row>
    <row r="5237" spans="1:14" ht="15" customHeight="1" x14ac:dyDescent="0.2">
      <c r="A5237" s="31">
        <v>0.40141263153239137</v>
      </c>
      <c r="B5237" s="31"/>
      <c r="C5237" s="2" t="s">
        <v>855</v>
      </c>
      <c r="D5237" s="31">
        <f t="shared" si="165"/>
        <v>7.867687578034871E-2</v>
      </c>
      <c r="F5237" s="2" t="s">
        <v>822</v>
      </c>
      <c r="G5237" s="23" t="s">
        <v>902</v>
      </c>
      <c r="H5237" s="2" t="s">
        <v>822</v>
      </c>
      <c r="J5237" s="31">
        <v>56.293598199999998</v>
      </c>
      <c r="K5237" s="31">
        <v>-1.8833299999999999</v>
      </c>
      <c r="L5237" s="31"/>
      <c r="M5237" s="31" t="s">
        <v>854</v>
      </c>
      <c r="N5237" s="6" t="s">
        <v>856</v>
      </c>
    </row>
    <row r="5238" spans="1:14" ht="15" customHeight="1" x14ac:dyDescent="0.2">
      <c r="A5238" s="31">
        <v>0.40066288054329918</v>
      </c>
      <c r="B5238" s="31"/>
      <c r="C5238" s="2" t="s">
        <v>855</v>
      </c>
      <c r="D5238" s="31">
        <f t="shared" si="165"/>
        <v>7.8529924586486638E-2</v>
      </c>
      <c r="F5238" s="2" t="s">
        <v>822</v>
      </c>
      <c r="G5238" s="23" t="s">
        <v>902</v>
      </c>
      <c r="H5238" s="2" t="s">
        <v>822</v>
      </c>
      <c r="J5238" s="31">
        <v>30.048000300000002</v>
      </c>
      <c r="K5238" s="31">
        <v>-21.851999299999999</v>
      </c>
      <c r="L5238" s="31"/>
      <c r="M5238" s="31" t="s">
        <v>854</v>
      </c>
      <c r="N5238" s="6" t="s">
        <v>856</v>
      </c>
    </row>
    <row r="5239" spans="1:14" ht="15" customHeight="1" x14ac:dyDescent="0.2">
      <c r="A5239" s="31">
        <v>0.40013902718938088</v>
      </c>
      <c r="B5239" s="31"/>
      <c r="C5239" s="2" t="s">
        <v>855</v>
      </c>
      <c r="D5239" s="31">
        <f t="shared" si="165"/>
        <v>7.8427249329118653E-2</v>
      </c>
      <c r="F5239" s="2" t="s">
        <v>822</v>
      </c>
      <c r="G5239" s="23" t="s">
        <v>902</v>
      </c>
      <c r="H5239" s="2" t="s">
        <v>822</v>
      </c>
      <c r="J5239" s="31">
        <v>30.673999800000001</v>
      </c>
      <c r="K5239" s="31">
        <v>-39.234401699999999</v>
      </c>
      <c r="L5239" s="31"/>
      <c r="M5239" s="31" t="s">
        <v>854</v>
      </c>
      <c r="N5239" s="6" t="s">
        <v>856</v>
      </c>
    </row>
    <row r="5240" spans="1:14" ht="15" customHeight="1" x14ac:dyDescent="0.2">
      <c r="A5240" s="31">
        <v>0.39997425789120739</v>
      </c>
      <c r="B5240" s="31"/>
      <c r="C5240" s="2" t="s">
        <v>855</v>
      </c>
      <c r="D5240" s="31">
        <f t="shared" si="165"/>
        <v>7.8394954546676651E-2</v>
      </c>
      <c r="F5240" s="2" t="s">
        <v>822</v>
      </c>
      <c r="G5240" s="23" t="s">
        <v>902</v>
      </c>
      <c r="H5240" s="2" t="s">
        <v>822</v>
      </c>
      <c r="J5240" s="31">
        <v>56.099998499999998</v>
      </c>
      <c r="K5240" s="31">
        <v>-11.1639996</v>
      </c>
      <c r="L5240" s="31"/>
      <c r="M5240" s="31" t="s">
        <v>854</v>
      </c>
      <c r="N5240" s="6" t="s">
        <v>856</v>
      </c>
    </row>
    <row r="5241" spans="1:14" ht="15" customHeight="1" x14ac:dyDescent="0.2">
      <c r="A5241" s="31">
        <v>0.39979676100428918</v>
      </c>
      <c r="B5241" s="31"/>
      <c r="C5241" s="2" t="s">
        <v>855</v>
      </c>
      <c r="D5241" s="31">
        <f t="shared" si="165"/>
        <v>7.8360165156840689E-2</v>
      </c>
      <c r="F5241" s="2" t="s">
        <v>822</v>
      </c>
      <c r="G5241" s="23" t="s">
        <v>902</v>
      </c>
      <c r="H5241" s="2" t="s">
        <v>822</v>
      </c>
      <c r="J5241" s="31">
        <v>53.832599600000002</v>
      </c>
      <c r="K5241" s="31">
        <v>4.2608398999999997</v>
      </c>
      <c r="L5241" s="31"/>
      <c r="M5241" s="31" t="s">
        <v>854</v>
      </c>
      <c r="N5241" s="6" t="s">
        <v>856</v>
      </c>
    </row>
    <row r="5242" spans="1:14" ht="15" customHeight="1" x14ac:dyDescent="0.2">
      <c r="A5242" s="31">
        <v>0.39961958055962848</v>
      </c>
      <c r="B5242" s="31"/>
      <c r="C5242" s="2" t="s">
        <v>855</v>
      </c>
      <c r="D5242" s="31">
        <f t="shared" si="165"/>
        <v>7.8325437789687188E-2</v>
      </c>
      <c r="F5242" s="2" t="s">
        <v>822</v>
      </c>
      <c r="G5242" s="23" t="s">
        <v>902</v>
      </c>
      <c r="H5242" s="2" t="s">
        <v>822</v>
      </c>
      <c r="J5242" s="31">
        <v>58.778400400000002</v>
      </c>
      <c r="K5242" s="31">
        <v>-5.2538198999999999</v>
      </c>
      <c r="L5242" s="31"/>
      <c r="M5242" s="31" t="s">
        <v>854</v>
      </c>
      <c r="N5242" s="6" t="s">
        <v>856</v>
      </c>
    </row>
    <row r="5243" spans="1:14" ht="15" customHeight="1" x14ac:dyDescent="0.2">
      <c r="A5243" s="31">
        <v>0.39897186074784707</v>
      </c>
      <c r="B5243" s="31"/>
      <c r="C5243" s="2" t="s">
        <v>855</v>
      </c>
      <c r="D5243" s="31">
        <f t="shared" si="165"/>
        <v>7.8198484706578031E-2</v>
      </c>
      <c r="F5243" s="2" t="s">
        <v>822</v>
      </c>
      <c r="G5243" s="23" t="s">
        <v>902</v>
      </c>
      <c r="H5243" s="2" t="s">
        <v>822</v>
      </c>
      <c r="J5243" s="31">
        <v>50.756000499999999</v>
      </c>
      <c r="K5243" s="31">
        <v>-19.1800003</v>
      </c>
      <c r="L5243" s="31"/>
      <c r="M5243" s="31" t="s">
        <v>854</v>
      </c>
      <c r="N5243" s="6" t="s">
        <v>856</v>
      </c>
    </row>
    <row r="5244" spans="1:14" ht="15" customHeight="1" x14ac:dyDescent="0.2">
      <c r="A5244" s="31">
        <v>0.39890638724928768</v>
      </c>
      <c r="B5244" s="31"/>
      <c r="C5244" s="2" t="s">
        <v>855</v>
      </c>
      <c r="D5244" s="31">
        <f t="shared" si="165"/>
        <v>7.8185651900860381E-2</v>
      </c>
      <c r="F5244" s="2" t="s">
        <v>822</v>
      </c>
      <c r="G5244" s="23" t="s">
        <v>902</v>
      </c>
      <c r="H5244" s="2" t="s">
        <v>822</v>
      </c>
      <c r="J5244" s="31">
        <v>50.588100400000002</v>
      </c>
      <c r="K5244" s="31">
        <v>-26.8404007</v>
      </c>
      <c r="L5244" s="31"/>
      <c r="M5244" s="31" t="s">
        <v>854</v>
      </c>
      <c r="N5244" s="6" t="s">
        <v>856</v>
      </c>
    </row>
    <row r="5245" spans="1:14" ht="15" customHeight="1" x14ac:dyDescent="0.2">
      <c r="A5245" s="31">
        <v>0.39868923085985758</v>
      </c>
      <c r="B5245" s="31"/>
      <c r="C5245" s="2" t="s">
        <v>855</v>
      </c>
      <c r="D5245" s="31">
        <f t="shared" si="165"/>
        <v>7.8143089248532083E-2</v>
      </c>
      <c r="F5245" s="2" t="s">
        <v>822</v>
      </c>
      <c r="G5245" s="23" t="s">
        <v>902</v>
      </c>
      <c r="H5245" s="2" t="s">
        <v>822</v>
      </c>
      <c r="J5245" s="31">
        <v>57.436000800000002</v>
      </c>
      <c r="K5245" s="31">
        <v>-27.195999100000002</v>
      </c>
      <c r="L5245" s="31"/>
      <c r="M5245" s="31" t="s">
        <v>854</v>
      </c>
      <c r="N5245" s="6" t="s">
        <v>856</v>
      </c>
    </row>
    <row r="5246" spans="1:14" ht="15" customHeight="1" x14ac:dyDescent="0.2">
      <c r="A5246" s="31">
        <v>0.39830869587764528</v>
      </c>
      <c r="B5246" s="31"/>
      <c r="C5246" s="2" t="s">
        <v>855</v>
      </c>
      <c r="D5246" s="31">
        <f t="shared" ref="D5246:D5278" si="166" xml:space="preserve"> A5246 * 0.196</f>
        <v>7.8068504392018484E-2</v>
      </c>
      <c r="F5246" s="2" t="s">
        <v>822</v>
      </c>
      <c r="G5246" s="23" t="s">
        <v>902</v>
      </c>
      <c r="H5246" s="2" t="s">
        <v>822</v>
      </c>
      <c r="J5246" s="31">
        <v>48.789901700000001</v>
      </c>
      <c r="K5246" s="31">
        <v>-27.2082996</v>
      </c>
      <c r="L5246" s="31"/>
      <c r="M5246" s="31" t="s">
        <v>854</v>
      </c>
      <c r="N5246" s="6" t="s">
        <v>856</v>
      </c>
    </row>
    <row r="5247" spans="1:14" ht="15" customHeight="1" x14ac:dyDescent="0.2">
      <c r="A5247" s="31">
        <v>0.39776337115443972</v>
      </c>
      <c r="B5247" s="31"/>
      <c r="C5247" s="2" t="s">
        <v>855</v>
      </c>
      <c r="D5247" s="31">
        <f t="shared" si="166"/>
        <v>7.7961620746270194E-2</v>
      </c>
      <c r="F5247" s="2" t="s">
        <v>822</v>
      </c>
      <c r="G5247" s="23" t="s">
        <v>902</v>
      </c>
      <c r="H5247" s="2" t="s">
        <v>822</v>
      </c>
      <c r="J5247" s="31">
        <v>53.430400800000001</v>
      </c>
      <c r="K5247" s="31">
        <v>-18.5016003</v>
      </c>
      <c r="L5247" s="31"/>
      <c r="M5247" s="31" t="s">
        <v>854</v>
      </c>
      <c r="N5247" s="6" t="s">
        <v>856</v>
      </c>
    </row>
    <row r="5248" spans="1:14" ht="15" customHeight="1" x14ac:dyDescent="0.2">
      <c r="A5248" s="31">
        <v>0.39769962253949731</v>
      </c>
      <c r="B5248" s="31"/>
      <c r="C5248" s="2" t="s">
        <v>855</v>
      </c>
      <c r="D5248" s="31">
        <f t="shared" si="166"/>
        <v>7.7949126017741482E-2</v>
      </c>
      <c r="F5248" s="2" t="s">
        <v>822</v>
      </c>
      <c r="G5248" s="23" t="s">
        <v>902</v>
      </c>
      <c r="H5248" s="2" t="s">
        <v>822</v>
      </c>
      <c r="J5248" s="31">
        <v>33.670501700000003</v>
      </c>
      <c r="K5248" s="31">
        <v>-32.100498199999997</v>
      </c>
      <c r="L5248" s="31"/>
      <c r="M5248" s="31" t="s">
        <v>854</v>
      </c>
      <c r="N5248" s="6" t="s">
        <v>856</v>
      </c>
    </row>
    <row r="5249" spans="1:14" ht="15" customHeight="1" x14ac:dyDescent="0.2">
      <c r="A5249" s="31">
        <v>0.39748734979468942</v>
      </c>
      <c r="B5249" s="31"/>
      <c r="C5249" s="2" t="s">
        <v>855</v>
      </c>
      <c r="D5249" s="31">
        <f t="shared" si="166"/>
        <v>7.7907520559759122E-2</v>
      </c>
      <c r="F5249" s="2" t="s">
        <v>822</v>
      </c>
      <c r="G5249" s="23" t="s">
        <v>902</v>
      </c>
      <c r="H5249" s="2" t="s">
        <v>822</v>
      </c>
      <c r="J5249" s="31">
        <v>50.079498299999997</v>
      </c>
      <c r="K5249" s="31">
        <v>-23.1825008</v>
      </c>
      <c r="L5249" s="31"/>
      <c r="M5249" s="31" t="s">
        <v>854</v>
      </c>
      <c r="N5249" s="6" t="s">
        <v>856</v>
      </c>
    </row>
    <row r="5250" spans="1:14" ht="15" customHeight="1" x14ac:dyDescent="0.2">
      <c r="A5250" s="31">
        <v>0.39719413130545272</v>
      </c>
      <c r="B5250" s="31"/>
      <c r="C5250" s="2" t="s">
        <v>855</v>
      </c>
      <c r="D5250" s="31">
        <f t="shared" si="166"/>
        <v>7.7850049735868732E-2</v>
      </c>
      <c r="F5250" s="2" t="s">
        <v>822</v>
      </c>
      <c r="G5250" s="23" t="s">
        <v>902</v>
      </c>
      <c r="H5250" s="2" t="s">
        <v>822</v>
      </c>
      <c r="J5250" s="31">
        <v>63.717601799999997</v>
      </c>
      <c r="K5250" s="31">
        <v>-23.267200500000001</v>
      </c>
      <c r="L5250" s="31"/>
      <c r="M5250" s="31" t="s">
        <v>854</v>
      </c>
      <c r="N5250" s="6" t="s">
        <v>856</v>
      </c>
    </row>
    <row r="5251" spans="1:14" ht="15" customHeight="1" x14ac:dyDescent="0.2">
      <c r="A5251" s="31">
        <v>0.39671832232842941</v>
      </c>
      <c r="B5251" s="31"/>
      <c r="C5251" s="2" t="s">
        <v>855</v>
      </c>
      <c r="D5251" s="31">
        <f t="shared" si="166"/>
        <v>7.7756791176372173E-2</v>
      </c>
      <c r="F5251" s="2" t="s">
        <v>822</v>
      </c>
      <c r="G5251" s="23" t="s">
        <v>902</v>
      </c>
      <c r="H5251" s="2" t="s">
        <v>822</v>
      </c>
      <c r="J5251" s="31">
        <v>32.022098499999998</v>
      </c>
      <c r="K5251" s="31">
        <v>-36.543399800000003</v>
      </c>
      <c r="L5251" s="31"/>
      <c r="M5251" s="31" t="s">
        <v>854</v>
      </c>
      <c r="N5251" s="6" t="s">
        <v>856</v>
      </c>
    </row>
    <row r="5252" spans="1:14" ht="15" customHeight="1" x14ac:dyDescent="0.2">
      <c r="A5252" s="31">
        <v>0.39660540055988469</v>
      </c>
      <c r="B5252" s="31"/>
      <c r="C5252" s="2" t="s">
        <v>855</v>
      </c>
      <c r="D5252" s="31">
        <f t="shared" si="166"/>
        <v>7.7734658509737403E-2</v>
      </c>
      <c r="F5252" s="2" t="s">
        <v>822</v>
      </c>
      <c r="G5252" s="23" t="s">
        <v>902</v>
      </c>
      <c r="H5252" s="2" t="s">
        <v>822</v>
      </c>
      <c r="J5252" s="31">
        <v>49.164001499999998</v>
      </c>
      <c r="K5252" s="31">
        <v>-2.8910201</v>
      </c>
      <c r="L5252" s="31"/>
      <c r="M5252" s="31" t="s">
        <v>854</v>
      </c>
      <c r="N5252" s="6" t="s">
        <v>856</v>
      </c>
    </row>
    <row r="5253" spans="1:14" ht="15" customHeight="1" x14ac:dyDescent="0.2">
      <c r="A5253" s="31">
        <v>0.39557474616790139</v>
      </c>
      <c r="B5253" s="31"/>
      <c r="C5253" s="2" t="s">
        <v>855</v>
      </c>
      <c r="D5253" s="31">
        <f t="shared" si="166"/>
        <v>7.753265024890868E-2</v>
      </c>
      <c r="F5253" s="2" t="s">
        <v>822</v>
      </c>
      <c r="G5253" s="23" t="s">
        <v>902</v>
      </c>
      <c r="H5253" s="2" t="s">
        <v>822</v>
      </c>
      <c r="J5253" s="31">
        <v>49.419998200000002</v>
      </c>
      <c r="K5253" s="31">
        <v>-26.527999900000001</v>
      </c>
      <c r="L5253" s="31"/>
      <c r="M5253" s="31" t="s">
        <v>854</v>
      </c>
      <c r="N5253" s="6" t="s">
        <v>856</v>
      </c>
    </row>
    <row r="5254" spans="1:14" ht="15" customHeight="1" x14ac:dyDescent="0.2">
      <c r="A5254" s="31">
        <v>0.39507688154474069</v>
      </c>
      <c r="B5254" s="31"/>
      <c r="C5254" s="2" t="s">
        <v>855</v>
      </c>
      <c r="D5254" s="31">
        <f t="shared" si="166"/>
        <v>7.7435068782769179E-2</v>
      </c>
      <c r="F5254" s="2" t="s">
        <v>822</v>
      </c>
      <c r="G5254" s="23" t="s">
        <v>902</v>
      </c>
      <c r="H5254" s="2" t="s">
        <v>822</v>
      </c>
      <c r="J5254" s="31">
        <v>54.777198800000001</v>
      </c>
      <c r="K5254" s="31">
        <v>1.5381899999999999</v>
      </c>
      <c r="L5254" s="31"/>
      <c r="M5254" s="31" t="s">
        <v>854</v>
      </c>
      <c r="N5254" s="6" t="s">
        <v>856</v>
      </c>
    </row>
    <row r="5255" spans="1:14" ht="15" customHeight="1" x14ac:dyDescent="0.2">
      <c r="A5255" s="31">
        <v>0.39435143773518022</v>
      </c>
      <c r="B5255" s="31"/>
      <c r="C5255" s="2" t="s">
        <v>855</v>
      </c>
      <c r="D5255" s="31">
        <f t="shared" si="166"/>
        <v>7.7292881796095322E-2</v>
      </c>
      <c r="F5255" s="2" t="s">
        <v>822</v>
      </c>
      <c r="G5255" s="23" t="s">
        <v>902</v>
      </c>
      <c r="H5255" s="2" t="s">
        <v>822</v>
      </c>
      <c r="J5255" s="31">
        <v>54.167301199999997</v>
      </c>
      <c r="K5255" s="31">
        <v>4.2007798999999997</v>
      </c>
      <c r="L5255" s="31"/>
      <c r="M5255" s="31" t="s">
        <v>854</v>
      </c>
      <c r="N5255" s="6" t="s">
        <v>856</v>
      </c>
    </row>
    <row r="5256" spans="1:14" ht="15" customHeight="1" x14ac:dyDescent="0.2">
      <c r="A5256" s="31">
        <v>0.39430952907491262</v>
      </c>
      <c r="B5256" s="31"/>
      <c r="C5256" s="2" t="s">
        <v>855</v>
      </c>
      <c r="D5256" s="31">
        <f t="shared" si="166"/>
        <v>7.7284667698682877E-2</v>
      </c>
      <c r="F5256" s="2" t="s">
        <v>822</v>
      </c>
      <c r="G5256" s="23" t="s">
        <v>902</v>
      </c>
      <c r="H5256" s="2" t="s">
        <v>822</v>
      </c>
      <c r="J5256" s="31">
        <v>57.3683014</v>
      </c>
      <c r="K5256" s="31">
        <v>-7.4145998999999998</v>
      </c>
      <c r="L5256" s="31"/>
      <c r="M5256" s="31" t="s">
        <v>854</v>
      </c>
      <c r="N5256" s="6" t="s">
        <v>856</v>
      </c>
    </row>
    <row r="5257" spans="1:14" ht="15" customHeight="1" x14ac:dyDescent="0.2">
      <c r="A5257" s="31">
        <v>0.39430778585544118</v>
      </c>
      <c r="B5257" s="31"/>
      <c r="C5257" s="2" t="s">
        <v>855</v>
      </c>
      <c r="D5257" s="31">
        <f t="shared" si="166"/>
        <v>7.7284326027666481E-2</v>
      </c>
      <c r="F5257" s="2" t="s">
        <v>822</v>
      </c>
      <c r="G5257" s="23" t="s">
        <v>902</v>
      </c>
      <c r="H5257" s="2" t="s">
        <v>822</v>
      </c>
      <c r="J5257" s="31">
        <v>55.2505989</v>
      </c>
      <c r="K5257" s="31">
        <v>3.5518401000000002</v>
      </c>
      <c r="L5257" s="31"/>
      <c r="M5257" s="31" t="s">
        <v>854</v>
      </c>
      <c r="N5257" s="6" t="s">
        <v>856</v>
      </c>
    </row>
    <row r="5258" spans="1:14" ht="15" customHeight="1" x14ac:dyDescent="0.2">
      <c r="A5258" s="31">
        <v>0.39425893227469128</v>
      </c>
      <c r="B5258" s="31"/>
      <c r="C5258" s="2" t="s">
        <v>855</v>
      </c>
      <c r="D5258" s="31">
        <f t="shared" si="166"/>
        <v>7.7274750725839489E-2</v>
      </c>
      <c r="F5258" s="2" t="s">
        <v>822</v>
      </c>
      <c r="G5258" s="23" t="s">
        <v>902</v>
      </c>
      <c r="H5258" s="2" t="s">
        <v>822</v>
      </c>
      <c r="J5258" s="31">
        <v>37.912498499999998</v>
      </c>
      <c r="K5258" s="31">
        <v>24.8687</v>
      </c>
      <c r="L5258" s="31"/>
      <c r="M5258" s="31" t="s">
        <v>854</v>
      </c>
      <c r="N5258" s="6" t="s">
        <v>856</v>
      </c>
    </row>
    <row r="5259" spans="1:14" ht="15" customHeight="1" x14ac:dyDescent="0.2">
      <c r="A5259" s="31">
        <v>0.39413157381292602</v>
      </c>
      <c r="B5259" s="31"/>
      <c r="C5259" s="2" t="s">
        <v>855</v>
      </c>
      <c r="D5259" s="31">
        <f t="shared" si="166"/>
        <v>7.7249788467333505E-2</v>
      </c>
      <c r="F5259" s="2" t="s">
        <v>822</v>
      </c>
      <c r="G5259" s="23" t="s">
        <v>902</v>
      </c>
      <c r="H5259" s="2" t="s">
        <v>822</v>
      </c>
      <c r="J5259" s="31">
        <v>46.755901299999998</v>
      </c>
      <c r="K5259" s="31">
        <v>-42.551998099999999</v>
      </c>
      <c r="L5259" s="31"/>
      <c r="M5259" s="31" t="s">
        <v>854</v>
      </c>
      <c r="N5259" s="6" t="s">
        <v>856</v>
      </c>
    </row>
    <row r="5260" spans="1:14" ht="15" customHeight="1" x14ac:dyDescent="0.2">
      <c r="A5260" s="31">
        <v>0.39337139706728791</v>
      </c>
      <c r="B5260" s="31"/>
      <c r="C5260" s="2" t="s">
        <v>855</v>
      </c>
      <c r="D5260" s="31">
        <f t="shared" si="166"/>
        <v>7.7100793825188432E-2</v>
      </c>
      <c r="F5260" s="2" t="s">
        <v>822</v>
      </c>
      <c r="G5260" s="23" t="s">
        <v>902</v>
      </c>
      <c r="H5260" s="2" t="s">
        <v>822</v>
      </c>
      <c r="J5260" s="31">
        <v>53.530101799999997</v>
      </c>
      <c r="K5260" s="31">
        <v>-4.2045697999999998</v>
      </c>
      <c r="L5260" s="31"/>
      <c r="M5260" s="31" t="s">
        <v>854</v>
      </c>
      <c r="N5260" s="6" t="s">
        <v>856</v>
      </c>
    </row>
    <row r="5261" spans="1:14" ht="15" customHeight="1" x14ac:dyDescent="0.2">
      <c r="A5261" s="31">
        <v>0.39309804116209018</v>
      </c>
      <c r="B5261" s="31"/>
      <c r="C5261" s="2" t="s">
        <v>855</v>
      </c>
      <c r="D5261" s="31">
        <f t="shared" si="166"/>
        <v>7.704721606776968E-2</v>
      </c>
      <c r="F5261" s="2" t="s">
        <v>822</v>
      </c>
      <c r="G5261" s="23" t="s">
        <v>902</v>
      </c>
      <c r="H5261" s="2" t="s">
        <v>822</v>
      </c>
      <c r="J5261" s="31">
        <v>52.955898300000001</v>
      </c>
      <c r="K5261" s="31">
        <v>0.36912</v>
      </c>
      <c r="L5261" s="31"/>
      <c r="M5261" s="31" t="s">
        <v>854</v>
      </c>
      <c r="N5261" s="6" t="s">
        <v>856</v>
      </c>
    </row>
    <row r="5262" spans="1:14" ht="15" customHeight="1" x14ac:dyDescent="0.2">
      <c r="A5262" s="31">
        <v>0.3926879221416496</v>
      </c>
      <c r="B5262" s="31"/>
      <c r="C5262" s="2" t="s">
        <v>855</v>
      </c>
      <c r="D5262" s="31">
        <f t="shared" si="166"/>
        <v>7.6966832739763319E-2</v>
      </c>
      <c r="F5262" s="2" t="s">
        <v>822</v>
      </c>
      <c r="G5262" s="23" t="s">
        <v>902</v>
      </c>
      <c r="H5262" s="2" t="s">
        <v>822</v>
      </c>
      <c r="J5262" s="31">
        <v>49.756198900000001</v>
      </c>
      <c r="K5262" s="31">
        <v>-1.37016</v>
      </c>
      <c r="L5262" s="31"/>
      <c r="M5262" s="31" t="s">
        <v>854</v>
      </c>
      <c r="N5262" s="6" t="s">
        <v>856</v>
      </c>
    </row>
    <row r="5263" spans="1:14" ht="15" customHeight="1" x14ac:dyDescent="0.2">
      <c r="A5263" s="31">
        <v>0.39267920293963199</v>
      </c>
      <c r="B5263" s="31"/>
      <c r="C5263" s="2" t="s">
        <v>855</v>
      </c>
      <c r="D5263" s="31">
        <f t="shared" si="166"/>
        <v>7.6965123776167876E-2</v>
      </c>
      <c r="F5263" s="2" t="s">
        <v>822</v>
      </c>
      <c r="G5263" s="23" t="s">
        <v>902</v>
      </c>
      <c r="H5263" s="2" t="s">
        <v>822</v>
      </c>
      <c r="J5263" s="31">
        <v>47.416000400000001</v>
      </c>
      <c r="K5263" s="31">
        <v>-17.8439999</v>
      </c>
      <c r="L5263" s="31"/>
      <c r="M5263" s="31" t="s">
        <v>854</v>
      </c>
      <c r="N5263" s="6" t="s">
        <v>856</v>
      </c>
    </row>
    <row r="5264" spans="1:14" ht="15" customHeight="1" x14ac:dyDescent="0.2">
      <c r="A5264" s="31">
        <v>0.39236816232571381</v>
      </c>
      <c r="B5264" s="31"/>
      <c r="C5264" s="2" t="s">
        <v>855</v>
      </c>
      <c r="D5264" s="31">
        <f t="shared" si="166"/>
        <v>7.6904159815839909E-2</v>
      </c>
      <c r="F5264" s="2" t="s">
        <v>822</v>
      </c>
      <c r="G5264" s="23" t="s">
        <v>902</v>
      </c>
      <c r="H5264" s="2" t="s">
        <v>822</v>
      </c>
      <c r="J5264" s="31">
        <v>61.9518013</v>
      </c>
      <c r="K5264" s="31">
        <v>-8.0831698999999997</v>
      </c>
      <c r="L5264" s="31"/>
      <c r="M5264" s="31" t="s">
        <v>854</v>
      </c>
      <c r="N5264" s="6" t="s">
        <v>856</v>
      </c>
    </row>
    <row r="5265" spans="1:14" ht="15" customHeight="1" x14ac:dyDescent="0.2">
      <c r="A5265" s="31">
        <v>0.39220771331423421</v>
      </c>
      <c r="B5265" s="31"/>
      <c r="C5265" s="2" t="s">
        <v>855</v>
      </c>
      <c r="D5265" s="31">
        <f t="shared" si="166"/>
        <v>7.6872711809589905E-2</v>
      </c>
      <c r="F5265" s="2" t="s">
        <v>822</v>
      </c>
      <c r="G5265" s="23" t="s">
        <v>902</v>
      </c>
      <c r="H5265" s="2" t="s">
        <v>822</v>
      </c>
      <c r="J5265" s="31">
        <v>49.901199300000002</v>
      </c>
      <c r="K5265" s="31">
        <v>-26.582000699999998</v>
      </c>
      <c r="L5265" s="31"/>
      <c r="M5265" s="31" t="s">
        <v>854</v>
      </c>
      <c r="N5265" s="6" t="s">
        <v>856</v>
      </c>
    </row>
    <row r="5266" spans="1:14" ht="15" customHeight="1" x14ac:dyDescent="0.2">
      <c r="A5266" s="31">
        <v>0.39214389547402267</v>
      </c>
      <c r="B5266" s="31"/>
      <c r="C5266" s="2" t="s">
        <v>855</v>
      </c>
      <c r="D5266" s="31">
        <f t="shared" si="166"/>
        <v>7.6860203512908454E-2</v>
      </c>
      <c r="F5266" s="2" t="s">
        <v>822</v>
      </c>
      <c r="G5266" s="23" t="s">
        <v>902</v>
      </c>
      <c r="H5266" s="2" t="s">
        <v>822</v>
      </c>
      <c r="J5266" s="31">
        <v>48.713001300000002</v>
      </c>
      <c r="K5266" s="31">
        <v>-4.2119498000000002</v>
      </c>
      <c r="L5266" s="31"/>
      <c r="M5266" s="31" t="s">
        <v>854</v>
      </c>
      <c r="N5266" s="6" t="s">
        <v>856</v>
      </c>
    </row>
    <row r="5267" spans="1:14" ht="15" customHeight="1" x14ac:dyDescent="0.2">
      <c r="A5267" s="31">
        <v>0.39161622401839802</v>
      </c>
      <c r="B5267" s="31"/>
      <c r="C5267" s="2" t="s">
        <v>855</v>
      </c>
      <c r="D5267" s="31">
        <f t="shared" si="166"/>
        <v>7.6756779907606015E-2</v>
      </c>
      <c r="F5267" s="2" t="s">
        <v>822</v>
      </c>
      <c r="G5267" s="23" t="s">
        <v>902</v>
      </c>
      <c r="H5267" s="2" t="s">
        <v>822</v>
      </c>
      <c r="J5267" s="31">
        <v>50.407798800000002</v>
      </c>
      <c r="K5267" s="31">
        <v>-16.784099600000001</v>
      </c>
      <c r="L5267" s="31"/>
      <c r="M5267" s="31" t="s">
        <v>854</v>
      </c>
      <c r="N5267" s="6" t="s">
        <v>856</v>
      </c>
    </row>
    <row r="5268" spans="1:14" ht="15" customHeight="1" x14ac:dyDescent="0.2">
      <c r="A5268" s="31">
        <v>0.39155622902449599</v>
      </c>
      <c r="B5268" s="31"/>
      <c r="C5268" s="2" t="s">
        <v>855</v>
      </c>
      <c r="D5268" s="31">
        <f t="shared" si="166"/>
        <v>7.6745020888801224E-2</v>
      </c>
      <c r="F5268" s="2" t="s">
        <v>822</v>
      </c>
      <c r="G5268" s="23" t="s">
        <v>902</v>
      </c>
      <c r="H5268" s="2" t="s">
        <v>822</v>
      </c>
      <c r="J5268" s="31">
        <v>52.091999100000002</v>
      </c>
      <c r="K5268" s="31">
        <v>-23.856000900000002</v>
      </c>
      <c r="L5268" s="31"/>
      <c r="M5268" s="31" t="s">
        <v>854</v>
      </c>
      <c r="N5268" s="6" t="s">
        <v>856</v>
      </c>
    </row>
    <row r="5269" spans="1:14" ht="15" customHeight="1" x14ac:dyDescent="0.2">
      <c r="A5269" s="31">
        <v>0.39144433101829579</v>
      </c>
      <c r="B5269" s="31"/>
      <c r="C5269" s="2" t="s">
        <v>855</v>
      </c>
      <c r="D5269" s="31">
        <f t="shared" si="166"/>
        <v>7.6723088879585982E-2</v>
      </c>
      <c r="F5269" s="2" t="s">
        <v>822</v>
      </c>
      <c r="G5269" s="23" t="s">
        <v>902</v>
      </c>
      <c r="H5269" s="2" t="s">
        <v>822</v>
      </c>
      <c r="J5269" s="31">
        <v>48.083999599999999</v>
      </c>
      <c r="K5269" s="31">
        <v>-39.220001199999999</v>
      </c>
      <c r="L5269" s="31"/>
      <c r="M5269" s="31" t="s">
        <v>854</v>
      </c>
      <c r="N5269" s="6" t="s">
        <v>856</v>
      </c>
    </row>
    <row r="5270" spans="1:14" ht="15" customHeight="1" x14ac:dyDescent="0.2">
      <c r="A5270" s="31">
        <v>0.39085739196746838</v>
      </c>
      <c r="B5270" s="31"/>
      <c r="C5270" s="2" t="s">
        <v>855</v>
      </c>
      <c r="D5270" s="31">
        <f t="shared" si="166"/>
        <v>7.6608048825623803E-2</v>
      </c>
      <c r="F5270" s="2" t="s">
        <v>822</v>
      </c>
      <c r="G5270" s="23" t="s">
        <v>902</v>
      </c>
      <c r="H5270" s="2" t="s">
        <v>822</v>
      </c>
      <c r="J5270" s="31">
        <v>47.213199600000003</v>
      </c>
      <c r="K5270" s="31">
        <v>-8.4656400999999999</v>
      </c>
      <c r="L5270" s="31"/>
      <c r="M5270" s="31" t="s">
        <v>854</v>
      </c>
      <c r="N5270" s="6" t="s">
        <v>856</v>
      </c>
    </row>
    <row r="5271" spans="1:14" ht="15" customHeight="1" x14ac:dyDescent="0.2">
      <c r="A5271" s="31">
        <v>0.39066437475581778</v>
      </c>
      <c r="B5271" s="31"/>
      <c r="C5271" s="2" t="s">
        <v>855</v>
      </c>
      <c r="D5271" s="31">
        <f t="shared" si="166"/>
        <v>7.6570217452140293E-2</v>
      </c>
      <c r="F5271" s="2" t="s">
        <v>822</v>
      </c>
      <c r="G5271" s="23" t="s">
        <v>902</v>
      </c>
      <c r="H5271" s="2" t="s">
        <v>822</v>
      </c>
      <c r="J5271" s="31">
        <v>49.417499499999998</v>
      </c>
      <c r="K5271" s="31">
        <v>-25.189300500000002</v>
      </c>
      <c r="L5271" s="31"/>
      <c r="M5271" s="31" t="s">
        <v>854</v>
      </c>
      <c r="N5271" s="6" t="s">
        <v>856</v>
      </c>
    </row>
    <row r="5272" spans="1:14" ht="15" customHeight="1" x14ac:dyDescent="0.2">
      <c r="A5272" s="31">
        <v>0.39046841676777422</v>
      </c>
      <c r="B5272" s="31"/>
      <c r="C5272" s="2" t="s">
        <v>855</v>
      </c>
      <c r="D5272" s="31">
        <f t="shared" si="166"/>
        <v>7.6531809686483751E-2</v>
      </c>
      <c r="F5272" s="2" t="s">
        <v>822</v>
      </c>
      <c r="G5272" s="23" t="s">
        <v>902</v>
      </c>
      <c r="H5272" s="2" t="s">
        <v>822</v>
      </c>
      <c r="J5272" s="31">
        <v>50.088001300000002</v>
      </c>
      <c r="K5272" s="31">
        <v>-42.894001000000003</v>
      </c>
      <c r="L5272" s="31"/>
      <c r="M5272" s="31" t="s">
        <v>854</v>
      </c>
      <c r="N5272" s="6" t="s">
        <v>856</v>
      </c>
    </row>
    <row r="5273" spans="1:14" ht="15" customHeight="1" x14ac:dyDescent="0.2">
      <c r="A5273" s="31">
        <v>0.39034393529345301</v>
      </c>
      <c r="B5273" s="31"/>
      <c r="C5273" s="2" t="s">
        <v>855</v>
      </c>
      <c r="D5273" s="31">
        <f t="shared" si="166"/>
        <v>7.6507411317516788E-2</v>
      </c>
      <c r="F5273" s="2" t="s">
        <v>822</v>
      </c>
      <c r="G5273" s="23" t="s">
        <v>902</v>
      </c>
      <c r="H5273" s="2" t="s">
        <v>822</v>
      </c>
      <c r="J5273" s="31">
        <v>51.054698899999998</v>
      </c>
      <c r="K5273" s="31">
        <v>2.0976701000000002</v>
      </c>
      <c r="L5273" s="31"/>
      <c r="M5273" s="31" t="s">
        <v>854</v>
      </c>
      <c r="N5273" s="6" t="s">
        <v>856</v>
      </c>
    </row>
    <row r="5274" spans="1:14" ht="15" customHeight="1" x14ac:dyDescent="0.2">
      <c r="A5274" s="31">
        <v>0.39029249117408232</v>
      </c>
      <c r="B5274" s="31"/>
      <c r="C5274" s="2" t="s">
        <v>855</v>
      </c>
      <c r="D5274" s="31">
        <f t="shared" si="166"/>
        <v>7.6497328270120138E-2</v>
      </c>
      <c r="F5274" s="2" t="s">
        <v>822</v>
      </c>
      <c r="G5274" s="23" t="s">
        <v>902</v>
      </c>
      <c r="H5274" s="2" t="s">
        <v>822</v>
      </c>
      <c r="J5274" s="31">
        <v>46.750801099999997</v>
      </c>
      <c r="K5274" s="31">
        <v>-27.899499899999999</v>
      </c>
      <c r="L5274" s="31"/>
      <c r="M5274" s="31" t="s">
        <v>854</v>
      </c>
      <c r="N5274" s="6" t="s">
        <v>856</v>
      </c>
    </row>
    <row r="5275" spans="1:14" ht="15" customHeight="1" x14ac:dyDescent="0.2">
      <c r="A5275" s="31">
        <v>0.39016392051876703</v>
      </c>
      <c r="B5275" s="31"/>
      <c r="C5275" s="2" t="s">
        <v>855</v>
      </c>
      <c r="D5275" s="31">
        <f t="shared" si="166"/>
        <v>7.6472128421678345E-2</v>
      </c>
      <c r="F5275" s="2" t="s">
        <v>822</v>
      </c>
      <c r="G5275" s="23" t="s">
        <v>902</v>
      </c>
      <c r="H5275" s="2" t="s">
        <v>822</v>
      </c>
      <c r="J5275" s="31">
        <v>56.449600199999999</v>
      </c>
      <c r="K5275" s="31">
        <v>-2.9511099000000001</v>
      </c>
      <c r="L5275" s="31"/>
      <c r="M5275" s="31" t="s">
        <v>854</v>
      </c>
      <c r="N5275" s="6" t="s">
        <v>856</v>
      </c>
    </row>
    <row r="5276" spans="1:14" ht="15" customHeight="1" x14ac:dyDescent="0.2">
      <c r="A5276" s="31">
        <v>0.38991503380286507</v>
      </c>
      <c r="B5276" s="31"/>
      <c r="C5276" s="2" t="s">
        <v>855</v>
      </c>
      <c r="D5276" s="31">
        <f t="shared" si="166"/>
        <v>7.6423346625361557E-2</v>
      </c>
      <c r="F5276" s="2" t="s">
        <v>822</v>
      </c>
      <c r="G5276" s="23" t="s">
        <v>902</v>
      </c>
      <c r="H5276" s="2" t="s">
        <v>822</v>
      </c>
      <c r="J5276" s="31">
        <v>30.048000300000002</v>
      </c>
      <c r="K5276" s="31">
        <v>-35.212001800000003</v>
      </c>
      <c r="L5276" s="31"/>
      <c r="M5276" s="31" t="s">
        <v>854</v>
      </c>
      <c r="N5276" s="6" t="s">
        <v>856</v>
      </c>
    </row>
    <row r="5277" spans="1:14" ht="15" customHeight="1" x14ac:dyDescent="0.2">
      <c r="A5277" s="31">
        <v>0.38980325285307682</v>
      </c>
      <c r="B5277" s="31"/>
      <c r="C5277" s="2" t="s">
        <v>855</v>
      </c>
      <c r="D5277" s="31">
        <f t="shared" si="166"/>
        <v>7.6401437559203061E-2</v>
      </c>
      <c r="F5277" s="2" t="s">
        <v>822</v>
      </c>
      <c r="G5277" s="23" t="s">
        <v>902</v>
      </c>
      <c r="H5277" s="2" t="s">
        <v>822</v>
      </c>
      <c r="J5277" s="31">
        <v>46.748001100000003</v>
      </c>
      <c r="K5277" s="31">
        <v>-40.555999800000002</v>
      </c>
      <c r="L5277" s="31"/>
      <c r="M5277" s="31" t="s">
        <v>854</v>
      </c>
      <c r="N5277" s="6" t="s">
        <v>856</v>
      </c>
    </row>
    <row r="5278" spans="1:14" ht="15" customHeight="1" x14ac:dyDescent="0.2">
      <c r="A5278" s="31">
        <v>0.38971149989728893</v>
      </c>
      <c r="B5278" s="31"/>
      <c r="C5278" s="2" t="s">
        <v>855</v>
      </c>
      <c r="D5278" s="31">
        <f t="shared" si="166"/>
        <v>7.6383453979868635E-2</v>
      </c>
      <c r="F5278" s="2" t="s">
        <v>822</v>
      </c>
      <c r="G5278" s="23" t="s">
        <v>902</v>
      </c>
      <c r="H5278" s="2" t="s">
        <v>822</v>
      </c>
      <c r="J5278" s="31">
        <v>56.768001599999998</v>
      </c>
      <c r="K5278" s="31">
        <v>-23.187999699999999</v>
      </c>
      <c r="L5278" s="31"/>
      <c r="M5278" s="31" t="s">
        <v>854</v>
      </c>
      <c r="N5278" s="6" t="s">
        <v>856</v>
      </c>
    </row>
    <row r="5279" spans="1:14" ht="15" customHeight="1" x14ac:dyDescent="0.2">
      <c r="A5279" s="31">
        <v>1.3993824273039E-4</v>
      </c>
      <c r="B5279" s="31"/>
      <c r="C5279" s="2" t="s">
        <v>892</v>
      </c>
      <c r="D5279" s="2">
        <f>A5279 * 545.45</f>
        <v>7.6329314497291231E-2</v>
      </c>
      <c r="F5279" s="2">
        <v>2020</v>
      </c>
      <c r="G5279" s="38" t="s">
        <v>901</v>
      </c>
      <c r="H5279" s="2" t="s">
        <v>741</v>
      </c>
      <c r="I5279" s="31" t="s">
        <v>261</v>
      </c>
      <c r="J5279" s="31">
        <v>54.372100000000003</v>
      </c>
      <c r="K5279" s="31">
        <v>13.242699999999999</v>
      </c>
      <c r="L5279" s="2" t="s">
        <v>28</v>
      </c>
      <c r="M5279" s="2" t="s">
        <v>824</v>
      </c>
      <c r="N5279" s="17" t="s">
        <v>906</v>
      </c>
    </row>
    <row r="5280" spans="1:14" ht="15" customHeight="1" x14ac:dyDescent="0.2">
      <c r="A5280" s="31">
        <v>0.3893933601136082</v>
      </c>
      <c r="B5280" s="31"/>
      <c r="C5280" s="2" t="s">
        <v>855</v>
      </c>
      <c r="D5280" s="31">
        <f t="shared" ref="D5280:D5311" si="167" xml:space="preserve"> A5280 * 0.196</f>
        <v>7.6321098582267211E-2</v>
      </c>
      <c r="F5280" s="2" t="s">
        <v>822</v>
      </c>
      <c r="G5280" s="23" t="s">
        <v>902</v>
      </c>
      <c r="H5280" s="2" t="s">
        <v>822</v>
      </c>
      <c r="J5280" s="31">
        <v>57.436000800000002</v>
      </c>
      <c r="K5280" s="31">
        <v>-25.1919994</v>
      </c>
      <c r="L5280" s="31"/>
      <c r="M5280" s="31" t="s">
        <v>854</v>
      </c>
      <c r="N5280" s="6" t="s">
        <v>856</v>
      </c>
    </row>
    <row r="5281" spans="1:14" ht="15" customHeight="1" x14ac:dyDescent="0.2">
      <c r="A5281" s="31">
        <v>0.38927874222429071</v>
      </c>
      <c r="B5281" s="31"/>
      <c r="C5281" s="2" t="s">
        <v>855</v>
      </c>
      <c r="D5281" s="31">
        <f t="shared" si="167"/>
        <v>7.6298633475960984E-2</v>
      </c>
      <c r="F5281" s="2" t="s">
        <v>822</v>
      </c>
      <c r="G5281" s="23" t="s">
        <v>902</v>
      </c>
      <c r="H5281" s="2" t="s">
        <v>822</v>
      </c>
      <c r="J5281" s="31">
        <v>63.008598300000003</v>
      </c>
      <c r="K5281" s="31">
        <v>-16.552200299999999</v>
      </c>
      <c r="L5281" s="31"/>
      <c r="M5281" s="31" t="s">
        <v>854</v>
      </c>
      <c r="N5281" s="6" t="s">
        <v>856</v>
      </c>
    </row>
    <row r="5282" spans="1:14" ht="15" customHeight="1" x14ac:dyDescent="0.2">
      <c r="A5282" s="31">
        <v>0.3891572815101676</v>
      </c>
      <c r="B5282" s="31"/>
      <c r="C5282" s="2" t="s">
        <v>855</v>
      </c>
      <c r="D5282" s="31">
        <f t="shared" si="167"/>
        <v>7.6274827175992849E-2</v>
      </c>
      <c r="F5282" s="2" t="s">
        <v>822</v>
      </c>
      <c r="G5282" s="23" t="s">
        <v>902</v>
      </c>
      <c r="H5282" s="2" t="s">
        <v>822</v>
      </c>
      <c r="J5282" s="31">
        <v>51.423999799999997</v>
      </c>
      <c r="K5282" s="31">
        <v>-15.8400002</v>
      </c>
      <c r="L5282" s="31"/>
      <c r="M5282" s="31" t="s">
        <v>854</v>
      </c>
      <c r="N5282" s="6" t="s">
        <v>856</v>
      </c>
    </row>
    <row r="5283" spans="1:14" ht="15" customHeight="1" x14ac:dyDescent="0.2">
      <c r="A5283" s="31">
        <v>0.38913297591974849</v>
      </c>
      <c r="B5283" s="31"/>
      <c r="C5283" s="2" t="s">
        <v>855</v>
      </c>
      <c r="D5283" s="31">
        <f t="shared" si="167"/>
        <v>7.6270063280270708E-2</v>
      </c>
      <c r="F5283" s="2" t="s">
        <v>822</v>
      </c>
      <c r="G5283" s="23" t="s">
        <v>902</v>
      </c>
      <c r="H5283" s="2" t="s">
        <v>822</v>
      </c>
      <c r="J5283" s="31">
        <v>58.426399199999999</v>
      </c>
      <c r="K5283" s="31">
        <v>-1.28549</v>
      </c>
      <c r="L5283" s="31"/>
      <c r="M5283" s="31" t="s">
        <v>854</v>
      </c>
      <c r="N5283" s="6" t="s">
        <v>856</v>
      </c>
    </row>
    <row r="5284" spans="1:14" ht="15" customHeight="1" x14ac:dyDescent="0.2">
      <c r="A5284" s="31">
        <v>0.38905689529276272</v>
      </c>
      <c r="B5284" s="31"/>
      <c r="C5284" s="2" t="s">
        <v>855</v>
      </c>
      <c r="D5284" s="31">
        <f t="shared" si="167"/>
        <v>7.6255151477381489E-2</v>
      </c>
      <c r="F5284" s="2" t="s">
        <v>822</v>
      </c>
      <c r="G5284" s="23" t="s">
        <v>902</v>
      </c>
      <c r="H5284" s="2" t="s">
        <v>822</v>
      </c>
      <c r="J5284" s="31">
        <v>56.189800300000002</v>
      </c>
      <c r="K5284" s="31">
        <v>6.9418702000000003</v>
      </c>
      <c r="L5284" s="31"/>
      <c r="M5284" s="31" t="s">
        <v>854</v>
      </c>
      <c r="N5284" s="6" t="s">
        <v>856</v>
      </c>
    </row>
    <row r="5285" spans="1:14" ht="15" customHeight="1" x14ac:dyDescent="0.2">
      <c r="A5285" s="31">
        <v>0.38900575010222271</v>
      </c>
      <c r="B5285" s="31"/>
      <c r="C5285" s="2" t="s">
        <v>855</v>
      </c>
      <c r="D5285" s="31">
        <f t="shared" si="167"/>
        <v>7.624512702003565E-2</v>
      </c>
      <c r="F5285" s="2" t="s">
        <v>822</v>
      </c>
      <c r="G5285" s="23" t="s">
        <v>902</v>
      </c>
      <c r="H5285" s="2" t="s">
        <v>822</v>
      </c>
      <c r="J5285" s="31">
        <v>52.414600399999998</v>
      </c>
      <c r="K5285" s="31">
        <v>4.2608398999999997</v>
      </c>
      <c r="L5285" s="31"/>
      <c r="M5285" s="31" t="s">
        <v>854</v>
      </c>
      <c r="N5285" s="6" t="s">
        <v>856</v>
      </c>
    </row>
    <row r="5286" spans="1:14" ht="15" customHeight="1" x14ac:dyDescent="0.2">
      <c r="A5286" s="31">
        <v>0.38888704404003371</v>
      </c>
      <c r="B5286" s="31"/>
      <c r="C5286" s="2" t="s">
        <v>855</v>
      </c>
      <c r="D5286" s="31">
        <f t="shared" si="167"/>
        <v>7.6221860631846605E-2</v>
      </c>
      <c r="F5286" s="2" t="s">
        <v>822</v>
      </c>
      <c r="G5286" s="23" t="s">
        <v>902</v>
      </c>
      <c r="H5286" s="2" t="s">
        <v>822</v>
      </c>
      <c r="J5286" s="31">
        <v>30.995700800000002</v>
      </c>
      <c r="K5286" s="31">
        <v>-39.124500300000001</v>
      </c>
      <c r="L5286" s="31"/>
      <c r="M5286" s="31" t="s">
        <v>854</v>
      </c>
      <c r="N5286" s="6" t="s">
        <v>856</v>
      </c>
    </row>
    <row r="5287" spans="1:14" ht="15" customHeight="1" x14ac:dyDescent="0.2">
      <c r="A5287" s="31">
        <v>0.38851120484277052</v>
      </c>
      <c r="B5287" s="31"/>
      <c r="C5287" s="2" t="s">
        <v>855</v>
      </c>
      <c r="D5287" s="31">
        <f t="shared" si="167"/>
        <v>7.6148196149183028E-2</v>
      </c>
      <c r="F5287" s="2" t="s">
        <v>822</v>
      </c>
      <c r="G5287" s="23" t="s">
        <v>902</v>
      </c>
      <c r="H5287" s="2" t="s">
        <v>822</v>
      </c>
      <c r="J5287" s="31">
        <v>47.416000400000001</v>
      </c>
      <c r="K5287" s="31">
        <v>-36.548000299999998</v>
      </c>
      <c r="L5287" s="31"/>
      <c r="M5287" s="31" t="s">
        <v>854</v>
      </c>
      <c r="N5287" s="6" t="s">
        <v>856</v>
      </c>
    </row>
    <row r="5288" spans="1:14" ht="15" customHeight="1" x14ac:dyDescent="0.2">
      <c r="A5288" s="31">
        <v>0.3884821027534322</v>
      </c>
      <c r="B5288" s="31"/>
      <c r="C5288" s="2" t="s">
        <v>855</v>
      </c>
      <c r="D5288" s="31">
        <f t="shared" si="167"/>
        <v>7.614249213967271E-2</v>
      </c>
      <c r="F5288" s="2" t="s">
        <v>822</v>
      </c>
      <c r="G5288" s="23" t="s">
        <v>902</v>
      </c>
      <c r="H5288" s="2" t="s">
        <v>822</v>
      </c>
      <c r="J5288" s="31">
        <v>48.703998599999998</v>
      </c>
      <c r="K5288" s="31">
        <v>-42.500198400000002</v>
      </c>
      <c r="L5288" s="31"/>
      <c r="M5288" s="31" t="s">
        <v>854</v>
      </c>
      <c r="N5288" s="6" t="s">
        <v>856</v>
      </c>
    </row>
    <row r="5289" spans="1:14" ht="15" customHeight="1" x14ac:dyDescent="0.2">
      <c r="A5289" s="31">
        <v>0.38843312720753109</v>
      </c>
      <c r="B5289" s="31"/>
      <c r="C5289" s="2" t="s">
        <v>855</v>
      </c>
      <c r="D5289" s="31">
        <f t="shared" si="167"/>
        <v>7.6132892932676097E-2</v>
      </c>
      <c r="F5289" s="2" t="s">
        <v>822</v>
      </c>
      <c r="G5289" s="23" t="s">
        <v>902</v>
      </c>
      <c r="H5289" s="2" t="s">
        <v>822</v>
      </c>
      <c r="J5289" s="31">
        <v>53.592899299999999</v>
      </c>
      <c r="K5289" s="31">
        <v>6.9547901000000003</v>
      </c>
      <c r="L5289" s="31"/>
      <c r="M5289" s="31" t="s">
        <v>854</v>
      </c>
      <c r="N5289" s="6" t="s">
        <v>856</v>
      </c>
    </row>
    <row r="5290" spans="1:14" ht="15" customHeight="1" x14ac:dyDescent="0.2">
      <c r="A5290" s="31">
        <v>0.38835068015214369</v>
      </c>
      <c r="B5290" s="31"/>
      <c r="C5290" s="2" t="s">
        <v>855</v>
      </c>
      <c r="D5290" s="31">
        <f t="shared" si="167"/>
        <v>7.6116733309820162E-2</v>
      </c>
      <c r="F5290" s="2" t="s">
        <v>822</v>
      </c>
      <c r="G5290" s="23" t="s">
        <v>902</v>
      </c>
      <c r="H5290" s="2" t="s">
        <v>822</v>
      </c>
      <c r="J5290" s="31">
        <v>56.956600199999997</v>
      </c>
      <c r="K5290" s="31">
        <v>4.3677501999999997</v>
      </c>
      <c r="L5290" s="31"/>
      <c r="M5290" s="31" t="s">
        <v>854</v>
      </c>
      <c r="N5290" s="6" t="s">
        <v>856</v>
      </c>
    </row>
    <row r="5291" spans="1:14" ht="15" customHeight="1" x14ac:dyDescent="0.2">
      <c r="A5291" s="31">
        <v>0.38834448324609461</v>
      </c>
      <c r="B5291" s="31"/>
      <c r="C5291" s="2" t="s">
        <v>855</v>
      </c>
      <c r="D5291" s="31">
        <f t="shared" si="167"/>
        <v>7.6115518716234551E-2</v>
      </c>
      <c r="F5291" s="2" t="s">
        <v>822</v>
      </c>
      <c r="G5291" s="23" t="s">
        <v>902</v>
      </c>
      <c r="H5291" s="2" t="s">
        <v>822</v>
      </c>
      <c r="J5291" s="31">
        <v>53.543399800000003</v>
      </c>
      <c r="K5291" s="31">
        <v>5.6684599000000002</v>
      </c>
      <c r="L5291" s="31"/>
      <c r="M5291" s="31" t="s">
        <v>854</v>
      </c>
      <c r="N5291" s="6" t="s">
        <v>856</v>
      </c>
    </row>
    <row r="5292" spans="1:14" ht="15" customHeight="1" x14ac:dyDescent="0.2">
      <c r="A5292" s="31">
        <v>0.38818570111673112</v>
      </c>
      <c r="B5292" s="31"/>
      <c r="C5292" s="2" t="s">
        <v>855</v>
      </c>
      <c r="D5292" s="31">
        <f t="shared" si="167"/>
        <v>7.6084397418879304E-2</v>
      </c>
      <c r="F5292" s="2" t="s">
        <v>822</v>
      </c>
      <c r="G5292" s="23" t="s">
        <v>902</v>
      </c>
      <c r="H5292" s="2" t="s">
        <v>822</v>
      </c>
      <c r="J5292" s="31">
        <v>31.384000799999999</v>
      </c>
      <c r="K5292" s="31">
        <v>-37.215999600000004</v>
      </c>
      <c r="L5292" s="31"/>
      <c r="M5292" s="31" t="s">
        <v>854</v>
      </c>
      <c r="N5292" s="6" t="s">
        <v>856</v>
      </c>
    </row>
    <row r="5293" spans="1:14" ht="15" customHeight="1" x14ac:dyDescent="0.2">
      <c r="A5293" s="31">
        <v>0.38803452007742689</v>
      </c>
      <c r="B5293" s="31"/>
      <c r="C5293" s="2" t="s">
        <v>855</v>
      </c>
      <c r="D5293" s="31">
        <f t="shared" si="167"/>
        <v>7.6054765935175669E-2</v>
      </c>
      <c r="F5293" s="2" t="s">
        <v>822</v>
      </c>
      <c r="G5293" s="23" t="s">
        <v>902</v>
      </c>
      <c r="H5293" s="2" t="s">
        <v>822</v>
      </c>
      <c r="J5293" s="31">
        <v>57.715801200000001</v>
      </c>
      <c r="K5293" s="31">
        <v>-6.3349298999999997</v>
      </c>
      <c r="L5293" s="31"/>
      <c r="M5293" s="31" t="s">
        <v>854</v>
      </c>
      <c r="N5293" s="6" t="s">
        <v>856</v>
      </c>
    </row>
    <row r="5294" spans="1:14" ht="15" customHeight="1" x14ac:dyDescent="0.2">
      <c r="A5294" s="31">
        <v>0.38753371283726018</v>
      </c>
      <c r="B5294" s="31"/>
      <c r="C5294" s="2" t="s">
        <v>855</v>
      </c>
      <c r="D5294" s="31">
        <f t="shared" si="167"/>
        <v>7.5956607716102992E-2</v>
      </c>
      <c r="F5294" s="2" t="s">
        <v>822</v>
      </c>
      <c r="G5294" s="23" t="s">
        <v>902</v>
      </c>
      <c r="H5294" s="2" t="s">
        <v>822</v>
      </c>
      <c r="J5294" s="31">
        <v>58.1040001</v>
      </c>
      <c r="K5294" s="31">
        <v>-17.176000599999998</v>
      </c>
      <c r="L5294" s="31"/>
      <c r="M5294" s="31" t="s">
        <v>854</v>
      </c>
      <c r="N5294" s="6" t="s">
        <v>856</v>
      </c>
    </row>
    <row r="5295" spans="1:14" ht="15" customHeight="1" x14ac:dyDescent="0.2">
      <c r="A5295" s="31">
        <v>0.38742719758226668</v>
      </c>
      <c r="B5295" s="31"/>
      <c r="C5295" s="2" t="s">
        <v>855</v>
      </c>
      <c r="D5295" s="31">
        <f t="shared" si="167"/>
        <v>7.5935730726124279E-2</v>
      </c>
      <c r="F5295" s="2" t="s">
        <v>822</v>
      </c>
      <c r="G5295" s="23" t="s">
        <v>902</v>
      </c>
      <c r="H5295" s="2" t="s">
        <v>822</v>
      </c>
      <c r="J5295" s="31">
        <v>55.493000000000002</v>
      </c>
      <c r="K5295" s="31">
        <v>6.2544598999999996</v>
      </c>
      <c r="L5295" s="31"/>
      <c r="M5295" s="31" t="s">
        <v>854</v>
      </c>
      <c r="N5295" s="6" t="s">
        <v>856</v>
      </c>
    </row>
    <row r="5296" spans="1:14" ht="15" customHeight="1" x14ac:dyDescent="0.2">
      <c r="A5296" s="31">
        <v>0.38703182249698581</v>
      </c>
      <c r="B5296" s="31"/>
      <c r="C5296" s="2" t="s">
        <v>855</v>
      </c>
      <c r="D5296" s="31">
        <f t="shared" si="167"/>
        <v>7.5858237209409221E-2</v>
      </c>
      <c r="F5296" s="2" t="s">
        <v>822</v>
      </c>
      <c r="G5296" s="23" t="s">
        <v>902</v>
      </c>
      <c r="H5296" s="2" t="s">
        <v>822</v>
      </c>
      <c r="J5296" s="31">
        <v>55.4319992</v>
      </c>
      <c r="K5296" s="31">
        <v>-20.516000699999999</v>
      </c>
      <c r="L5296" s="31"/>
      <c r="M5296" s="31" t="s">
        <v>854</v>
      </c>
      <c r="N5296" s="6" t="s">
        <v>856</v>
      </c>
    </row>
    <row r="5297" spans="1:14" ht="15" customHeight="1" x14ac:dyDescent="0.2">
      <c r="A5297" s="31">
        <v>0.38697117936737729</v>
      </c>
      <c r="B5297" s="31"/>
      <c r="C5297" s="2" t="s">
        <v>855</v>
      </c>
      <c r="D5297" s="31">
        <f t="shared" si="167"/>
        <v>7.5846351156005951E-2</v>
      </c>
      <c r="F5297" s="2" t="s">
        <v>822</v>
      </c>
      <c r="G5297" s="23" t="s">
        <v>902</v>
      </c>
      <c r="H5297" s="2" t="s">
        <v>822</v>
      </c>
      <c r="J5297" s="31">
        <v>60.039798699999999</v>
      </c>
      <c r="K5297" s="31">
        <v>4.6018901000000003</v>
      </c>
      <c r="L5297" s="31"/>
      <c r="M5297" s="31" t="s">
        <v>854</v>
      </c>
      <c r="N5297" s="6" t="s">
        <v>856</v>
      </c>
    </row>
    <row r="5298" spans="1:14" ht="15" customHeight="1" x14ac:dyDescent="0.2">
      <c r="A5298" s="31">
        <v>0.386922316393781</v>
      </c>
      <c r="B5298" s="31"/>
      <c r="C5298" s="2" t="s">
        <v>855</v>
      </c>
      <c r="D5298" s="31">
        <f t="shared" si="167"/>
        <v>7.5836774013181077E-2</v>
      </c>
      <c r="F5298" s="2" t="s">
        <v>822</v>
      </c>
      <c r="G5298" s="23" t="s">
        <v>902</v>
      </c>
      <c r="H5298" s="2" t="s">
        <v>822</v>
      </c>
      <c r="J5298" s="31">
        <v>49.3932991</v>
      </c>
      <c r="K5298" s="31">
        <v>-17.7970009</v>
      </c>
      <c r="L5298" s="31"/>
      <c r="M5298" s="31" t="s">
        <v>854</v>
      </c>
      <c r="N5298" s="6" t="s">
        <v>856</v>
      </c>
    </row>
    <row r="5299" spans="1:14" ht="15" customHeight="1" x14ac:dyDescent="0.2">
      <c r="A5299" s="31">
        <v>0.38606212279749819</v>
      </c>
      <c r="B5299" s="31"/>
      <c r="C5299" s="2" t="s">
        <v>855</v>
      </c>
      <c r="D5299" s="31">
        <f t="shared" si="167"/>
        <v>7.5668176068309653E-2</v>
      </c>
      <c r="F5299" s="2" t="s">
        <v>822</v>
      </c>
      <c r="G5299" s="23" t="s">
        <v>902</v>
      </c>
      <c r="H5299" s="2" t="s">
        <v>822</v>
      </c>
      <c r="J5299" s="31">
        <v>52.091999100000002</v>
      </c>
      <c r="K5299" s="31">
        <v>-17.176000599999998</v>
      </c>
      <c r="L5299" s="31"/>
      <c r="M5299" s="31" t="s">
        <v>854</v>
      </c>
      <c r="N5299" s="6" t="s">
        <v>856</v>
      </c>
    </row>
    <row r="5300" spans="1:14" ht="15" customHeight="1" x14ac:dyDescent="0.2">
      <c r="A5300" s="31">
        <v>0.38603398945364942</v>
      </c>
      <c r="B5300" s="31"/>
      <c r="C5300" s="2" t="s">
        <v>855</v>
      </c>
      <c r="D5300" s="31">
        <f t="shared" si="167"/>
        <v>7.5662661932915293E-2</v>
      </c>
      <c r="F5300" s="2" t="s">
        <v>822</v>
      </c>
      <c r="G5300" s="23" t="s">
        <v>902</v>
      </c>
      <c r="H5300" s="2" t="s">
        <v>822</v>
      </c>
      <c r="J5300" s="31">
        <v>57.550701099999998</v>
      </c>
      <c r="K5300" s="31">
        <v>-1.89106</v>
      </c>
      <c r="L5300" s="31"/>
      <c r="M5300" s="31" t="s">
        <v>854</v>
      </c>
      <c r="N5300" s="6" t="s">
        <v>856</v>
      </c>
    </row>
    <row r="5301" spans="1:14" ht="15" customHeight="1" x14ac:dyDescent="0.2">
      <c r="A5301" s="31">
        <v>0.38600704996094293</v>
      </c>
      <c r="B5301" s="31"/>
      <c r="C5301" s="2" t="s">
        <v>855</v>
      </c>
      <c r="D5301" s="31">
        <f t="shared" si="167"/>
        <v>7.5657381792344811E-2</v>
      </c>
      <c r="F5301" s="2" t="s">
        <v>822</v>
      </c>
      <c r="G5301" s="23" t="s">
        <v>902</v>
      </c>
      <c r="H5301" s="2" t="s">
        <v>822</v>
      </c>
      <c r="J5301" s="31">
        <v>51.166301699999998</v>
      </c>
      <c r="K5301" s="31">
        <v>-32.335800200000001</v>
      </c>
      <c r="L5301" s="31"/>
      <c r="M5301" s="31" t="s">
        <v>854</v>
      </c>
      <c r="N5301" s="6" t="s">
        <v>856</v>
      </c>
    </row>
    <row r="5302" spans="1:14" ht="15" customHeight="1" x14ac:dyDescent="0.2">
      <c r="A5302" s="31">
        <v>0.38600397223495392</v>
      </c>
      <c r="B5302" s="31"/>
      <c r="C5302" s="2" t="s">
        <v>855</v>
      </c>
      <c r="D5302" s="31">
        <f t="shared" si="167"/>
        <v>7.5656778558050974E-2</v>
      </c>
      <c r="F5302" s="2" t="s">
        <v>822</v>
      </c>
      <c r="G5302" s="23" t="s">
        <v>902</v>
      </c>
      <c r="H5302" s="2" t="s">
        <v>822</v>
      </c>
      <c r="J5302" s="31">
        <v>50.088001300000002</v>
      </c>
      <c r="K5302" s="31">
        <v>-41.891998299999997</v>
      </c>
      <c r="L5302" s="31"/>
      <c r="M5302" s="31" t="s">
        <v>854</v>
      </c>
      <c r="N5302" s="6" t="s">
        <v>856</v>
      </c>
    </row>
    <row r="5303" spans="1:14" ht="15" customHeight="1" x14ac:dyDescent="0.2">
      <c r="A5303" s="31">
        <v>0.38551742636033598</v>
      </c>
      <c r="B5303" s="31"/>
      <c r="C5303" s="2" t="s">
        <v>855</v>
      </c>
      <c r="D5303" s="31">
        <f t="shared" si="167"/>
        <v>7.556141556662585E-2</v>
      </c>
      <c r="F5303" s="2" t="s">
        <v>822</v>
      </c>
      <c r="G5303" s="23" t="s">
        <v>902</v>
      </c>
      <c r="H5303" s="2" t="s">
        <v>822</v>
      </c>
      <c r="J5303" s="31">
        <v>36.547500599999999</v>
      </c>
      <c r="K5303" s="31">
        <v>-23.3404007</v>
      </c>
      <c r="L5303" s="31"/>
      <c r="M5303" s="31" t="s">
        <v>854</v>
      </c>
      <c r="N5303" s="6" t="s">
        <v>856</v>
      </c>
    </row>
    <row r="5304" spans="1:14" ht="15" customHeight="1" x14ac:dyDescent="0.2">
      <c r="A5304" s="31">
        <v>0.38514237712568289</v>
      </c>
      <c r="B5304" s="31"/>
      <c r="C5304" s="2" t="s">
        <v>855</v>
      </c>
      <c r="D5304" s="31">
        <f t="shared" si="167"/>
        <v>7.5487905916633846E-2</v>
      </c>
      <c r="F5304" s="2" t="s">
        <v>822</v>
      </c>
      <c r="G5304" s="23" t="s">
        <v>902</v>
      </c>
      <c r="H5304" s="2" t="s">
        <v>822</v>
      </c>
      <c r="J5304" s="31">
        <v>51.4314003</v>
      </c>
      <c r="K5304" s="31">
        <v>-13.852700199999999</v>
      </c>
      <c r="L5304" s="31"/>
      <c r="M5304" s="31" t="s">
        <v>854</v>
      </c>
      <c r="N5304" s="6" t="s">
        <v>856</v>
      </c>
    </row>
    <row r="5305" spans="1:14" ht="15" customHeight="1" x14ac:dyDescent="0.2">
      <c r="A5305" s="31">
        <v>0.38512447527648958</v>
      </c>
      <c r="B5305" s="31"/>
      <c r="C5305" s="2" t="s">
        <v>855</v>
      </c>
      <c r="D5305" s="31">
        <f t="shared" si="167"/>
        <v>7.548439715419196E-2</v>
      </c>
      <c r="F5305" s="2" t="s">
        <v>822</v>
      </c>
      <c r="G5305" s="23" t="s">
        <v>902</v>
      </c>
      <c r="H5305" s="2" t="s">
        <v>822</v>
      </c>
      <c r="J5305" s="31">
        <v>50.147399900000003</v>
      </c>
      <c r="K5305" s="31">
        <v>-19.201799399999999</v>
      </c>
      <c r="L5305" s="31"/>
      <c r="M5305" s="31" t="s">
        <v>854</v>
      </c>
      <c r="N5305" s="6" t="s">
        <v>856</v>
      </c>
    </row>
    <row r="5306" spans="1:14" ht="15" customHeight="1" x14ac:dyDescent="0.2">
      <c r="A5306" s="31">
        <v>0.38512409244323448</v>
      </c>
      <c r="B5306" s="31"/>
      <c r="C5306" s="2" t="s">
        <v>855</v>
      </c>
      <c r="D5306" s="31">
        <f t="shared" si="167"/>
        <v>7.5484322118873959E-2</v>
      </c>
      <c r="F5306" s="2" t="s">
        <v>822</v>
      </c>
      <c r="G5306" s="23" t="s">
        <v>902</v>
      </c>
      <c r="H5306" s="2" t="s">
        <v>822</v>
      </c>
      <c r="J5306" s="31">
        <v>49.419998200000002</v>
      </c>
      <c r="K5306" s="31">
        <v>-22.520000499999998</v>
      </c>
      <c r="L5306" s="31"/>
      <c r="M5306" s="31" t="s">
        <v>854</v>
      </c>
      <c r="N5306" s="6" t="s">
        <v>856</v>
      </c>
    </row>
    <row r="5307" spans="1:14" ht="15" customHeight="1" x14ac:dyDescent="0.2">
      <c r="A5307" s="31">
        <v>0.38510245791174857</v>
      </c>
      <c r="B5307" s="31"/>
      <c r="C5307" s="2" t="s">
        <v>855</v>
      </c>
      <c r="D5307" s="31">
        <f t="shared" si="167"/>
        <v>7.5480081750702727E-2</v>
      </c>
      <c r="F5307" s="2" t="s">
        <v>822</v>
      </c>
      <c r="G5307" s="23" t="s">
        <v>902</v>
      </c>
      <c r="H5307" s="2" t="s">
        <v>822</v>
      </c>
      <c r="J5307" s="31">
        <v>56.099998499999998</v>
      </c>
      <c r="K5307" s="31">
        <v>-15.8400002</v>
      </c>
      <c r="L5307" s="31"/>
      <c r="M5307" s="31" t="s">
        <v>854</v>
      </c>
      <c r="N5307" s="6" t="s">
        <v>856</v>
      </c>
    </row>
    <row r="5308" spans="1:14" ht="15" customHeight="1" x14ac:dyDescent="0.2">
      <c r="A5308" s="31">
        <v>0.38508555149304607</v>
      </c>
      <c r="B5308" s="31"/>
      <c r="C5308" s="2" t="s">
        <v>855</v>
      </c>
      <c r="D5308" s="31">
        <f t="shared" si="167"/>
        <v>7.5476768092637037E-2</v>
      </c>
      <c r="F5308" s="2" t="s">
        <v>822</v>
      </c>
      <c r="G5308" s="23" t="s">
        <v>902</v>
      </c>
      <c r="H5308" s="2" t="s">
        <v>822</v>
      </c>
      <c r="J5308" s="31">
        <v>56.768001599999998</v>
      </c>
      <c r="K5308" s="31">
        <v>-8.7941599000000004</v>
      </c>
      <c r="L5308" s="31"/>
      <c r="M5308" s="31" t="s">
        <v>854</v>
      </c>
      <c r="N5308" s="6" t="s">
        <v>856</v>
      </c>
    </row>
    <row r="5309" spans="1:14" ht="15" customHeight="1" x14ac:dyDescent="0.2">
      <c r="A5309" s="31">
        <v>0.3849389473707221</v>
      </c>
      <c r="B5309" s="31"/>
      <c r="C5309" s="2" t="s">
        <v>855</v>
      </c>
      <c r="D5309" s="31">
        <f t="shared" si="167"/>
        <v>7.5448033684661533E-2</v>
      </c>
      <c r="F5309" s="2" t="s">
        <v>822</v>
      </c>
      <c r="G5309" s="23" t="s">
        <v>902</v>
      </c>
      <c r="H5309" s="2" t="s">
        <v>822</v>
      </c>
      <c r="J5309" s="31">
        <v>54.166599300000001</v>
      </c>
      <c r="K5309" s="31">
        <v>8.1810597999999999</v>
      </c>
      <c r="L5309" s="31"/>
      <c r="M5309" s="31" t="s">
        <v>854</v>
      </c>
      <c r="N5309" s="6" t="s">
        <v>856</v>
      </c>
    </row>
    <row r="5310" spans="1:14" ht="15" customHeight="1" x14ac:dyDescent="0.2">
      <c r="A5310" s="31">
        <v>0.38456627746548672</v>
      </c>
      <c r="B5310" s="31"/>
      <c r="C5310" s="2" t="s">
        <v>855</v>
      </c>
      <c r="D5310" s="31">
        <f t="shared" si="167"/>
        <v>7.5374990383235405E-2</v>
      </c>
      <c r="F5310" s="2" t="s">
        <v>822</v>
      </c>
      <c r="G5310" s="23" t="s">
        <v>902</v>
      </c>
      <c r="H5310" s="2" t="s">
        <v>822</v>
      </c>
      <c r="J5310" s="31">
        <v>28.711999899999999</v>
      </c>
      <c r="K5310" s="31">
        <v>-29.867999999999999</v>
      </c>
      <c r="L5310" s="31"/>
      <c r="M5310" s="31" t="s">
        <v>854</v>
      </c>
      <c r="N5310" s="6" t="s">
        <v>856</v>
      </c>
    </row>
    <row r="5311" spans="1:14" ht="15" customHeight="1" x14ac:dyDescent="0.2">
      <c r="A5311" s="31">
        <v>0.38423308695540698</v>
      </c>
      <c r="B5311" s="31"/>
      <c r="C5311" s="2" t="s">
        <v>855</v>
      </c>
      <c r="D5311" s="31">
        <f t="shared" si="167"/>
        <v>7.5309685043259772E-2</v>
      </c>
      <c r="F5311" s="2" t="s">
        <v>822</v>
      </c>
      <c r="G5311" s="23" t="s">
        <v>902</v>
      </c>
      <c r="H5311" s="2" t="s">
        <v>822</v>
      </c>
      <c r="J5311" s="31">
        <v>57.3606987</v>
      </c>
      <c r="K5311" s="31">
        <v>-14.386400200000001</v>
      </c>
      <c r="L5311" s="31"/>
      <c r="M5311" s="31" t="s">
        <v>854</v>
      </c>
      <c r="N5311" s="6" t="s">
        <v>856</v>
      </c>
    </row>
    <row r="5312" spans="1:14" ht="15" customHeight="1" x14ac:dyDescent="0.2">
      <c r="A5312" s="31">
        <v>0.38403717117964248</v>
      </c>
      <c r="B5312" s="31"/>
      <c r="C5312" s="2" t="s">
        <v>855</v>
      </c>
      <c r="D5312" s="31">
        <f t="shared" ref="D5312:D5343" si="168" xml:space="preserve"> A5312 * 0.196</f>
        <v>7.5271285551209932E-2</v>
      </c>
      <c r="F5312" s="2" t="s">
        <v>822</v>
      </c>
      <c r="G5312" s="23" t="s">
        <v>902</v>
      </c>
      <c r="H5312" s="2" t="s">
        <v>822</v>
      </c>
      <c r="J5312" s="31">
        <v>59.628601099999997</v>
      </c>
      <c r="K5312" s="31">
        <v>19.8211002</v>
      </c>
      <c r="L5312" s="31"/>
      <c r="M5312" s="31" t="s">
        <v>854</v>
      </c>
      <c r="N5312" s="6" t="s">
        <v>856</v>
      </c>
    </row>
    <row r="5313" spans="1:14" ht="15" customHeight="1" x14ac:dyDescent="0.2">
      <c r="A5313" s="31">
        <v>0.38358127348297028</v>
      </c>
      <c r="B5313" s="31"/>
      <c r="C5313" s="2" t="s">
        <v>855</v>
      </c>
      <c r="D5313" s="31">
        <f t="shared" si="168"/>
        <v>7.5181929602662179E-2</v>
      </c>
      <c r="F5313" s="2" t="s">
        <v>822</v>
      </c>
      <c r="G5313" s="23" t="s">
        <v>902</v>
      </c>
      <c r="H5313" s="2" t="s">
        <v>822</v>
      </c>
      <c r="J5313" s="31">
        <v>49.7134018</v>
      </c>
      <c r="K5313" s="31">
        <v>-25.505399700000002</v>
      </c>
      <c r="L5313" s="31"/>
      <c r="M5313" s="31" t="s">
        <v>854</v>
      </c>
      <c r="N5313" s="6" t="s">
        <v>856</v>
      </c>
    </row>
    <row r="5314" spans="1:14" ht="15" customHeight="1" x14ac:dyDescent="0.2">
      <c r="A5314" s="31">
        <v>0.38347713527369148</v>
      </c>
      <c r="B5314" s="31"/>
      <c r="C5314" s="2" t="s">
        <v>855</v>
      </c>
      <c r="D5314" s="31">
        <f t="shared" si="168"/>
        <v>7.5161518513643527E-2</v>
      </c>
      <c r="F5314" s="2" t="s">
        <v>822</v>
      </c>
      <c r="G5314" s="23" t="s">
        <v>902</v>
      </c>
      <c r="H5314" s="2" t="s">
        <v>822</v>
      </c>
      <c r="J5314" s="31">
        <v>50.755100300000002</v>
      </c>
      <c r="K5314" s="31">
        <v>-20.516500499999999</v>
      </c>
      <c r="L5314" s="31"/>
      <c r="M5314" s="31" t="s">
        <v>854</v>
      </c>
      <c r="N5314" s="6" t="s">
        <v>856</v>
      </c>
    </row>
    <row r="5315" spans="1:14" ht="15" customHeight="1" x14ac:dyDescent="0.2">
      <c r="A5315" s="31">
        <v>0.38332649624834281</v>
      </c>
      <c r="B5315" s="31"/>
      <c r="C5315" s="2" t="s">
        <v>855</v>
      </c>
      <c r="D5315" s="31">
        <f t="shared" si="168"/>
        <v>7.5131993264675193E-2</v>
      </c>
      <c r="F5315" s="2" t="s">
        <v>822</v>
      </c>
      <c r="G5315" s="23" t="s">
        <v>902</v>
      </c>
      <c r="H5315" s="2" t="s">
        <v>822</v>
      </c>
      <c r="J5315" s="31">
        <v>40.187698400000002</v>
      </c>
      <c r="K5315" s="31">
        <v>11.5935001</v>
      </c>
      <c r="L5315" s="31"/>
      <c r="M5315" s="31" t="s">
        <v>854</v>
      </c>
      <c r="N5315" s="6" t="s">
        <v>856</v>
      </c>
    </row>
    <row r="5316" spans="1:14" ht="15" customHeight="1" x14ac:dyDescent="0.2">
      <c r="A5316" s="31">
        <v>0.38330842305470891</v>
      </c>
      <c r="B5316" s="31"/>
      <c r="C5316" s="2" t="s">
        <v>855</v>
      </c>
      <c r="D5316" s="31">
        <f t="shared" si="168"/>
        <v>7.5128450918722944E-2</v>
      </c>
      <c r="F5316" s="2" t="s">
        <v>822</v>
      </c>
      <c r="G5316" s="23" t="s">
        <v>902</v>
      </c>
      <c r="H5316" s="2" t="s">
        <v>822</v>
      </c>
      <c r="J5316" s="31">
        <v>49.418800400000002</v>
      </c>
      <c r="K5316" s="31">
        <v>-29.868999500000001</v>
      </c>
      <c r="L5316" s="31"/>
      <c r="M5316" s="31" t="s">
        <v>854</v>
      </c>
      <c r="N5316" s="6" t="s">
        <v>856</v>
      </c>
    </row>
    <row r="5317" spans="1:14" ht="15" customHeight="1" x14ac:dyDescent="0.2">
      <c r="A5317" s="31">
        <v>0.38259558265388188</v>
      </c>
      <c r="B5317" s="31"/>
      <c r="C5317" s="2" t="s">
        <v>855</v>
      </c>
      <c r="D5317" s="31">
        <f t="shared" si="168"/>
        <v>7.4988734200160848E-2</v>
      </c>
      <c r="F5317" s="2" t="s">
        <v>822</v>
      </c>
      <c r="G5317" s="23" t="s">
        <v>902</v>
      </c>
      <c r="H5317" s="2" t="s">
        <v>822</v>
      </c>
      <c r="J5317" s="31">
        <v>52.781799300000003</v>
      </c>
      <c r="K5317" s="31">
        <v>-16.4953003</v>
      </c>
      <c r="L5317" s="31"/>
      <c r="M5317" s="31" t="s">
        <v>854</v>
      </c>
      <c r="N5317" s="6" t="s">
        <v>856</v>
      </c>
    </row>
    <row r="5318" spans="1:14" ht="15" customHeight="1" x14ac:dyDescent="0.2">
      <c r="A5318" s="31">
        <v>0.38237901337594238</v>
      </c>
      <c r="B5318" s="31"/>
      <c r="C5318" s="2" t="s">
        <v>855</v>
      </c>
      <c r="D5318" s="31">
        <f t="shared" si="168"/>
        <v>7.4946286621684705E-2</v>
      </c>
      <c r="F5318" s="2" t="s">
        <v>822</v>
      </c>
      <c r="G5318" s="23" t="s">
        <v>902</v>
      </c>
      <c r="H5318" s="2" t="s">
        <v>822</v>
      </c>
      <c r="J5318" s="31">
        <v>43.585998500000002</v>
      </c>
      <c r="K5318" s="31">
        <v>-26.741599999999998</v>
      </c>
      <c r="L5318" s="31"/>
      <c r="M5318" s="31" t="s">
        <v>854</v>
      </c>
      <c r="N5318" s="6" t="s">
        <v>856</v>
      </c>
    </row>
    <row r="5319" spans="1:14" ht="15" customHeight="1" x14ac:dyDescent="0.2">
      <c r="A5319" s="31">
        <v>0.38218747045282009</v>
      </c>
      <c r="B5319" s="31"/>
      <c r="C5319" s="2" t="s">
        <v>855</v>
      </c>
      <c r="D5319" s="31">
        <f t="shared" si="168"/>
        <v>7.4908744208752737E-2</v>
      </c>
      <c r="F5319" s="2" t="s">
        <v>822</v>
      </c>
      <c r="G5319" s="23" t="s">
        <v>902</v>
      </c>
      <c r="H5319" s="2" t="s">
        <v>822</v>
      </c>
      <c r="J5319" s="31">
        <v>49.365799000000003</v>
      </c>
      <c r="K5319" s="31">
        <v>-29.225200699999998</v>
      </c>
      <c r="L5319" s="31"/>
      <c r="M5319" s="31" t="s">
        <v>854</v>
      </c>
      <c r="N5319" s="6" t="s">
        <v>856</v>
      </c>
    </row>
    <row r="5320" spans="1:14" ht="15" customHeight="1" x14ac:dyDescent="0.2">
      <c r="A5320" s="31">
        <v>0.38210563869875458</v>
      </c>
      <c r="B5320" s="31"/>
      <c r="C5320" s="2" t="s">
        <v>855</v>
      </c>
      <c r="D5320" s="31">
        <f t="shared" si="168"/>
        <v>7.4892705184955902E-2</v>
      </c>
      <c r="F5320" s="2" t="s">
        <v>822</v>
      </c>
      <c r="G5320" s="23" t="s">
        <v>902</v>
      </c>
      <c r="H5320" s="2" t="s">
        <v>822</v>
      </c>
      <c r="J5320" s="31">
        <v>48.751998899999997</v>
      </c>
      <c r="K5320" s="31">
        <v>-35.880001100000001</v>
      </c>
      <c r="L5320" s="31"/>
      <c r="M5320" s="31" t="s">
        <v>854</v>
      </c>
      <c r="N5320" s="6" t="s">
        <v>856</v>
      </c>
    </row>
    <row r="5321" spans="1:14" ht="15" customHeight="1" x14ac:dyDescent="0.2">
      <c r="A5321" s="31">
        <v>0.38201579708463967</v>
      </c>
      <c r="B5321" s="31"/>
      <c r="C5321" s="2" t="s">
        <v>855</v>
      </c>
      <c r="D5321" s="31">
        <f t="shared" si="168"/>
        <v>7.4875096228589386E-2</v>
      </c>
      <c r="F5321" s="2" t="s">
        <v>822</v>
      </c>
      <c r="G5321" s="23" t="s">
        <v>902</v>
      </c>
      <c r="H5321" s="2" t="s">
        <v>822</v>
      </c>
      <c r="J5321" s="31">
        <v>49.419998200000002</v>
      </c>
      <c r="K5321" s="31">
        <v>-39.888000499999997</v>
      </c>
      <c r="L5321" s="31"/>
      <c r="M5321" s="31" t="s">
        <v>854</v>
      </c>
      <c r="N5321" s="6" t="s">
        <v>856</v>
      </c>
    </row>
    <row r="5322" spans="1:14" ht="15" customHeight="1" x14ac:dyDescent="0.2">
      <c r="A5322" s="31">
        <v>0.38194447328103093</v>
      </c>
      <c r="B5322" s="31"/>
      <c r="C5322" s="2" t="s">
        <v>855</v>
      </c>
      <c r="D5322" s="31">
        <f t="shared" si="168"/>
        <v>7.4861116763082061E-2</v>
      </c>
      <c r="F5322" s="2" t="s">
        <v>822</v>
      </c>
      <c r="G5322" s="23" t="s">
        <v>902</v>
      </c>
      <c r="H5322" s="2" t="s">
        <v>822</v>
      </c>
      <c r="J5322" s="31">
        <v>49.953601800000001</v>
      </c>
      <c r="K5322" s="31">
        <v>4.7836299999999998E-2</v>
      </c>
      <c r="L5322" s="31"/>
      <c r="M5322" s="31" t="s">
        <v>854</v>
      </c>
      <c r="N5322" s="6" t="s">
        <v>856</v>
      </c>
    </row>
    <row r="5323" spans="1:14" ht="15" customHeight="1" x14ac:dyDescent="0.2">
      <c r="A5323" s="31">
        <v>0.38179809721351149</v>
      </c>
      <c r="B5323" s="31"/>
      <c r="C5323" s="2" t="s">
        <v>855</v>
      </c>
      <c r="D5323" s="31">
        <f t="shared" si="168"/>
        <v>7.4832427053848252E-2</v>
      </c>
      <c r="F5323" s="2" t="s">
        <v>822</v>
      </c>
      <c r="G5323" s="23" t="s">
        <v>902</v>
      </c>
      <c r="H5323" s="2" t="s">
        <v>822</v>
      </c>
      <c r="J5323" s="31">
        <v>56.768001599999998</v>
      </c>
      <c r="K5323" s="31">
        <v>-9.1599997999999996</v>
      </c>
      <c r="L5323" s="31"/>
      <c r="M5323" s="31" t="s">
        <v>854</v>
      </c>
      <c r="N5323" s="6" t="s">
        <v>856</v>
      </c>
    </row>
    <row r="5324" spans="1:14" ht="15" customHeight="1" x14ac:dyDescent="0.2">
      <c r="A5324" s="31">
        <v>0.38162917319573769</v>
      </c>
      <c r="B5324" s="31"/>
      <c r="C5324" s="2" t="s">
        <v>855</v>
      </c>
      <c r="D5324" s="31">
        <f t="shared" si="168"/>
        <v>7.4799317946364588E-2</v>
      </c>
      <c r="F5324" s="2" t="s">
        <v>822</v>
      </c>
      <c r="G5324" s="23" t="s">
        <v>902</v>
      </c>
      <c r="H5324" s="2" t="s">
        <v>822</v>
      </c>
      <c r="J5324" s="31">
        <v>50.456901600000002</v>
      </c>
      <c r="K5324" s="31">
        <v>-15.3500996</v>
      </c>
      <c r="L5324" s="31"/>
      <c r="M5324" s="31" t="s">
        <v>854</v>
      </c>
      <c r="N5324" s="6" t="s">
        <v>856</v>
      </c>
    </row>
    <row r="5325" spans="1:14" ht="15" customHeight="1" x14ac:dyDescent="0.2">
      <c r="A5325" s="31">
        <v>0.38143603273240623</v>
      </c>
      <c r="B5325" s="31"/>
      <c r="C5325" s="2" t="s">
        <v>855</v>
      </c>
      <c r="D5325" s="31">
        <f t="shared" si="168"/>
        <v>7.4761462415551622E-2</v>
      </c>
      <c r="F5325" s="2" t="s">
        <v>822</v>
      </c>
      <c r="G5325" s="23" t="s">
        <v>902</v>
      </c>
      <c r="H5325" s="2" t="s">
        <v>822</v>
      </c>
      <c r="J5325" s="31">
        <v>55.455398600000002</v>
      </c>
      <c r="K5325" s="31">
        <v>-14.3766003</v>
      </c>
      <c r="L5325" s="31"/>
      <c r="M5325" s="31" t="s">
        <v>854</v>
      </c>
      <c r="N5325" s="6" t="s">
        <v>856</v>
      </c>
    </row>
    <row r="5326" spans="1:14" ht="15" customHeight="1" x14ac:dyDescent="0.2">
      <c r="A5326" s="31">
        <v>0.38125374177767452</v>
      </c>
      <c r="B5326" s="31"/>
      <c r="C5326" s="2" t="s">
        <v>855</v>
      </c>
      <c r="D5326" s="31">
        <f t="shared" si="168"/>
        <v>7.4725733388424212E-2</v>
      </c>
      <c r="F5326" s="2" t="s">
        <v>822</v>
      </c>
      <c r="G5326" s="23" t="s">
        <v>902</v>
      </c>
      <c r="H5326" s="2" t="s">
        <v>822</v>
      </c>
      <c r="J5326" s="31">
        <v>52.4679985</v>
      </c>
      <c r="K5326" s="31">
        <v>-16.6783009</v>
      </c>
      <c r="L5326" s="31"/>
      <c r="M5326" s="31" t="s">
        <v>854</v>
      </c>
      <c r="N5326" s="6" t="s">
        <v>856</v>
      </c>
    </row>
    <row r="5327" spans="1:14" ht="15" customHeight="1" x14ac:dyDescent="0.2">
      <c r="A5327" s="31">
        <v>0.3810912443577873</v>
      </c>
      <c r="B5327" s="31"/>
      <c r="C5327" s="2" t="s">
        <v>855</v>
      </c>
      <c r="D5327" s="31">
        <f t="shared" si="168"/>
        <v>7.4693883894126317E-2</v>
      </c>
      <c r="F5327" s="2" t="s">
        <v>822</v>
      </c>
      <c r="G5327" s="23" t="s">
        <v>902</v>
      </c>
      <c r="H5327" s="2" t="s">
        <v>822</v>
      </c>
      <c r="J5327" s="31">
        <v>55.4319992</v>
      </c>
      <c r="K5327" s="31">
        <v>-21.184000000000001</v>
      </c>
      <c r="L5327" s="31"/>
      <c r="M5327" s="31" t="s">
        <v>854</v>
      </c>
      <c r="N5327" s="6" t="s">
        <v>856</v>
      </c>
    </row>
    <row r="5328" spans="1:14" ht="15" customHeight="1" x14ac:dyDescent="0.2">
      <c r="A5328" s="31">
        <v>0.3809789280332358</v>
      </c>
      <c r="B5328" s="31"/>
      <c r="C5328" s="2" t="s">
        <v>855</v>
      </c>
      <c r="D5328" s="31">
        <f t="shared" si="168"/>
        <v>7.4671869894514215E-2</v>
      </c>
      <c r="F5328" s="2" t="s">
        <v>822</v>
      </c>
      <c r="G5328" s="23" t="s">
        <v>902</v>
      </c>
      <c r="H5328" s="2" t="s">
        <v>822</v>
      </c>
      <c r="J5328" s="31">
        <v>53.123600000000003</v>
      </c>
      <c r="K5328" s="31">
        <v>2.8640001000000002</v>
      </c>
      <c r="L5328" s="31"/>
      <c r="M5328" s="31" t="s">
        <v>854</v>
      </c>
      <c r="N5328" s="6" t="s">
        <v>856</v>
      </c>
    </row>
    <row r="5329" spans="1:14" ht="15" customHeight="1" x14ac:dyDescent="0.2">
      <c r="A5329" s="31">
        <v>0.38092089930522632</v>
      </c>
      <c r="B5329" s="31"/>
      <c r="C5329" s="2" t="s">
        <v>855</v>
      </c>
      <c r="D5329" s="31">
        <f t="shared" si="168"/>
        <v>7.4660496263824358E-2</v>
      </c>
      <c r="F5329" s="2" t="s">
        <v>822</v>
      </c>
      <c r="G5329" s="23" t="s">
        <v>902</v>
      </c>
      <c r="H5329" s="2" t="s">
        <v>822</v>
      </c>
      <c r="J5329" s="31">
        <v>51.2383995</v>
      </c>
      <c r="K5329" s="31">
        <v>-21.170499800000002</v>
      </c>
      <c r="L5329" s="31"/>
      <c r="M5329" s="31" t="s">
        <v>854</v>
      </c>
      <c r="N5329" s="6" t="s">
        <v>856</v>
      </c>
    </row>
    <row r="5330" spans="1:14" ht="15" customHeight="1" x14ac:dyDescent="0.2">
      <c r="A5330" s="31">
        <v>0.38081293478913453</v>
      </c>
      <c r="B5330" s="31"/>
      <c r="C5330" s="2" t="s">
        <v>855</v>
      </c>
      <c r="D5330" s="31">
        <f t="shared" si="168"/>
        <v>7.4639335218670375E-2</v>
      </c>
      <c r="F5330" s="2" t="s">
        <v>822</v>
      </c>
      <c r="G5330" s="23" t="s">
        <v>902</v>
      </c>
      <c r="H5330" s="2" t="s">
        <v>822</v>
      </c>
      <c r="J5330" s="31">
        <v>63.731498700000003</v>
      </c>
      <c r="K5330" s="31">
        <v>-22.941499700000001</v>
      </c>
      <c r="L5330" s="31"/>
      <c r="M5330" s="31" t="s">
        <v>854</v>
      </c>
      <c r="N5330" s="6" t="s">
        <v>856</v>
      </c>
    </row>
    <row r="5331" spans="1:14" ht="15" customHeight="1" x14ac:dyDescent="0.2">
      <c r="A5331" s="31">
        <v>0.38072298840331148</v>
      </c>
      <c r="B5331" s="31"/>
      <c r="C5331" s="2" t="s">
        <v>855</v>
      </c>
      <c r="D5331" s="31">
        <f t="shared" si="168"/>
        <v>7.4621705727049056E-2</v>
      </c>
      <c r="F5331" s="2" t="s">
        <v>822</v>
      </c>
      <c r="G5331" s="23" t="s">
        <v>902</v>
      </c>
      <c r="H5331" s="2" t="s">
        <v>822</v>
      </c>
      <c r="J5331" s="31">
        <v>54.096000699999998</v>
      </c>
      <c r="K5331" s="31">
        <v>-18.6233006</v>
      </c>
      <c r="L5331" s="31"/>
      <c r="M5331" s="31" t="s">
        <v>854</v>
      </c>
      <c r="N5331" s="6" t="s">
        <v>856</v>
      </c>
    </row>
    <row r="5332" spans="1:14" ht="15" customHeight="1" x14ac:dyDescent="0.2">
      <c r="A5332" s="31">
        <v>0.38050134626873211</v>
      </c>
      <c r="B5332" s="31"/>
      <c r="C5332" s="2" t="s">
        <v>855</v>
      </c>
      <c r="D5332" s="31">
        <f t="shared" si="168"/>
        <v>7.4578263868671502E-2</v>
      </c>
      <c r="F5332" s="2" t="s">
        <v>822</v>
      </c>
      <c r="G5332" s="23" t="s">
        <v>902</v>
      </c>
      <c r="H5332" s="2" t="s">
        <v>822</v>
      </c>
      <c r="J5332" s="31">
        <v>46.748001100000003</v>
      </c>
      <c r="K5332" s="31">
        <v>-30.5359993</v>
      </c>
      <c r="L5332" s="31"/>
      <c r="M5332" s="31" t="s">
        <v>854</v>
      </c>
      <c r="N5332" s="6" t="s">
        <v>856</v>
      </c>
    </row>
    <row r="5333" spans="1:14" ht="15" customHeight="1" x14ac:dyDescent="0.2">
      <c r="A5333" s="31">
        <v>0.38038558704077952</v>
      </c>
      <c r="B5333" s="31"/>
      <c r="C5333" s="2" t="s">
        <v>855</v>
      </c>
      <c r="D5333" s="31">
        <f t="shared" si="168"/>
        <v>7.4555575059992787E-2</v>
      </c>
      <c r="F5333" s="2" t="s">
        <v>822</v>
      </c>
      <c r="G5333" s="23" t="s">
        <v>902</v>
      </c>
      <c r="H5333" s="2" t="s">
        <v>822</v>
      </c>
      <c r="J5333" s="31">
        <v>35.160499600000001</v>
      </c>
      <c r="K5333" s="31">
        <v>12.6613998</v>
      </c>
      <c r="L5333" s="31"/>
      <c r="M5333" s="31" t="s">
        <v>854</v>
      </c>
      <c r="N5333" s="6" t="s">
        <v>856</v>
      </c>
    </row>
    <row r="5334" spans="1:14" ht="15" customHeight="1" x14ac:dyDescent="0.2">
      <c r="A5334" s="31">
        <v>0.38034325431808158</v>
      </c>
      <c r="B5334" s="31"/>
      <c r="C5334" s="2" t="s">
        <v>855</v>
      </c>
      <c r="D5334" s="31">
        <f t="shared" si="168"/>
        <v>7.454727784634399E-2</v>
      </c>
      <c r="F5334" s="2" t="s">
        <v>822</v>
      </c>
      <c r="G5334" s="23" t="s">
        <v>902</v>
      </c>
      <c r="H5334" s="2" t="s">
        <v>822</v>
      </c>
      <c r="J5334" s="31">
        <v>58.771999399999999</v>
      </c>
      <c r="K5334" s="31">
        <v>-21.184000000000001</v>
      </c>
      <c r="L5334" s="31"/>
      <c r="M5334" s="31" t="s">
        <v>854</v>
      </c>
      <c r="N5334" s="6" t="s">
        <v>856</v>
      </c>
    </row>
    <row r="5335" spans="1:14" ht="15" customHeight="1" x14ac:dyDescent="0.2">
      <c r="A5335" s="31">
        <v>0.38034126100523019</v>
      </c>
      <c r="B5335" s="31"/>
      <c r="C5335" s="2" t="s">
        <v>855</v>
      </c>
      <c r="D5335" s="31">
        <f t="shared" si="168"/>
        <v>7.4546887157025121E-2</v>
      </c>
      <c r="F5335" s="2" t="s">
        <v>822</v>
      </c>
      <c r="G5335" s="23" t="s">
        <v>902</v>
      </c>
      <c r="H5335" s="2" t="s">
        <v>822</v>
      </c>
      <c r="J5335" s="31">
        <v>57.710998500000002</v>
      </c>
      <c r="K5335" s="31">
        <v>-7.0345301999999998</v>
      </c>
      <c r="L5335" s="31"/>
      <c r="M5335" s="31" t="s">
        <v>854</v>
      </c>
      <c r="N5335" s="6" t="s">
        <v>856</v>
      </c>
    </row>
    <row r="5336" spans="1:14" ht="15" customHeight="1" x14ac:dyDescent="0.2">
      <c r="A5336" s="31">
        <v>0.38031551535579361</v>
      </c>
      <c r="B5336" s="31"/>
      <c r="C5336" s="2" t="s">
        <v>855</v>
      </c>
      <c r="D5336" s="31">
        <f t="shared" si="168"/>
        <v>7.4541841009735557E-2</v>
      </c>
      <c r="F5336" s="2" t="s">
        <v>822</v>
      </c>
      <c r="G5336" s="23" t="s">
        <v>902</v>
      </c>
      <c r="H5336" s="2" t="s">
        <v>822</v>
      </c>
      <c r="J5336" s="31">
        <v>47.866001099999998</v>
      </c>
      <c r="K5336" s="31">
        <v>-8.6312504000000008</v>
      </c>
      <c r="L5336" s="31"/>
      <c r="M5336" s="31" t="s">
        <v>854</v>
      </c>
      <c r="N5336" s="6" t="s">
        <v>856</v>
      </c>
    </row>
    <row r="5337" spans="1:14" ht="15" customHeight="1" x14ac:dyDescent="0.2">
      <c r="A5337" s="31">
        <v>0.38023538931917611</v>
      </c>
      <c r="B5337" s="31"/>
      <c r="C5337" s="2" t="s">
        <v>855</v>
      </c>
      <c r="D5337" s="31">
        <f t="shared" si="168"/>
        <v>7.4526136306558521E-2</v>
      </c>
      <c r="F5337" s="2" t="s">
        <v>822</v>
      </c>
      <c r="G5337" s="23" t="s">
        <v>902</v>
      </c>
      <c r="H5337" s="2" t="s">
        <v>822</v>
      </c>
      <c r="J5337" s="31">
        <v>50.088001300000002</v>
      </c>
      <c r="K5337" s="31">
        <v>-37.883998900000002</v>
      </c>
      <c r="L5337" s="31"/>
      <c r="M5337" s="31" t="s">
        <v>854</v>
      </c>
      <c r="N5337" s="6" t="s">
        <v>856</v>
      </c>
    </row>
    <row r="5338" spans="1:14" ht="15" customHeight="1" x14ac:dyDescent="0.2">
      <c r="A5338" s="31">
        <v>0.37983720797062781</v>
      </c>
      <c r="B5338" s="31"/>
      <c r="C5338" s="2" t="s">
        <v>855</v>
      </c>
      <c r="D5338" s="31">
        <f t="shared" si="168"/>
        <v>7.4448092762243054E-2</v>
      </c>
      <c r="F5338" s="2" t="s">
        <v>822</v>
      </c>
      <c r="G5338" s="23" t="s">
        <v>902</v>
      </c>
      <c r="H5338" s="2" t="s">
        <v>822</v>
      </c>
      <c r="J5338" s="31">
        <v>48.751998899999997</v>
      </c>
      <c r="K5338" s="31">
        <v>-16.507999399999999</v>
      </c>
      <c r="L5338" s="31"/>
      <c r="M5338" s="31" t="s">
        <v>854</v>
      </c>
      <c r="N5338" s="6" t="s">
        <v>856</v>
      </c>
    </row>
    <row r="5339" spans="1:14" ht="15" customHeight="1" x14ac:dyDescent="0.2">
      <c r="A5339" s="31">
        <v>0.37942734032476838</v>
      </c>
      <c r="B5339" s="31"/>
      <c r="C5339" s="2" t="s">
        <v>855</v>
      </c>
      <c r="D5339" s="31">
        <f t="shared" si="168"/>
        <v>7.4367758703654599E-2</v>
      </c>
      <c r="F5339" s="2" t="s">
        <v>822</v>
      </c>
      <c r="G5339" s="23" t="s">
        <v>902</v>
      </c>
      <c r="H5339" s="2" t="s">
        <v>822</v>
      </c>
      <c r="J5339" s="31">
        <v>64.783996599999995</v>
      </c>
      <c r="K5339" s="31">
        <v>-24.5240002</v>
      </c>
      <c r="L5339" s="31"/>
      <c r="M5339" s="31" t="s">
        <v>854</v>
      </c>
      <c r="N5339" s="6" t="s">
        <v>856</v>
      </c>
    </row>
    <row r="5340" spans="1:14" ht="15" customHeight="1" x14ac:dyDescent="0.2">
      <c r="A5340" s="31">
        <v>0.37932801415897488</v>
      </c>
      <c r="B5340" s="31"/>
      <c r="C5340" s="2" t="s">
        <v>855</v>
      </c>
      <c r="D5340" s="31">
        <f t="shared" si="168"/>
        <v>7.4348290775159073E-2</v>
      </c>
      <c r="F5340" s="2" t="s">
        <v>822</v>
      </c>
      <c r="G5340" s="23" t="s">
        <v>902</v>
      </c>
      <c r="H5340" s="2" t="s">
        <v>822</v>
      </c>
      <c r="J5340" s="31">
        <v>61.444000199999998</v>
      </c>
      <c r="K5340" s="31">
        <v>-23.856000900000002</v>
      </c>
      <c r="L5340" s="31"/>
      <c r="M5340" s="31" t="s">
        <v>854</v>
      </c>
      <c r="N5340" s="6" t="s">
        <v>856</v>
      </c>
    </row>
    <row r="5341" spans="1:14" ht="15" customHeight="1" x14ac:dyDescent="0.2">
      <c r="A5341" s="31">
        <v>0.37908191250103801</v>
      </c>
      <c r="B5341" s="31"/>
      <c r="C5341" s="2" t="s">
        <v>855</v>
      </c>
      <c r="D5341" s="31">
        <f t="shared" si="168"/>
        <v>7.4300054850203454E-2</v>
      </c>
      <c r="F5341" s="2" t="s">
        <v>822</v>
      </c>
      <c r="G5341" s="23" t="s">
        <v>902</v>
      </c>
      <c r="H5341" s="2" t="s">
        <v>822</v>
      </c>
      <c r="J5341" s="31">
        <v>52.321800199999998</v>
      </c>
      <c r="K5341" s="31">
        <v>-15.471599599999999</v>
      </c>
      <c r="L5341" s="31"/>
      <c r="M5341" s="31" t="s">
        <v>854</v>
      </c>
      <c r="N5341" s="6" t="s">
        <v>856</v>
      </c>
    </row>
    <row r="5342" spans="1:14" ht="15" customHeight="1" x14ac:dyDescent="0.2">
      <c r="A5342" s="31">
        <v>0.37886863877643812</v>
      </c>
      <c r="B5342" s="31"/>
      <c r="C5342" s="2" t="s">
        <v>855</v>
      </c>
      <c r="D5342" s="31">
        <f t="shared" si="168"/>
        <v>7.4258253200181867E-2</v>
      </c>
      <c r="F5342" s="2" t="s">
        <v>822</v>
      </c>
      <c r="G5342" s="23" t="s">
        <v>902</v>
      </c>
      <c r="H5342" s="2" t="s">
        <v>822</v>
      </c>
      <c r="J5342" s="31">
        <v>55.2505989</v>
      </c>
      <c r="K5342" s="31">
        <v>2.1960001</v>
      </c>
      <c r="L5342" s="31"/>
      <c r="M5342" s="31" t="s">
        <v>854</v>
      </c>
      <c r="N5342" s="6" t="s">
        <v>856</v>
      </c>
    </row>
    <row r="5343" spans="1:14" ht="15" customHeight="1" x14ac:dyDescent="0.2">
      <c r="A5343" s="31">
        <v>0.37880787907874292</v>
      </c>
      <c r="B5343" s="31"/>
      <c r="C5343" s="2" t="s">
        <v>855</v>
      </c>
      <c r="D5343" s="31">
        <f t="shared" si="168"/>
        <v>7.4246344299433609E-2</v>
      </c>
      <c r="F5343" s="2" t="s">
        <v>822</v>
      </c>
      <c r="G5343" s="23" t="s">
        <v>902</v>
      </c>
      <c r="H5343" s="2" t="s">
        <v>822</v>
      </c>
      <c r="J5343" s="31">
        <v>55.456901600000002</v>
      </c>
      <c r="K5343" s="31">
        <v>2.2558801000000002</v>
      </c>
      <c r="L5343" s="31"/>
      <c r="M5343" s="31" t="s">
        <v>854</v>
      </c>
      <c r="N5343" s="6" t="s">
        <v>856</v>
      </c>
    </row>
    <row r="5344" spans="1:14" ht="15" customHeight="1" x14ac:dyDescent="0.2">
      <c r="A5344" s="31">
        <v>0.37874921253889232</v>
      </c>
      <c r="B5344" s="31"/>
      <c r="C5344" s="2" t="s">
        <v>855</v>
      </c>
      <c r="D5344" s="31">
        <f t="shared" ref="D5344:D5375" si="169" xml:space="preserve"> A5344 * 0.196</f>
        <v>7.4234845657622894E-2</v>
      </c>
      <c r="F5344" s="2" t="s">
        <v>822</v>
      </c>
      <c r="G5344" s="23" t="s">
        <v>902</v>
      </c>
      <c r="H5344" s="2" t="s">
        <v>822</v>
      </c>
      <c r="J5344" s="31">
        <v>56.768001599999998</v>
      </c>
      <c r="K5344" s="31">
        <v>-24.5240002</v>
      </c>
      <c r="L5344" s="31"/>
      <c r="M5344" s="31" t="s">
        <v>854</v>
      </c>
      <c r="N5344" s="6" t="s">
        <v>856</v>
      </c>
    </row>
    <row r="5345" spans="1:14" ht="15" customHeight="1" x14ac:dyDescent="0.2">
      <c r="A5345" s="31">
        <v>0.37858838891911228</v>
      </c>
      <c r="B5345" s="31"/>
      <c r="C5345" s="2" t="s">
        <v>855</v>
      </c>
      <c r="D5345" s="31">
        <f t="shared" si="169"/>
        <v>7.4203324228146017E-2</v>
      </c>
      <c r="F5345" s="2" t="s">
        <v>822</v>
      </c>
      <c r="G5345" s="23" t="s">
        <v>902</v>
      </c>
      <c r="H5345" s="2" t="s">
        <v>822</v>
      </c>
      <c r="J5345" s="31">
        <v>50.762298600000001</v>
      </c>
      <c r="K5345" s="31">
        <v>-26.5163002</v>
      </c>
      <c r="L5345" s="31"/>
      <c r="M5345" s="31" t="s">
        <v>854</v>
      </c>
      <c r="N5345" s="6" t="s">
        <v>856</v>
      </c>
    </row>
    <row r="5346" spans="1:14" ht="15" customHeight="1" x14ac:dyDescent="0.2">
      <c r="A5346" s="31">
        <v>0.3785502813218643</v>
      </c>
      <c r="B5346" s="31"/>
      <c r="C5346" s="2" t="s">
        <v>855</v>
      </c>
      <c r="D5346" s="31">
        <f t="shared" si="169"/>
        <v>7.4195855139085401E-2</v>
      </c>
      <c r="F5346" s="2" t="s">
        <v>822</v>
      </c>
      <c r="G5346" s="23" t="s">
        <v>902</v>
      </c>
      <c r="H5346" s="2" t="s">
        <v>822</v>
      </c>
      <c r="J5346" s="31">
        <v>49.419998200000002</v>
      </c>
      <c r="K5346" s="31">
        <v>-16.507999399999999</v>
      </c>
      <c r="L5346" s="31"/>
      <c r="M5346" s="31" t="s">
        <v>854</v>
      </c>
      <c r="N5346" s="6" t="s">
        <v>856</v>
      </c>
    </row>
    <row r="5347" spans="1:14" ht="15" customHeight="1" x14ac:dyDescent="0.2">
      <c r="A5347" s="31">
        <v>0.37809581690617838</v>
      </c>
      <c r="B5347" s="31"/>
      <c r="C5347" s="2" t="s">
        <v>855</v>
      </c>
      <c r="D5347" s="31">
        <f t="shared" si="169"/>
        <v>7.4106780113610965E-2</v>
      </c>
      <c r="F5347" s="2" t="s">
        <v>822</v>
      </c>
      <c r="G5347" s="23" t="s">
        <v>902</v>
      </c>
      <c r="H5347" s="2" t="s">
        <v>822</v>
      </c>
      <c r="J5347" s="31">
        <v>50.191101099999997</v>
      </c>
      <c r="K5347" s="31">
        <v>-29.5044003</v>
      </c>
      <c r="L5347" s="31"/>
      <c r="M5347" s="31" t="s">
        <v>854</v>
      </c>
      <c r="N5347" s="6" t="s">
        <v>856</v>
      </c>
    </row>
    <row r="5348" spans="1:14" ht="15" customHeight="1" x14ac:dyDescent="0.2">
      <c r="A5348" s="31">
        <v>0.37807090879811578</v>
      </c>
      <c r="B5348" s="31"/>
      <c r="C5348" s="2" t="s">
        <v>855</v>
      </c>
      <c r="D5348" s="31">
        <f t="shared" si="169"/>
        <v>7.4101898124430701E-2</v>
      </c>
      <c r="F5348" s="2" t="s">
        <v>822</v>
      </c>
      <c r="G5348" s="23" t="s">
        <v>902</v>
      </c>
      <c r="H5348" s="2" t="s">
        <v>822</v>
      </c>
      <c r="J5348" s="31">
        <v>54.930400800000001</v>
      </c>
      <c r="K5348" s="31">
        <v>-5.2153100999999999</v>
      </c>
      <c r="L5348" s="31"/>
      <c r="M5348" s="31" t="s">
        <v>854</v>
      </c>
      <c r="N5348" s="6" t="s">
        <v>856</v>
      </c>
    </row>
    <row r="5349" spans="1:14" ht="15" customHeight="1" x14ac:dyDescent="0.2">
      <c r="A5349" s="31">
        <v>0.37779089321081522</v>
      </c>
      <c r="B5349" s="31"/>
      <c r="C5349" s="2" t="s">
        <v>855</v>
      </c>
      <c r="D5349" s="31">
        <f t="shared" si="169"/>
        <v>7.404701506931978E-2</v>
      </c>
      <c r="F5349" s="2" t="s">
        <v>822</v>
      </c>
      <c r="G5349" s="23" t="s">
        <v>902</v>
      </c>
      <c r="H5349" s="2" t="s">
        <v>822</v>
      </c>
      <c r="J5349" s="31">
        <v>56.099998499999998</v>
      </c>
      <c r="K5349" s="31">
        <v>-20.516000699999999</v>
      </c>
      <c r="L5349" s="31"/>
      <c r="M5349" s="31" t="s">
        <v>854</v>
      </c>
      <c r="N5349" s="6" t="s">
        <v>856</v>
      </c>
    </row>
    <row r="5350" spans="1:14" ht="15" customHeight="1" x14ac:dyDescent="0.2">
      <c r="A5350" s="31">
        <v>0.37773625023027319</v>
      </c>
      <c r="B5350" s="31"/>
      <c r="C5350" s="2" t="s">
        <v>855</v>
      </c>
      <c r="D5350" s="31">
        <f t="shared" si="169"/>
        <v>7.4036305045133546E-2</v>
      </c>
      <c r="F5350" s="2" t="s">
        <v>822</v>
      </c>
      <c r="G5350" s="23" t="s">
        <v>902</v>
      </c>
      <c r="H5350" s="2" t="s">
        <v>822</v>
      </c>
      <c r="J5350" s="31">
        <v>56.566299399999998</v>
      </c>
      <c r="K5350" s="31">
        <v>4.6338100000000004</v>
      </c>
      <c r="L5350" s="31"/>
      <c r="M5350" s="31" t="s">
        <v>854</v>
      </c>
      <c r="N5350" s="6" t="s">
        <v>856</v>
      </c>
    </row>
    <row r="5351" spans="1:14" ht="15" customHeight="1" x14ac:dyDescent="0.2">
      <c r="A5351" s="31">
        <v>0.37765938309943042</v>
      </c>
      <c r="B5351" s="31"/>
      <c r="C5351" s="2" t="s">
        <v>855</v>
      </c>
      <c r="D5351" s="31">
        <f t="shared" si="169"/>
        <v>7.4021239087488366E-2</v>
      </c>
      <c r="F5351" s="2" t="s">
        <v>822</v>
      </c>
      <c r="G5351" s="23" t="s">
        <v>902</v>
      </c>
      <c r="H5351" s="2" t="s">
        <v>822</v>
      </c>
      <c r="J5351" s="31">
        <v>52.089099900000001</v>
      </c>
      <c r="K5351" s="31">
        <v>-16.5105</v>
      </c>
      <c r="L5351" s="31"/>
      <c r="M5351" s="31" t="s">
        <v>854</v>
      </c>
      <c r="N5351" s="6" t="s">
        <v>856</v>
      </c>
    </row>
    <row r="5352" spans="1:14" ht="15" customHeight="1" x14ac:dyDescent="0.2">
      <c r="A5352" s="31">
        <v>0.37762986171201463</v>
      </c>
      <c r="B5352" s="31"/>
      <c r="C5352" s="2" t="s">
        <v>855</v>
      </c>
      <c r="D5352" s="31">
        <f t="shared" si="169"/>
        <v>7.4015452895554876E-2</v>
      </c>
      <c r="F5352" s="2" t="s">
        <v>822</v>
      </c>
      <c r="G5352" s="23" t="s">
        <v>902</v>
      </c>
      <c r="H5352" s="2" t="s">
        <v>822</v>
      </c>
      <c r="J5352" s="31">
        <v>50.3008995</v>
      </c>
      <c r="K5352" s="31">
        <v>-5.6319299000000003</v>
      </c>
      <c r="L5352" s="31"/>
      <c r="M5352" s="31" t="s">
        <v>854</v>
      </c>
      <c r="N5352" s="6" t="s">
        <v>856</v>
      </c>
    </row>
    <row r="5353" spans="1:14" ht="15" customHeight="1" x14ac:dyDescent="0.2">
      <c r="A5353" s="31">
        <v>0.37736138149296639</v>
      </c>
      <c r="B5353" s="31"/>
      <c r="C5353" s="2" t="s">
        <v>855</v>
      </c>
      <c r="D5353" s="31">
        <f t="shared" si="169"/>
        <v>7.3962830772621418E-2</v>
      </c>
      <c r="F5353" s="2" t="s">
        <v>822</v>
      </c>
      <c r="G5353" s="23" t="s">
        <v>902</v>
      </c>
      <c r="H5353" s="2" t="s">
        <v>822</v>
      </c>
      <c r="J5353" s="31">
        <v>57.003398900000001</v>
      </c>
      <c r="K5353" s="31">
        <v>-7.7580299000000004</v>
      </c>
      <c r="L5353" s="31"/>
      <c r="M5353" s="31" t="s">
        <v>854</v>
      </c>
      <c r="N5353" s="6" t="s">
        <v>856</v>
      </c>
    </row>
    <row r="5354" spans="1:14" ht="15" customHeight="1" x14ac:dyDescent="0.2">
      <c r="A5354" s="31">
        <v>0.37731161807559482</v>
      </c>
      <c r="B5354" s="31"/>
      <c r="C5354" s="2" t="s">
        <v>855</v>
      </c>
      <c r="D5354" s="31">
        <f t="shared" si="169"/>
        <v>7.3953077142816584E-2</v>
      </c>
      <c r="F5354" s="2" t="s">
        <v>822</v>
      </c>
      <c r="G5354" s="23" t="s">
        <v>902</v>
      </c>
      <c r="H5354" s="2" t="s">
        <v>822</v>
      </c>
      <c r="J5354" s="31">
        <v>50.088001300000002</v>
      </c>
      <c r="K5354" s="31">
        <v>-19.847999600000001</v>
      </c>
      <c r="L5354" s="31"/>
      <c r="M5354" s="31" t="s">
        <v>854</v>
      </c>
      <c r="N5354" s="6" t="s">
        <v>856</v>
      </c>
    </row>
    <row r="5355" spans="1:14" ht="15" customHeight="1" x14ac:dyDescent="0.2">
      <c r="A5355" s="31">
        <v>0.37676604044594442</v>
      </c>
      <c r="B5355" s="31"/>
      <c r="C5355" s="2" t="s">
        <v>855</v>
      </c>
      <c r="D5355" s="31">
        <f t="shared" si="169"/>
        <v>7.3846143927405114E-2</v>
      </c>
      <c r="F5355" s="2" t="s">
        <v>822</v>
      </c>
      <c r="G5355" s="23" t="s">
        <v>902</v>
      </c>
      <c r="H5355" s="2" t="s">
        <v>822</v>
      </c>
      <c r="J5355" s="31">
        <v>50.097400700000001</v>
      </c>
      <c r="K5355" s="31">
        <v>-25.851900100000002</v>
      </c>
      <c r="L5355" s="31"/>
      <c r="M5355" s="31" t="s">
        <v>854</v>
      </c>
      <c r="N5355" s="6" t="s">
        <v>856</v>
      </c>
    </row>
    <row r="5356" spans="1:14" ht="15" customHeight="1" x14ac:dyDescent="0.2">
      <c r="A5356" s="31">
        <v>0.37674130493234859</v>
      </c>
      <c r="B5356" s="31"/>
      <c r="C5356" s="2" t="s">
        <v>855</v>
      </c>
      <c r="D5356" s="31">
        <f t="shared" si="169"/>
        <v>7.3841295766740325E-2</v>
      </c>
      <c r="F5356" s="2" t="s">
        <v>822</v>
      </c>
      <c r="G5356" s="23" t="s">
        <v>902</v>
      </c>
      <c r="H5356" s="2" t="s">
        <v>822</v>
      </c>
      <c r="J5356" s="31">
        <v>59.439998600000003</v>
      </c>
      <c r="K5356" s="31">
        <v>-21.851999299999999</v>
      </c>
      <c r="L5356" s="31"/>
      <c r="M5356" s="31" t="s">
        <v>854</v>
      </c>
      <c r="N5356" s="6" t="s">
        <v>856</v>
      </c>
    </row>
    <row r="5357" spans="1:14" ht="15" customHeight="1" x14ac:dyDescent="0.2">
      <c r="A5357" s="31">
        <v>0.37672961108565428</v>
      </c>
      <c r="B5357" s="31"/>
      <c r="C5357" s="2" t="s">
        <v>855</v>
      </c>
      <c r="D5357" s="31">
        <f t="shared" si="169"/>
        <v>7.3839003772788236E-2</v>
      </c>
      <c r="F5357" s="2" t="s">
        <v>822</v>
      </c>
      <c r="G5357" s="23" t="s">
        <v>902</v>
      </c>
      <c r="H5357" s="2" t="s">
        <v>822</v>
      </c>
      <c r="J5357" s="31">
        <v>35.466598500000003</v>
      </c>
      <c r="K5357" s="31">
        <v>-19.923299799999999</v>
      </c>
      <c r="L5357" s="31"/>
      <c r="M5357" s="31" t="s">
        <v>854</v>
      </c>
      <c r="N5357" s="6" t="s">
        <v>856</v>
      </c>
    </row>
    <row r="5358" spans="1:14" ht="15" customHeight="1" x14ac:dyDescent="0.2">
      <c r="A5358" s="31">
        <v>0.37652275879064517</v>
      </c>
      <c r="B5358" s="31"/>
      <c r="C5358" s="2" t="s">
        <v>855</v>
      </c>
      <c r="D5358" s="31">
        <f t="shared" si="169"/>
        <v>7.3798460722966461E-2</v>
      </c>
      <c r="F5358" s="2" t="s">
        <v>822</v>
      </c>
      <c r="G5358" s="23" t="s">
        <v>902</v>
      </c>
      <c r="H5358" s="2" t="s">
        <v>822</v>
      </c>
      <c r="J5358" s="31">
        <v>56.768001599999998</v>
      </c>
      <c r="K5358" s="31">
        <v>-26.527999900000001</v>
      </c>
      <c r="L5358" s="31"/>
      <c r="M5358" s="31" t="s">
        <v>854</v>
      </c>
      <c r="N5358" s="6" t="s">
        <v>856</v>
      </c>
    </row>
    <row r="5359" spans="1:14" ht="15" customHeight="1" x14ac:dyDescent="0.2">
      <c r="A5359" s="31">
        <v>0.37629686316013361</v>
      </c>
      <c r="B5359" s="31"/>
      <c r="C5359" s="2" t="s">
        <v>855</v>
      </c>
      <c r="D5359" s="31">
        <f t="shared" si="169"/>
        <v>7.3754185179386186E-2</v>
      </c>
      <c r="F5359" s="2" t="s">
        <v>822</v>
      </c>
      <c r="G5359" s="23" t="s">
        <v>902</v>
      </c>
      <c r="H5359" s="2" t="s">
        <v>822</v>
      </c>
      <c r="J5359" s="31">
        <v>31.631599399999999</v>
      </c>
      <c r="K5359" s="31">
        <v>-30.487899800000001</v>
      </c>
      <c r="L5359" s="31"/>
      <c r="M5359" s="31" t="s">
        <v>854</v>
      </c>
      <c r="N5359" s="6" t="s">
        <v>856</v>
      </c>
    </row>
    <row r="5360" spans="1:14" ht="15" customHeight="1" x14ac:dyDescent="0.2">
      <c r="A5360" s="31">
        <v>0.37625825119529138</v>
      </c>
      <c r="B5360" s="31"/>
      <c r="C5360" s="2" t="s">
        <v>855</v>
      </c>
      <c r="D5360" s="31">
        <f t="shared" si="169"/>
        <v>7.3746617234277112E-2</v>
      </c>
      <c r="F5360" s="2" t="s">
        <v>822</v>
      </c>
      <c r="G5360" s="23" t="s">
        <v>902</v>
      </c>
      <c r="H5360" s="2" t="s">
        <v>822</v>
      </c>
      <c r="J5360" s="31">
        <v>57.373600000000003</v>
      </c>
      <c r="K5360" s="31">
        <v>-8.7939997000000005</v>
      </c>
      <c r="L5360" s="31"/>
      <c r="M5360" s="31" t="s">
        <v>854</v>
      </c>
      <c r="N5360" s="6" t="s">
        <v>856</v>
      </c>
    </row>
    <row r="5361" spans="1:14" ht="15" customHeight="1" x14ac:dyDescent="0.2">
      <c r="A5361" s="31">
        <v>0.37581941425909521</v>
      </c>
      <c r="B5361" s="31"/>
      <c r="C5361" s="2" t="s">
        <v>855</v>
      </c>
      <c r="D5361" s="31">
        <f t="shared" si="169"/>
        <v>7.3660605194782666E-2</v>
      </c>
      <c r="F5361" s="2" t="s">
        <v>822</v>
      </c>
      <c r="G5361" s="23" t="s">
        <v>902</v>
      </c>
      <c r="H5361" s="2" t="s">
        <v>822</v>
      </c>
      <c r="J5361" s="31">
        <v>58.808200800000002</v>
      </c>
      <c r="K5361" s="31">
        <v>-3.4958301000000001</v>
      </c>
      <c r="L5361" s="31"/>
      <c r="M5361" s="31" t="s">
        <v>854</v>
      </c>
      <c r="N5361" s="6" t="s">
        <v>856</v>
      </c>
    </row>
    <row r="5362" spans="1:14" ht="15" customHeight="1" x14ac:dyDescent="0.2">
      <c r="A5362" s="31">
        <v>0.3757337092385068</v>
      </c>
      <c r="B5362" s="31"/>
      <c r="C5362" s="2" t="s">
        <v>855</v>
      </c>
      <c r="D5362" s="31">
        <f t="shared" si="169"/>
        <v>7.3643807010747339E-2</v>
      </c>
      <c r="F5362" s="2" t="s">
        <v>822</v>
      </c>
      <c r="G5362" s="23" t="s">
        <v>902</v>
      </c>
      <c r="H5362" s="2" t="s">
        <v>822</v>
      </c>
      <c r="J5362" s="31">
        <v>57.013999900000002</v>
      </c>
      <c r="K5362" s="31">
        <v>-6.6736798000000004</v>
      </c>
      <c r="L5362" s="31"/>
      <c r="M5362" s="31" t="s">
        <v>854</v>
      </c>
      <c r="N5362" s="6" t="s">
        <v>856</v>
      </c>
    </row>
    <row r="5363" spans="1:14" ht="15" customHeight="1" x14ac:dyDescent="0.2">
      <c r="A5363" s="31">
        <v>0.37565986988782429</v>
      </c>
      <c r="B5363" s="31"/>
      <c r="C5363" s="2" t="s">
        <v>855</v>
      </c>
      <c r="D5363" s="31">
        <f t="shared" si="169"/>
        <v>7.3629334498013566E-2</v>
      </c>
      <c r="F5363" s="2" t="s">
        <v>822</v>
      </c>
      <c r="G5363" s="23" t="s">
        <v>902</v>
      </c>
      <c r="H5363" s="2" t="s">
        <v>822</v>
      </c>
      <c r="J5363" s="31">
        <v>63.144001000000003</v>
      </c>
      <c r="K5363" s="31">
        <v>18.969699899999998</v>
      </c>
      <c r="L5363" s="31"/>
      <c r="M5363" s="31" t="s">
        <v>854</v>
      </c>
      <c r="N5363" s="6" t="s">
        <v>856</v>
      </c>
    </row>
    <row r="5364" spans="1:14" ht="15" customHeight="1" x14ac:dyDescent="0.2">
      <c r="A5364" s="31">
        <v>0.37511058586138202</v>
      </c>
      <c r="B5364" s="31"/>
      <c r="C5364" s="2" t="s">
        <v>855</v>
      </c>
      <c r="D5364" s="31">
        <f t="shared" si="169"/>
        <v>7.3521674828830874E-2</v>
      </c>
      <c r="F5364" s="2" t="s">
        <v>822</v>
      </c>
      <c r="G5364" s="23" t="s">
        <v>902</v>
      </c>
      <c r="H5364" s="2" t="s">
        <v>822</v>
      </c>
      <c r="J5364" s="31">
        <v>54.147399900000003</v>
      </c>
      <c r="K5364" s="31">
        <v>-4.5299000999999999</v>
      </c>
      <c r="L5364" s="31"/>
      <c r="M5364" s="31" t="s">
        <v>854</v>
      </c>
      <c r="N5364" s="6" t="s">
        <v>856</v>
      </c>
    </row>
    <row r="5365" spans="1:14" ht="15" customHeight="1" x14ac:dyDescent="0.2">
      <c r="A5365" s="31">
        <v>0.37509514232176921</v>
      </c>
      <c r="B5365" s="31"/>
      <c r="C5365" s="2" t="s">
        <v>855</v>
      </c>
      <c r="D5365" s="31">
        <f t="shared" si="169"/>
        <v>7.3518647895066763E-2</v>
      </c>
      <c r="F5365" s="2" t="s">
        <v>822</v>
      </c>
      <c r="G5365" s="23" t="s">
        <v>902</v>
      </c>
      <c r="H5365" s="2" t="s">
        <v>822</v>
      </c>
      <c r="J5365" s="31">
        <v>63.717601799999997</v>
      </c>
      <c r="K5365" s="31">
        <v>-15.171999899999999</v>
      </c>
      <c r="L5365" s="31"/>
      <c r="M5365" s="31" t="s">
        <v>854</v>
      </c>
      <c r="N5365" s="6" t="s">
        <v>856</v>
      </c>
    </row>
    <row r="5366" spans="1:14" ht="15" customHeight="1" x14ac:dyDescent="0.2">
      <c r="A5366" s="31">
        <v>0.37495288959823769</v>
      </c>
      <c r="B5366" s="31"/>
      <c r="C5366" s="2" t="s">
        <v>855</v>
      </c>
      <c r="D5366" s="31">
        <f t="shared" si="169"/>
        <v>7.3490766361254595E-2</v>
      </c>
      <c r="F5366" s="2" t="s">
        <v>822</v>
      </c>
      <c r="G5366" s="23" t="s">
        <v>902</v>
      </c>
      <c r="H5366" s="2" t="s">
        <v>822</v>
      </c>
      <c r="J5366" s="31">
        <v>58.771999399999999</v>
      </c>
      <c r="K5366" s="31">
        <v>-27.195999100000002</v>
      </c>
      <c r="L5366" s="31"/>
      <c r="M5366" s="31" t="s">
        <v>854</v>
      </c>
      <c r="N5366" s="6" t="s">
        <v>856</v>
      </c>
    </row>
    <row r="5367" spans="1:14" ht="15" customHeight="1" x14ac:dyDescent="0.2">
      <c r="A5367" s="31">
        <v>0.37491901288229829</v>
      </c>
      <c r="B5367" s="31"/>
      <c r="C5367" s="2" t="s">
        <v>855</v>
      </c>
      <c r="D5367" s="31">
        <f t="shared" si="169"/>
        <v>7.3484126524930471E-2</v>
      </c>
      <c r="F5367" s="2" t="s">
        <v>822</v>
      </c>
      <c r="G5367" s="23" t="s">
        <v>902</v>
      </c>
      <c r="H5367" s="2" t="s">
        <v>822</v>
      </c>
      <c r="J5367" s="31">
        <v>59.471099899999999</v>
      </c>
      <c r="K5367" s="31">
        <v>-3.1535001</v>
      </c>
      <c r="L5367" s="31"/>
      <c r="M5367" s="31" t="s">
        <v>854</v>
      </c>
      <c r="N5367" s="6" t="s">
        <v>856</v>
      </c>
    </row>
    <row r="5368" spans="1:14" ht="15" customHeight="1" x14ac:dyDescent="0.2">
      <c r="A5368" s="31">
        <v>0.37452621175574502</v>
      </c>
      <c r="B5368" s="31"/>
      <c r="C5368" s="2" t="s">
        <v>855</v>
      </c>
      <c r="D5368" s="31">
        <f t="shared" si="169"/>
        <v>7.340713750412603E-2</v>
      </c>
      <c r="F5368" s="2" t="s">
        <v>822</v>
      </c>
      <c r="G5368" s="23" t="s">
        <v>902</v>
      </c>
      <c r="H5368" s="2" t="s">
        <v>822</v>
      </c>
      <c r="J5368" s="31">
        <v>48.004398299999998</v>
      </c>
      <c r="K5368" s="31">
        <v>-25.257400499999999</v>
      </c>
      <c r="L5368" s="31"/>
      <c r="M5368" s="31" t="s">
        <v>854</v>
      </c>
      <c r="N5368" s="6" t="s">
        <v>856</v>
      </c>
    </row>
    <row r="5369" spans="1:14" ht="15" customHeight="1" x14ac:dyDescent="0.2">
      <c r="A5369" s="31">
        <v>0.37445466688364581</v>
      </c>
      <c r="B5369" s="31"/>
      <c r="C5369" s="2" t="s">
        <v>855</v>
      </c>
      <c r="D5369" s="31">
        <f t="shared" si="169"/>
        <v>7.3393114709194587E-2</v>
      </c>
      <c r="F5369" s="2" t="s">
        <v>822</v>
      </c>
      <c r="G5369" s="23" t="s">
        <v>902</v>
      </c>
      <c r="H5369" s="2" t="s">
        <v>822</v>
      </c>
      <c r="J5369" s="31">
        <v>57.377601599999998</v>
      </c>
      <c r="K5369" s="31">
        <v>-8.0851603000000001</v>
      </c>
      <c r="L5369" s="31"/>
      <c r="M5369" s="31" t="s">
        <v>854</v>
      </c>
      <c r="N5369" s="6" t="s">
        <v>856</v>
      </c>
    </row>
    <row r="5370" spans="1:14" ht="15" customHeight="1" x14ac:dyDescent="0.2">
      <c r="A5370" s="31">
        <v>0.37435016089463768</v>
      </c>
      <c r="B5370" s="31"/>
      <c r="C5370" s="2" t="s">
        <v>855</v>
      </c>
      <c r="D5370" s="31">
        <f t="shared" si="169"/>
        <v>7.3372631535348995E-2</v>
      </c>
      <c r="F5370" s="2" t="s">
        <v>822</v>
      </c>
      <c r="G5370" s="23" t="s">
        <v>902</v>
      </c>
      <c r="H5370" s="2" t="s">
        <v>822</v>
      </c>
      <c r="J5370" s="31">
        <v>53.428001399999999</v>
      </c>
      <c r="K5370" s="31">
        <v>-21.851999299999999</v>
      </c>
      <c r="L5370" s="31"/>
      <c r="M5370" s="31" t="s">
        <v>854</v>
      </c>
      <c r="N5370" s="6" t="s">
        <v>856</v>
      </c>
    </row>
    <row r="5371" spans="1:14" ht="15" customHeight="1" x14ac:dyDescent="0.2">
      <c r="A5371" s="31">
        <v>0.37418481384621233</v>
      </c>
      <c r="B5371" s="31"/>
      <c r="C5371" s="2" t="s">
        <v>855</v>
      </c>
      <c r="D5371" s="31">
        <f t="shared" si="169"/>
        <v>7.3340223513857619E-2</v>
      </c>
      <c r="F5371" s="2" t="s">
        <v>822</v>
      </c>
      <c r="G5371" s="23" t="s">
        <v>902</v>
      </c>
      <c r="H5371" s="2" t="s">
        <v>822</v>
      </c>
      <c r="J5371" s="31">
        <v>48.083999599999999</v>
      </c>
      <c r="K5371" s="31">
        <v>-32.540000900000003</v>
      </c>
      <c r="L5371" s="31"/>
      <c r="M5371" s="31" t="s">
        <v>854</v>
      </c>
      <c r="N5371" s="6" t="s">
        <v>856</v>
      </c>
    </row>
    <row r="5372" spans="1:14" ht="15" customHeight="1" x14ac:dyDescent="0.2">
      <c r="A5372" s="31">
        <v>0.37349351100544143</v>
      </c>
      <c r="B5372" s="31"/>
      <c r="C5372" s="2" t="s">
        <v>855</v>
      </c>
      <c r="D5372" s="31">
        <f t="shared" si="169"/>
        <v>7.3204728157066523E-2</v>
      </c>
      <c r="F5372" s="2" t="s">
        <v>822</v>
      </c>
      <c r="G5372" s="23" t="s">
        <v>902</v>
      </c>
      <c r="H5372" s="2" t="s">
        <v>822</v>
      </c>
      <c r="J5372" s="31">
        <v>51.942298899999997</v>
      </c>
      <c r="K5372" s="31">
        <v>-33.5868988</v>
      </c>
      <c r="L5372" s="31"/>
      <c r="M5372" s="31" t="s">
        <v>854</v>
      </c>
      <c r="N5372" s="6" t="s">
        <v>856</v>
      </c>
    </row>
    <row r="5373" spans="1:14" ht="15" customHeight="1" x14ac:dyDescent="0.2">
      <c r="A5373" s="31">
        <v>0.37322040082796859</v>
      </c>
      <c r="B5373" s="31"/>
      <c r="C5373" s="2" t="s">
        <v>855</v>
      </c>
      <c r="D5373" s="31">
        <f t="shared" si="169"/>
        <v>7.3151198562281847E-2</v>
      </c>
      <c r="F5373" s="2" t="s">
        <v>822</v>
      </c>
      <c r="G5373" s="23" t="s">
        <v>902</v>
      </c>
      <c r="H5373" s="2" t="s">
        <v>822</v>
      </c>
      <c r="J5373" s="31">
        <v>48.751998899999997</v>
      </c>
      <c r="K5373" s="31">
        <v>-21.851999299999999</v>
      </c>
      <c r="L5373" s="31"/>
      <c r="M5373" s="31" t="s">
        <v>854</v>
      </c>
      <c r="N5373" s="6" t="s">
        <v>856</v>
      </c>
    </row>
    <row r="5374" spans="1:14" ht="15" customHeight="1" x14ac:dyDescent="0.2">
      <c r="A5374" s="31">
        <v>0.37297865076296888</v>
      </c>
      <c r="B5374" s="31"/>
      <c r="C5374" s="2" t="s">
        <v>855</v>
      </c>
      <c r="D5374" s="31">
        <f t="shared" si="169"/>
        <v>7.3103815549541901E-2</v>
      </c>
      <c r="F5374" s="2" t="s">
        <v>822</v>
      </c>
      <c r="G5374" s="23" t="s">
        <v>902</v>
      </c>
      <c r="H5374" s="2" t="s">
        <v>822</v>
      </c>
      <c r="J5374" s="31">
        <v>58.771999399999999</v>
      </c>
      <c r="K5374" s="31">
        <v>-24.5240002</v>
      </c>
      <c r="L5374" s="31"/>
      <c r="M5374" s="31" t="s">
        <v>854</v>
      </c>
      <c r="N5374" s="6" t="s">
        <v>856</v>
      </c>
    </row>
    <row r="5375" spans="1:14" ht="15" customHeight="1" x14ac:dyDescent="0.2">
      <c r="A5375" s="31">
        <v>0.37288376964739012</v>
      </c>
      <c r="B5375" s="31"/>
      <c r="C5375" s="2" t="s">
        <v>855</v>
      </c>
      <c r="D5375" s="31">
        <f t="shared" si="169"/>
        <v>7.3085218850888464E-2</v>
      </c>
      <c r="F5375" s="2" t="s">
        <v>822</v>
      </c>
      <c r="G5375" s="23" t="s">
        <v>902</v>
      </c>
      <c r="H5375" s="2" t="s">
        <v>822</v>
      </c>
      <c r="J5375" s="31">
        <v>53.457599600000002</v>
      </c>
      <c r="K5375" s="31">
        <v>1.528</v>
      </c>
      <c r="L5375" s="31"/>
      <c r="M5375" s="31" t="s">
        <v>854</v>
      </c>
      <c r="N5375" s="6" t="s">
        <v>856</v>
      </c>
    </row>
    <row r="5376" spans="1:14" ht="15" customHeight="1" x14ac:dyDescent="0.2">
      <c r="A5376" s="31">
        <v>0.37285978599804692</v>
      </c>
      <c r="B5376" s="31"/>
      <c r="C5376" s="2" t="s">
        <v>855</v>
      </c>
      <c r="D5376" s="31">
        <f t="shared" ref="D5376:D5407" si="170" xml:space="preserve"> A5376 * 0.196</f>
        <v>7.3080518055617202E-2</v>
      </c>
      <c r="F5376" s="2" t="s">
        <v>822</v>
      </c>
      <c r="G5376" s="23" t="s">
        <v>902</v>
      </c>
      <c r="H5376" s="2" t="s">
        <v>822</v>
      </c>
      <c r="J5376" s="31">
        <v>29.3799992</v>
      </c>
      <c r="K5376" s="31">
        <v>-29.867999999999999</v>
      </c>
      <c r="L5376" s="31"/>
      <c r="M5376" s="31" t="s">
        <v>854</v>
      </c>
      <c r="N5376" s="6" t="s">
        <v>856</v>
      </c>
    </row>
    <row r="5377" spans="1:14" ht="15" customHeight="1" x14ac:dyDescent="0.2">
      <c r="A5377" s="31">
        <v>0.37261791292258117</v>
      </c>
      <c r="B5377" s="31"/>
      <c r="C5377" s="2" t="s">
        <v>855</v>
      </c>
      <c r="D5377" s="31">
        <f t="shared" si="170"/>
        <v>7.3033110932825912E-2</v>
      </c>
      <c r="F5377" s="2" t="s">
        <v>822</v>
      </c>
      <c r="G5377" s="23" t="s">
        <v>902</v>
      </c>
      <c r="H5377" s="2" t="s">
        <v>822</v>
      </c>
      <c r="J5377" s="31">
        <v>58.1040001</v>
      </c>
      <c r="K5377" s="31">
        <v>-18.511999100000001</v>
      </c>
      <c r="L5377" s="31"/>
      <c r="M5377" s="31" t="s">
        <v>854</v>
      </c>
      <c r="N5377" s="6" t="s">
        <v>856</v>
      </c>
    </row>
    <row r="5378" spans="1:14" ht="15" customHeight="1" x14ac:dyDescent="0.2">
      <c r="A5378" s="31">
        <v>0.37233050351053387</v>
      </c>
      <c r="B5378" s="31"/>
      <c r="C5378" s="2" t="s">
        <v>855</v>
      </c>
      <c r="D5378" s="31">
        <f t="shared" si="170"/>
        <v>7.2976778688064639E-2</v>
      </c>
      <c r="F5378" s="2" t="s">
        <v>822</v>
      </c>
      <c r="G5378" s="23" t="s">
        <v>902</v>
      </c>
      <c r="H5378" s="2" t="s">
        <v>822</v>
      </c>
      <c r="J5378" s="31">
        <v>58.4375</v>
      </c>
      <c r="K5378" s="31">
        <v>-4.9980000999999996</v>
      </c>
      <c r="L5378" s="31"/>
      <c r="M5378" s="31" t="s">
        <v>854</v>
      </c>
      <c r="N5378" s="6" t="s">
        <v>856</v>
      </c>
    </row>
    <row r="5379" spans="1:14" ht="15" customHeight="1" x14ac:dyDescent="0.2">
      <c r="A5379" s="31">
        <v>0.37198368357103762</v>
      </c>
      <c r="B5379" s="31"/>
      <c r="C5379" s="2" t="s">
        <v>855</v>
      </c>
      <c r="D5379" s="31">
        <f t="shared" si="170"/>
        <v>7.2908801979923374E-2</v>
      </c>
      <c r="F5379" s="2" t="s">
        <v>822</v>
      </c>
      <c r="G5379" s="23" t="s">
        <v>902</v>
      </c>
      <c r="H5379" s="2" t="s">
        <v>822</v>
      </c>
      <c r="J5379" s="31">
        <v>55.4319992</v>
      </c>
      <c r="K5379" s="31">
        <v>-25.860000599999999</v>
      </c>
      <c r="L5379" s="31"/>
      <c r="M5379" s="31" t="s">
        <v>854</v>
      </c>
      <c r="N5379" s="6" t="s">
        <v>856</v>
      </c>
    </row>
    <row r="5380" spans="1:14" ht="15" customHeight="1" x14ac:dyDescent="0.2">
      <c r="A5380" s="31">
        <v>0.37193221759627348</v>
      </c>
      <c r="B5380" s="31"/>
      <c r="C5380" s="2" t="s">
        <v>855</v>
      </c>
      <c r="D5380" s="31">
        <f t="shared" si="170"/>
        <v>7.28987146488696E-2</v>
      </c>
      <c r="F5380" s="2" t="s">
        <v>822</v>
      </c>
      <c r="G5380" s="23" t="s">
        <v>902</v>
      </c>
      <c r="H5380" s="2" t="s">
        <v>822</v>
      </c>
      <c r="J5380" s="31">
        <v>63.383598300000003</v>
      </c>
      <c r="K5380" s="31">
        <v>-16.218200700000001</v>
      </c>
      <c r="L5380" s="31"/>
      <c r="M5380" s="31" t="s">
        <v>854</v>
      </c>
      <c r="N5380" s="6" t="s">
        <v>856</v>
      </c>
    </row>
    <row r="5381" spans="1:14" ht="15" customHeight="1" x14ac:dyDescent="0.2">
      <c r="A5381" s="31">
        <v>0.37190530107373038</v>
      </c>
      <c r="B5381" s="31"/>
      <c r="C5381" s="2" t="s">
        <v>855</v>
      </c>
      <c r="D5381" s="31">
        <f t="shared" si="170"/>
        <v>7.2893439010451158E-2</v>
      </c>
      <c r="F5381" s="2" t="s">
        <v>822</v>
      </c>
      <c r="G5381" s="23" t="s">
        <v>902</v>
      </c>
      <c r="H5381" s="2" t="s">
        <v>822</v>
      </c>
      <c r="J5381" s="31">
        <v>57.002601599999998</v>
      </c>
      <c r="K5381" s="31">
        <v>5.6788401999999998</v>
      </c>
      <c r="L5381" s="31"/>
      <c r="M5381" s="31" t="s">
        <v>854</v>
      </c>
      <c r="N5381" s="6" t="s">
        <v>856</v>
      </c>
    </row>
    <row r="5382" spans="1:14" ht="15" customHeight="1" x14ac:dyDescent="0.2">
      <c r="A5382" s="31">
        <v>0.37160817329206608</v>
      </c>
      <c r="B5382" s="31"/>
      <c r="C5382" s="2" t="s">
        <v>855</v>
      </c>
      <c r="D5382" s="31">
        <f t="shared" si="170"/>
        <v>7.2835201965244956E-2</v>
      </c>
      <c r="F5382" s="2" t="s">
        <v>822</v>
      </c>
      <c r="G5382" s="23" t="s">
        <v>902</v>
      </c>
      <c r="H5382" s="2" t="s">
        <v>822</v>
      </c>
      <c r="J5382" s="31">
        <v>56.099998499999998</v>
      </c>
      <c r="K5382" s="31">
        <v>-28.531999599999999</v>
      </c>
      <c r="L5382" s="31"/>
      <c r="M5382" s="31" t="s">
        <v>854</v>
      </c>
      <c r="N5382" s="6" t="s">
        <v>856</v>
      </c>
    </row>
    <row r="5383" spans="1:14" ht="15" customHeight="1" x14ac:dyDescent="0.2">
      <c r="A5383" s="31">
        <v>0.37150755620352971</v>
      </c>
      <c r="B5383" s="31"/>
      <c r="C5383" s="2" t="s">
        <v>855</v>
      </c>
      <c r="D5383" s="31">
        <f t="shared" si="170"/>
        <v>7.2815481015891831E-2</v>
      </c>
      <c r="F5383" s="2" t="s">
        <v>822</v>
      </c>
      <c r="G5383" s="23" t="s">
        <v>902</v>
      </c>
      <c r="H5383" s="2" t="s">
        <v>822</v>
      </c>
      <c r="J5383" s="31">
        <v>56.099998499999998</v>
      </c>
      <c r="K5383" s="31">
        <v>-22.520000499999998</v>
      </c>
      <c r="L5383" s="31"/>
      <c r="M5383" s="31" t="s">
        <v>854</v>
      </c>
      <c r="N5383" s="6" t="s">
        <v>856</v>
      </c>
    </row>
    <row r="5384" spans="1:14" ht="15" customHeight="1" x14ac:dyDescent="0.2">
      <c r="A5384" s="31">
        <v>0.37105882162106829</v>
      </c>
      <c r="B5384" s="31"/>
      <c r="C5384" s="2" t="s">
        <v>855</v>
      </c>
      <c r="D5384" s="31">
        <f t="shared" si="170"/>
        <v>7.2727529037729388E-2</v>
      </c>
      <c r="F5384" s="2" t="s">
        <v>822</v>
      </c>
      <c r="G5384" s="23" t="s">
        <v>902</v>
      </c>
      <c r="H5384" s="2" t="s">
        <v>822</v>
      </c>
      <c r="J5384" s="31">
        <v>50.484401699999999</v>
      </c>
      <c r="K5384" s="31">
        <v>-22.979499799999999</v>
      </c>
      <c r="L5384" s="31"/>
      <c r="M5384" s="31" t="s">
        <v>854</v>
      </c>
      <c r="N5384" s="6" t="s">
        <v>856</v>
      </c>
    </row>
    <row r="5385" spans="1:14" ht="15" customHeight="1" x14ac:dyDescent="0.2">
      <c r="A5385" s="31">
        <v>0.37062797553899018</v>
      </c>
      <c r="B5385" s="31"/>
      <c r="C5385" s="2" t="s">
        <v>855</v>
      </c>
      <c r="D5385" s="31">
        <f t="shared" si="170"/>
        <v>7.2643083205642084E-2</v>
      </c>
      <c r="F5385" s="2" t="s">
        <v>822</v>
      </c>
      <c r="G5385" s="23" t="s">
        <v>902</v>
      </c>
      <c r="H5385" s="2" t="s">
        <v>822</v>
      </c>
      <c r="J5385" s="31">
        <v>53.3307991</v>
      </c>
      <c r="K5385" s="31">
        <v>-16.515300799999999</v>
      </c>
      <c r="L5385" s="31"/>
      <c r="M5385" s="31" t="s">
        <v>854</v>
      </c>
      <c r="N5385" s="6" t="s">
        <v>856</v>
      </c>
    </row>
    <row r="5386" spans="1:14" ht="15" customHeight="1" x14ac:dyDescent="0.2">
      <c r="A5386" s="31">
        <v>0.37046968639906258</v>
      </c>
      <c r="B5386" s="31"/>
      <c r="C5386" s="2" t="s">
        <v>855</v>
      </c>
      <c r="D5386" s="31">
        <f t="shared" si="170"/>
        <v>7.2612058534216276E-2</v>
      </c>
      <c r="F5386" s="2" t="s">
        <v>822</v>
      </c>
      <c r="G5386" s="23" t="s">
        <v>902</v>
      </c>
      <c r="H5386" s="2" t="s">
        <v>822</v>
      </c>
      <c r="J5386" s="31">
        <v>65.084297199999995</v>
      </c>
      <c r="K5386" s="31">
        <v>21.944000200000001</v>
      </c>
      <c r="L5386" s="31"/>
      <c r="M5386" s="31" t="s">
        <v>854</v>
      </c>
      <c r="N5386" s="6" t="s">
        <v>856</v>
      </c>
    </row>
    <row r="5387" spans="1:14" ht="15" customHeight="1" x14ac:dyDescent="0.2">
      <c r="A5387" s="31">
        <v>0.37034572545329758</v>
      </c>
      <c r="B5387" s="31"/>
      <c r="C5387" s="2" t="s">
        <v>855</v>
      </c>
      <c r="D5387" s="31">
        <f t="shared" si="170"/>
        <v>7.2587762188846328E-2</v>
      </c>
      <c r="F5387" s="2" t="s">
        <v>822</v>
      </c>
      <c r="G5387" s="23" t="s">
        <v>902</v>
      </c>
      <c r="H5387" s="2" t="s">
        <v>822</v>
      </c>
      <c r="J5387" s="31">
        <v>48.751998899999997</v>
      </c>
      <c r="K5387" s="31">
        <v>-40.555999800000002</v>
      </c>
      <c r="L5387" s="31"/>
      <c r="M5387" s="31" t="s">
        <v>854</v>
      </c>
      <c r="N5387" s="6" t="s">
        <v>856</v>
      </c>
    </row>
    <row r="5388" spans="1:14" ht="15" customHeight="1" x14ac:dyDescent="0.2">
      <c r="A5388" s="31">
        <v>0.36977915991242882</v>
      </c>
      <c r="B5388" s="31"/>
      <c r="C5388" s="2" t="s">
        <v>855</v>
      </c>
      <c r="D5388" s="31">
        <f t="shared" si="170"/>
        <v>7.2476715342836048E-2</v>
      </c>
      <c r="F5388" s="2" t="s">
        <v>822</v>
      </c>
      <c r="G5388" s="23" t="s">
        <v>902</v>
      </c>
      <c r="H5388" s="2" t="s">
        <v>822</v>
      </c>
      <c r="J5388" s="31">
        <v>48.452201799999997</v>
      </c>
      <c r="K5388" s="31">
        <v>-10.6288996</v>
      </c>
      <c r="L5388" s="31"/>
      <c r="M5388" s="31" t="s">
        <v>854</v>
      </c>
      <c r="N5388" s="6" t="s">
        <v>856</v>
      </c>
    </row>
    <row r="5389" spans="1:14" ht="15" customHeight="1" x14ac:dyDescent="0.2">
      <c r="A5389" s="31">
        <v>0.3697141930483534</v>
      </c>
      <c r="B5389" s="31"/>
      <c r="C5389" s="2" t="s">
        <v>855</v>
      </c>
      <c r="D5389" s="31">
        <f t="shared" si="170"/>
        <v>7.2463981837477265E-2</v>
      </c>
      <c r="F5389" s="2" t="s">
        <v>822</v>
      </c>
      <c r="G5389" s="23" t="s">
        <v>902</v>
      </c>
      <c r="H5389" s="2" t="s">
        <v>822</v>
      </c>
      <c r="J5389" s="31">
        <v>59.463600200000002</v>
      </c>
      <c r="K5389" s="31">
        <v>-3.8159999999999998</v>
      </c>
      <c r="L5389" s="31"/>
      <c r="M5389" s="31" t="s">
        <v>854</v>
      </c>
      <c r="N5389" s="6" t="s">
        <v>856</v>
      </c>
    </row>
    <row r="5390" spans="1:14" ht="15" customHeight="1" x14ac:dyDescent="0.2">
      <c r="A5390" s="31">
        <v>0.36929190282088042</v>
      </c>
      <c r="B5390" s="31"/>
      <c r="C5390" s="2" t="s">
        <v>855</v>
      </c>
      <c r="D5390" s="31">
        <f t="shared" si="170"/>
        <v>7.2381212952892571E-2</v>
      </c>
      <c r="F5390" s="2" t="s">
        <v>822</v>
      </c>
      <c r="G5390" s="23" t="s">
        <v>902</v>
      </c>
      <c r="H5390" s="2" t="s">
        <v>822</v>
      </c>
      <c r="J5390" s="31">
        <v>50.499500300000001</v>
      </c>
      <c r="K5390" s="31">
        <v>-15.8502998</v>
      </c>
      <c r="L5390" s="31"/>
      <c r="M5390" s="31" t="s">
        <v>854</v>
      </c>
      <c r="N5390" s="6" t="s">
        <v>856</v>
      </c>
    </row>
    <row r="5391" spans="1:14" ht="15" customHeight="1" x14ac:dyDescent="0.2">
      <c r="A5391" s="31">
        <v>0.36884268887147947</v>
      </c>
      <c r="B5391" s="31"/>
      <c r="C5391" s="2" t="s">
        <v>855</v>
      </c>
      <c r="D5391" s="31">
        <f t="shared" si="170"/>
        <v>7.2293167018809973E-2</v>
      </c>
      <c r="F5391" s="2" t="s">
        <v>822</v>
      </c>
      <c r="G5391" s="23" t="s">
        <v>902</v>
      </c>
      <c r="H5391" s="2" t="s">
        <v>822</v>
      </c>
      <c r="J5391" s="31">
        <v>52.759998299999999</v>
      </c>
      <c r="K5391" s="31">
        <v>-29.200000800000002</v>
      </c>
      <c r="L5391" s="31"/>
      <c r="M5391" s="31" t="s">
        <v>854</v>
      </c>
      <c r="N5391" s="6" t="s">
        <v>856</v>
      </c>
    </row>
    <row r="5392" spans="1:14" ht="15" customHeight="1" x14ac:dyDescent="0.2">
      <c r="A5392" s="31">
        <v>0.36835338538033402</v>
      </c>
      <c r="B5392" s="31"/>
      <c r="C5392" s="2" t="s">
        <v>855</v>
      </c>
      <c r="D5392" s="31">
        <f t="shared" si="170"/>
        <v>7.2197263534545475E-2</v>
      </c>
      <c r="F5392" s="2" t="s">
        <v>822</v>
      </c>
      <c r="G5392" s="23" t="s">
        <v>902</v>
      </c>
      <c r="H5392" s="2" t="s">
        <v>822</v>
      </c>
      <c r="J5392" s="31">
        <v>49.567501100000001</v>
      </c>
      <c r="K5392" s="31">
        <v>-27.380699199999999</v>
      </c>
      <c r="L5392" s="31"/>
      <c r="M5392" s="31" t="s">
        <v>854</v>
      </c>
      <c r="N5392" s="6" t="s">
        <v>856</v>
      </c>
    </row>
    <row r="5393" spans="1:14" ht="15" customHeight="1" x14ac:dyDescent="0.2">
      <c r="A5393" s="31">
        <v>0.36830093069518682</v>
      </c>
      <c r="B5393" s="31"/>
      <c r="C5393" s="2" t="s">
        <v>855</v>
      </c>
      <c r="D5393" s="31">
        <f t="shared" si="170"/>
        <v>7.2186982416256623E-2</v>
      </c>
      <c r="F5393" s="2" t="s">
        <v>822</v>
      </c>
      <c r="G5393" s="23" t="s">
        <v>902</v>
      </c>
      <c r="H5393" s="2" t="s">
        <v>822</v>
      </c>
      <c r="J5393" s="31">
        <v>58.1040001</v>
      </c>
      <c r="K5393" s="31">
        <v>-16.507999399999999</v>
      </c>
      <c r="L5393" s="31"/>
      <c r="M5393" s="31" t="s">
        <v>854</v>
      </c>
      <c r="N5393" s="6" t="s">
        <v>856</v>
      </c>
    </row>
    <row r="5394" spans="1:14" ht="15" customHeight="1" x14ac:dyDescent="0.2">
      <c r="A5394" s="31">
        <v>0.36804059209573442</v>
      </c>
      <c r="B5394" s="31"/>
      <c r="C5394" s="2" t="s">
        <v>855</v>
      </c>
      <c r="D5394" s="31">
        <f t="shared" si="170"/>
        <v>7.213595605076395E-2</v>
      </c>
      <c r="F5394" s="2" t="s">
        <v>822</v>
      </c>
      <c r="G5394" s="23" t="s">
        <v>902</v>
      </c>
      <c r="H5394" s="2" t="s">
        <v>822</v>
      </c>
      <c r="J5394" s="31">
        <v>56.668598199999998</v>
      </c>
      <c r="K5394" s="31">
        <v>6.3878398000000001</v>
      </c>
      <c r="L5394" s="31"/>
      <c r="M5394" s="31" t="s">
        <v>854</v>
      </c>
      <c r="N5394" s="6" t="s">
        <v>856</v>
      </c>
    </row>
    <row r="5395" spans="1:14" ht="15" customHeight="1" x14ac:dyDescent="0.2">
      <c r="A5395" s="31">
        <v>0.36790495272082391</v>
      </c>
      <c r="B5395" s="31"/>
      <c r="C5395" s="2" t="s">
        <v>855</v>
      </c>
      <c r="D5395" s="31">
        <f t="shared" si="170"/>
        <v>7.2109370733281483E-2</v>
      </c>
      <c r="F5395" s="2" t="s">
        <v>822</v>
      </c>
      <c r="G5395" s="23" t="s">
        <v>902</v>
      </c>
      <c r="H5395" s="2" t="s">
        <v>822</v>
      </c>
      <c r="J5395" s="31">
        <v>48.083999599999999</v>
      </c>
      <c r="K5395" s="31">
        <v>-42.560001399999997</v>
      </c>
      <c r="L5395" s="31"/>
      <c r="M5395" s="31" t="s">
        <v>854</v>
      </c>
      <c r="N5395" s="6" t="s">
        <v>856</v>
      </c>
    </row>
    <row r="5396" spans="1:14" ht="15" customHeight="1" x14ac:dyDescent="0.2">
      <c r="A5396" s="31">
        <v>0.36784531072405091</v>
      </c>
      <c r="B5396" s="31"/>
      <c r="C5396" s="2" t="s">
        <v>855</v>
      </c>
      <c r="D5396" s="31">
        <f t="shared" si="170"/>
        <v>7.2097680901913985E-2</v>
      </c>
      <c r="F5396" s="2" t="s">
        <v>822</v>
      </c>
      <c r="G5396" s="23" t="s">
        <v>902</v>
      </c>
      <c r="H5396" s="2" t="s">
        <v>822</v>
      </c>
      <c r="J5396" s="31">
        <v>59.5331993</v>
      </c>
      <c r="K5396" s="31">
        <v>19.445999100000002</v>
      </c>
      <c r="L5396" s="31"/>
      <c r="M5396" s="31" t="s">
        <v>854</v>
      </c>
      <c r="N5396" s="6" t="s">
        <v>856</v>
      </c>
    </row>
    <row r="5397" spans="1:14" ht="15" customHeight="1" x14ac:dyDescent="0.2">
      <c r="A5397" s="31">
        <v>0.36764511574774711</v>
      </c>
      <c r="B5397" s="31"/>
      <c r="C5397" s="2" t="s">
        <v>855</v>
      </c>
      <c r="D5397" s="31">
        <f t="shared" si="170"/>
        <v>7.2058442686558435E-2</v>
      </c>
      <c r="F5397" s="2" t="s">
        <v>822</v>
      </c>
      <c r="G5397" s="23" t="s">
        <v>902</v>
      </c>
      <c r="H5397" s="2" t="s">
        <v>822</v>
      </c>
      <c r="J5397" s="31">
        <v>34.380901299999998</v>
      </c>
      <c r="K5397" s="31">
        <v>20.5478992</v>
      </c>
      <c r="L5397" s="31"/>
      <c r="M5397" s="31" t="s">
        <v>854</v>
      </c>
      <c r="N5397" s="6" t="s">
        <v>856</v>
      </c>
    </row>
    <row r="5398" spans="1:14" ht="15" customHeight="1" x14ac:dyDescent="0.2">
      <c r="A5398" s="31">
        <v>0.36702607581635971</v>
      </c>
      <c r="B5398" s="31"/>
      <c r="C5398" s="2" t="s">
        <v>855</v>
      </c>
      <c r="D5398" s="31">
        <f t="shared" si="170"/>
        <v>7.1937110860006509E-2</v>
      </c>
      <c r="F5398" s="2" t="s">
        <v>822</v>
      </c>
      <c r="G5398" s="23" t="s">
        <v>902</v>
      </c>
      <c r="H5398" s="2" t="s">
        <v>822</v>
      </c>
      <c r="J5398" s="31">
        <v>50.208400699999999</v>
      </c>
      <c r="K5398" s="31">
        <v>-26.465499900000001</v>
      </c>
      <c r="L5398" s="31"/>
      <c r="M5398" s="31" t="s">
        <v>854</v>
      </c>
      <c r="N5398" s="6" t="s">
        <v>856</v>
      </c>
    </row>
    <row r="5399" spans="1:14" ht="15" customHeight="1" x14ac:dyDescent="0.2">
      <c r="A5399" s="31">
        <v>0.36682546756768658</v>
      </c>
      <c r="B5399" s="31"/>
      <c r="C5399" s="2" t="s">
        <v>855</v>
      </c>
      <c r="D5399" s="31">
        <f t="shared" si="170"/>
        <v>7.1897791643266568E-2</v>
      </c>
      <c r="F5399" s="2" t="s">
        <v>822</v>
      </c>
      <c r="G5399" s="23" t="s">
        <v>902</v>
      </c>
      <c r="H5399" s="2" t="s">
        <v>822</v>
      </c>
      <c r="J5399" s="31">
        <v>54.070400200000002</v>
      </c>
      <c r="K5399" s="31">
        <v>-15.340399700000001</v>
      </c>
      <c r="L5399" s="31"/>
      <c r="M5399" s="31" t="s">
        <v>854</v>
      </c>
      <c r="N5399" s="6" t="s">
        <v>856</v>
      </c>
    </row>
    <row r="5400" spans="1:14" ht="15" customHeight="1" x14ac:dyDescent="0.2">
      <c r="A5400" s="31">
        <v>0.36616220231592878</v>
      </c>
      <c r="B5400" s="31"/>
      <c r="C5400" s="2" t="s">
        <v>855</v>
      </c>
      <c r="D5400" s="31">
        <f t="shared" si="170"/>
        <v>7.1767791653922039E-2</v>
      </c>
      <c r="F5400" s="2" t="s">
        <v>822</v>
      </c>
      <c r="G5400" s="23" t="s">
        <v>902</v>
      </c>
      <c r="H5400" s="2" t="s">
        <v>822</v>
      </c>
      <c r="J5400" s="31">
        <v>58.315498400000003</v>
      </c>
      <c r="K5400" s="31">
        <v>0.87502100000000005</v>
      </c>
      <c r="L5400" s="31"/>
      <c r="M5400" s="31" t="s">
        <v>854</v>
      </c>
      <c r="N5400" s="6" t="s">
        <v>856</v>
      </c>
    </row>
    <row r="5401" spans="1:14" ht="15" customHeight="1" x14ac:dyDescent="0.2">
      <c r="A5401" s="31">
        <v>0.36583883407852802</v>
      </c>
      <c r="B5401" s="31"/>
      <c r="C5401" s="2" t="s">
        <v>855</v>
      </c>
      <c r="D5401" s="31">
        <f t="shared" si="170"/>
        <v>7.1704411479391494E-2</v>
      </c>
      <c r="F5401" s="2" t="s">
        <v>822</v>
      </c>
      <c r="G5401" s="23" t="s">
        <v>902</v>
      </c>
      <c r="H5401" s="2" t="s">
        <v>822</v>
      </c>
      <c r="J5401" s="31">
        <v>54.552700000000002</v>
      </c>
      <c r="K5401" s="31">
        <v>10.948700000000001</v>
      </c>
      <c r="L5401" s="31"/>
      <c r="M5401" s="31" t="s">
        <v>854</v>
      </c>
      <c r="N5401" s="6" t="s">
        <v>856</v>
      </c>
    </row>
    <row r="5402" spans="1:14" ht="15" customHeight="1" x14ac:dyDescent="0.2">
      <c r="A5402" s="31">
        <v>0.36575117607547403</v>
      </c>
      <c r="B5402" s="31"/>
      <c r="C5402" s="2" t="s">
        <v>855</v>
      </c>
      <c r="D5402" s="31">
        <f t="shared" si="170"/>
        <v>7.1687230510792913E-2</v>
      </c>
      <c r="F5402" s="2" t="s">
        <v>822</v>
      </c>
      <c r="G5402" s="23" t="s">
        <v>902</v>
      </c>
      <c r="H5402" s="2" t="s">
        <v>822</v>
      </c>
      <c r="J5402" s="31">
        <v>51.4701004</v>
      </c>
      <c r="K5402" s="31">
        <v>-20.500799199999999</v>
      </c>
      <c r="L5402" s="31"/>
      <c r="M5402" s="31" t="s">
        <v>854</v>
      </c>
      <c r="N5402" s="6" t="s">
        <v>856</v>
      </c>
    </row>
    <row r="5403" spans="1:14" ht="15" customHeight="1" x14ac:dyDescent="0.2">
      <c r="A5403" s="31">
        <v>0.36574381790634269</v>
      </c>
      <c r="B5403" s="31"/>
      <c r="C5403" s="2" t="s">
        <v>855</v>
      </c>
      <c r="D5403" s="31">
        <f t="shared" si="170"/>
        <v>7.1685788309643173E-2</v>
      </c>
      <c r="F5403" s="2" t="s">
        <v>822</v>
      </c>
      <c r="G5403" s="23" t="s">
        <v>902</v>
      </c>
      <c r="H5403" s="2" t="s">
        <v>822</v>
      </c>
      <c r="J5403" s="31">
        <v>54.469200100000002</v>
      </c>
      <c r="K5403" s="31">
        <v>4.7836299999999998E-2</v>
      </c>
      <c r="L5403" s="31"/>
      <c r="M5403" s="31" t="s">
        <v>854</v>
      </c>
      <c r="N5403" s="6" t="s">
        <v>856</v>
      </c>
    </row>
    <row r="5404" spans="1:14" ht="15" customHeight="1" x14ac:dyDescent="0.2">
      <c r="A5404" s="31">
        <v>0.36571512198592171</v>
      </c>
      <c r="B5404" s="31"/>
      <c r="C5404" s="2" t="s">
        <v>855</v>
      </c>
      <c r="D5404" s="31">
        <f t="shared" si="170"/>
        <v>7.168016390924066E-2</v>
      </c>
      <c r="F5404" s="2" t="s">
        <v>822</v>
      </c>
      <c r="G5404" s="23" t="s">
        <v>902</v>
      </c>
      <c r="H5404" s="2" t="s">
        <v>822</v>
      </c>
      <c r="J5404" s="31">
        <v>57.436000800000002</v>
      </c>
      <c r="K5404" s="31">
        <v>-17.8439999</v>
      </c>
      <c r="L5404" s="31"/>
      <c r="M5404" s="31" t="s">
        <v>854</v>
      </c>
      <c r="N5404" s="6" t="s">
        <v>856</v>
      </c>
    </row>
    <row r="5405" spans="1:14" ht="15" customHeight="1" x14ac:dyDescent="0.2">
      <c r="A5405" s="31">
        <v>0.36568685254840633</v>
      </c>
      <c r="B5405" s="31"/>
      <c r="C5405" s="2" t="s">
        <v>855</v>
      </c>
      <c r="D5405" s="31">
        <f t="shared" si="170"/>
        <v>7.1674623099487647E-2</v>
      </c>
      <c r="F5405" s="2" t="s">
        <v>822</v>
      </c>
      <c r="G5405" s="23" t="s">
        <v>902</v>
      </c>
      <c r="H5405" s="2" t="s">
        <v>822</v>
      </c>
      <c r="J5405" s="31">
        <v>55.584598499999998</v>
      </c>
      <c r="K5405" s="31">
        <v>-9.1599997999999996</v>
      </c>
      <c r="L5405" s="31"/>
      <c r="M5405" s="31" t="s">
        <v>854</v>
      </c>
      <c r="N5405" s="6" t="s">
        <v>856</v>
      </c>
    </row>
    <row r="5406" spans="1:14" ht="15" customHeight="1" x14ac:dyDescent="0.2">
      <c r="A5406" s="31">
        <v>0.3654472352258602</v>
      </c>
      <c r="B5406" s="31"/>
      <c r="C5406" s="2" t="s">
        <v>855</v>
      </c>
      <c r="D5406" s="31">
        <f t="shared" si="170"/>
        <v>7.1627658104268604E-2</v>
      </c>
      <c r="F5406" s="2" t="s">
        <v>822</v>
      </c>
      <c r="G5406" s="23" t="s">
        <v>902</v>
      </c>
      <c r="H5406" s="2" t="s">
        <v>822</v>
      </c>
      <c r="J5406" s="31">
        <v>49.453399699999999</v>
      </c>
      <c r="K5406" s="31">
        <v>-42.506301899999997</v>
      </c>
      <c r="L5406" s="31"/>
      <c r="M5406" s="31" t="s">
        <v>854</v>
      </c>
      <c r="N5406" s="6" t="s">
        <v>856</v>
      </c>
    </row>
    <row r="5407" spans="1:14" ht="15" customHeight="1" x14ac:dyDescent="0.2">
      <c r="A5407" s="31">
        <v>0.36537800827323053</v>
      </c>
      <c r="B5407" s="31"/>
      <c r="C5407" s="2" t="s">
        <v>855</v>
      </c>
      <c r="D5407" s="31">
        <f t="shared" si="170"/>
        <v>7.161408962155319E-2</v>
      </c>
      <c r="F5407" s="2" t="s">
        <v>822</v>
      </c>
      <c r="G5407" s="23" t="s">
        <v>902</v>
      </c>
      <c r="H5407" s="2" t="s">
        <v>822</v>
      </c>
      <c r="J5407" s="31">
        <v>36.084400199999997</v>
      </c>
      <c r="K5407" s="31">
        <v>-15.8992004</v>
      </c>
      <c r="L5407" s="31"/>
      <c r="M5407" s="31" t="s">
        <v>854</v>
      </c>
      <c r="N5407" s="6" t="s">
        <v>856</v>
      </c>
    </row>
    <row r="5408" spans="1:14" ht="15" customHeight="1" x14ac:dyDescent="0.2">
      <c r="A5408" s="31">
        <v>0.36529667594483117</v>
      </c>
      <c r="B5408" s="31"/>
      <c r="C5408" s="2" t="s">
        <v>855</v>
      </c>
      <c r="D5408" s="31">
        <f t="shared" ref="D5408:D5439" si="171" xml:space="preserve"> A5408 * 0.196</f>
        <v>7.1598148485186919E-2</v>
      </c>
      <c r="F5408" s="2" t="s">
        <v>822</v>
      </c>
      <c r="G5408" s="23" t="s">
        <v>902</v>
      </c>
      <c r="H5408" s="2" t="s">
        <v>822</v>
      </c>
      <c r="J5408" s="31">
        <v>55.4319992</v>
      </c>
      <c r="K5408" s="31">
        <v>-19.1800003</v>
      </c>
      <c r="L5408" s="31"/>
      <c r="M5408" s="31" t="s">
        <v>854</v>
      </c>
      <c r="N5408" s="6" t="s">
        <v>856</v>
      </c>
    </row>
    <row r="5409" spans="1:14" ht="15" customHeight="1" x14ac:dyDescent="0.2">
      <c r="A5409" s="31">
        <v>0.36506760034406721</v>
      </c>
      <c r="B5409" s="31"/>
      <c r="C5409" s="2" t="s">
        <v>855</v>
      </c>
      <c r="D5409" s="31">
        <f t="shared" si="171"/>
        <v>7.1553249667437174E-2</v>
      </c>
      <c r="F5409" s="2" t="s">
        <v>822</v>
      </c>
      <c r="G5409" s="23" t="s">
        <v>902</v>
      </c>
      <c r="H5409" s="2" t="s">
        <v>822</v>
      </c>
      <c r="J5409" s="31">
        <v>61.758998900000002</v>
      </c>
      <c r="K5409" s="31">
        <v>-8.8747501</v>
      </c>
      <c r="L5409" s="31"/>
      <c r="M5409" s="31" t="s">
        <v>854</v>
      </c>
      <c r="N5409" s="6" t="s">
        <v>856</v>
      </c>
    </row>
    <row r="5410" spans="1:14" ht="15" customHeight="1" x14ac:dyDescent="0.2">
      <c r="A5410" s="31">
        <v>0.36486017045448188</v>
      </c>
      <c r="B5410" s="31"/>
      <c r="C5410" s="2" t="s">
        <v>855</v>
      </c>
      <c r="D5410" s="31">
        <f t="shared" si="171"/>
        <v>7.1512593409078451E-2</v>
      </c>
      <c r="F5410" s="2" t="s">
        <v>822</v>
      </c>
      <c r="G5410" s="23" t="s">
        <v>902</v>
      </c>
      <c r="H5410" s="2" t="s">
        <v>822</v>
      </c>
      <c r="J5410" s="31">
        <v>51.400600400000002</v>
      </c>
      <c r="K5410" s="31">
        <v>-27.209499399999999</v>
      </c>
      <c r="L5410" s="31"/>
      <c r="M5410" s="31" t="s">
        <v>854</v>
      </c>
      <c r="N5410" s="6" t="s">
        <v>856</v>
      </c>
    </row>
    <row r="5411" spans="1:14" ht="15" customHeight="1" x14ac:dyDescent="0.2">
      <c r="A5411" s="31">
        <v>0.36442016284074807</v>
      </c>
      <c r="B5411" s="31"/>
      <c r="C5411" s="2" t="s">
        <v>855</v>
      </c>
      <c r="D5411" s="31">
        <f t="shared" si="171"/>
        <v>7.1426351916786632E-2</v>
      </c>
      <c r="F5411" s="2" t="s">
        <v>822</v>
      </c>
      <c r="G5411" s="23" t="s">
        <v>902</v>
      </c>
      <c r="H5411" s="2" t="s">
        <v>822</v>
      </c>
      <c r="J5411" s="31">
        <v>49.845600099999999</v>
      </c>
      <c r="K5411" s="31">
        <v>-26.935400000000001</v>
      </c>
      <c r="L5411" s="31"/>
      <c r="M5411" s="31" t="s">
        <v>854</v>
      </c>
      <c r="N5411" s="6" t="s">
        <v>856</v>
      </c>
    </row>
    <row r="5412" spans="1:14" ht="15" customHeight="1" x14ac:dyDescent="0.2">
      <c r="A5412" s="31">
        <v>0.36435317983913751</v>
      </c>
      <c r="B5412" s="31"/>
      <c r="C5412" s="2" t="s">
        <v>855</v>
      </c>
      <c r="D5412" s="31">
        <f t="shared" si="171"/>
        <v>7.141322324847095E-2</v>
      </c>
      <c r="F5412" s="2" t="s">
        <v>822</v>
      </c>
      <c r="G5412" s="23" t="s">
        <v>902</v>
      </c>
      <c r="H5412" s="2" t="s">
        <v>822</v>
      </c>
      <c r="J5412" s="31">
        <v>49.312400799999999</v>
      </c>
      <c r="K5412" s="31">
        <v>-13.338700299999999</v>
      </c>
      <c r="L5412" s="31"/>
      <c r="M5412" s="31" t="s">
        <v>854</v>
      </c>
      <c r="N5412" s="6" t="s">
        <v>856</v>
      </c>
    </row>
    <row r="5413" spans="1:14" ht="15" customHeight="1" x14ac:dyDescent="0.2">
      <c r="A5413" s="31">
        <v>0.36369522232780821</v>
      </c>
      <c r="B5413" s="31"/>
      <c r="C5413" s="2" t="s">
        <v>855</v>
      </c>
      <c r="D5413" s="31">
        <f t="shared" si="171"/>
        <v>7.1284263576250409E-2</v>
      </c>
      <c r="F5413" s="2" t="s">
        <v>822</v>
      </c>
      <c r="G5413" s="23" t="s">
        <v>902</v>
      </c>
      <c r="H5413" s="2" t="s">
        <v>822</v>
      </c>
      <c r="J5413" s="31">
        <v>53.428001399999999</v>
      </c>
      <c r="K5413" s="31">
        <v>-24.5240002</v>
      </c>
      <c r="L5413" s="31"/>
      <c r="M5413" s="31" t="s">
        <v>854</v>
      </c>
      <c r="N5413" s="6" t="s">
        <v>856</v>
      </c>
    </row>
    <row r="5414" spans="1:14" ht="15" customHeight="1" x14ac:dyDescent="0.2">
      <c r="A5414" s="31">
        <v>0.36361249505054211</v>
      </c>
      <c r="B5414" s="31"/>
      <c r="C5414" s="2" t="s">
        <v>855</v>
      </c>
      <c r="D5414" s="31">
        <f t="shared" si="171"/>
        <v>7.1268049029906258E-2</v>
      </c>
      <c r="F5414" s="2" t="s">
        <v>822</v>
      </c>
      <c r="G5414" s="23" t="s">
        <v>902</v>
      </c>
      <c r="H5414" s="2" t="s">
        <v>822</v>
      </c>
      <c r="J5414" s="31">
        <v>50.443801899999997</v>
      </c>
      <c r="K5414" s="31">
        <v>-12.7820997</v>
      </c>
      <c r="L5414" s="31"/>
      <c r="M5414" s="31" t="s">
        <v>854</v>
      </c>
      <c r="N5414" s="6" t="s">
        <v>856</v>
      </c>
    </row>
    <row r="5415" spans="1:14" ht="15" customHeight="1" x14ac:dyDescent="0.2">
      <c r="A5415" s="31">
        <v>0.36361077450126789</v>
      </c>
      <c r="B5415" s="31"/>
      <c r="C5415" s="2" t="s">
        <v>855</v>
      </c>
      <c r="D5415" s="31">
        <f t="shared" si="171"/>
        <v>7.1267711802248515E-2</v>
      </c>
      <c r="F5415" s="2" t="s">
        <v>822</v>
      </c>
      <c r="G5415" s="23" t="s">
        <v>902</v>
      </c>
      <c r="H5415" s="2" t="s">
        <v>822</v>
      </c>
      <c r="J5415" s="31">
        <v>50.741001099999998</v>
      </c>
      <c r="K5415" s="31">
        <v>-32.527000399999999</v>
      </c>
      <c r="L5415" s="31"/>
      <c r="M5415" s="31" t="s">
        <v>854</v>
      </c>
      <c r="N5415" s="6" t="s">
        <v>856</v>
      </c>
    </row>
    <row r="5416" spans="1:14" ht="15" customHeight="1" x14ac:dyDescent="0.2">
      <c r="A5416" s="31">
        <v>0.36347280351069111</v>
      </c>
      <c r="B5416" s="31"/>
      <c r="C5416" s="2" t="s">
        <v>855</v>
      </c>
      <c r="D5416" s="31">
        <f t="shared" si="171"/>
        <v>7.1240669488095459E-2</v>
      </c>
      <c r="F5416" s="2" t="s">
        <v>822</v>
      </c>
      <c r="G5416" s="23" t="s">
        <v>902</v>
      </c>
      <c r="H5416" s="2" t="s">
        <v>822</v>
      </c>
      <c r="J5416" s="31">
        <v>52.759998299999999</v>
      </c>
      <c r="K5416" s="31">
        <v>-28.531999599999999</v>
      </c>
      <c r="L5416" s="31"/>
      <c r="M5416" s="31" t="s">
        <v>854</v>
      </c>
      <c r="N5416" s="6" t="s">
        <v>856</v>
      </c>
    </row>
    <row r="5417" spans="1:14" ht="15" customHeight="1" x14ac:dyDescent="0.2">
      <c r="A5417" s="31">
        <v>0.36346027732184982</v>
      </c>
      <c r="B5417" s="31"/>
      <c r="C5417" s="2" t="s">
        <v>855</v>
      </c>
      <c r="D5417" s="31">
        <f t="shared" si="171"/>
        <v>7.1238214355082569E-2</v>
      </c>
      <c r="F5417" s="2" t="s">
        <v>822</v>
      </c>
      <c r="G5417" s="23" t="s">
        <v>902</v>
      </c>
      <c r="H5417" s="2" t="s">
        <v>822</v>
      </c>
      <c r="J5417" s="31">
        <v>59.1271019</v>
      </c>
      <c r="K5417" s="31">
        <v>-2.7898700000000001</v>
      </c>
      <c r="L5417" s="31"/>
      <c r="M5417" s="31" t="s">
        <v>854</v>
      </c>
      <c r="N5417" s="6" t="s">
        <v>856</v>
      </c>
    </row>
    <row r="5418" spans="1:14" ht="15" customHeight="1" x14ac:dyDescent="0.2">
      <c r="A5418" s="31">
        <v>0.36333001393698361</v>
      </c>
      <c r="B5418" s="31"/>
      <c r="C5418" s="2" t="s">
        <v>855</v>
      </c>
      <c r="D5418" s="31">
        <f t="shared" si="171"/>
        <v>7.1212682731648796E-2</v>
      </c>
      <c r="F5418" s="2" t="s">
        <v>822</v>
      </c>
      <c r="G5418" s="23" t="s">
        <v>902</v>
      </c>
      <c r="H5418" s="2" t="s">
        <v>822</v>
      </c>
      <c r="J5418" s="31">
        <v>54.784099599999998</v>
      </c>
      <c r="K5418" s="31">
        <v>-1.02163</v>
      </c>
      <c r="L5418" s="31"/>
      <c r="M5418" s="31" t="s">
        <v>854</v>
      </c>
      <c r="N5418" s="6" t="s">
        <v>856</v>
      </c>
    </row>
    <row r="5419" spans="1:14" ht="15" customHeight="1" x14ac:dyDescent="0.2">
      <c r="A5419" s="31">
        <v>0.36308718877262219</v>
      </c>
      <c r="B5419" s="31"/>
      <c r="C5419" s="2" t="s">
        <v>855</v>
      </c>
      <c r="D5419" s="31">
        <f t="shared" si="171"/>
        <v>7.1165088999433954E-2</v>
      </c>
      <c r="F5419" s="2" t="s">
        <v>822</v>
      </c>
      <c r="G5419" s="23" t="s">
        <v>902</v>
      </c>
      <c r="H5419" s="2" t="s">
        <v>822</v>
      </c>
      <c r="J5419" s="31">
        <v>53.457599600000002</v>
      </c>
      <c r="K5419" s="31">
        <v>2.1960001</v>
      </c>
      <c r="L5419" s="31"/>
      <c r="M5419" s="31" t="s">
        <v>854</v>
      </c>
      <c r="N5419" s="6" t="s">
        <v>856</v>
      </c>
    </row>
    <row r="5420" spans="1:14" ht="15" customHeight="1" x14ac:dyDescent="0.2">
      <c r="A5420" s="31">
        <v>0.36301374430251848</v>
      </c>
      <c r="B5420" s="31"/>
      <c r="C5420" s="2" t="s">
        <v>855</v>
      </c>
      <c r="D5420" s="31">
        <f t="shared" si="171"/>
        <v>7.115069388329362E-2</v>
      </c>
      <c r="F5420" s="2" t="s">
        <v>822</v>
      </c>
      <c r="G5420" s="23" t="s">
        <v>902</v>
      </c>
      <c r="H5420" s="2" t="s">
        <v>822</v>
      </c>
      <c r="J5420" s="31">
        <v>44.076000200000003</v>
      </c>
      <c r="K5420" s="31">
        <v>-25.1919994</v>
      </c>
      <c r="L5420" s="31"/>
      <c r="M5420" s="31" t="s">
        <v>854</v>
      </c>
      <c r="N5420" s="6" t="s">
        <v>856</v>
      </c>
    </row>
    <row r="5421" spans="1:14" ht="15" customHeight="1" x14ac:dyDescent="0.2">
      <c r="A5421" s="31">
        <v>0.363007548745646</v>
      </c>
      <c r="B5421" s="31"/>
      <c r="C5421" s="2" t="s">
        <v>855</v>
      </c>
      <c r="D5421" s="31">
        <f t="shared" si="171"/>
        <v>7.1149479554146619E-2</v>
      </c>
      <c r="F5421" s="2" t="s">
        <v>822</v>
      </c>
      <c r="G5421" s="23" t="s">
        <v>902</v>
      </c>
      <c r="H5421" s="2" t="s">
        <v>822</v>
      </c>
      <c r="J5421" s="31">
        <v>53.187198600000002</v>
      </c>
      <c r="K5421" s="31">
        <v>-9.2402295999999993</v>
      </c>
      <c r="L5421" s="31"/>
      <c r="M5421" s="31" t="s">
        <v>854</v>
      </c>
      <c r="N5421" s="6" t="s">
        <v>856</v>
      </c>
    </row>
    <row r="5422" spans="1:14" ht="15" customHeight="1" x14ac:dyDescent="0.2">
      <c r="A5422" s="31">
        <v>0.36297444687687458</v>
      </c>
      <c r="B5422" s="31"/>
      <c r="C5422" s="2" t="s">
        <v>855</v>
      </c>
      <c r="D5422" s="31">
        <f t="shared" si="171"/>
        <v>7.1142991587867424E-2</v>
      </c>
      <c r="F5422" s="2" t="s">
        <v>822</v>
      </c>
      <c r="G5422" s="23" t="s">
        <v>902</v>
      </c>
      <c r="H5422" s="2" t="s">
        <v>822</v>
      </c>
      <c r="J5422" s="31">
        <v>63.869598400000001</v>
      </c>
      <c r="K5422" s="31">
        <v>-16.412399300000001</v>
      </c>
      <c r="L5422" s="31"/>
      <c r="M5422" s="31" t="s">
        <v>854</v>
      </c>
      <c r="N5422" s="6" t="s">
        <v>856</v>
      </c>
    </row>
    <row r="5423" spans="1:14" ht="15" customHeight="1" x14ac:dyDescent="0.2">
      <c r="A5423" s="31">
        <v>0.36293518417598952</v>
      </c>
      <c r="B5423" s="31"/>
      <c r="C5423" s="2" t="s">
        <v>855</v>
      </c>
      <c r="D5423" s="31">
        <f t="shared" si="171"/>
        <v>7.113529609849395E-2</v>
      </c>
      <c r="F5423" s="2" t="s">
        <v>822</v>
      </c>
      <c r="G5423" s="23" t="s">
        <v>902</v>
      </c>
      <c r="H5423" s="2" t="s">
        <v>822</v>
      </c>
      <c r="J5423" s="31">
        <v>54.096599599999998</v>
      </c>
      <c r="K5423" s="31">
        <v>-13.835300399999999</v>
      </c>
      <c r="L5423" s="31"/>
      <c r="M5423" s="31" t="s">
        <v>854</v>
      </c>
      <c r="N5423" s="6" t="s">
        <v>856</v>
      </c>
    </row>
    <row r="5424" spans="1:14" ht="15" customHeight="1" x14ac:dyDescent="0.2">
      <c r="A5424" s="31">
        <v>0.36292596557213758</v>
      </c>
      <c r="B5424" s="31"/>
      <c r="C5424" s="2" t="s">
        <v>855</v>
      </c>
      <c r="D5424" s="31">
        <f t="shared" si="171"/>
        <v>7.1133489252138971E-2</v>
      </c>
      <c r="F5424" s="2" t="s">
        <v>822</v>
      </c>
      <c r="G5424" s="23" t="s">
        <v>902</v>
      </c>
      <c r="H5424" s="2" t="s">
        <v>822</v>
      </c>
      <c r="J5424" s="31">
        <v>50.2201004</v>
      </c>
      <c r="K5424" s="31">
        <v>-18.5282993</v>
      </c>
      <c r="L5424" s="31"/>
      <c r="M5424" s="31" t="s">
        <v>854</v>
      </c>
      <c r="N5424" s="6" t="s">
        <v>856</v>
      </c>
    </row>
    <row r="5425" spans="1:14" ht="15" customHeight="1" x14ac:dyDescent="0.2">
      <c r="A5425" s="31">
        <v>0.36291140934571808</v>
      </c>
      <c r="B5425" s="31"/>
      <c r="C5425" s="2" t="s">
        <v>855</v>
      </c>
      <c r="D5425" s="31">
        <f t="shared" si="171"/>
        <v>7.1130636231760747E-2</v>
      </c>
      <c r="F5425" s="2" t="s">
        <v>822</v>
      </c>
      <c r="G5425" s="23" t="s">
        <v>902</v>
      </c>
      <c r="H5425" s="2" t="s">
        <v>822</v>
      </c>
      <c r="J5425" s="31">
        <v>54.745601700000002</v>
      </c>
      <c r="K5425" s="31">
        <v>-22.5470009</v>
      </c>
      <c r="L5425" s="31"/>
      <c r="M5425" s="31" t="s">
        <v>854</v>
      </c>
      <c r="N5425" s="6" t="s">
        <v>856</v>
      </c>
    </row>
    <row r="5426" spans="1:14" ht="15" customHeight="1" x14ac:dyDescent="0.2">
      <c r="A5426" s="31">
        <v>0.36281985318123139</v>
      </c>
      <c r="B5426" s="31"/>
      <c r="C5426" s="2" t="s">
        <v>855</v>
      </c>
      <c r="D5426" s="31">
        <f t="shared" si="171"/>
        <v>7.111269122352136E-2</v>
      </c>
      <c r="F5426" s="2" t="s">
        <v>822</v>
      </c>
      <c r="G5426" s="23" t="s">
        <v>902</v>
      </c>
      <c r="H5426" s="2" t="s">
        <v>822</v>
      </c>
      <c r="J5426" s="31">
        <v>48.779998800000001</v>
      </c>
      <c r="K5426" s="31">
        <v>-25.219999300000001</v>
      </c>
      <c r="L5426" s="31"/>
      <c r="M5426" s="31" t="s">
        <v>854</v>
      </c>
      <c r="N5426" s="6" t="s">
        <v>856</v>
      </c>
    </row>
    <row r="5427" spans="1:14" ht="15" customHeight="1" x14ac:dyDescent="0.2">
      <c r="A5427" s="31">
        <v>0.36280519208691198</v>
      </c>
      <c r="B5427" s="31"/>
      <c r="C5427" s="2" t="s">
        <v>855</v>
      </c>
      <c r="D5427" s="31">
        <f t="shared" si="171"/>
        <v>7.1109817649034748E-2</v>
      </c>
      <c r="F5427" s="2" t="s">
        <v>822</v>
      </c>
      <c r="G5427" s="23" t="s">
        <v>902</v>
      </c>
      <c r="H5427" s="2" t="s">
        <v>822</v>
      </c>
      <c r="J5427" s="31">
        <v>48.751998899999997</v>
      </c>
      <c r="K5427" s="31">
        <v>-37.883998900000002</v>
      </c>
      <c r="L5427" s="31"/>
      <c r="M5427" s="31" t="s">
        <v>854</v>
      </c>
      <c r="N5427" s="6" t="s">
        <v>856</v>
      </c>
    </row>
    <row r="5428" spans="1:14" ht="15" customHeight="1" x14ac:dyDescent="0.2">
      <c r="A5428" s="31">
        <v>0.36261183532265151</v>
      </c>
      <c r="B5428" s="31"/>
      <c r="C5428" s="2" t="s">
        <v>855</v>
      </c>
      <c r="D5428" s="31">
        <f t="shared" si="171"/>
        <v>7.1071919723239702E-2</v>
      </c>
      <c r="F5428" s="2" t="s">
        <v>822</v>
      </c>
      <c r="G5428" s="23" t="s">
        <v>902</v>
      </c>
      <c r="H5428" s="2" t="s">
        <v>822</v>
      </c>
      <c r="J5428" s="31">
        <v>36.516101800000001</v>
      </c>
      <c r="K5428" s="31">
        <v>-19.3199997</v>
      </c>
      <c r="L5428" s="31"/>
      <c r="M5428" s="31" t="s">
        <v>854</v>
      </c>
      <c r="N5428" s="6" t="s">
        <v>856</v>
      </c>
    </row>
    <row r="5429" spans="1:14" ht="15" customHeight="1" x14ac:dyDescent="0.2">
      <c r="A5429" s="31">
        <v>0.36238429940574779</v>
      </c>
      <c r="B5429" s="31"/>
      <c r="C5429" s="2" t="s">
        <v>855</v>
      </c>
      <c r="D5429" s="31">
        <f t="shared" si="171"/>
        <v>7.1027322683526573E-2</v>
      </c>
      <c r="F5429" s="2" t="s">
        <v>822</v>
      </c>
      <c r="G5429" s="23" t="s">
        <v>902</v>
      </c>
      <c r="H5429" s="2" t="s">
        <v>822</v>
      </c>
      <c r="J5429" s="31">
        <v>58.4076004</v>
      </c>
      <c r="K5429" s="31">
        <v>3.2151999</v>
      </c>
      <c r="L5429" s="31"/>
      <c r="M5429" s="31" t="s">
        <v>854</v>
      </c>
      <c r="N5429" s="6" t="s">
        <v>856</v>
      </c>
    </row>
    <row r="5430" spans="1:14" ht="15" customHeight="1" x14ac:dyDescent="0.2">
      <c r="A5430" s="31">
        <v>0.36226755670718269</v>
      </c>
      <c r="B5430" s="31"/>
      <c r="C5430" s="2" t="s">
        <v>855</v>
      </c>
      <c r="D5430" s="31">
        <f t="shared" si="171"/>
        <v>7.1004441114607811E-2</v>
      </c>
      <c r="F5430" s="2" t="s">
        <v>822</v>
      </c>
      <c r="G5430" s="23" t="s">
        <v>902</v>
      </c>
      <c r="H5430" s="2" t="s">
        <v>822</v>
      </c>
      <c r="J5430" s="31">
        <v>50.088001300000002</v>
      </c>
      <c r="K5430" s="31">
        <v>-34.543998700000003</v>
      </c>
      <c r="L5430" s="31"/>
      <c r="M5430" s="31" t="s">
        <v>854</v>
      </c>
      <c r="N5430" s="6" t="s">
        <v>856</v>
      </c>
    </row>
    <row r="5431" spans="1:14" ht="15" customHeight="1" x14ac:dyDescent="0.2">
      <c r="A5431" s="31">
        <v>0.36224218495077698</v>
      </c>
      <c r="B5431" s="31"/>
      <c r="C5431" s="2" t="s">
        <v>855</v>
      </c>
      <c r="D5431" s="31">
        <f t="shared" si="171"/>
        <v>7.0999468250352291E-2</v>
      </c>
      <c r="F5431" s="2" t="s">
        <v>822</v>
      </c>
      <c r="G5431" s="23" t="s">
        <v>902</v>
      </c>
      <c r="H5431" s="2" t="s">
        <v>822</v>
      </c>
      <c r="J5431" s="31">
        <v>63.170898399999999</v>
      </c>
      <c r="K5431" s="31">
        <v>-19.187400799999999</v>
      </c>
      <c r="L5431" s="31"/>
      <c r="M5431" s="31" t="s">
        <v>854</v>
      </c>
      <c r="N5431" s="6" t="s">
        <v>856</v>
      </c>
    </row>
    <row r="5432" spans="1:14" ht="15" customHeight="1" x14ac:dyDescent="0.2">
      <c r="A5432" s="31">
        <v>0.36191102102253769</v>
      </c>
      <c r="B5432" s="31"/>
      <c r="C5432" s="2" t="s">
        <v>855</v>
      </c>
      <c r="D5432" s="31">
        <f t="shared" si="171"/>
        <v>7.0934560120417392E-2</v>
      </c>
      <c r="F5432" s="2" t="s">
        <v>822</v>
      </c>
      <c r="G5432" s="23" t="s">
        <v>902</v>
      </c>
      <c r="H5432" s="2" t="s">
        <v>822</v>
      </c>
      <c r="J5432" s="31">
        <v>60.108001700000003</v>
      </c>
      <c r="K5432" s="31">
        <v>-11.1639996</v>
      </c>
      <c r="L5432" s="31"/>
      <c r="M5432" s="31" t="s">
        <v>854</v>
      </c>
      <c r="N5432" s="6" t="s">
        <v>856</v>
      </c>
    </row>
    <row r="5433" spans="1:14" ht="15" customHeight="1" x14ac:dyDescent="0.2">
      <c r="A5433" s="31">
        <v>0.36180917867926787</v>
      </c>
      <c r="B5433" s="31"/>
      <c r="C5433" s="2" t="s">
        <v>855</v>
      </c>
      <c r="D5433" s="31">
        <f t="shared" si="171"/>
        <v>7.0914599021136504E-2</v>
      </c>
      <c r="F5433" s="2" t="s">
        <v>822</v>
      </c>
      <c r="G5433" s="23" t="s">
        <v>902</v>
      </c>
      <c r="H5433" s="2" t="s">
        <v>822</v>
      </c>
      <c r="J5433" s="31">
        <v>31.624799700000001</v>
      </c>
      <c r="K5433" s="31">
        <v>25.195499399999999</v>
      </c>
      <c r="L5433" s="31"/>
      <c r="M5433" s="31" t="s">
        <v>854</v>
      </c>
      <c r="N5433" s="6" t="s">
        <v>856</v>
      </c>
    </row>
    <row r="5434" spans="1:14" ht="15" customHeight="1" x14ac:dyDescent="0.2">
      <c r="A5434" s="31">
        <v>0.36174246770691448</v>
      </c>
      <c r="B5434" s="31"/>
      <c r="C5434" s="2" t="s">
        <v>855</v>
      </c>
      <c r="D5434" s="31">
        <f t="shared" si="171"/>
        <v>7.0901523670555244E-2</v>
      </c>
      <c r="F5434" s="2" t="s">
        <v>822</v>
      </c>
      <c r="G5434" s="23" t="s">
        <v>902</v>
      </c>
      <c r="H5434" s="2" t="s">
        <v>822</v>
      </c>
      <c r="J5434" s="31">
        <v>54.096000699999998</v>
      </c>
      <c r="K5434" s="31">
        <v>-24.5240002</v>
      </c>
      <c r="L5434" s="31"/>
      <c r="M5434" s="31" t="s">
        <v>854</v>
      </c>
      <c r="N5434" s="6" t="s">
        <v>856</v>
      </c>
    </row>
    <row r="5435" spans="1:14" ht="15" customHeight="1" x14ac:dyDescent="0.2">
      <c r="A5435" s="31">
        <v>0.36142117147533442</v>
      </c>
      <c r="B5435" s="31"/>
      <c r="C5435" s="2" t="s">
        <v>855</v>
      </c>
      <c r="D5435" s="31">
        <f t="shared" si="171"/>
        <v>7.0838549609165552E-2</v>
      </c>
      <c r="F5435" s="2" t="s">
        <v>822</v>
      </c>
      <c r="G5435" s="23" t="s">
        <v>902</v>
      </c>
      <c r="H5435" s="2" t="s">
        <v>822</v>
      </c>
      <c r="J5435" s="31">
        <v>53.457599600000002</v>
      </c>
      <c r="K5435" s="31">
        <v>4.2608398999999997</v>
      </c>
      <c r="L5435" s="31"/>
      <c r="M5435" s="31" t="s">
        <v>854</v>
      </c>
      <c r="N5435" s="6" t="s">
        <v>856</v>
      </c>
    </row>
    <row r="5436" spans="1:14" ht="15" customHeight="1" x14ac:dyDescent="0.2">
      <c r="A5436" s="31">
        <v>0.36136067268852778</v>
      </c>
      <c r="B5436" s="31"/>
      <c r="C5436" s="2" t="s">
        <v>855</v>
      </c>
      <c r="D5436" s="31">
        <f t="shared" si="171"/>
        <v>7.0826691846951451E-2</v>
      </c>
      <c r="F5436" s="2" t="s">
        <v>822</v>
      </c>
      <c r="G5436" s="23" t="s">
        <v>902</v>
      </c>
      <c r="H5436" s="2" t="s">
        <v>822</v>
      </c>
      <c r="J5436" s="31">
        <v>61.404201499999999</v>
      </c>
      <c r="K5436" s="31">
        <v>-7.1112099000000004</v>
      </c>
      <c r="L5436" s="31"/>
      <c r="M5436" s="31" t="s">
        <v>854</v>
      </c>
      <c r="N5436" s="6" t="s">
        <v>856</v>
      </c>
    </row>
    <row r="5437" spans="1:14" ht="15" customHeight="1" x14ac:dyDescent="0.2">
      <c r="A5437" s="31">
        <v>0.3612886961002213</v>
      </c>
      <c r="B5437" s="31"/>
      <c r="C5437" s="2" t="s">
        <v>855</v>
      </c>
      <c r="D5437" s="31">
        <f t="shared" si="171"/>
        <v>7.081258443564338E-2</v>
      </c>
      <c r="F5437" s="2" t="s">
        <v>822</v>
      </c>
      <c r="G5437" s="23" t="s">
        <v>902</v>
      </c>
      <c r="H5437" s="2" t="s">
        <v>822</v>
      </c>
      <c r="J5437" s="31">
        <v>54.096000699999998</v>
      </c>
      <c r="K5437" s="31">
        <v>-26.527999900000001</v>
      </c>
      <c r="L5437" s="31"/>
      <c r="M5437" s="31" t="s">
        <v>854</v>
      </c>
      <c r="N5437" s="6" t="s">
        <v>856</v>
      </c>
    </row>
    <row r="5438" spans="1:14" ht="15" customHeight="1" x14ac:dyDescent="0.2">
      <c r="A5438" s="31">
        <v>0.36125170765454212</v>
      </c>
      <c r="B5438" s="31"/>
      <c r="C5438" s="2" t="s">
        <v>855</v>
      </c>
      <c r="D5438" s="31">
        <f t="shared" si="171"/>
        <v>7.0805334700290254E-2</v>
      </c>
      <c r="F5438" s="2" t="s">
        <v>822</v>
      </c>
      <c r="G5438" s="23" t="s">
        <v>902</v>
      </c>
      <c r="H5438" s="2" t="s">
        <v>822</v>
      </c>
      <c r="J5438" s="31">
        <v>29.3799992</v>
      </c>
      <c r="K5438" s="31">
        <v>-37.215999600000004</v>
      </c>
      <c r="L5438" s="31"/>
      <c r="M5438" s="31" t="s">
        <v>854</v>
      </c>
      <c r="N5438" s="6" t="s">
        <v>856</v>
      </c>
    </row>
    <row r="5439" spans="1:14" ht="15" customHeight="1" x14ac:dyDescent="0.2">
      <c r="A5439" s="31">
        <v>0.36121459998677902</v>
      </c>
      <c r="B5439" s="31"/>
      <c r="C5439" s="2" t="s">
        <v>855</v>
      </c>
      <c r="D5439" s="31">
        <f t="shared" si="171"/>
        <v>7.0798061597408687E-2</v>
      </c>
      <c r="F5439" s="2" t="s">
        <v>822</v>
      </c>
      <c r="G5439" s="23" t="s">
        <v>902</v>
      </c>
      <c r="H5439" s="2" t="s">
        <v>822</v>
      </c>
      <c r="J5439" s="31">
        <v>62.528301200000001</v>
      </c>
      <c r="K5439" s="31">
        <v>3.9876699000000002</v>
      </c>
      <c r="L5439" s="31"/>
      <c r="M5439" s="31" t="s">
        <v>854</v>
      </c>
      <c r="N5439" s="6" t="s">
        <v>856</v>
      </c>
    </row>
    <row r="5440" spans="1:14" ht="15" customHeight="1" x14ac:dyDescent="0.2">
      <c r="A5440" s="31">
        <v>0.36110266772400501</v>
      </c>
      <c r="B5440" s="31"/>
      <c r="C5440" s="2" t="s">
        <v>855</v>
      </c>
      <c r="D5440" s="31">
        <f t="shared" ref="D5440:D5455" si="172" xml:space="preserve"> A5440 * 0.196</f>
        <v>7.0776122873904987E-2</v>
      </c>
      <c r="F5440" s="2" t="s">
        <v>822</v>
      </c>
      <c r="G5440" s="23" t="s">
        <v>902</v>
      </c>
      <c r="H5440" s="2" t="s">
        <v>822</v>
      </c>
      <c r="J5440" s="31">
        <v>52.0287018</v>
      </c>
      <c r="K5440" s="31">
        <v>-15.8577995</v>
      </c>
      <c r="L5440" s="31"/>
      <c r="M5440" s="31" t="s">
        <v>854</v>
      </c>
      <c r="N5440" s="6" t="s">
        <v>856</v>
      </c>
    </row>
    <row r="5441" spans="1:14" ht="15" customHeight="1" x14ac:dyDescent="0.2">
      <c r="A5441" s="31">
        <v>0.36108836878654821</v>
      </c>
      <c r="B5441" s="31"/>
      <c r="C5441" s="2" t="s">
        <v>855</v>
      </c>
      <c r="D5441" s="31">
        <f t="shared" si="172"/>
        <v>7.0773320282163446E-2</v>
      </c>
      <c r="F5441" s="2" t="s">
        <v>822</v>
      </c>
      <c r="G5441" s="23" t="s">
        <v>902</v>
      </c>
      <c r="H5441" s="2" t="s">
        <v>822</v>
      </c>
      <c r="J5441" s="31">
        <v>60.108001700000003</v>
      </c>
      <c r="K5441" s="31">
        <v>-21.851999299999999</v>
      </c>
      <c r="L5441" s="31"/>
      <c r="M5441" s="31" t="s">
        <v>854</v>
      </c>
      <c r="N5441" s="6" t="s">
        <v>856</v>
      </c>
    </row>
    <row r="5442" spans="1:14" ht="15" customHeight="1" x14ac:dyDescent="0.2">
      <c r="A5442" s="31">
        <v>0.36097754606741</v>
      </c>
      <c r="B5442" s="31"/>
      <c r="C5442" s="2" t="s">
        <v>855</v>
      </c>
      <c r="D5442" s="31">
        <f t="shared" si="172"/>
        <v>7.0751599029212367E-2</v>
      </c>
      <c r="F5442" s="2" t="s">
        <v>822</v>
      </c>
      <c r="G5442" s="23" t="s">
        <v>902</v>
      </c>
      <c r="H5442" s="2" t="s">
        <v>822</v>
      </c>
      <c r="J5442" s="31">
        <v>50.747398400000002</v>
      </c>
      <c r="K5442" s="31">
        <v>-29.136400200000001</v>
      </c>
      <c r="L5442" s="31"/>
      <c r="M5442" s="31" t="s">
        <v>854</v>
      </c>
      <c r="N5442" s="6" t="s">
        <v>856</v>
      </c>
    </row>
    <row r="5443" spans="1:14" ht="15" customHeight="1" x14ac:dyDescent="0.2">
      <c r="A5443" s="31">
        <v>0.36077318949935078</v>
      </c>
      <c r="B5443" s="31"/>
      <c r="C5443" s="2" t="s">
        <v>855</v>
      </c>
      <c r="D5443" s="31">
        <f t="shared" si="172"/>
        <v>7.071154514187275E-2</v>
      </c>
      <c r="F5443" s="2" t="s">
        <v>822</v>
      </c>
      <c r="G5443" s="23" t="s">
        <v>902</v>
      </c>
      <c r="H5443" s="2" t="s">
        <v>822</v>
      </c>
      <c r="J5443" s="31">
        <v>57.436000800000002</v>
      </c>
      <c r="K5443" s="31">
        <v>-23.187999699999999</v>
      </c>
      <c r="L5443" s="31"/>
      <c r="M5443" s="31" t="s">
        <v>854</v>
      </c>
      <c r="N5443" s="6" t="s">
        <v>856</v>
      </c>
    </row>
    <row r="5444" spans="1:14" ht="15" customHeight="1" x14ac:dyDescent="0.2">
      <c r="A5444" s="31">
        <v>0.36065064590199369</v>
      </c>
      <c r="B5444" s="31"/>
      <c r="C5444" s="2" t="s">
        <v>855</v>
      </c>
      <c r="D5444" s="31">
        <f t="shared" si="172"/>
        <v>7.068752659679077E-2</v>
      </c>
      <c r="F5444" s="2" t="s">
        <v>822</v>
      </c>
      <c r="G5444" s="23" t="s">
        <v>902</v>
      </c>
      <c r="H5444" s="2" t="s">
        <v>822</v>
      </c>
      <c r="J5444" s="31">
        <v>53.118000000000002</v>
      </c>
      <c r="K5444" s="31">
        <v>-17.554899200000001</v>
      </c>
      <c r="L5444" s="31"/>
      <c r="M5444" s="31" t="s">
        <v>854</v>
      </c>
      <c r="N5444" s="6" t="s">
        <v>856</v>
      </c>
    </row>
    <row r="5445" spans="1:14" ht="15" customHeight="1" x14ac:dyDescent="0.2">
      <c r="A5445" s="31">
        <v>0.36058666924627347</v>
      </c>
      <c r="B5445" s="31"/>
      <c r="C5445" s="2" t="s">
        <v>855</v>
      </c>
      <c r="D5445" s="31">
        <f t="shared" si="172"/>
        <v>7.067498717226961E-2</v>
      </c>
      <c r="F5445" s="2" t="s">
        <v>822</v>
      </c>
      <c r="G5445" s="23" t="s">
        <v>902</v>
      </c>
      <c r="H5445" s="2" t="s">
        <v>822</v>
      </c>
      <c r="J5445" s="31">
        <v>54.754199999999997</v>
      </c>
      <c r="K5445" s="31">
        <v>-21.8313007</v>
      </c>
      <c r="L5445" s="31"/>
      <c r="M5445" s="31" t="s">
        <v>854</v>
      </c>
      <c r="N5445" s="6" t="s">
        <v>856</v>
      </c>
    </row>
    <row r="5446" spans="1:14" ht="15" customHeight="1" x14ac:dyDescent="0.2">
      <c r="A5446" s="31">
        <v>0.36049557109114982</v>
      </c>
      <c r="B5446" s="31"/>
      <c r="C5446" s="2" t="s">
        <v>855</v>
      </c>
      <c r="D5446" s="31">
        <f t="shared" si="172"/>
        <v>7.0657131933865372E-2</v>
      </c>
      <c r="F5446" s="2" t="s">
        <v>822</v>
      </c>
      <c r="G5446" s="23" t="s">
        <v>902</v>
      </c>
      <c r="H5446" s="2" t="s">
        <v>822</v>
      </c>
      <c r="J5446" s="31">
        <v>51.181598700000002</v>
      </c>
      <c r="K5446" s="31">
        <v>-27.5625</v>
      </c>
      <c r="L5446" s="31"/>
      <c r="M5446" s="31" t="s">
        <v>854</v>
      </c>
      <c r="N5446" s="6" t="s">
        <v>856</v>
      </c>
    </row>
    <row r="5447" spans="1:14" ht="15" customHeight="1" x14ac:dyDescent="0.2">
      <c r="A5447" s="31">
        <v>0.36032779944352122</v>
      </c>
      <c r="B5447" s="31"/>
      <c r="C5447" s="2" t="s">
        <v>855</v>
      </c>
      <c r="D5447" s="31">
        <f t="shared" si="172"/>
        <v>7.0624248690930161E-2</v>
      </c>
      <c r="F5447" s="2" t="s">
        <v>822</v>
      </c>
      <c r="G5447" s="23" t="s">
        <v>902</v>
      </c>
      <c r="H5447" s="2" t="s">
        <v>822</v>
      </c>
      <c r="J5447" s="31">
        <v>46.748001100000003</v>
      </c>
      <c r="K5447" s="31">
        <v>-39.888000499999997</v>
      </c>
      <c r="L5447" s="31"/>
      <c r="M5447" s="31" t="s">
        <v>854</v>
      </c>
      <c r="N5447" s="6" t="s">
        <v>856</v>
      </c>
    </row>
    <row r="5448" spans="1:14" ht="15" customHeight="1" x14ac:dyDescent="0.2">
      <c r="A5448" s="31">
        <v>0.36025680928295878</v>
      </c>
      <c r="B5448" s="31"/>
      <c r="C5448" s="2" t="s">
        <v>855</v>
      </c>
      <c r="D5448" s="31">
        <f t="shared" si="172"/>
        <v>7.0610334619459925E-2</v>
      </c>
      <c r="F5448" s="2" t="s">
        <v>822</v>
      </c>
      <c r="G5448" s="23" t="s">
        <v>902</v>
      </c>
      <c r="H5448" s="2" t="s">
        <v>822</v>
      </c>
      <c r="J5448" s="31">
        <v>48.751998899999997</v>
      </c>
      <c r="K5448" s="31">
        <v>-30.5359993</v>
      </c>
      <c r="L5448" s="31"/>
      <c r="M5448" s="31" t="s">
        <v>854</v>
      </c>
      <c r="N5448" s="6" t="s">
        <v>856</v>
      </c>
    </row>
    <row r="5449" spans="1:14" ht="15" customHeight="1" x14ac:dyDescent="0.2">
      <c r="A5449" s="31">
        <v>0.35960346242011609</v>
      </c>
      <c r="B5449" s="31"/>
      <c r="C5449" s="2" t="s">
        <v>855</v>
      </c>
      <c r="D5449" s="31">
        <f t="shared" si="172"/>
        <v>7.0482278634342754E-2</v>
      </c>
      <c r="F5449" s="2" t="s">
        <v>822</v>
      </c>
      <c r="G5449" s="23" t="s">
        <v>902</v>
      </c>
      <c r="H5449" s="2" t="s">
        <v>822</v>
      </c>
      <c r="J5449" s="31">
        <v>51.5088005</v>
      </c>
      <c r="K5449" s="31">
        <v>-13.3473997</v>
      </c>
      <c r="L5449" s="31"/>
      <c r="M5449" s="31" t="s">
        <v>854</v>
      </c>
      <c r="N5449" s="6" t="s">
        <v>856</v>
      </c>
    </row>
    <row r="5450" spans="1:14" ht="15" customHeight="1" x14ac:dyDescent="0.2">
      <c r="A5450" s="31">
        <v>0.35943436923017408</v>
      </c>
      <c r="B5450" s="31"/>
      <c r="C5450" s="2" t="s">
        <v>855</v>
      </c>
      <c r="D5450" s="31">
        <f t="shared" si="172"/>
        <v>7.0449136369114124E-2</v>
      </c>
      <c r="F5450" s="2" t="s">
        <v>822</v>
      </c>
      <c r="G5450" s="23" t="s">
        <v>902</v>
      </c>
      <c r="H5450" s="2" t="s">
        <v>822</v>
      </c>
      <c r="J5450" s="31">
        <v>46.480098699999999</v>
      </c>
      <c r="K5450" s="31">
        <v>-42.833198500000002</v>
      </c>
      <c r="L5450" s="31"/>
      <c r="M5450" s="31" t="s">
        <v>854</v>
      </c>
      <c r="N5450" s="6" t="s">
        <v>856</v>
      </c>
    </row>
    <row r="5451" spans="1:14" ht="15" customHeight="1" x14ac:dyDescent="0.2">
      <c r="A5451" s="31">
        <v>0.3592348211960758</v>
      </c>
      <c r="B5451" s="31"/>
      <c r="C5451" s="2" t="s">
        <v>855</v>
      </c>
      <c r="D5451" s="31">
        <f t="shared" si="172"/>
        <v>7.0410024954430855E-2</v>
      </c>
      <c r="F5451" s="2" t="s">
        <v>822</v>
      </c>
      <c r="G5451" s="23" t="s">
        <v>902</v>
      </c>
      <c r="H5451" s="2" t="s">
        <v>822</v>
      </c>
      <c r="J5451" s="31">
        <v>56.099998499999998</v>
      </c>
      <c r="K5451" s="31">
        <v>-25.1919994</v>
      </c>
      <c r="L5451" s="31"/>
      <c r="M5451" s="31" t="s">
        <v>854</v>
      </c>
      <c r="N5451" s="6" t="s">
        <v>856</v>
      </c>
    </row>
    <row r="5452" spans="1:14" ht="15" customHeight="1" x14ac:dyDescent="0.2">
      <c r="A5452" s="31">
        <v>0.35895756921616673</v>
      </c>
      <c r="B5452" s="31"/>
      <c r="C5452" s="2" t="s">
        <v>855</v>
      </c>
      <c r="D5452" s="31">
        <f t="shared" si="172"/>
        <v>7.0355683566368676E-2</v>
      </c>
      <c r="F5452" s="2" t="s">
        <v>822</v>
      </c>
      <c r="G5452" s="23" t="s">
        <v>902</v>
      </c>
      <c r="H5452" s="2" t="s">
        <v>822</v>
      </c>
      <c r="J5452" s="31">
        <v>55.622699699999998</v>
      </c>
      <c r="K5452" s="31">
        <v>17.362300900000001</v>
      </c>
      <c r="L5452" s="31"/>
      <c r="M5452" s="31" t="s">
        <v>854</v>
      </c>
      <c r="N5452" s="6" t="s">
        <v>856</v>
      </c>
    </row>
    <row r="5453" spans="1:14" ht="15" customHeight="1" x14ac:dyDescent="0.2">
      <c r="A5453" s="31">
        <v>0.35846717249321147</v>
      </c>
      <c r="B5453" s="31"/>
      <c r="C5453" s="2" t="s">
        <v>855</v>
      </c>
      <c r="D5453" s="31">
        <f t="shared" si="172"/>
        <v>7.0259565808669447E-2</v>
      </c>
      <c r="F5453" s="2" t="s">
        <v>822</v>
      </c>
      <c r="G5453" s="23" t="s">
        <v>902</v>
      </c>
      <c r="H5453" s="2" t="s">
        <v>822</v>
      </c>
      <c r="J5453" s="31">
        <v>59.439998600000003</v>
      </c>
      <c r="K5453" s="31">
        <v>-1.37016</v>
      </c>
      <c r="L5453" s="31"/>
      <c r="M5453" s="31" t="s">
        <v>854</v>
      </c>
      <c r="N5453" s="6" t="s">
        <v>856</v>
      </c>
    </row>
    <row r="5454" spans="1:14" ht="15" customHeight="1" x14ac:dyDescent="0.2">
      <c r="A5454" s="31">
        <v>0.35729656397358139</v>
      </c>
      <c r="B5454" s="31"/>
      <c r="C5454" s="2" t="s">
        <v>855</v>
      </c>
      <c r="D5454" s="31">
        <f t="shared" si="172"/>
        <v>7.0030126538821957E-2</v>
      </c>
      <c r="F5454" s="2" t="s">
        <v>822</v>
      </c>
      <c r="G5454" s="23" t="s">
        <v>902</v>
      </c>
      <c r="H5454" s="2" t="s">
        <v>822</v>
      </c>
      <c r="J5454" s="31">
        <v>57.491100299999999</v>
      </c>
      <c r="K5454" s="31">
        <v>-14.5900002</v>
      </c>
      <c r="L5454" s="31"/>
      <c r="M5454" s="31" t="s">
        <v>854</v>
      </c>
      <c r="N5454" s="6" t="s">
        <v>856</v>
      </c>
    </row>
    <row r="5455" spans="1:14" ht="15" customHeight="1" x14ac:dyDescent="0.2">
      <c r="A5455" s="31">
        <v>0.35717611514466108</v>
      </c>
      <c r="B5455" s="31"/>
      <c r="C5455" s="2" t="s">
        <v>855</v>
      </c>
      <c r="D5455" s="31">
        <f t="shared" si="172"/>
        <v>7.0006518568353576E-2</v>
      </c>
      <c r="F5455" s="2" t="s">
        <v>822</v>
      </c>
      <c r="G5455" s="23" t="s">
        <v>902</v>
      </c>
      <c r="H5455" s="2" t="s">
        <v>822</v>
      </c>
      <c r="J5455" s="31">
        <v>51.861301400000002</v>
      </c>
      <c r="K5455" s="31">
        <v>-14.5531998</v>
      </c>
      <c r="L5455" s="31"/>
      <c r="M5455" s="31" t="s">
        <v>854</v>
      </c>
      <c r="N5455" s="6" t="s">
        <v>856</v>
      </c>
    </row>
    <row r="5456" spans="1:14" ht="15" customHeight="1" x14ac:dyDescent="0.2">
      <c r="A5456" s="2">
        <v>7.0000000000000007E-2</v>
      </c>
      <c r="B5456" s="2">
        <v>0.7</v>
      </c>
      <c r="C5456" s="2" t="s">
        <v>891</v>
      </c>
      <c r="D5456" s="2">
        <f>A5456</f>
        <v>7.0000000000000007E-2</v>
      </c>
      <c r="E5456" s="2">
        <f>B5456</f>
        <v>0.7</v>
      </c>
      <c r="F5456" s="2">
        <v>2014</v>
      </c>
      <c r="G5456" s="2" t="s">
        <v>902</v>
      </c>
      <c r="H5456" s="5" t="s">
        <v>155</v>
      </c>
      <c r="I5456" s="2" t="s">
        <v>152</v>
      </c>
      <c r="J5456" s="2">
        <v>37.012805999999998</v>
      </c>
      <c r="K5456" s="2">
        <v>-7.0772560000000002</v>
      </c>
      <c r="L5456" s="2" t="s">
        <v>82</v>
      </c>
      <c r="N5456" s="9" t="s">
        <v>153</v>
      </c>
    </row>
    <row r="5457" spans="1:14" ht="15" customHeight="1" x14ac:dyDescent="0.2">
      <c r="A5457" s="31">
        <v>0.35700285567251011</v>
      </c>
      <c r="B5457" s="31"/>
      <c r="C5457" s="2" t="s">
        <v>855</v>
      </c>
      <c r="D5457" s="31">
        <f t="shared" ref="D5457:D5520" si="173" xml:space="preserve"> A5457 * 0.196</f>
        <v>6.9972559711811988E-2</v>
      </c>
      <c r="F5457" s="2" t="s">
        <v>822</v>
      </c>
      <c r="G5457" s="23" t="s">
        <v>902</v>
      </c>
      <c r="H5457" s="2" t="s">
        <v>822</v>
      </c>
      <c r="J5457" s="31">
        <v>50.400001500000002</v>
      </c>
      <c r="K5457" s="31">
        <v>-14.7889996</v>
      </c>
      <c r="L5457" s="31"/>
      <c r="M5457" s="31" t="s">
        <v>854</v>
      </c>
      <c r="N5457" s="6" t="s">
        <v>856</v>
      </c>
    </row>
    <row r="5458" spans="1:14" ht="15" customHeight="1" x14ac:dyDescent="0.2">
      <c r="A5458" s="31">
        <v>0.3568369357873154</v>
      </c>
      <c r="B5458" s="31"/>
      <c r="C5458" s="2" t="s">
        <v>855</v>
      </c>
      <c r="D5458" s="31">
        <f t="shared" si="173"/>
        <v>6.9940039414313815E-2</v>
      </c>
      <c r="F5458" s="2" t="s">
        <v>822</v>
      </c>
      <c r="G5458" s="23" t="s">
        <v>902</v>
      </c>
      <c r="H5458" s="2" t="s">
        <v>822</v>
      </c>
      <c r="J5458" s="31">
        <v>63.462501500000002</v>
      </c>
      <c r="K5458" s="31">
        <v>-17.239000300000001</v>
      </c>
      <c r="L5458" s="31"/>
      <c r="M5458" s="31" t="s">
        <v>854</v>
      </c>
      <c r="N5458" s="6" t="s">
        <v>856</v>
      </c>
    </row>
    <row r="5459" spans="1:14" ht="15" customHeight="1" x14ac:dyDescent="0.2">
      <c r="A5459" s="31">
        <v>0.35679006156260268</v>
      </c>
      <c r="B5459" s="31"/>
      <c r="C5459" s="2" t="s">
        <v>855</v>
      </c>
      <c r="D5459" s="31">
        <f t="shared" si="173"/>
        <v>6.993085206627013E-2</v>
      </c>
      <c r="F5459" s="2" t="s">
        <v>822</v>
      </c>
      <c r="G5459" s="23" t="s">
        <v>902</v>
      </c>
      <c r="H5459" s="2" t="s">
        <v>822</v>
      </c>
      <c r="J5459" s="31">
        <v>51.944099399999999</v>
      </c>
      <c r="K5459" s="31">
        <v>-15.1981001</v>
      </c>
      <c r="L5459" s="31"/>
      <c r="M5459" s="31" t="s">
        <v>854</v>
      </c>
      <c r="N5459" s="6" t="s">
        <v>856</v>
      </c>
    </row>
    <row r="5460" spans="1:14" ht="15" customHeight="1" x14ac:dyDescent="0.2">
      <c r="A5460" s="31">
        <v>0.35667195215907899</v>
      </c>
      <c r="B5460" s="31"/>
      <c r="C5460" s="2" t="s">
        <v>855</v>
      </c>
      <c r="D5460" s="31">
        <f t="shared" si="173"/>
        <v>6.9907702623179482E-2</v>
      </c>
      <c r="F5460" s="2" t="s">
        <v>822</v>
      </c>
      <c r="G5460" s="23" t="s">
        <v>902</v>
      </c>
      <c r="H5460" s="2" t="s">
        <v>822</v>
      </c>
      <c r="J5460" s="31">
        <v>56.099998499999998</v>
      </c>
      <c r="K5460" s="31">
        <v>-19.847999600000001</v>
      </c>
      <c r="L5460" s="31"/>
      <c r="M5460" s="31" t="s">
        <v>854</v>
      </c>
      <c r="N5460" s="6" t="s">
        <v>856</v>
      </c>
    </row>
    <row r="5461" spans="1:14" ht="15" customHeight="1" x14ac:dyDescent="0.2">
      <c r="A5461" s="31">
        <v>0.35657745079966169</v>
      </c>
      <c r="B5461" s="31"/>
      <c r="C5461" s="2" t="s">
        <v>855</v>
      </c>
      <c r="D5461" s="31">
        <f t="shared" si="173"/>
        <v>6.9889180356733693E-2</v>
      </c>
      <c r="F5461" s="2" t="s">
        <v>822</v>
      </c>
      <c r="G5461" s="23" t="s">
        <v>902</v>
      </c>
      <c r="H5461" s="2" t="s">
        <v>822</v>
      </c>
      <c r="J5461" s="31">
        <v>52.492198899999998</v>
      </c>
      <c r="K5461" s="31">
        <v>-27.098300900000002</v>
      </c>
      <c r="L5461" s="31"/>
      <c r="M5461" s="31" t="s">
        <v>854</v>
      </c>
      <c r="N5461" s="6" t="s">
        <v>856</v>
      </c>
    </row>
    <row r="5462" spans="1:14" ht="15" customHeight="1" x14ac:dyDescent="0.2">
      <c r="A5462" s="31">
        <v>0.35649208090328649</v>
      </c>
      <c r="B5462" s="31"/>
      <c r="C5462" s="2" t="s">
        <v>855</v>
      </c>
      <c r="D5462" s="31">
        <f t="shared" si="173"/>
        <v>6.9872447857044148E-2</v>
      </c>
      <c r="F5462" s="2" t="s">
        <v>822</v>
      </c>
      <c r="G5462" s="23" t="s">
        <v>902</v>
      </c>
      <c r="H5462" s="2" t="s">
        <v>822</v>
      </c>
      <c r="J5462" s="31">
        <v>59.838600200000002</v>
      </c>
      <c r="K5462" s="31">
        <v>-2.48</v>
      </c>
      <c r="L5462" s="31"/>
      <c r="M5462" s="31" t="s">
        <v>854</v>
      </c>
      <c r="N5462" s="6" t="s">
        <v>856</v>
      </c>
    </row>
    <row r="5463" spans="1:14" ht="15" customHeight="1" x14ac:dyDescent="0.2">
      <c r="A5463" s="31">
        <v>0.35629527311555742</v>
      </c>
      <c r="B5463" s="31"/>
      <c r="C5463" s="2" t="s">
        <v>855</v>
      </c>
      <c r="D5463" s="31">
        <f t="shared" si="173"/>
        <v>6.9833873530649251E-2</v>
      </c>
      <c r="F5463" s="2" t="s">
        <v>822</v>
      </c>
      <c r="G5463" s="23" t="s">
        <v>902</v>
      </c>
      <c r="H5463" s="2" t="s">
        <v>822</v>
      </c>
      <c r="J5463" s="31">
        <v>50.652500199999999</v>
      </c>
      <c r="K5463" s="31">
        <v>-33.223098800000002</v>
      </c>
      <c r="L5463" s="31"/>
      <c r="M5463" s="31" t="s">
        <v>854</v>
      </c>
      <c r="N5463" s="6" t="s">
        <v>856</v>
      </c>
    </row>
    <row r="5464" spans="1:14" ht="15" customHeight="1" x14ac:dyDescent="0.2">
      <c r="A5464" s="31">
        <v>0.35622715724991633</v>
      </c>
      <c r="B5464" s="31"/>
      <c r="C5464" s="2" t="s">
        <v>855</v>
      </c>
      <c r="D5464" s="31">
        <f t="shared" si="173"/>
        <v>6.9820522820983597E-2</v>
      </c>
      <c r="F5464" s="2" t="s">
        <v>822</v>
      </c>
      <c r="G5464" s="23" t="s">
        <v>902</v>
      </c>
      <c r="H5464" s="2" t="s">
        <v>822</v>
      </c>
      <c r="J5464" s="31">
        <v>40.0685997</v>
      </c>
      <c r="K5464" s="31">
        <v>-33.875999499999999</v>
      </c>
      <c r="L5464" s="31"/>
      <c r="M5464" s="31" t="s">
        <v>854</v>
      </c>
      <c r="N5464" s="6" t="s">
        <v>856</v>
      </c>
    </row>
    <row r="5465" spans="1:14" ht="15" customHeight="1" x14ac:dyDescent="0.2">
      <c r="A5465" s="31">
        <v>0.3562203993621943</v>
      </c>
      <c r="B5465" s="31"/>
      <c r="C5465" s="2" t="s">
        <v>855</v>
      </c>
      <c r="D5465" s="31">
        <f t="shared" si="173"/>
        <v>6.9819198274990085E-2</v>
      </c>
      <c r="F5465" s="2" t="s">
        <v>822</v>
      </c>
      <c r="G5465" s="23" t="s">
        <v>902</v>
      </c>
      <c r="H5465" s="2" t="s">
        <v>822</v>
      </c>
      <c r="J5465" s="31">
        <v>54.096000699999998</v>
      </c>
      <c r="K5465" s="31">
        <v>-18.908500700000001</v>
      </c>
      <c r="L5465" s="31"/>
      <c r="M5465" s="31" t="s">
        <v>854</v>
      </c>
      <c r="N5465" s="6" t="s">
        <v>856</v>
      </c>
    </row>
    <row r="5466" spans="1:14" ht="15" customHeight="1" x14ac:dyDescent="0.2">
      <c r="A5466" s="31">
        <v>0.35616800075157262</v>
      </c>
      <c r="B5466" s="31"/>
      <c r="C5466" s="2" t="s">
        <v>855</v>
      </c>
      <c r="D5466" s="31">
        <f t="shared" si="173"/>
        <v>6.9808928147308241E-2</v>
      </c>
      <c r="F5466" s="2" t="s">
        <v>822</v>
      </c>
      <c r="G5466" s="23" t="s">
        <v>902</v>
      </c>
      <c r="H5466" s="2" t="s">
        <v>822</v>
      </c>
      <c r="J5466" s="31">
        <v>58.771999399999999</v>
      </c>
      <c r="K5466" s="31">
        <v>-22.520000499999998</v>
      </c>
      <c r="L5466" s="31"/>
      <c r="M5466" s="31" t="s">
        <v>854</v>
      </c>
      <c r="N5466" s="6" t="s">
        <v>856</v>
      </c>
    </row>
    <row r="5467" spans="1:14" ht="15" customHeight="1" x14ac:dyDescent="0.2">
      <c r="A5467" s="31">
        <v>0.35581158193159013</v>
      </c>
      <c r="B5467" s="31"/>
      <c r="C5467" s="2" t="s">
        <v>855</v>
      </c>
      <c r="D5467" s="31">
        <f t="shared" si="173"/>
        <v>6.9739070058591673E-2</v>
      </c>
      <c r="F5467" s="2" t="s">
        <v>822</v>
      </c>
      <c r="G5467" s="23" t="s">
        <v>902</v>
      </c>
      <c r="H5467" s="2" t="s">
        <v>822</v>
      </c>
      <c r="J5467" s="31">
        <v>60.108001700000003</v>
      </c>
      <c r="K5467" s="31">
        <v>-23.187999699999999</v>
      </c>
      <c r="L5467" s="31"/>
      <c r="M5467" s="31" t="s">
        <v>854</v>
      </c>
      <c r="N5467" s="6" t="s">
        <v>856</v>
      </c>
    </row>
    <row r="5468" spans="1:14" ht="15" customHeight="1" x14ac:dyDescent="0.2">
      <c r="A5468" s="31">
        <v>0.35577594034164323</v>
      </c>
      <c r="B5468" s="31"/>
      <c r="C5468" s="2" t="s">
        <v>855</v>
      </c>
      <c r="D5468" s="31">
        <f t="shared" si="173"/>
        <v>6.973208430696208E-2</v>
      </c>
      <c r="F5468" s="2" t="s">
        <v>822</v>
      </c>
      <c r="G5468" s="23" t="s">
        <v>902</v>
      </c>
      <c r="H5468" s="2" t="s">
        <v>822</v>
      </c>
      <c r="J5468" s="31">
        <v>54.763999900000002</v>
      </c>
      <c r="K5468" s="31">
        <v>-17.176000599999998</v>
      </c>
      <c r="L5468" s="31"/>
      <c r="M5468" s="31" t="s">
        <v>854</v>
      </c>
      <c r="N5468" s="6" t="s">
        <v>856</v>
      </c>
    </row>
    <row r="5469" spans="1:14" ht="15" customHeight="1" x14ac:dyDescent="0.2">
      <c r="A5469" s="31">
        <v>0.35560987980784858</v>
      </c>
      <c r="B5469" s="31"/>
      <c r="C5469" s="2" t="s">
        <v>855</v>
      </c>
      <c r="D5469" s="31">
        <f t="shared" si="173"/>
        <v>6.9699536442338325E-2</v>
      </c>
      <c r="F5469" s="2" t="s">
        <v>822</v>
      </c>
      <c r="G5469" s="23" t="s">
        <v>902</v>
      </c>
      <c r="H5469" s="2" t="s">
        <v>822</v>
      </c>
      <c r="J5469" s="31">
        <v>50.088001300000002</v>
      </c>
      <c r="K5469" s="31">
        <v>-37.215999600000004</v>
      </c>
      <c r="L5469" s="31"/>
      <c r="M5469" s="31" t="s">
        <v>854</v>
      </c>
      <c r="N5469" s="6" t="s">
        <v>856</v>
      </c>
    </row>
    <row r="5470" spans="1:14" ht="15" customHeight="1" x14ac:dyDescent="0.2">
      <c r="A5470" s="31">
        <v>0.35556068470952901</v>
      </c>
      <c r="B5470" s="31"/>
      <c r="C5470" s="2" t="s">
        <v>855</v>
      </c>
      <c r="D5470" s="31">
        <f t="shared" si="173"/>
        <v>6.968989420306769E-2</v>
      </c>
      <c r="F5470" s="2" t="s">
        <v>822</v>
      </c>
      <c r="G5470" s="23" t="s">
        <v>902</v>
      </c>
      <c r="H5470" s="2" t="s">
        <v>822</v>
      </c>
      <c r="J5470" s="31">
        <v>57.004001600000002</v>
      </c>
      <c r="K5470" s="31">
        <v>-7.3627099999999999</v>
      </c>
      <c r="L5470" s="31"/>
      <c r="M5470" s="31" t="s">
        <v>854</v>
      </c>
      <c r="N5470" s="6" t="s">
        <v>856</v>
      </c>
    </row>
    <row r="5471" spans="1:14" ht="15" customHeight="1" x14ac:dyDescent="0.2">
      <c r="A5471" s="31">
        <v>0.35532550488545311</v>
      </c>
      <c r="B5471" s="31"/>
      <c r="C5471" s="2" t="s">
        <v>855</v>
      </c>
      <c r="D5471" s="31">
        <f t="shared" si="173"/>
        <v>6.9643798957548811E-2</v>
      </c>
      <c r="F5471" s="2" t="s">
        <v>822</v>
      </c>
      <c r="G5471" s="23" t="s">
        <v>902</v>
      </c>
      <c r="H5471" s="2" t="s">
        <v>822</v>
      </c>
      <c r="J5471" s="31">
        <v>53.457599600000002</v>
      </c>
      <c r="K5471" s="31">
        <v>4.6358398999999997</v>
      </c>
      <c r="L5471" s="31"/>
      <c r="M5471" s="31" t="s">
        <v>854</v>
      </c>
      <c r="N5471" s="6" t="s">
        <v>856</v>
      </c>
    </row>
    <row r="5472" spans="1:14" ht="15" customHeight="1" x14ac:dyDescent="0.2">
      <c r="A5472" s="31">
        <v>0.3550125025202942</v>
      </c>
      <c r="B5472" s="31"/>
      <c r="C5472" s="2" t="s">
        <v>855</v>
      </c>
      <c r="D5472" s="31">
        <f t="shared" si="173"/>
        <v>6.9582450493977668E-2</v>
      </c>
      <c r="F5472" s="2" t="s">
        <v>822</v>
      </c>
      <c r="G5472" s="23" t="s">
        <v>902</v>
      </c>
      <c r="H5472" s="2" t="s">
        <v>822</v>
      </c>
      <c r="J5472" s="31">
        <v>51.423999799999997</v>
      </c>
      <c r="K5472" s="31">
        <v>-25.860000599999999</v>
      </c>
      <c r="L5472" s="31"/>
      <c r="M5472" s="31" t="s">
        <v>854</v>
      </c>
      <c r="N5472" s="6" t="s">
        <v>856</v>
      </c>
    </row>
    <row r="5473" spans="1:14" ht="15" customHeight="1" x14ac:dyDescent="0.2">
      <c r="A5473" s="31">
        <v>0.35501114641046549</v>
      </c>
      <c r="B5473" s="31"/>
      <c r="C5473" s="2" t="s">
        <v>855</v>
      </c>
      <c r="D5473" s="31">
        <f t="shared" si="173"/>
        <v>6.9582184696451235E-2</v>
      </c>
      <c r="F5473" s="2" t="s">
        <v>822</v>
      </c>
      <c r="G5473" s="23" t="s">
        <v>902</v>
      </c>
      <c r="H5473" s="2" t="s">
        <v>822</v>
      </c>
      <c r="J5473" s="31">
        <v>59.838600200000002</v>
      </c>
      <c r="K5473" s="31">
        <v>4.1999997999999996</v>
      </c>
      <c r="L5473" s="31"/>
      <c r="M5473" s="31" t="s">
        <v>854</v>
      </c>
      <c r="N5473" s="6" t="s">
        <v>856</v>
      </c>
    </row>
    <row r="5474" spans="1:14" ht="15" customHeight="1" x14ac:dyDescent="0.2">
      <c r="A5474" s="31">
        <v>0.35456461031100173</v>
      </c>
      <c r="B5474" s="31"/>
      <c r="C5474" s="2" t="s">
        <v>855</v>
      </c>
      <c r="D5474" s="31">
        <f t="shared" si="173"/>
        <v>6.949466362095634E-2</v>
      </c>
      <c r="F5474" s="2" t="s">
        <v>822</v>
      </c>
      <c r="G5474" s="23" t="s">
        <v>902</v>
      </c>
      <c r="H5474" s="2" t="s">
        <v>822</v>
      </c>
      <c r="J5474" s="31">
        <v>51.411300699999998</v>
      </c>
      <c r="K5474" s="31">
        <v>-35.8689003</v>
      </c>
      <c r="L5474" s="31"/>
      <c r="M5474" s="31" t="s">
        <v>854</v>
      </c>
      <c r="N5474" s="6" t="s">
        <v>856</v>
      </c>
    </row>
    <row r="5475" spans="1:14" ht="15" customHeight="1" x14ac:dyDescent="0.2">
      <c r="A5475" s="31">
        <v>0.35408602788326132</v>
      </c>
      <c r="B5475" s="31"/>
      <c r="C5475" s="2" t="s">
        <v>855</v>
      </c>
      <c r="D5475" s="31">
        <f t="shared" si="173"/>
        <v>6.9400861465119215E-2</v>
      </c>
      <c r="F5475" s="2" t="s">
        <v>822</v>
      </c>
      <c r="G5475" s="23" t="s">
        <v>902</v>
      </c>
      <c r="H5475" s="2" t="s">
        <v>822</v>
      </c>
      <c r="J5475" s="31">
        <v>57.436000800000002</v>
      </c>
      <c r="K5475" s="31">
        <v>-18.511999100000001</v>
      </c>
      <c r="L5475" s="31"/>
      <c r="M5475" s="31" t="s">
        <v>854</v>
      </c>
      <c r="N5475" s="6" t="s">
        <v>856</v>
      </c>
    </row>
    <row r="5476" spans="1:14" ht="15" customHeight="1" x14ac:dyDescent="0.2">
      <c r="A5476" s="31">
        <v>0.35406363376953748</v>
      </c>
      <c r="B5476" s="31"/>
      <c r="C5476" s="2" t="s">
        <v>855</v>
      </c>
      <c r="D5476" s="31">
        <f t="shared" si="173"/>
        <v>6.9396472218829344E-2</v>
      </c>
      <c r="F5476" s="2" t="s">
        <v>822</v>
      </c>
      <c r="G5476" s="23" t="s">
        <v>902</v>
      </c>
      <c r="H5476" s="2" t="s">
        <v>822</v>
      </c>
      <c r="J5476" s="31">
        <v>48.751998899999997</v>
      </c>
      <c r="K5476" s="31">
        <v>-22.520000499999998</v>
      </c>
      <c r="L5476" s="31"/>
      <c r="M5476" s="31" t="s">
        <v>854</v>
      </c>
      <c r="N5476" s="6" t="s">
        <v>856</v>
      </c>
    </row>
    <row r="5477" spans="1:14" ht="15" customHeight="1" x14ac:dyDescent="0.2">
      <c r="A5477" s="31">
        <v>0.35389098782248701</v>
      </c>
      <c r="B5477" s="31"/>
      <c r="C5477" s="2" t="s">
        <v>855</v>
      </c>
      <c r="D5477" s="31">
        <f t="shared" si="173"/>
        <v>6.9362633613207464E-2</v>
      </c>
      <c r="F5477" s="2" t="s">
        <v>822</v>
      </c>
      <c r="G5477" s="23" t="s">
        <v>902</v>
      </c>
      <c r="H5477" s="2" t="s">
        <v>822</v>
      </c>
      <c r="J5477" s="31">
        <v>58.348098800000002</v>
      </c>
      <c r="K5477" s="31">
        <v>0.21257200000000001</v>
      </c>
      <c r="L5477" s="31"/>
      <c r="M5477" s="31" t="s">
        <v>854</v>
      </c>
      <c r="N5477" s="6" t="s">
        <v>856</v>
      </c>
    </row>
    <row r="5478" spans="1:14" ht="15" customHeight="1" x14ac:dyDescent="0.2">
      <c r="A5478" s="31">
        <v>0.35362842974548209</v>
      </c>
      <c r="B5478" s="31"/>
      <c r="C5478" s="2" t="s">
        <v>855</v>
      </c>
      <c r="D5478" s="31">
        <f t="shared" si="173"/>
        <v>6.9311172230114487E-2</v>
      </c>
      <c r="F5478" s="2" t="s">
        <v>822</v>
      </c>
      <c r="G5478" s="23" t="s">
        <v>902</v>
      </c>
      <c r="H5478" s="2" t="s">
        <v>822</v>
      </c>
      <c r="J5478" s="31">
        <v>57.784400900000001</v>
      </c>
      <c r="K5478" s="31">
        <v>2.89574</v>
      </c>
      <c r="L5478" s="31"/>
      <c r="M5478" s="31" t="s">
        <v>854</v>
      </c>
      <c r="N5478" s="6" t="s">
        <v>856</v>
      </c>
    </row>
    <row r="5479" spans="1:14" ht="15" customHeight="1" x14ac:dyDescent="0.2">
      <c r="A5479" s="31">
        <v>0.35247429101195571</v>
      </c>
      <c r="B5479" s="31"/>
      <c r="C5479" s="2" t="s">
        <v>855</v>
      </c>
      <c r="D5479" s="31">
        <f t="shared" si="173"/>
        <v>6.9084961038343315E-2</v>
      </c>
      <c r="F5479" s="2" t="s">
        <v>822</v>
      </c>
      <c r="G5479" s="23" t="s">
        <v>902</v>
      </c>
      <c r="H5479" s="2" t="s">
        <v>822</v>
      </c>
      <c r="J5479" s="31">
        <v>58.1040001</v>
      </c>
      <c r="K5479" s="31">
        <v>-25.1919994</v>
      </c>
      <c r="L5479" s="31"/>
      <c r="M5479" s="31" t="s">
        <v>854</v>
      </c>
      <c r="N5479" s="6" t="s">
        <v>856</v>
      </c>
    </row>
    <row r="5480" spans="1:14" ht="15" customHeight="1" x14ac:dyDescent="0.2">
      <c r="A5480" s="31">
        <v>0.35229556049783822</v>
      </c>
      <c r="B5480" s="31"/>
      <c r="C5480" s="2" t="s">
        <v>855</v>
      </c>
      <c r="D5480" s="31">
        <f t="shared" si="173"/>
        <v>6.9049929857576298E-2</v>
      </c>
      <c r="F5480" s="2" t="s">
        <v>822</v>
      </c>
      <c r="G5480" s="23" t="s">
        <v>902</v>
      </c>
      <c r="H5480" s="2" t="s">
        <v>822</v>
      </c>
      <c r="J5480" s="31">
        <v>45.523498500000002</v>
      </c>
      <c r="K5480" s="31">
        <v>-27.868299499999999</v>
      </c>
      <c r="L5480" s="31"/>
      <c r="M5480" s="31" t="s">
        <v>854</v>
      </c>
      <c r="N5480" s="6" t="s">
        <v>856</v>
      </c>
    </row>
    <row r="5481" spans="1:14" ht="15" customHeight="1" x14ac:dyDescent="0.2">
      <c r="A5481" s="31">
        <v>0.35210475284674958</v>
      </c>
      <c r="B5481" s="31"/>
      <c r="C5481" s="2" t="s">
        <v>855</v>
      </c>
      <c r="D5481" s="31">
        <f t="shared" si="173"/>
        <v>6.9012531557962914E-2</v>
      </c>
      <c r="F5481" s="2" t="s">
        <v>822</v>
      </c>
      <c r="G5481" s="23" t="s">
        <v>902</v>
      </c>
      <c r="H5481" s="2" t="s">
        <v>822</v>
      </c>
      <c r="J5481" s="31">
        <v>52.759998299999999</v>
      </c>
      <c r="K5481" s="31">
        <v>-23.187999699999999</v>
      </c>
      <c r="L5481" s="31"/>
      <c r="M5481" s="31" t="s">
        <v>854</v>
      </c>
      <c r="N5481" s="6" t="s">
        <v>856</v>
      </c>
    </row>
    <row r="5482" spans="1:14" ht="15" customHeight="1" x14ac:dyDescent="0.2">
      <c r="A5482" s="31">
        <v>0.35185898742599309</v>
      </c>
      <c r="B5482" s="31"/>
      <c r="C5482" s="2" t="s">
        <v>855</v>
      </c>
      <c r="D5482" s="31">
        <f t="shared" si="173"/>
        <v>6.896436153549465E-2</v>
      </c>
      <c r="F5482" s="2" t="s">
        <v>822</v>
      </c>
      <c r="G5482" s="23" t="s">
        <v>902</v>
      </c>
      <c r="H5482" s="2" t="s">
        <v>822</v>
      </c>
      <c r="J5482" s="31">
        <v>44.744098700000002</v>
      </c>
      <c r="K5482" s="31">
        <v>-41.223899799999998</v>
      </c>
      <c r="L5482" s="31"/>
      <c r="M5482" s="31" t="s">
        <v>854</v>
      </c>
      <c r="N5482" s="6" t="s">
        <v>856</v>
      </c>
    </row>
    <row r="5483" spans="1:14" ht="15" customHeight="1" x14ac:dyDescent="0.2">
      <c r="A5483" s="31">
        <v>0.35185811774723619</v>
      </c>
      <c r="B5483" s="31"/>
      <c r="C5483" s="2" t="s">
        <v>855</v>
      </c>
      <c r="D5483" s="31">
        <f t="shared" si="173"/>
        <v>6.896419107845829E-2</v>
      </c>
      <c r="F5483" s="2" t="s">
        <v>822</v>
      </c>
      <c r="G5483" s="23" t="s">
        <v>902</v>
      </c>
      <c r="H5483" s="2" t="s">
        <v>822</v>
      </c>
      <c r="J5483" s="31">
        <v>49.419998200000002</v>
      </c>
      <c r="K5483" s="31">
        <v>-41.223998999999999</v>
      </c>
      <c r="L5483" s="31"/>
      <c r="M5483" s="31" t="s">
        <v>854</v>
      </c>
      <c r="N5483" s="6" t="s">
        <v>856</v>
      </c>
    </row>
    <row r="5484" spans="1:14" ht="15" customHeight="1" x14ac:dyDescent="0.2">
      <c r="A5484" s="31">
        <v>0.35108435110817221</v>
      </c>
      <c r="B5484" s="31"/>
      <c r="C5484" s="2" t="s">
        <v>855</v>
      </c>
      <c r="D5484" s="31">
        <f t="shared" si="173"/>
        <v>6.881253281720176E-2</v>
      </c>
      <c r="F5484" s="2" t="s">
        <v>822</v>
      </c>
      <c r="G5484" s="23" t="s">
        <v>902</v>
      </c>
      <c r="H5484" s="2" t="s">
        <v>822</v>
      </c>
      <c r="J5484" s="31">
        <v>52.759998299999999</v>
      </c>
      <c r="K5484" s="31">
        <v>-22.520000499999998</v>
      </c>
      <c r="L5484" s="31"/>
      <c r="M5484" s="31" t="s">
        <v>854</v>
      </c>
      <c r="N5484" s="6" t="s">
        <v>856</v>
      </c>
    </row>
    <row r="5485" spans="1:14" ht="15" customHeight="1" x14ac:dyDescent="0.2">
      <c r="A5485" s="31">
        <v>0.35107971049684661</v>
      </c>
      <c r="B5485" s="31"/>
      <c r="C5485" s="2" t="s">
        <v>855</v>
      </c>
      <c r="D5485" s="31">
        <f t="shared" si="173"/>
        <v>6.8811623257381938E-2</v>
      </c>
      <c r="F5485" s="2" t="s">
        <v>822</v>
      </c>
      <c r="G5485" s="23" t="s">
        <v>902</v>
      </c>
      <c r="H5485" s="2" t="s">
        <v>822</v>
      </c>
      <c r="J5485" s="31">
        <v>49.950199099999999</v>
      </c>
      <c r="K5485" s="31">
        <v>-18.005199399999999</v>
      </c>
      <c r="L5485" s="31"/>
      <c r="M5485" s="31" t="s">
        <v>854</v>
      </c>
      <c r="N5485" s="6" t="s">
        <v>856</v>
      </c>
    </row>
    <row r="5486" spans="1:14" ht="15" customHeight="1" x14ac:dyDescent="0.2">
      <c r="A5486" s="31">
        <v>0.35103035466136362</v>
      </c>
      <c r="B5486" s="31"/>
      <c r="C5486" s="2" t="s">
        <v>855</v>
      </c>
      <c r="D5486" s="31">
        <f t="shared" si="173"/>
        <v>6.8801949513627267E-2</v>
      </c>
      <c r="F5486" s="2" t="s">
        <v>822</v>
      </c>
      <c r="G5486" s="23" t="s">
        <v>902</v>
      </c>
      <c r="H5486" s="2" t="s">
        <v>822</v>
      </c>
      <c r="J5486" s="31">
        <v>51.813800800000003</v>
      </c>
      <c r="K5486" s="31">
        <v>1.0447900000000001</v>
      </c>
      <c r="L5486" s="31"/>
      <c r="M5486" s="31" t="s">
        <v>854</v>
      </c>
      <c r="N5486" s="6" t="s">
        <v>856</v>
      </c>
    </row>
    <row r="5487" spans="1:14" ht="15" customHeight="1" x14ac:dyDescent="0.2">
      <c r="A5487" s="31">
        <v>0.35095992225938061</v>
      </c>
      <c r="B5487" s="31"/>
      <c r="C5487" s="2" t="s">
        <v>855</v>
      </c>
      <c r="D5487" s="31">
        <f t="shared" si="173"/>
        <v>6.8788144762838607E-2</v>
      </c>
      <c r="F5487" s="2" t="s">
        <v>822</v>
      </c>
      <c r="G5487" s="23" t="s">
        <v>902</v>
      </c>
      <c r="H5487" s="2" t="s">
        <v>822</v>
      </c>
      <c r="J5487" s="31">
        <v>50.441398599999999</v>
      </c>
      <c r="K5487" s="31">
        <v>-42.588798500000003</v>
      </c>
      <c r="L5487" s="31"/>
      <c r="M5487" s="31" t="s">
        <v>854</v>
      </c>
      <c r="N5487" s="6" t="s">
        <v>856</v>
      </c>
    </row>
    <row r="5488" spans="1:14" ht="15" customHeight="1" x14ac:dyDescent="0.2">
      <c r="A5488" s="31">
        <v>0.3508945803112119</v>
      </c>
      <c r="B5488" s="31"/>
      <c r="C5488" s="2" t="s">
        <v>855</v>
      </c>
      <c r="D5488" s="31">
        <f t="shared" si="173"/>
        <v>6.8775337740997533E-2</v>
      </c>
      <c r="F5488" s="2" t="s">
        <v>822</v>
      </c>
      <c r="G5488" s="23" t="s">
        <v>902</v>
      </c>
      <c r="H5488" s="2" t="s">
        <v>822</v>
      </c>
      <c r="J5488" s="31">
        <v>52.705299400000001</v>
      </c>
      <c r="K5488" s="31">
        <v>-17.895500200000001</v>
      </c>
      <c r="L5488" s="31"/>
      <c r="M5488" s="31" t="s">
        <v>854</v>
      </c>
      <c r="N5488" s="6" t="s">
        <v>856</v>
      </c>
    </row>
    <row r="5489" spans="1:14" ht="15" customHeight="1" x14ac:dyDescent="0.2">
      <c r="A5489" s="31">
        <v>0.35068879616804982</v>
      </c>
      <c r="B5489" s="31"/>
      <c r="C5489" s="2" t="s">
        <v>855</v>
      </c>
      <c r="D5489" s="31">
        <f t="shared" si="173"/>
        <v>6.8735004048937773E-2</v>
      </c>
      <c r="F5489" s="2" t="s">
        <v>822</v>
      </c>
      <c r="G5489" s="23" t="s">
        <v>902</v>
      </c>
      <c r="H5489" s="2" t="s">
        <v>822</v>
      </c>
      <c r="J5489" s="31">
        <v>35.191501600000002</v>
      </c>
      <c r="K5489" s="31">
        <v>25.976900100000002</v>
      </c>
      <c r="L5489" s="31"/>
      <c r="M5489" s="31" t="s">
        <v>854</v>
      </c>
      <c r="N5489" s="6" t="s">
        <v>856</v>
      </c>
    </row>
    <row r="5490" spans="1:14" ht="15" customHeight="1" x14ac:dyDescent="0.2">
      <c r="A5490" s="31">
        <v>0.35068870152798831</v>
      </c>
      <c r="B5490" s="31"/>
      <c r="C5490" s="2" t="s">
        <v>855</v>
      </c>
      <c r="D5490" s="31">
        <f t="shared" si="173"/>
        <v>6.8734985499485715E-2</v>
      </c>
      <c r="F5490" s="2" t="s">
        <v>822</v>
      </c>
      <c r="G5490" s="23" t="s">
        <v>902</v>
      </c>
      <c r="H5490" s="2" t="s">
        <v>822</v>
      </c>
      <c r="J5490" s="31">
        <v>52.759998299999999</v>
      </c>
      <c r="K5490" s="31">
        <v>2.8640001000000002</v>
      </c>
      <c r="L5490" s="31"/>
      <c r="M5490" s="31" t="s">
        <v>854</v>
      </c>
      <c r="N5490" s="6" t="s">
        <v>856</v>
      </c>
    </row>
    <row r="5491" spans="1:14" ht="15" customHeight="1" x14ac:dyDescent="0.2">
      <c r="A5491" s="31">
        <v>0.35036319887892808</v>
      </c>
      <c r="B5491" s="31"/>
      <c r="C5491" s="2" t="s">
        <v>855</v>
      </c>
      <c r="D5491" s="31">
        <f t="shared" si="173"/>
        <v>6.8671186980269902E-2</v>
      </c>
      <c r="F5491" s="2" t="s">
        <v>822</v>
      </c>
      <c r="G5491" s="23" t="s">
        <v>902</v>
      </c>
      <c r="H5491" s="2" t="s">
        <v>822</v>
      </c>
      <c r="J5491" s="31">
        <v>46.042400399999998</v>
      </c>
      <c r="K5491" s="31">
        <v>-42.803600299999999</v>
      </c>
      <c r="L5491" s="31"/>
      <c r="M5491" s="31" t="s">
        <v>854</v>
      </c>
      <c r="N5491" s="6" t="s">
        <v>856</v>
      </c>
    </row>
    <row r="5492" spans="1:14" ht="15" customHeight="1" x14ac:dyDescent="0.2">
      <c r="A5492" s="31">
        <v>0.35027213637356552</v>
      </c>
      <c r="B5492" s="31"/>
      <c r="C5492" s="2" t="s">
        <v>855</v>
      </c>
      <c r="D5492" s="31">
        <f t="shared" si="173"/>
        <v>6.8653338729218846E-2</v>
      </c>
      <c r="F5492" s="2" t="s">
        <v>822</v>
      </c>
      <c r="G5492" s="23" t="s">
        <v>902</v>
      </c>
      <c r="H5492" s="2" t="s">
        <v>822</v>
      </c>
      <c r="J5492" s="31">
        <v>61.439701100000001</v>
      </c>
      <c r="K5492" s="31">
        <v>1.5236799999999999</v>
      </c>
      <c r="L5492" s="31"/>
      <c r="M5492" s="31" t="s">
        <v>854</v>
      </c>
      <c r="N5492" s="6" t="s">
        <v>856</v>
      </c>
    </row>
    <row r="5493" spans="1:14" ht="15" customHeight="1" x14ac:dyDescent="0.2">
      <c r="A5493" s="31">
        <v>0.34997275754973622</v>
      </c>
      <c r="B5493" s="31"/>
      <c r="C5493" s="2" t="s">
        <v>855</v>
      </c>
      <c r="D5493" s="31">
        <f t="shared" si="173"/>
        <v>6.8594660479748298E-2</v>
      </c>
      <c r="F5493" s="2" t="s">
        <v>822</v>
      </c>
      <c r="G5493" s="23" t="s">
        <v>902</v>
      </c>
      <c r="H5493" s="2" t="s">
        <v>822</v>
      </c>
      <c r="J5493" s="31">
        <v>62.4917984</v>
      </c>
      <c r="K5493" s="31">
        <v>18.9883995</v>
      </c>
      <c r="L5493" s="31"/>
      <c r="M5493" s="31" t="s">
        <v>854</v>
      </c>
      <c r="N5493" s="6" t="s">
        <v>856</v>
      </c>
    </row>
    <row r="5494" spans="1:14" ht="15" customHeight="1" x14ac:dyDescent="0.2">
      <c r="A5494" s="31">
        <v>0.34953046468912857</v>
      </c>
      <c r="B5494" s="31"/>
      <c r="C5494" s="2" t="s">
        <v>855</v>
      </c>
      <c r="D5494" s="31">
        <f t="shared" si="173"/>
        <v>6.8507971079069196E-2</v>
      </c>
      <c r="F5494" s="2" t="s">
        <v>822</v>
      </c>
      <c r="G5494" s="23" t="s">
        <v>902</v>
      </c>
      <c r="H5494" s="2" t="s">
        <v>822</v>
      </c>
      <c r="J5494" s="31">
        <v>64.710899400000002</v>
      </c>
      <c r="K5494" s="31">
        <v>-22.568700799999998</v>
      </c>
      <c r="L5494" s="31"/>
      <c r="M5494" s="31" t="s">
        <v>854</v>
      </c>
      <c r="N5494" s="6" t="s">
        <v>856</v>
      </c>
    </row>
    <row r="5495" spans="1:14" ht="15" customHeight="1" x14ac:dyDescent="0.2">
      <c r="A5495" s="31">
        <v>0.3494257125732817</v>
      </c>
      <c r="B5495" s="31"/>
      <c r="C5495" s="2" t="s">
        <v>855</v>
      </c>
      <c r="D5495" s="31">
        <f t="shared" si="173"/>
        <v>6.8487439664363214E-2</v>
      </c>
      <c r="F5495" s="2" t="s">
        <v>822</v>
      </c>
      <c r="G5495" s="23" t="s">
        <v>902</v>
      </c>
      <c r="H5495" s="2" t="s">
        <v>822</v>
      </c>
      <c r="J5495" s="31">
        <v>35.391998299999997</v>
      </c>
      <c r="K5495" s="31">
        <v>-22.520000499999998</v>
      </c>
      <c r="L5495" s="31"/>
      <c r="M5495" s="31" t="s">
        <v>854</v>
      </c>
      <c r="N5495" s="6" t="s">
        <v>856</v>
      </c>
    </row>
    <row r="5496" spans="1:14" ht="15" customHeight="1" x14ac:dyDescent="0.2">
      <c r="A5496" s="31">
        <v>0.34929728590535442</v>
      </c>
      <c r="B5496" s="31"/>
      <c r="C5496" s="2" t="s">
        <v>855</v>
      </c>
      <c r="D5496" s="31">
        <f t="shared" si="173"/>
        <v>6.8462268037449467E-2</v>
      </c>
      <c r="F5496" s="2" t="s">
        <v>822</v>
      </c>
      <c r="G5496" s="23" t="s">
        <v>902</v>
      </c>
      <c r="H5496" s="2" t="s">
        <v>822</v>
      </c>
      <c r="J5496" s="31">
        <v>54.166599300000001</v>
      </c>
      <c r="K5496" s="31">
        <v>-12.3392</v>
      </c>
      <c r="L5496" s="31"/>
      <c r="M5496" s="31" t="s">
        <v>854</v>
      </c>
      <c r="N5496" s="6" t="s">
        <v>856</v>
      </c>
    </row>
    <row r="5497" spans="1:14" ht="15" customHeight="1" x14ac:dyDescent="0.2">
      <c r="A5497" s="31">
        <v>0.34875152652664992</v>
      </c>
      <c r="B5497" s="31"/>
      <c r="C5497" s="2" t="s">
        <v>855</v>
      </c>
      <c r="D5497" s="31">
        <f t="shared" si="173"/>
        <v>6.8355299199223382E-2</v>
      </c>
      <c r="F5497" s="2" t="s">
        <v>822</v>
      </c>
      <c r="G5497" s="23" t="s">
        <v>902</v>
      </c>
      <c r="H5497" s="2" t="s">
        <v>822</v>
      </c>
      <c r="J5497" s="31">
        <v>64.112297100000006</v>
      </c>
      <c r="K5497" s="31">
        <v>-23.851900100000002</v>
      </c>
      <c r="L5497" s="31"/>
      <c r="M5497" s="31" t="s">
        <v>854</v>
      </c>
      <c r="N5497" s="6" t="s">
        <v>856</v>
      </c>
    </row>
    <row r="5498" spans="1:14" ht="15" customHeight="1" x14ac:dyDescent="0.2">
      <c r="A5498" s="31">
        <v>0.34869262222141861</v>
      </c>
      <c r="B5498" s="31"/>
      <c r="C5498" s="2" t="s">
        <v>855</v>
      </c>
      <c r="D5498" s="31">
        <f t="shared" si="173"/>
        <v>6.8343753955398046E-2</v>
      </c>
      <c r="F5498" s="2" t="s">
        <v>822</v>
      </c>
      <c r="G5498" s="23" t="s">
        <v>902</v>
      </c>
      <c r="H5498" s="2" t="s">
        <v>822</v>
      </c>
      <c r="J5498" s="31">
        <v>58.771999399999999</v>
      </c>
      <c r="K5498" s="31">
        <v>-19.1800003</v>
      </c>
      <c r="L5498" s="31"/>
      <c r="M5498" s="31" t="s">
        <v>854</v>
      </c>
      <c r="N5498" s="6" t="s">
        <v>856</v>
      </c>
    </row>
    <row r="5499" spans="1:14" ht="15" customHeight="1" x14ac:dyDescent="0.2">
      <c r="A5499" s="31">
        <v>0.34864586386930851</v>
      </c>
      <c r="B5499" s="31"/>
      <c r="C5499" s="2" t="s">
        <v>855</v>
      </c>
      <c r="D5499" s="31">
        <f t="shared" si="173"/>
        <v>6.8334589318384473E-2</v>
      </c>
      <c r="F5499" s="2" t="s">
        <v>822</v>
      </c>
      <c r="G5499" s="23" t="s">
        <v>902</v>
      </c>
      <c r="H5499" s="2" t="s">
        <v>822</v>
      </c>
      <c r="J5499" s="31">
        <v>51.371601099999999</v>
      </c>
      <c r="K5499" s="31">
        <v>-18.511999100000001</v>
      </c>
      <c r="L5499" s="31"/>
      <c r="M5499" s="31" t="s">
        <v>854</v>
      </c>
      <c r="N5499" s="6" t="s">
        <v>856</v>
      </c>
    </row>
    <row r="5500" spans="1:14" ht="15" customHeight="1" x14ac:dyDescent="0.2">
      <c r="A5500" s="31">
        <v>0.34860586826714779</v>
      </c>
      <c r="B5500" s="31"/>
      <c r="C5500" s="2" t="s">
        <v>855</v>
      </c>
      <c r="D5500" s="31">
        <f t="shared" si="173"/>
        <v>6.8326750180360968E-2</v>
      </c>
      <c r="F5500" s="2" t="s">
        <v>822</v>
      </c>
      <c r="G5500" s="23" t="s">
        <v>902</v>
      </c>
      <c r="H5500" s="2" t="s">
        <v>822</v>
      </c>
      <c r="J5500" s="31">
        <v>50.756000499999999</v>
      </c>
      <c r="K5500" s="31">
        <v>-17.970199600000001</v>
      </c>
      <c r="L5500" s="31"/>
      <c r="M5500" s="31" t="s">
        <v>854</v>
      </c>
      <c r="N5500" s="6" t="s">
        <v>856</v>
      </c>
    </row>
    <row r="5501" spans="1:14" ht="15" customHeight="1" x14ac:dyDescent="0.2">
      <c r="A5501" s="31">
        <v>0.34849070914024849</v>
      </c>
      <c r="B5501" s="31"/>
      <c r="C5501" s="2" t="s">
        <v>855</v>
      </c>
      <c r="D5501" s="31">
        <f t="shared" si="173"/>
        <v>6.8304178991488704E-2</v>
      </c>
      <c r="F5501" s="2" t="s">
        <v>822</v>
      </c>
      <c r="G5501" s="23" t="s">
        <v>902</v>
      </c>
      <c r="H5501" s="2" t="s">
        <v>822</v>
      </c>
      <c r="J5501" s="31">
        <v>64.074600200000006</v>
      </c>
      <c r="K5501" s="31">
        <v>-22.629200000000001</v>
      </c>
      <c r="L5501" s="31"/>
      <c r="M5501" s="31" t="s">
        <v>854</v>
      </c>
      <c r="N5501" s="6" t="s">
        <v>856</v>
      </c>
    </row>
    <row r="5502" spans="1:14" ht="15" customHeight="1" x14ac:dyDescent="0.2">
      <c r="A5502" s="31">
        <v>0.34835276879345628</v>
      </c>
      <c r="B5502" s="31"/>
      <c r="C5502" s="2" t="s">
        <v>855</v>
      </c>
      <c r="D5502" s="31">
        <f t="shared" si="173"/>
        <v>6.8277142683517436E-2</v>
      </c>
      <c r="F5502" s="2" t="s">
        <v>822</v>
      </c>
      <c r="G5502" s="23" t="s">
        <v>902</v>
      </c>
      <c r="H5502" s="2" t="s">
        <v>822</v>
      </c>
      <c r="J5502" s="31">
        <v>50.088001300000002</v>
      </c>
      <c r="K5502" s="31">
        <v>-32.540000900000003</v>
      </c>
      <c r="L5502" s="31"/>
      <c r="M5502" s="31" t="s">
        <v>854</v>
      </c>
      <c r="N5502" s="6" t="s">
        <v>856</v>
      </c>
    </row>
    <row r="5503" spans="1:14" ht="15" customHeight="1" x14ac:dyDescent="0.2">
      <c r="A5503" s="31">
        <v>0.3480406955318367</v>
      </c>
      <c r="B5503" s="31"/>
      <c r="C5503" s="2" t="s">
        <v>855</v>
      </c>
      <c r="D5503" s="31">
        <f t="shared" si="173"/>
        <v>6.8215976324239994E-2</v>
      </c>
      <c r="F5503" s="2" t="s">
        <v>822</v>
      </c>
      <c r="G5503" s="23" t="s">
        <v>902</v>
      </c>
      <c r="H5503" s="2" t="s">
        <v>822</v>
      </c>
      <c r="J5503" s="31">
        <v>50.817001300000001</v>
      </c>
      <c r="K5503" s="31">
        <v>-14.5488005</v>
      </c>
      <c r="L5503" s="31"/>
      <c r="M5503" s="31" t="s">
        <v>854</v>
      </c>
      <c r="N5503" s="6" t="s">
        <v>856</v>
      </c>
    </row>
    <row r="5504" spans="1:14" ht="15" customHeight="1" x14ac:dyDescent="0.2">
      <c r="A5504" s="31">
        <v>0.3478576530779145</v>
      </c>
      <c r="B5504" s="31"/>
      <c r="C5504" s="2" t="s">
        <v>855</v>
      </c>
      <c r="D5504" s="31">
        <f t="shared" si="173"/>
        <v>6.8180100003271238E-2</v>
      </c>
      <c r="F5504" s="2" t="s">
        <v>822</v>
      </c>
      <c r="G5504" s="23" t="s">
        <v>902</v>
      </c>
      <c r="H5504" s="2" t="s">
        <v>822</v>
      </c>
      <c r="J5504" s="31">
        <v>59.130600000000001</v>
      </c>
      <c r="K5504" s="31">
        <v>-3.0804600999999998</v>
      </c>
      <c r="L5504" s="31"/>
      <c r="M5504" s="31" t="s">
        <v>854</v>
      </c>
      <c r="N5504" s="6" t="s">
        <v>856</v>
      </c>
    </row>
    <row r="5505" spans="1:14" ht="15" customHeight="1" x14ac:dyDescent="0.2">
      <c r="A5505" s="31">
        <v>0.34779808374732329</v>
      </c>
      <c r="B5505" s="31"/>
      <c r="C5505" s="2" t="s">
        <v>855</v>
      </c>
      <c r="D5505" s="31">
        <f t="shared" si="173"/>
        <v>6.8168424414475362E-2</v>
      </c>
      <c r="F5505" s="2" t="s">
        <v>822</v>
      </c>
      <c r="G5505" s="23" t="s">
        <v>902</v>
      </c>
      <c r="H5505" s="2" t="s">
        <v>822</v>
      </c>
      <c r="J5505" s="31">
        <v>60.776001000000001</v>
      </c>
      <c r="K5505" s="31">
        <v>-18.511999100000001</v>
      </c>
      <c r="L5505" s="31"/>
      <c r="M5505" s="31" t="s">
        <v>854</v>
      </c>
      <c r="N5505" s="6" t="s">
        <v>856</v>
      </c>
    </row>
    <row r="5506" spans="1:14" ht="15" customHeight="1" x14ac:dyDescent="0.2">
      <c r="A5506" s="31">
        <v>0.34759436602934279</v>
      </c>
      <c r="B5506" s="31"/>
      <c r="C5506" s="2" t="s">
        <v>855</v>
      </c>
      <c r="D5506" s="31">
        <f t="shared" si="173"/>
        <v>6.8128495741751185E-2</v>
      </c>
      <c r="F5506" s="2" t="s">
        <v>822</v>
      </c>
      <c r="G5506" s="23" t="s">
        <v>902</v>
      </c>
      <c r="H5506" s="2" t="s">
        <v>822</v>
      </c>
      <c r="J5506" s="31">
        <v>57.391998299999997</v>
      </c>
      <c r="K5506" s="31">
        <v>4.6296100999999998</v>
      </c>
      <c r="L5506" s="31"/>
      <c r="M5506" s="31" t="s">
        <v>854</v>
      </c>
      <c r="N5506" s="6" t="s">
        <v>856</v>
      </c>
    </row>
    <row r="5507" spans="1:14" ht="15" customHeight="1" x14ac:dyDescent="0.2">
      <c r="A5507" s="31">
        <v>0.34759069875703069</v>
      </c>
      <c r="B5507" s="31"/>
      <c r="C5507" s="2" t="s">
        <v>855</v>
      </c>
      <c r="D5507" s="31">
        <f t="shared" si="173"/>
        <v>6.8127776956378019E-2</v>
      </c>
      <c r="F5507" s="2" t="s">
        <v>822</v>
      </c>
      <c r="G5507" s="23" t="s">
        <v>902</v>
      </c>
      <c r="H5507" s="2" t="s">
        <v>822</v>
      </c>
      <c r="J5507" s="31">
        <v>63.759700799999997</v>
      </c>
      <c r="K5507" s="31">
        <v>-22.796899799999998</v>
      </c>
      <c r="L5507" s="31"/>
      <c r="M5507" s="31" t="s">
        <v>854</v>
      </c>
      <c r="N5507" s="6" t="s">
        <v>856</v>
      </c>
    </row>
    <row r="5508" spans="1:14" ht="15" customHeight="1" x14ac:dyDescent="0.2">
      <c r="A5508" s="31">
        <v>0.34755945658214737</v>
      </c>
      <c r="B5508" s="31"/>
      <c r="C5508" s="2" t="s">
        <v>855</v>
      </c>
      <c r="D5508" s="31">
        <f t="shared" si="173"/>
        <v>6.8121653490100895E-2</v>
      </c>
      <c r="F5508" s="2" t="s">
        <v>822</v>
      </c>
      <c r="G5508" s="23" t="s">
        <v>902</v>
      </c>
      <c r="H5508" s="2" t="s">
        <v>822</v>
      </c>
      <c r="J5508" s="31">
        <v>53.428001399999999</v>
      </c>
      <c r="K5508" s="31">
        <v>-26.527999900000001</v>
      </c>
      <c r="L5508" s="31"/>
      <c r="M5508" s="31" t="s">
        <v>854</v>
      </c>
      <c r="N5508" s="6" t="s">
        <v>856</v>
      </c>
    </row>
    <row r="5509" spans="1:14" ht="15" customHeight="1" x14ac:dyDescent="0.2">
      <c r="A5509" s="31">
        <v>0.34748642668377733</v>
      </c>
      <c r="B5509" s="31"/>
      <c r="C5509" s="2" t="s">
        <v>855</v>
      </c>
      <c r="D5509" s="31">
        <f t="shared" si="173"/>
        <v>6.8107339630020358E-2</v>
      </c>
      <c r="F5509" s="2" t="s">
        <v>822</v>
      </c>
      <c r="G5509" s="23" t="s">
        <v>902</v>
      </c>
      <c r="H5509" s="2" t="s">
        <v>822</v>
      </c>
      <c r="J5509" s="31">
        <v>53.172199200000001</v>
      </c>
      <c r="K5509" s="31">
        <v>-18.960699099999999</v>
      </c>
      <c r="L5509" s="31"/>
      <c r="M5509" s="31" t="s">
        <v>854</v>
      </c>
      <c r="N5509" s="6" t="s">
        <v>856</v>
      </c>
    </row>
    <row r="5510" spans="1:14" ht="15" customHeight="1" x14ac:dyDescent="0.2">
      <c r="A5510" s="31">
        <v>0.34703534889251181</v>
      </c>
      <c r="B5510" s="31"/>
      <c r="C5510" s="2" t="s">
        <v>855</v>
      </c>
      <c r="D5510" s="31">
        <f t="shared" si="173"/>
        <v>6.8018928382932317E-2</v>
      </c>
      <c r="F5510" s="2" t="s">
        <v>822</v>
      </c>
      <c r="G5510" s="23" t="s">
        <v>902</v>
      </c>
      <c r="H5510" s="2" t="s">
        <v>822</v>
      </c>
      <c r="J5510" s="31">
        <v>58.1040001</v>
      </c>
      <c r="K5510" s="31">
        <v>-23.856000900000002</v>
      </c>
      <c r="L5510" s="31"/>
      <c r="M5510" s="31" t="s">
        <v>854</v>
      </c>
      <c r="N5510" s="6" t="s">
        <v>856</v>
      </c>
    </row>
    <row r="5511" spans="1:14" ht="15" customHeight="1" x14ac:dyDescent="0.2">
      <c r="A5511" s="31">
        <v>0.34685951244977048</v>
      </c>
      <c r="B5511" s="31"/>
      <c r="C5511" s="2" t="s">
        <v>855</v>
      </c>
      <c r="D5511" s="31">
        <f t="shared" si="173"/>
        <v>6.7984464440155018E-2</v>
      </c>
      <c r="F5511" s="2" t="s">
        <v>822</v>
      </c>
      <c r="G5511" s="23" t="s">
        <v>902</v>
      </c>
      <c r="H5511" s="2" t="s">
        <v>822</v>
      </c>
      <c r="J5511" s="31">
        <v>61.247798899999999</v>
      </c>
      <c r="K5511" s="31">
        <v>-8.0363997999999999</v>
      </c>
      <c r="L5511" s="31"/>
      <c r="M5511" s="31" t="s">
        <v>854</v>
      </c>
      <c r="N5511" s="6" t="s">
        <v>856</v>
      </c>
    </row>
    <row r="5512" spans="1:14" ht="15" customHeight="1" x14ac:dyDescent="0.2">
      <c r="A5512" s="31">
        <v>0.34609822301951337</v>
      </c>
      <c r="B5512" s="31"/>
      <c r="C5512" s="2" t="s">
        <v>855</v>
      </c>
      <c r="D5512" s="31">
        <f t="shared" si="173"/>
        <v>6.7835251711824626E-2</v>
      </c>
      <c r="F5512" s="2" t="s">
        <v>822</v>
      </c>
      <c r="G5512" s="23" t="s">
        <v>902</v>
      </c>
      <c r="H5512" s="2" t="s">
        <v>822</v>
      </c>
      <c r="J5512" s="31">
        <v>60.776001000000001</v>
      </c>
      <c r="K5512" s="31">
        <v>-15.171999899999999</v>
      </c>
      <c r="L5512" s="31"/>
      <c r="M5512" s="31" t="s">
        <v>854</v>
      </c>
      <c r="N5512" s="6" t="s">
        <v>856</v>
      </c>
    </row>
    <row r="5513" spans="1:14" ht="15" customHeight="1" x14ac:dyDescent="0.2">
      <c r="A5513" s="31">
        <v>0.34595969514696961</v>
      </c>
      <c r="B5513" s="31"/>
      <c r="C5513" s="2" t="s">
        <v>855</v>
      </c>
      <c r="D5513" s="31">
        <f t="shared" si="173"/>
        <v>6.7808100248806041E-2</v>
      </c>
      <c r="F5513" s="2" t="s">
        <v>822</v>
      </c>
      <c r="G5513" s="23" t="s">
        <v>902</v>
      </c>
      <c r="H5513" s="2" t="s">
        <v>822</v>
      </c>
      <c r="J5513" s="31">
        <v>51.423999799999997</v>
      </c>
      <c r="K5513" s="31">
        <v>-23.187999699999999</v>
      </c>
      <c r="L5513" s="31"/>
      <c r="M5513" s="31" t="s">
        <v>854</v>
      </c>
      <c r="N5513" s="6" t="s">
        <v>856</v>
      </c>
    </row>
    <row r="5514" spans="1:14" ht="15" customHeight="1" x14ac:dyDescent="0.2">
      <c r="A5514" s="31">
        <v>0.34577885340560599</v>
      </c>
      <c r="B5514" s="31"/>
      <c r="C5514" s="2" t="s">
        <v>855</v>
      </c>
      <c r="D5514" s="31">
        <f t="shared" si="173"/>
        <v>6.7772655267498774E-2</v>
      </c>
      <c r="F5514" s="2" t="s">
        <v>822</v>
      </c>
      <c r="G5514" s="23" t="s">
        <v>902</v>
      </c>
      <c r="H5514" s="2" t="s">
        <v>822</v>
      </c>
      <c r="J5514" s="31">
        <v>56.099998499999998</v>
      </c>
      <c r="K5514" s="31">
        <v>-21.184000000000001</v>
      </c>
      <c r="L5514" s="31"/>
      <c r="M5514" s="31" t="s">
        <v>854</v>
      </c>
      <c r="N5514" s="6" t="s">
        <v>856</v>
      </c>
    </row>
    <row r="5515" spans="1:14" ht="15" customHeight="1" x14ac:dyDescent="0.2">
      <c r="A5515" s="31">
        <v>0.34566876009231351</v>
      </c>
      <c r="B5515" s="31"/>
      <c r="C5515" s="2" t="s">
        <v>855</v>
      </c>
      <c r="D5515" s="31">
        <f t="shared" si="173"/>
        <v>6.7751076978093447E-2</v>
      </c>
      <c r="F5515" s="2" t="s">
        <v>822</v>
      </c>
      <c r="G5515" s="23" t="s">
        <v>902</v>
      </c>
      <c r="H5515" s="2" t="s">
        <v>822</v>
      </c>
      <c r="J5515" s="31">
        <v>60.776001000000001</v>
      </c>
      <c r="K5515" s="31">
        <v>-15.8400002</v>
      </c>
      <c r="L5515" s="31"/>
      <c r="M5515" s="31" t="s">
        <v>854</v>
      </c>
      <c r="N5515" s="6" t="s">
        <v>856</v>
      </c>
    </row>
    <row r="5516" spans="1:14" ht="15" customHeight="1" x14ac:dyDescent="0.2">
      <c r="A5516" s="31">
        <v>0.34550846771161309</v>
      </c>
      <c r="B5516" s="31"/>
      <c r="C5516" s="2" t="s">
        <v>855</v>
      </c>
      <c r="D5516" s="31">
        <f t="shared" si="173"/>
        <v>6.7719659671476168E-2</v>
      </c>
      <c r="F5516" s="2" t="s">
        <v>822</v>
      </c>
      <c r="G5516" s="23" t="s">
        <v>902</v>
      </c>
      <c r="H5516" s="2" t="s">
        <v>822</v>
      </c>
      <c r="J5516" s="31">
        <v>50.741100299999999</v>
      </c>
      <c r="K5516" s="31">
        <v>-21.839700700000002</v>
      </c>
      <c r="L5516" s="31"/>
      <c r="M5516" s="31" t="s">
        <v>854</v>
      </c>
      <c r="N5516" s="6" t="s">
        <v>856</v>
      </c>
    </row>
    <row r="5517" spans="1:14" ht="15" customHeight="1" x14ac:dyDescent="0.2">
      <c r="A5517" s="31">
        <v>0.34539540282400871</v>
      </c>
      <c r="B5517" s="31"/>
      <c r="C5517" s="2" t="s">
        <v>855</v>
      </c>
      <c r="D5517" s="31">
        <f t="shared" si="173"/>
        <v>6.7697498953505714E-2</v>
      </c>
      <c r="F5517" s="2" t="s">
        <v>822</v>
      </c>
      <c r="G5517" s="23" t="s">
        <v>902</v>
      </c>
      <c r="H5517" s="2" t="s">
        <v>822</v>
      </c>
      <c r="J5517" s="31">
        <v>59.129600500000002</v>
      </c>
      <c r="K5517" s="31">
        <v>-4.9151601999999999</v>
      </c>
      <c r="L5517" s="31"/>
      <c r="M5517" s="31" t="s">
        <v>854</v>
      </c>
      <c r="N5517" s="6" t="s">
        <v>856</v>
      </c>
    </row>
    <row r="5518" spans="1:14" ht="15" customHeight="1" x14ac:dyDescent="0.2">
      <c r="A5518" s="31">
        <v>0.34510147655404749</v>
      </c>
      <c r="B5518" s="31"/>
      <c r="C5518" s="2" t="s">
        <v>855</v>
      </c>
      <c r="D5518" s="31">
        <f t="shared" si="173"/>
        <v>6.7639889404593312E-2</v>
      </c>
      <c r="F5518" s="2" t="s">
        <v>822</v>
      </c>
      <c r="G5518" s="23" t="s">
        <v>902</v>
      </c>
      <c r="H5518" s="2" t="s">
        <v>822</v>
      </c>
      <c r="J5518" s="31">
        <v>58.846698799999999</v>
      </c>
      <c r="K5518" s="31">
        <v>-3.83779</v>
      </c>
      <c r="L5518" s="31"/>
      <c r="M5518" s="31" t="s">
        <v>854</v>
      </c>
      <c r="N5518" s="6" t="s">
        <v>856</v>
      </c>
    </row>
    <row r="5519" spans="1:14" ht="15" customHeight="1" x14ac:dyDescent="0.2">
      <c r="A5519" s="31">
        <v>0.34507351934795799</v>
      </c>
      <c r="B5519" s="31"/>
      <c r="C5519" s="2" t="s">
        <v>855</v>
      </c>
      <c r="D5519" s="31">
        <f t="shared" si="173"/>
        <v>6.7634409792199771E-2</v>
      </c>
      <c r="F5519" s="2" t="s">
        <v>822</v>
      </c>
      <c r="G5519" s="23" t="s">
        <v>902</v>
      </c>
      <c r="H5519" s="2" t="s">
        <v>822</v>
      </c>
      <c r="J5519" s="31">
        <v>49.419998200000002</v>
      </c>
      <c r="K5519" s="31">
        <v>-35.212001800000003</v>
      </c>
      <c r="L5519" s="31"/>
      <c r="M5519" s="31" t="s">
        <v>854</v>
      </c>
      <c r="N5519" s="6" t="s">
        <v>856</v>
      </c>
    </row>
    <row r="5520" spans="1:14" ht="15" customHeight="1" x14ac:dyDescent="0.2">
      <c r="A5520" s="31">
        <v>0.34494981622875248</v>
      </c>
      <c r="B5520" s="31"/>
      <c r="C5520" s="2" t="s">
        <v>855</v>
      </c>
      <c r="D5520" s="31">
        <f t="shared" si="173"/>
        <v>6.7610163980835483E-2</v>
      </c>
      <c r="F5520" s="2" t="s">
        <v>822</v>
      </c>
      <c r="G5520" s="23" t="s">
        <v>902</v>
      </c>
      <c r="H5520" s="2" t="s">
        <v>822</v>
      </c>
      <c r="J5520" s="31">
        <v>60.568698900000001</v>
      </c>
      <c r="K5520" s="31">
        <v>-0.46507700000000002</v>
      </c>
      <c r="L5520" s="31"/>
      <c r="M5520" s="31" t="s">
        <v>854</v>
      </c>
      <c r="N5520" s="6" t="s">
        <v>856</v>
      </c>
    </row>
    <row r="5521" spans="1:14" ht="15" customHeight="1" x14ac:dyDescent="0.2">
      <c r="A5521" s="31">
        <v>0.34479127960865252</v>
      </c>
      <c r="B5521" s="31"/>
      <c r="C5521" s="2" t="s">
        <v>855</v>
      </c>
      <c r="D5521" s="31">
        <f t="shared" ref="D5521:D5584" si="174" xml:space="preserve"> A5521 * 0.196</f>
        <v>6.7579090803295896E-2</v>
      </c>
      <c r="F5521" s="2" t="s">
        <v>822</v>
      </c>
      <c r="G5521" s="23" t="s">
        <v>902</v>
      </c>
      <c r="H5521" s="2" t="s">
        <v>822</v>
      </c>
      <c r="J5521" s="31">
        <v>54.096000699999998</v>
      </c>
      <c r="K5521" s="31">
        <v>-27.195999100000002</v>
      </c>
      <c r="L5521" s="31"/>
      <c r="M5521" s="31" t="s">
        <v>854</v>
      </c>
      <c r="N5521" s="6" t="s">
        <v>856</v>
      </c>
    </row>
    <row r="5522" spans="1:14" ht="15" customHeight="1" x14ac:dyDescent="0.2">
      <c r="A5522" s="31">
        <v>0.34471097481743529</v>
      </c>
      <c r="B5522" s="31"/>
      <c r="C5522" s="2" t="s">
        <v>855</v>
      </c>
      <c r="D5522" s="31">
        <f t="shared" si="174"/>
        <v>6.756335106421732E-2</v>
      </c>
      <c r="F5522" s="2" t="s">
        <v>822</v>
      </c>
      <c r="G5522" s="23" t="s">
        <v>902</v>
      </c>
      <c r="H5522" s="2" t="s">
        <v>822</v>
      </c>
      <c r="J5522" s="31">
        <v>54.763999900000002</v>
      </c>
      <c r="K5522" s="31">
        <v>2.8640001000000002</v>
      </c>
      <c r="L5522" s="31"/>
      <c r="M5522" s="31" t="s">
        <v>854</v>
      </c>
      <c r="N5522" s="6" t="s">
        <v>856</v>
      </c>
    </row>
    <row r="5523" spans="1:14" ht="15" customHeight="1" x14ac:dyDescent="0.2">
      <c r="A5523" s="31">
        <v>0.34396075761132311</v>
      </c>
      <c r="B5523" s="31"/>
      <c r="C5523" s="2" t="s">
        <v>855</v>
      </c>
      <c r="D5523" s="31">
        <f t="shared" si="174"/>
        <v>6.7416308491819329E-2</v>
      </c>
      <c r="F5523" s="2" t="s">
        <v>822</v>
      </c>
      <c r="G5523" s="23" t="s">
        <v>902</v>
      </c>
      <c r="H5523" s="2" t="s">
        <v>822</v>
      </c>
      <c r="J5523" s="31">
        <v>56.099998499999998</v>
      </c>
      <c r="K5523" s="31">
        <v>-19.1800003</v>
      </c>
      <c r="L5523" s="31"/>
      <c r="M5523" s="31" t="s">
        <v>854</v>
      </c>
      <c r="N5523" s="6" t="s">
        <v>856</v>
      </c>
    </row>
    <row r="5524" spans="1:14" ht="15" customHeight="1" x14ac:dyDescent="0.2">
      <c r="A5524" s="31">
        <v>0.34368272377304782</v>
      </c>
      <c r="B5524" s="31"/>
      <c r="C5524" s="2" t="s">
        <v>855</v>
      </c>
      <c r="D5524" s="31">
        <f t="shared" si="174"/>
        <v>6.736181385951738E-2</v>
      </c>
      <c r="F5524" s="2" t="s">
        <v>822</v>
      </c>
      <c r="G5524" s="23" t="s">
        <v>902</v>
      </c>
      <c r="H5524" s="2" t="s">
        <v>822</v>
      </c>
      <c r="J5524" s="31">
        <v>51.393501299999997</v>
      </c>
      <c r="K5524" s="31">
        <v>-19.1935997</v>
      </c>
      <c r="L5524" s="31"/>
      <c r="M5524" s="31" t="s">
        <v>854</v>
      </c>
      <c r="N5524" s="6" t="s">
        <v>856</v>
      </c>
    </row>
    <row r="5525" spans="1:14" ht="15" customHeight="1" x14ac:dyDescent="0.2">
      <c r="A5525" s="31">
        <v>0.34363710322080332</v>
      </c>
      <c r="B5525" s="31"/>
      <c r="C5525" s="2" t="s">
        <v>855</v>
      </c>
      <c r="D5525" s="31">
        <f t="shared" si="174"/>
        <v>6.735287223127745E-2</v>
      </c>
      <c r="F5525" s="2" t="s">
        <v>822</v>
      </c>
      <c r="G5525" s="23" t="s">
        <v>902</v>
      </c>
      <c r="H5525" s="2" t="s">
        <v>822</v>
      </c>
      <c r="J5525" s="31">
        <v>55.2505989</v>
      </c>
      <c r="K5525" s="31">
        <v>4.9698399999999996</v>
      </c>
      <c r="L5525" s="31"/>
      <c r="M5525" s="31" t="s">
        <v>854</v>
      </c>
      <c r="N5525" s="6" t="s">
        <v>856</v>
      </c>
    </row>
    <row r="5526" spans="1:14" ht="15" customHeight="1" x14ac:dyDescent="0.2">
      <c r="A5526" s="31">
        <v>0.3434288605364087</v>
      </c>
      <c r="B5526" s="31"/>
      <c r="C5526" s="2" t="s">
        <v>855</v>
      </c>
      <c r="D5526" s="31">
        <f t="shared" si="174"/>
        <v>6.7312056665136108E-2</v>
      </c>
      <c r="F5526" s="2" t="s">
        <v>822</v>
      </c>
      <c r="G5526" s="23" t="s">
        <v>902</v>
      </c>
      <c r="H5526" s="2" t="s">
        <v>822</v>
      </c>
      <c r="J5526" s="31">
        <v>63.448001900000001</v>
      </c>
      <c r="K5526" s="31">
        <v>-21.184000000000001</v>
      </c>
      <c r="L5526" s="31"/>
      <c r="M5526" s="31" t="s">
        <v>854</v>
      </c>
      <c r="N5526" s="6" t="s">
        <v>856</v>
      </c>
    </row>
    <row r="5527" spans="1:14" ht="15" customHeight="1" x14ac:dyDescent="0.2">
      <c r="A5527" s="31">
        <v>0.34340154407370582</v>
      </c>
      <c r="B5527" s="31"/>
      <c r="C5527" s="2" t="s">
        <v>855</v>
      </c>
      <c r="D5527" s="31">
        <f t="shared" si="174"/>
        <v>6.7306702638446347E-2</v>
      </c>
      <c r="F5527" s="2" t="s">
        <v>822</v>
      </c>
      <c r="G5527" s="23" t="s">
        <v>902</v>
      </c>
      <c r="H5527" s="2" t="s">
        <v>822</v>
      </c>
      <c r="J5527" s="31">
        <v>49.839099900000001</v>
      </c>
      <c r="K5527" s="31">
        <v>-19.088699299999998</v>
      </c>
      <c r="L5527" s="31"/>
      <c r="M5527" s="31" t="s">
        <v>854</v>
      </c>
      <c r="N5527" s="6" t="s">
        <v>856</v>
      </c>
    </row>
    <row r="5528" spans="1:14" ht="15" customHeight="1" x14ac:dyDescent="0.2">
      <c r="A5528" s="31">
        <v>0.34325163471118741</v>
      </c>
      <c r="B5528" s="31"/>
      <c r="C5528" s="2" t="s">
        <v>855</v>
      </c>
      <c r="D5528" s="31">
        <f t="shared" si="174"/>
        <v>6.7277320403392737E-2</v>
      </c>
      <c r="F5528" s="2" t="s">
        <v>822</v>
      </c>
      <c r="G5528" s="23" t="s">
        <v>902</v>
      </c>
      <c r="H5528" s="2" t="s">
        <v>822</v>
      </c>
      <c r="J5528" s="31">
        <v>59.838600200000002</v>
      </c>
      <c r="K5528" s="31">
        <v>4.6358398999999997</v>
      </c>
      <c r="L5528" s="31"/>
      <c r="M5528" s="31" t="s">
        <v>854</v>
      </c>
      <c r="N5528" s="6" t="s">
        <v>856</v>
      </c>
    </row>
    <row r="5529" spans="1:14" ht="15" customHeight="1" x14ac:dyDescent="0.2">
      <c r="A5529" s="31">
        <v>0.34317955254338139</v>
      </c>
      <c r="B5529" s="31"/>
      <c r="C5529" s="2" t="s">
        <v>855</v>
      </c>
      <c r="D5529" s="31">
        <f t="shared" si="174"/>
        <v>6.726319229850275E-2</v>
      </c>
      <c r="F5529" s="2" t="s">
        <v>822</v>
      </c>
      <c r="G5529" s="23" t="s">
        <v>902</v>
      </c>
      <c r="H5529" s="2" t="s">
        <v>822</v>
      </c>
      <c r="J5529" s="31">
        <v>48.884799999999998</v>
      </c>
      <c r="K5529" s="31">
        <v>-42.7256012</v>
      </c>
      <c r="L5529" s="31"/>
      <c r="M5529" s="31" t="s">
        <v>854</v>
      </c>
      <c r="N5529" s="6" t="s">
        <v>856</v>
      </c>
    </row>
    <row r="5530" spans="1:14" ht="15" customHeight="1" x14ac:dyDescent="0.2">
      <c r="A5530" s="31">
        <v>0.34292325578272009</v>
      </c>
      <c r="B5530" s="31"/>
      <c r="C5530" s="2" t="s">
        <v>855</v>
      </c>
      <c r="D5530" s="31">
        <f t="shared" si="174"/>
        <v>6.7212958133413145E-2</v>
      </c>
      <c r="F5530" s="2" t="s">
        <v>822</v>
      </c>
      <c r="G5530" s="23" t="s">
        <v>902</v>
      </c>
      <c r="H5530" s="2" t="s">
        <v>822</v>
      </c>
      <c r="J5530" s="31">
        <v>50.418300600000002</v>
      </c>
      <c r="K5530" s="31">
        <v>-23.5296001</v>
      </c>
      <c r="L5530" s="31"/>
      <c r="M5530" s="31" t="s">
        <v>854</v>
      </c>
      <c r="N5530" s="6" t="s">
        <v>856</v>
      </c>
    </row>
    <row r="5531" spans="1:14" ht="15" customHeight="1" x14ac:dyDescent="0.2">
      <c r="A5531" s="31">
        <v>0.34267331783766253</v>
      </c>
      <c r="B5531" s="31"/>
      <c r="C5531" s="2" t="s">
        <v>855</v>
      </c>
      <c r="D5531" s="31">
        <f t="shared" si="174"/>
        <v>6.716397029618186E-2</v>
      </c>
      <c r="F5531" s="2" t="s">
        <v>822</v>
      </c>
      <c r="G5531" s="23" t="s">
        <v>902</v>
      </c>
      <c r="H5531" s="2" t="s">
        <v>822</v>
      </c>
      <c r="J5531" s="31">
        <v>58.062099500000002</v>
      </c>
      <c r="K5531" s="31">
        <v>-3.49898</v>
      </c>
      <c r="L5531" s="31"/>
      <c r="M5531" s="31" t="s">
        <v>854</v>
      </c>
      <c r="N5531" s="6" t="s">
        <v>856</v>
      </c>
    </row>
    <row r="5532" spans="1:14" ht="15" customHeight="1" x14ac:dyDescent="0.2">
      <c r="A5532" s="31">
        <v>0.3424071794650887</v>
      </c>
      <c r="B5532" s="31"/>
      <c r="C5532" s="2" t="s">
        <v>855</v>
      </c>
      <c r="D5532" s="31">
        <f t="shared" si="174"/>
        <v>6.7111807175157384E-2</v>
      </c>
      <c r="F5532" s="2" t="s">
        <v>822</v>
      </c>
      <c r="G5532" s="23" t="s">
        <v>902</v>
      </c>
      <c r="H5532" s="2" t="s">
        <v>822</v>
      </c>
      <c r="J5532" s="31">
        <v>59.129600500000002</v>
      </c>
      <c r="K5532" s="31">
        <v>-3.8311601</v>
      </c>
      <c r="L5532" s="31"/>
      <c r="M5532" s="31" t="s">
        <v>854</v>
      </c>
      <c r="N5532" s="6" t="s">
        <v>856</v>
      </c>
    </row>
    <row r="5533" spans="1:14" ht="15" customHeight="1" x14ac:dyDescent="0.2">
      <c r="A5533" s="31">
        <v>0.34240425413337572</v>
      </c>
      <c r="B5533" s="31"/>
      <c r="C5533" s="2" t="s">
        <v>855</v>
      </c>
      <c r="D5533" s="31">
        <f t="shared" si="174"/>
        <v>6.7111233810141641E-2</v>
      </c>
      <c r="F5533" s="2" t="s">
        <v>822</v>
      </c>
      <c r="G5533" s="23" t="s">
        <v>902</v>
      </c>
      <c r="H5533" s="2" t="s">
        <v>822</v>
      </c>
      <c r="J5533" s="31">
        <v>55.431098900000002</v>
      </c>
      <c r="K5533" s="31">
        <v>-11.6514997</v>
      </c>
      <c r="L5533" s="31"/>
      <c r="M5533" s="31" t="s">
        <v>854</v>
      </c>
      <c r="N5533" s="6" t="s">
        <v>856</v>
      </c>
    </row>
    <row r="5534" spans="1:14" ht="15" customHeight="1" x14ac:dyDescent="0.2">
      <c r="A5534" s="31">
        <v>0.34225867426876261</v>
      </c>
      <c r="B5534" s="31"/>
      <c r="C5534" s="2" t="s">
        <v>855</v>
      </c>
      <c r="D5534" s="31">
        <f t="shared" si="174"/>
        <v>6.7082700156677472E-2</v>
      </c>
      <c r="F5534" s="2" t="s">
        <v>822</v>
      </c>
      <c r="G5534" s="23" t="s">
        <v>902</v>
      </c>
      <c r="H5534" s="2" t="s">
        <v>822</v>
      </c>
      <c r="J5534" s="31">
        <v>53.428001399999999</v>
      </c>
      <c r="K5534" s="31">
        <v>-21.184000000000001</v>
      </c>
      <c r="L5534" s="31"/>
      <c r="M5534" s="31" t="s">
        <v>854</v>
      </c>
      <c r="N5534" s="6" t="s">
        <v>856</v>
      </c>
    </row>
    <row r="5535" spans="1:14" ht="15" customHeight="1" x14ac:dyDescent="0.2">
      <c r="A5535" s="31">
        <v>0.34219323161807358</v>
      </c>
      <c r="B5535" s="31"/>
      <c r="C5535" s="2" t="s">
        <v>855</v>
      </c>
      <c r="D5535" s="31">
        <f t="shared" si="174"/>
        <v>6.7069873397142418E-2</v>
      </c>
      <c r="F5535" s="2" t="s">
        <v>822</v>
      </c>
      <c r="G5535" s="23" t="s">
        <v>902</v>
      </c>
      <c r="H5535" s="2" t="s">
        <v>822</v>
      </c>
      <c r="J5535" s="31">
        <v>52.176601400000003</v>
      </c>
      <c r="K5535" s="31">
        <v>-31.216199899999999</v>
      </c>
      <c r="L5535" s="31"/>
      <c r="M5535" s="31" t="s">
        <v>854</v>
      </c>
      <c r="N5535" s="6" t="s">
        <v>856</v>
      </c>
    </row>
    <row r="5536" spans="1:14" ht="15" customHeight="1" x14ac:dyDescent="0.2">
      <c r="A5536" s="31">
        <v>0.34210013082389101</v>
      </c>
      <c r="B5536" s="31"/>
      <c r="C5536" s="2" t="s">
        <v>855</v>
      </c>
      <c r="D5536" s="31">
        <f t="shared" si="174"/>
        <v>6.7051625641482634E-2</v>
      </c>
      <c r="F5536" s="2" t="s">
        <v>822</v>
      </c>
      <c r="G5536" s="23" t="s">
        <v>902</v>
      </c>
      <c r="H5536" s="2" t="s">
        <v>822</v>
      </c>
      <c r="J5536" s="31">
        <v>64.095596299999997</v>
      </c>
      <c r="K5536" s="31">
        <v>6.2252698000000004</v>
      </c>
      <c r="L5536" s="31"/>
      <c r="M5536" s="31" t="s">
        <v>854</v>
      </c>
      <c r="N5536" s="6" t="s">
        <v>856</v>
      </c>
    </row>
    <row r="5537" spans="1:14" ht="15" customHeight="1" x14ac:dyDescent="0.2">
      <c r="A5537" s="31">
        <v>0.34140326303664542</v>
      </c>
      <c r="B5537" s="31"/>
      <c r="C5537" s="2" t="s">
        <v>855</v>
      </c>
      <c r="D5537" s="31">
        <f t="shared" si="174"/>
        <v>6.6915039555182507E-2</v>
      </c>
      <c r="F5537" s="2" t="s">
        <v>822</v>
      </c>
      <c r="G5537" s="23" t="s">
        <v>902</v>
      </c>
      <c r="H5537" s="2" t="s">
        <v>822</v>
      </c>
      <c r="J5537" s="31">
        <v>56.768001599999998</v>
      </c>
      <c r="K5537" s="31">
        <v>-25.860000599999999</v>
      </c>
      <c r="L5537" s="31"/>
      <c r="M5537" s="31" t="s">
        <v>854</v>
      </c>
      <c r="N5537" s="6" t="s">
        <v>856</v>
      </c>
    </row>
    <row r="5538" spans="1:14" ht="15" customHeight="1" x14ac:dyDescent="0.2">
      <c r="A5538" s="31">
        <v>0.34134778226359658</v>
      </c>
      <c r="B5538" s="31"/>
      <c r="C5538" s="2" t="s">
        <v>855</v>
      </c>
      <c r="D5538" s="31">
        <f t="shared" si="174"/>
        <v>6.690416532366493E-2</v>
      </c>
      <c r="F5538" s="2" t="s">
        <v>822</v>
      </c>
      <c r="G5538" s="23" t="s">
        <v>902</v>
      </c>
      <c r="H5538" s="2" t="s">
        <v>822</v>
      </c>
      <c r="J5538" s="31">
        <v>60.108001700000003</v>
      </c>
      <c r="K5538" s="31">
        <v>-10.4960003</v>
      </c>
      <c r="L5538" s="31"/>
      <c r="M5538" s="31" t="s">
        <v>854</v>
      </c>
      <c r="N5538" s="6" t="s">
        <v>856</v>
      </c>
    </row>
    <row r="5539" spans="1:14" ht="15" customHeight="1" x14ac:dyDescent="0.2">
      <c r="A5539" s="31">
        <v>0.34114290430221139</v>
      </c>
      <c r="B5539" s="31"/>
      <c r="C5539" s="2" t="s">
        <v>855</v>
      </c>
      <c r="D5539" s="31">
        <f t="shared" si="174"/>
        <v>6.6864009243233435E-2</v>
      </c>
      <c r="F5539" s="2" t="s">
        <v>822</v>
      </c>
      <c r="G5539" s="23" t="s">
        <v>902</v>
      </c>
      <c r="H5539" s="2" t="s">
        <v>822</v>
      </c>
      <c r="J5539" s="31">
        <v>56.061798099999997</v>
      </c>
      <c r="K5539" s="31">
        <v>-14.4574003</v>
      </c>
      <c r="L5539" s="31"/>
      <c r="M5539" s="31" t="s">
        <v>854</v>
      </c>
      <c r="N5539" s="6" t="s">
        <v>856</v>
      </c>
    </row>
    <row r="5540" spans="1:14" ht="15" customHeight="1" x14ac:dyDescent="0.2">
      <c r="A5540" s="31">
        <v>0.34092874765934489</v>
      </c>
      <c r="B5540" s="31"/>
      <c r="C5540" s="2" t="s">
        <v>855</v>
      </c>
      <c r="D5540" s="31">
        <f t="shared" si="174"/>
        <v>6.6822034541231604E-2</v>
      </c>
      <c r="F5540" s="2" t="s">
        <v>822</v>
      </c>
      <c r="G5540" s="23" t="s">
        <v>902</v>
      </c>
      <c r="H5540" s="2" t="s">
        <v>822</v>
      </c>
      <c r="J5540" s="31">
        <v>62.779998800000001</v>
      </c>
      <c r="K5540" s="31">
        <v>-14.5039997</v>
      </c>
      <c r="L5540" s="31"/>
      <c r="M5540" s="31" t="s">
        <v>854</v>
      </c>
      <c r="N5540" s="6" t="s">
        <v>856</v>
      </c>
    </row>
    <row r="5541" spans="1:14" ht="15" customHeight="1" x14ac:dyDescent="0.2">
      <c r="A5541" s="31">
        <v>0.34082208942036202</v>
      </c>
      <c r="B5541" s="31"/>
      <c r="C5541" s="2" t="s">
        <v>855</v>
      </c>
      <c r="D5541" s="31">
        <f t="shared" si="174"/>
        <v>6.6801129526390959E-2</v>
      </c>
      <c r="F5541" s="2" t="s">
        <v>822</v>
      </c>
      <c r="G5541" s="23" t="s">
        <v>902</v>
      </c>
      <c r="H5541" s="2" t="s">
        <v>822</v>
      </c>
      <c r="J5541" s="31">
        <v>59.838600200000002</v>
      </c>
      <c r="K5541" s="31">
        <v>-5.1520000000000001</v>
      </c>
      <c r="L5541" s="31"/>
      <c r="M5541" s="31" t="s">
        <v>854</v>
      </c>
      <c r="N5541" s="6" t="s">
        <v>856</v>
      </c>
    </row>
    <row r="5542" spans="1:14" ht="15" customHeight="1" x14ac:dyDescent="0.2">
      <c r="A5542" s="31">
        <v>0.34076632138418422</v>
      </c>
      <c r="B5542" s="31"/>
      <c r="C5542" s="2" t="s">
        <v>855</v>
      </c>
      <c r="D5542" s="31">
        <f t="shared" si="174"/>
        <v>6.6790198991300107E-2</v>
      </c>
      <c r="F5542" s="2" t="s">
        <v>822</v>
      </c>
      <c r="G5542" s="23" t="s">
        <v>902</v>
      </c>
      <c r="H5542" s="2" t="s">
        <v>822</v>
      </c>
      <c r="J5542" s="31">
        <v>52.091999100000002</v>
      </c>
      <c r="K5542" s="31">
        <v>-20.516000699999999</v>
      </c>
      <c r="L5542" s="31"/>
      <c r="M5542" s="31" t="s">
        <v>854</v>
      </c>
      <c r="N5542" s="6" t="s">
        <v>856</v>
      </c>
    </row>
    <row r="5543" spans="1:14" ht="15" customHeight="1" x14ac:dyDescent="0.2">
      <c r="A5543" s="31">
        <v>0.34060078717244552</v>
      </c>
      <c r="B5543" s="31"/>
      <c r="C5543" s="2" t="s">
        <v>855</v>
      </c>
      <c r="D5543" s="31">
        <f t="shared" si="174"/>
        <v>6.6757754285799317E-2</v>
      </c>
      <c r="F5543" s="2" t="s">
        <v>822</v>
      </c>
      <c r="G5543" s="23" t="s">
        <v>902</v>
      </c>
      <c r="H5543" s="2" t="s">
        <v>822</v>
      </c>
      <c r="J5543" s="31">
        <v>50.756000499999999</v>
      </c>
      <c r="K5543" s="31">
        <v>-21.184000000000001</v>
      </c>
      <c r="L5543" s="31"/>
      <c r="M5543" s="31" t="s">
        <v>854</v>
      </c>
      <c r="N5543" s="6" t="s">
        <v>856</v>
      </c>
    </row>
    <row r="5544" spans="1:14" ht="15" customHeight="1" x14ac:dyDescent="0.2">
      <c r="A5544" s="31">
        <v>0.34057748461841081</v>
      </c>
      <c r="B5544" s="31"/>
      <c r="C5544" s="2" t="s">
        <v>855</v>
      </c>
      <c r="D5544" s="31">
        <f t="shared" si="174"/>
        <v>6.6753186985208518E-2</v>
      </c>
      <c r="F5544" s="2" t="s">
        <v>822</v>
      </c>
      <c r="G5544" s="23" t="s">
        <v>902</v>
      </c>
      <c r="H5544" s="2" t="s">
        <v>822</v>
      </c>
      <c r="J5544" s="31">
        <v>63.008598300000003</v>
      </c>
      <c r="K5544" s="31">
        <v>-17.8439999</v>
      </c>
      <c r="L5544" s="31"/>
      <c r="M5544" s="31" t="s">
        <v>854</v>
      </c>
      <c r="N5544" s="6" t="s">
        <v>856</v>
      </c>
    </row>
    <row r="5545" spans="1:14" ht="15" customHeight="1" x14ac:dyDescent="0.2">
      <c r="A5545" s="31">
        <v>0.34057550344130078</v>
      </c>
      <c r="B5545" s="31"/>
      <c r="C5545" s="2" t="s">
        <v>855</v>
      </c>
      <c r="D5545" s="31">
        <f t="shared" si="174"/>
        <v>6.6752798674494948E-2</v>
      </c>
      <c r="F5545" s="2" t="s">
        <v>822</v>
      </c>
      <c r="G5545" s="23" t="s">
        <v>902</v>
      </c>
      <c r="H5545" s="2" t="s">
        <v>822</v>
      </c>
      <c r="J5545" s="31">
        <v>54.282798800000002</v>
      </c>
      <c r="K5545" s="31">
        <v>-0.26389499999999999</v>
      </c>
      <c r="L5545" s="31"/>
      <c r="M5545" s="31" t="s">
        <v>854</v>
      </c>
      <c r="N5545" s="6" t="s">
        <v>856</v>
      </c>
    </row>
    <row r="5546" spans="1:14" ht="15" customHeight="1" x14ac:dyDescent="0.2">
      <c r="A5546" s="31">
        <v>0.34044692780615171</v>
      </c>
      <c r="B5546" s="31"/>
      <c r="C5546" s="2" t="s">
        <v>855</v>
      </c>
      <c r="D5546" s="31">
        <f t="shared" si="174"/>
        <v>6.6727597850005732E-2</v>
      </c>
      <c r="F5546" s="2" t="s">
        <v>822</v>
      </c>
      <c r="G5546" s="23" t="s">
        <v>902</v>
      </c>
      <c r="H5546" s="2" t="s">
        <v>822</v>
      </c>
      <c r="J5546" s="31">
        <v>50.088001300000002</v>
      </c>
      <c r="K5546" s="31">
        <v>-30.5359993</v>
      </c>
      <c r="L5546" s="31"/>
      <c r="M5546" s="31" t="s">
        <v>854</v>
      </c>
      <c r="N5546" s="6" t="s">
        <v>856</v>
      </c>
    </row>
    <row r="5547" spans="1:14" ht="15" customHeight="1" x14ac:dyDescent="0.2">
      <c r="A5547" s="31">
        <v>0.34036153319611662</v>
      </c>
      <c r="B5547" s="31"/>
      <c r="C5547" s="2" t="s">
        <v>855</v>
      </c>
      <c r="D5547" s="31">
        <f t="shared" si="174"/>
        <v>6.671086050643886E-2</v>
      </c>
      <c r="F5547" s="2" t="s">
        <v>822</v>
      </c>
      <c r="G5547" s="23" t="s">
        <v>902</v>
      </c>
      <c r="H5547" s="2" t="s">
        <v>822</v>
      </c>
      <c r="J5547" s="31">
        <v>57.436000800000002</v>
      </c>
      <c r="K5547" s="31">
        <v>-10.4960003</v>
      </c>
      <c r="L5547" s="31"/>
      <c r="M5547" s="31" t="s">
        <v>854</v>
      </c>
      <c r="N5547" s="6" t="s">
        <v>856</v>
      </c>
    </row>
    <row r="5548" spans="1:14" ht="15" customHeight="1" x14ac:dyDescent="0.2">
      <c r="A5548" s="31">
        <v>0.34024703307037291</v>
      </c>
      <c r="B5548" s="31"/>
      <c r="C5548" s="2" t="s">
        <v>855</v>
      </c>
      <c r="D5548" s="31">
        <f t="shared" si="174"/>
        <v>6.6688418481793091E-2</v>
      </c>
      <c r="F5548" s="2" t="s">
        <v>822</v>
      </c>
      <c r="G5548" s="23" t="s">
        <v>902</v>
      </c>
      <c r="H5548" s="2" t="s">
        <v>822</v>
      </c>
      <c r="J5548" s="31">
        <v>49.080600699999998</v>
      </c>
      <c r="K5548" s="31">
        <v>-27.640300799999999</v>
      </c>
      <c r="L5548" s="31"/>
      <c r="M5548" s="31" t="s">
        <v>854</v>
      </c>
      <c r="N5548" s="6" t="s">
        <v>856</v>
      </c>
    </row>
    <row r="5549" spans="1:14" ht="15" customHeight="1" x14ac:dyDescent="0.2">
      <c r="A5549" s="31">
        <v>0.33998982057511012</v>
      </c>
      <c r="B5549" s="31"/>
      <c r="C5549" s="2" t="s">
        <v>855</v>
      </c>
      <c r="D5549" s="31">
        <f t="shared" si="174"/>
        <v>6.6638004832721587E-2</v>
      </c>
      <c r="F5549" s="2" t="s">
        <v>822</v>
      </c>
      <c r="G5549" s="23" t="s">
        <v>902</v>
      </c>
      <c r="H5549" s="2" t="s">
        <v>822</v>
      </c>
      <c r="J5549" s="31">
        <v>52.416000400000001</v>
      </c>
      <c r="K5549" s="31">
        <v>4.5431800000000004</v>
      </c>
      <c r="L5549" s="31"/>
      <c r="M5549" s="31" t="s">
        <v>854</v>
      </c>
      <c r="N5549" s="6" t="s">
        <v>856</v>
      </c>
    </row>
    <row r="5550" spans="1:14" ht="15" customHeight="1" x14ac:dyDescent="0.2">
      <c r="A5550" s="31">
        <v>0.33967276535214269</v>
      </c>
      <c r="B5550" s="31"/>
      <c r="C5550" s="2" t="s">
        <v>855</v>
      </c>
      <c r="D5550" s="31">
        <f t="shared" si="174"/>
        <v>6.6575862009019965E-2</v>
      </c>
      <c r="F5550" s="2" t="s">
        <v>822</v>
      </c>
      <c r="G5550" s="23" t="s">
        <v>902</v>
      </c>
      <c r="H5550" s="2" t="s">
        <v>822</v>
      </c>
      <c r="J5550" s="31">
        <v>54.772598299999999</v>
      </c>
      <c r="K5550" s="31">
        <v>-13.8170004</v>
      </c>
      <c r="L5550" s="31"/>
      <c r="M5550" s="31" t="s">
        <v>854</v>
      </c>
      <c r="N5550" s="6" t="s">
        <v>856</v>
      </c>
    </row>
    <row r="5551" spans="1:14" ht="15" customHeight="1" x14ac:dyDescent="0.2">
      <c r="A5551" s="31">
        <v>0.33948138583045923</v>
      </c>
      <c r="B5551" s="31"/>
      <c r="C5551" s="2" t="s">
        <v>855</v>
      </c>
      <c r="D5551" s="31">
        <f t="shared" si="174"/>
        <v>6.6538351622770012E-2</v>
      </c>
      <c r="F5551" s="2" t="s">
        <v>822</v>
      </c>
      <c r="G5551" s="23" t="s">
        <v>902</v>
      </c>
      <c r="H5551" s="2" t="s">
        <v>822</v>
      </c>
      <c r="J5551" s="31">
        <v>59.439998600000003</v>
      </c>
      <c r="K5551" s="31">
        <v>3.5518401000000002</v>
      </c>
      <c r="L5551" s="31"/>
      <c r="M5551" s="31" t="s">
        <v>854</v>
      </c>
      <c r="N5551" s="6" t="s">
        <v>856</v>
      </c>
    </row>
    <row r="5552" spans="1:14" ht="15" customHeight="1" x14ac:dyDescent="0.2">
      <c r="A5552" s="31">
        <v>0.33942879026048811</v>
      </c>
      <c r="B5552" s="31"/>
      <c r="C5552" s="2" t="s">
        <v>855</v>
      </c>
      <c r="D5552" s="31">
        <f t="shared" si="174"/>
        <v>6.6528042891055669E-2</v>
      </c>
      <c r="F5552" s="2" t="s">
        <v>822</v>
      </c>
      <c r="G5552" s="23" t="s">
        <v>902</v>
      </c>
      <c r="H5552" s="2" t="s">
        <v>822</v>
      </c>
      <c r="J5552" s="31">
        <v>63.383598300000003</v>
      </c>
      <c r="K5552" s="31">
        <v>-15.8400002</v>
      </c>
      <c r="L5552" s="31"/>
      <c r="M5552" s="31" t="s">
        <v>854</v>
      </c>
      <c r="N5552" s="6" t="s">
        <v>856</v>
      </c>
    </row>
    <row r="5553" spans="1:14" ht="15" customHeight="1" x14ac:dyDescent="0.2">
      <c r="A5553" s="31">
        <v>0.33921974134020622</v>
      </c>
      <c r="B5553" s="31"/>
      <c r="C5553" s="2" t="s">
        <v>855</v>
      </c>
      <c r="D5553" s="31">
        <f t="shared" si="174"/>
        <v>6.6487069302680418E-2</v>
      </c>
      <c r="F5553" s="2" t="s">
        <v>822</v>
      </c>
      <c r="G5553" s="23" t="s">
        <v>902</v>
      </c>
      <c r="H5553" s="2" t="s">
        <v>822</v>
      </c>
      <c r="J5553" s="31">
        <v>51.423999799999997</v>
      </c>
      <c r="K5553" s="31">
        <v>-17.176000599999998</v>
      </c>
      <c r="L5553" s="31"/>
      <c r="M5553" s="31" t="s">
        <v>854</v>
      </c>
      <c r="N5553" s="6" t="s">
        <v>856</v>
      </c>
    </row>
    <row r="5554" spans="1:14" ht="15" customHeight="1" x14ac:dyDescent="0.2">
      <c r="A5554" s="31">
        <v>0.33914329375280672</v>
      </c>
      <c r="B5554" s="31"/>
      <c r="C5554" s="2" t="s">
        <v>855</v>
      </c>
      <c r="D5554" s="31">
        <f t="shared" si="174"/>
        <v>6.6472085575550122E-2</v>
      </c>
      <c r="F5554" s="2" t="s">
        <v>822</v>
      </c>
      <c r="G5554" s="23" t="s">
        <v>902</v>
      </c>
      <c r="H5554" s="2" t="s">
        <v>822</v>
      </c>
      <c r="J5554" s="31">
        <v>65.469596899999999</v>
      </c>
      <c r="K5554" s="31">
        <v>-25.769199400000002</v>
      </c>
      <c r="L5554" s="31"/>
      <c r="M5554" s="31" t="s">
        <v>854</v>
      </c>
      <c r="N5554" s="6" t="s">
        <v>856</v>
      </c>
    </row>
    <row r="5555" spans="1:14" ht="15" customHeight="1" x14ac:dyDescent="0.2">
      <c r="A5555" s="31">
        <v>0.33885543867606199</v>
      </c>
      <c r="B5555" s="31"/>
      <c r="C5555" s="2" t="s">
        <v>855</v>
      </c>
      <c r="D5555" s="31">
        <f t="shared" si="174"/>
        <v>6.641566598050816E-2</v>
      </c>
      <c r="F5555" s="2" t="s">
        <v>822</v>
      </c>
      <c r="G5555" s="23" t="s">
        <v>902</v>
      </c>
      <c r="H5555" s="2" t="s">
        <v>822</v>
      </c>
      <c r="J5555" s="31">
        <v>51.375301399999998</v>
      </c>
      <c r="K5555" s="31">
        <v>-30.543600099999999</v>
      </c>
      <c r="L5555" s="31"/>
      <c r="M5555" s="31" t="s">
        <v>854</v>
      </c>
      <c r="N5555" s="6" t="s">
        <v>856</v>
      </c>
    </row>
    <row r="5556" spans="1:14" ht="15" customHeight="1" x14ac:dyDescent="0.2">
      <c r="A5556" s="31">
        <v>0.3386378648601403</v>
      </c>
      <c r="B5556" s="31"/>
      <c r="C5556" s="2" t="s">
        <v>855</v>
      </c>
      <c r="D5556" s="31">
        <f t="shared" si="174"/>
        <v>6.6373021512587504E-2</v>
      </c>
      <c r="F5556" s="2" t="s">
        <v>822</v>
      </c>
      <c r="G5556" s="23" t="s">
        <v>902</v>
      </c>
      <c r="H5556" s="2" t="s">
        <v>822</v>
      </c>
      <c r="J5556" s="31">
        <v>64.050399799999994</v>
      </c>
      <c r="K5556" s="31">
        <v>-22.158399599999999</v>
      </c>
      <c r="L5556" s="31"/>
      <c r="M5556" s="31" t="s">
        <v>854</v>
      </c>
      <c r="N5556" s="6" t="s">
        <v>856</v>
      </c>
    </row>
    <row r="5557" spans="1:14" ht="15" customHeight="1" x14ac:dyDescent="0.2">
      <c r="A5557" s="31">
        <v>0.33837575620158261</v>
      </c>
      <c r="B5557" s="31"/>
      <c r="C5557" s="2" t="s">
        <v>855</v>
      </c>
      <c r="D5557" s="31">
        <f t="shared" si="174"/>
        <v>6.632164821551019E-2</v>
      </c>
      <c r="F5557" s="2" t="s">
        <v>822</v>
      </c>
      <c r="G5557" s="23" t="s">
        <v>902</v>
      </c>
      <c r="H5557" s="2" t="s">
        <v>822</v>
      </c>
      <c r="J5557" s="31">
        <v>60.586799599999999</v>
      </c>
      <c r="K5557" s="31">
        <v>0.19889200000000001</v>
      </c>
      <c r="L5557" s="31"/>
      <c r="M5557" s="31" t="s">
        <v>854</v>
      </c>
      <c r="N5557" s="6" t="s">
        <v>856</v>
      </c>
    </row>
    <row r="5558" spans="1:14" ht="15" customHeight="1" x14ac:dyDescent="0.2">
      <c r="A5558" s="31">
        <v>0.33774195866656298</v>
      </c>
      <c r="B5558" s="31"/>
      <c r="C5558" s="2" t="s">
        <v>855</v>
      </c>
      <c r="D5558" s="31">
        <f t="shared" si="174"/>
        <v>6.6197423898646343E-2</v>
      </c>
      <c r="F5558" s="2" t="s">
        <v>822</v>
      </c>
      <c r="G5558" s="23" t="s">
        <v>902</v>
      </c>
      <c r="H5558" s="2" t="s">
        <v>822</v>
      </c>
      <c r="J5558" s="31">
        <v>51.442001300000001</v>
      </c>
      <c r="K5558" s="31">
        <v>-29.855800599999998</v>
      </c>
      <c r="L5558" s="31"/>
      <c r="M5558" s="31" t="s">
        <v>854</v>
      </c>
      <c r="N5558" s="6" t="s">
        <v>856</v>
      </c>
    </row>
    <row r="5559" spans="1:14" ht="15" customHeight="1" x14ac:dyDescent="0.2">
      <c r="A5559" s="31">
        <v>0.33753327409644118</v>
      </c>
      <c r="B5559" s="31"/>
      <c r="C5559" s="2" t="s">
        <v>855</v>
      </c>
      <c r="D5559" s="31">
        <f t="shared" si="174"/>
        <v>6.615652172290247E-2</v>
      </c>
      <c r="F5559" s="2" t="s">
        <v>822</v>
      </c>
      <c r="G5559" s="23" t="s">
        <v>902</v>
      </c>
      <c r="H5559" s="2" t="s">
        <v>822</v>
      </c>
      <c r="J5559" s="31">
        <v>56.088501000000001</v>
      </c>
      <c r="K5559" s="31">
        <v>-5.8344598000000003</v>
      </c>
      <c r="L5559" s="31"/>
      <c r="M5559" s="31" t="s">
        <v>854</v>
      </c>
      <c r="N5559" s="6" t="s">
        <v>856</v>
      </c>
    </row>
    <row r="5560" spans="1:14" ht="15" customHeight="1" x14ac:dyDescent="0.2">
      <c r="A5560" s="31">
        <v>0.33738604238465908</v>
      </c>
      <c r="B5560" s="31"/>
      <c r="C5560" s="2" t="s">
        <v>855</v>
      </c>
      <c r="D5560" s="31">
        <f t="shared" si="174"/>
        <v>6.6127664307393183E-2</v>
      </c>
      <c r="F5560" s="2" t="s">
        <v>822</v>
      </c>
      <c r="G5560" s="23" t="s">
        <v>902</v>
      </c>
      <c r="H5560" s="2" t="s">
        <v>822</v>
      </c>
      <c r="J5560" s="31">
        <v>50.302501700000001</v>
      </c>
      <c r="K5560" s="31">
        <v>-17.6415997</v>
      </c>
      <c r="L5560" s="31"/>
      <c r="M5560" s="31" t="s">
        <v>854</v>
      </c>
      <c r="N5560" s="6" t="s">
        <v>856</v>
      </c>
    </row>
    <row r="5561" spans="1:14" ht="15" customHeight="1" x14ac:dyDescent="0.2">
      <c r="A5561" s="31">
        <v>0.33683850636447737</v>
      </c>
      <c r="B5561" s="31"/>
      <c r="C5561" s="2" t="s">
        <v>855</v>
      </c>
      <c r="D5561" s="31">
        <f t="shared" si="174"/>
        <v>6.6020347247437564E-2</v>
      </c>
      <c r="F5561" s="2" t="s">
        <v>822</v>
      </c>
      <c r="G5561" s="23" t="s">
        <v>902</v>
      </c>
      <c r="H5561" s="2" t="s">
        <v>822</v>
      </c>
      <c r="J5561" s="31">
        <v>63.008598300000003</v>
      </c>
      <c r="K5561" s="31">
        <v>-21.184000000000001</v>
      </c>
      <c r="L5561" s="31"/>
      <c r="M5561" s="31" t="s">
        <v>854</v>
      </c>
      <c r="N5561" s="6" t="s">
        <v>856</v>
      </c>
    </row>
    <row r="5562" spans="1:14" ht="15" customHeight="1" x14ac:dyDescent="0.2">
      <c r="A5562" s="31">
        <v>0.33661128960425318</v>
      </c>
      <c r="B5562" s="31"/>
      <c r="C5562" s="2" t="s">
        <v>855</v>
      </c>
      <c r="D5562" s="31">
        <f t="shared" si="174"/>
        <v>6.5975812762433625E-2</v>
      </c>
      <c r="F5562" s="2" t="s">
        <v>822</v>
      </c>
      <c r="G5562" s="23" t="s">
        <v>902</v>
      </c>
      <c r="H5562" s="2" t="s">
        <v>822</v>
      </c>
      <c r="J5562" s="31">
        <v>50.756000499999999</v>
      </c>
      <c r="K5562" s="31">
        <v>-35.212001800000003</v>
      </c>
      <c r="L5562" s="31"/>
      <c r="M5562" s="31" t="s">
        <v>854</v>
      </c>
      <c r="N5562" s="6" t="s">
        <v>856</v>
      </c>
    </row>
    <row r="5563" spans="1:14" ht="15" customHeight="1" x14ac:dyDescent="0.2">
      <c r="A5563" s="31">
        <v>0.33657826960807108</v>
      </c>
      <c r="B5563" s="31"/>
      <c r="C5563" s="2" t="s">
        <v>855</v>
      </c>
      <c r="D5563" s="31">
        <f t="shared" si="174"/>
        <v>6.5969340843181928E-2</v>
      </c>
      <c r="F5563" s="2" t="s">
        <v>822</v>
      </c>
      <c r="G5563" s="23" t="s">
        <v>902</v>
      </c>
      <c r="H5563" s="2" t="s">
        <v>822</v>
      </c>
      <c r="J5563" s="31">
        <v>57.436000800000002</v>
      </c>
      <c r="K5563" s="31">
        <v>-21.851999299999999</v>
      </c>
      <c r="L5563" s="31"/>
      <c r="M5563" s="31" t="s">
        <v>854</v>
      </c>
      <c r="N5563" s="6" t="s">
        <v>856</v>
      </c>
    </row>
    <row r="5564" spans="1:14" ht="15" customHeight="1" x14ac:dyDescent="0.2">
      <c r="A5564" s="31">
        <v>0.33630085170233148</v>
      </c>
      <c r="B5564" s="31"/>
      <c r="C5564" s="2" t="s">
        <v>855</v>
      </c>
      <c r="D5564" s="31">
        <f t="shared" si="174"/>
        <v>6.5914966933656977E-2</v>
      </c>
      <c r="F5564" s="2" t="s">
        <v>822</v>
      </c>
      <c r="G5564" s="23" t="s">
        <v>902</v>
      </c>
      <c r="H5564" s="2" t="s">
        <v>822</v>
      </c>
      <c r="J5564" s="31">
        <v>54.763999900000002</v>
      </c>
      <c r="K5564" s="31">
        <v>-27.864000300000001</v>
      </c>
      <c r="L5564" s="31"/>
      <c r="M5564" s="31" t="s">
        <v>854</v>
      </c>
      <c r="N5564" s="6" t="s">
        <v>856</v>
      </c>
    </row>
    <row r="5565" spans="1:14" ht="15" customHeight="1" x14ac:dyDescent="0.2">
      <c r="A5565" s="31">
        <v>0.33560941102794711</v>
      </c>
      <c r="B5565" s="31"/>
      <c r="C5565" s="2" t="s">
        <v>855</v>
      </c>
      <c r="D5565" s="31">
        <f t="shared" si="174"/>
        <v>6.5779444561477635E-2</v>
      </c>
      <c r="F5565" s="2" t="s">
        <v>822</v>
      </c>
      <c r="G5565" s="23" t="s">
        <v>902</v>
      </c>
      <c r="H5565" s="2" t="s">
        <v>822</v>
      </c>
      <c r="J5565" s="31">
        <v>55.4319992</v>
      </c>
      <c r="K5565" s="31">
        <v>-30.5359993</v>
      </c>
      <c r="L5565" s="31"/>
      <c r="M5565" s="31" t="s">
        <v>854</v>
      </c>
      <c r="N5565" s="6" t="s">
        <v>856</v>
      </c>
    </row>
    <row r="5566" spans="1:14" ht="15" customHeight="1" x14ac:dyDescent="0.2">
      <c r="A5566" s="31">
        <v>0.33500491988500991</v>
      </c>
      <c r="B5566" s="31"/>
      <c r="C5566" s="2" t="s">
        <v>855</v>
      </c>
      <c r="D5566" s="31">
        <f t="shared" si="174"/>
        <v>6.5660964297461946E-2</v>
      </c>
      <c r="F5566" s="2" t="s">
        <v>822</v>
      </c>
      <c r="G5566" s="23" t="s">
        <v>902</v>
      </c>
      <c r="H5566" s="2" t="s">
        <v>822</v>
      </c>
      <c r="J5566" s="31">
        <v>54.763999900000002</v>
      </c>
      <c r="K5566" s="31">
        <v>-21.184000000000001</v>
      </c>
      <c r="L5566" s="31"/>
      <c r="M5566" s="31" t="s">
        <v>854</v>
      </c>
      <c r="N5566" s="6" t="s">
        <v>856</v>
      </c>
    </row>
    <row r="5567" spans="1:14" ht="15" customHeight="1" x14ac:dyDescent="0.2">
      <c r="A5567" s="31">
        <v>0.33463811773089541</v>
      </c>
      <c r="B5567" s="31"/>
      <c r="C5567" s="2" t="s">
        <v>855</v>
      </c>
      <c r="D5567" s="31">
        <f t="shared" si="174"/>
        <v>6.5589071075255509E-2</v>
      </c>
      <c r="F5567" s="2" t="s">
        <v>822</v>
      </c>
      <c r="G5567" s="23" t="s">
        <v>902</v>
      </c>
      <c r="H5567" s="2" t="s">
        <v>822</v>
      </c>
      <c r="J5567" s="31">
        <v>34.969398499999997</v>
      </c>
      <c r="K5567" s="31">
        <v>33.757900200000002</v>
      </c>
      <c r="L5567" s="31"/>
      <c r="M5567" s="31" t="s">
        <v>854</v>
      </c>
      <c r="N5567" s="6" t="s">
        <v>856</v>
      </c>
    </row>
    <row r="5568" spans="1:14" ht="15" customHeight="1" x14ac:dyDescent="0.2">
      <c r="A5568" s="31">
        <v>0.33428815184873178</v>
      </c>
      <c r="B5568" s="31"/>
      <c r="C5568" s="2" t="s">
        <v>855</v>
      </c>
      <c r="D5568" s="31">
        <f t="shared" si="174"/>
        <v>6.5520477762351426E-2</v>
      </c>
      <c r="F5568" s="2" t="s">
        <v>822</v>
      </c>
      <c r="G5568" s="23" t="s">
        <v>902</v>
      </c>
      <c r="H5568" s="2" t="s">
        <v>822</v>
      </c>
      <c r="J5568" s="31">
        <v>56.768001599999998</v>
      </c>
      <c r="K5568" s="31">
        <v>-23.856000900000002</v>
      </c>
      <c r="L5568" s="31"/>
      <c r="M5568" s="31" t="s">
        <v>854</v>
      </c>
      <c r="N5568" s="6" t="s">
        <v>856</v>
      </c>
    </row>
    <row r="5569" spans="1:14" ht="15" customHeight="1" x14ac:dyDescent="0.2">
      <c r="A5569" s="31">
        <v>0.33427574407460642</v>
      </c>
      <c r="B5569" s="31"/>
      <c r="C5569" s="2" t="s">
        <v>855</v>
      </c>
      <c r="D5569" s="31">
        <f t="shared" si="174"/>
        <v>6.5518045838622863E-2</v>
      </c>
      <c r="F5569" s="2" t="s">
        <v>822</v>
      </c>
      <c r="G5569" s="23" t="s">
        <v>902</v>
      </c>
      <c r="H5569" s="2" t="s">
        <v>822</v>
      </c>
      <c r="J5569" s="31">
        <v>54.430400800000001</v>
      </c>
      <c r="K5569" s="31">
        <v>-12.834600399999999</v>
      </c>
      <c r="L5569" s="31"/>
      <c r="M5569" s="31" t="s">
        <v>854</v>
      </c>
      <c r="N5569" s="6" t="s">
        <v>856</v>
      </c>
    </row>
    <row r="5570" spans="1:14" ht="15" customHeight="1" x14ac:dyDescent="0.2">
      <c r="A5570" s="31">
        <v>0.33409372054211789</v>
      </c>
      <c r="B5570" s="31"/>
      <c r="C5570" s="2" t="s">
        <v>855</v>
      </c>
      <c r="D5570" s="31">
        <f t="shared" si="174"/>
        <v>6.548236922625511E-2</v>
      </c>
      <c r="F5570" s="2" t="s">
        <v>822</v>
      </c>
      <c r="G5570" s="23" t="s">
        <v>902</v>
      </c>
      <c r="H5570" s="2" t="s">
        <v>822</v>
      </c>
      <c r="J5570" s="31">
        <v>52.410900099999999</v>
      </c>
      <c r="K5570" s="31">
        <v>-16.232999800000002</v>
      </c>
      <c r="L5570" s="31"/>
      <c r="M5570" s="31" t="s">
        <v>854</v>
      </c>
      <c r="N5570" s="6" t="s">
        <v>856</v>
      </c>
    </row>
    <row r="5571" spans="1:14" ht="15" customHeight="1" x14ac:dyDescent="0.2">
      <c r="A5571" s="31">
        <v>0.33334895617936261</v>
      </c>
      <c r="B5571" s="31"/>
      <c r="C5571" s="2" t="s">
        <v>855</v>
      </c>
      <c r="D5571" s="31">
        <f t="shared" si="174"/>
        <v>6.5336395411155074E-2</v>
      </c>
      <c r="F5571" s="2" t="s">
        <v>822</v>
      </c>
      <c r="G5571" s="23" t="s">
        <v>902</v>
      </c>
      <c r="H5571" s="2" t="s">
        <v>822</v>
      </c>
      <c r="J5571" s="31">
        <v>56.768001599999998</v>
      </c>
      <c r="K5571" s="31">
        <v>-27.864000300000001</v>
      </c>
      <c r="L5571" s="31"/>
      <c r="M5571" s="31" t="s">
        <v>854</v>
      </c>
      <c r="N5571" s="6" t="s">
        <v>856</v>
      </c>
    </row>
    <row r="5572" spans="1:14" ht="15" customHeight="1" x14ac:dyDescent="0.2">
      <c r="A5572" s="31">
        <v>0.33316171657891558</v>
      </c>
      <c r="B5572" s="31"/>
      <c r="C5572" s="2" t="s">
        <v>855</v>
      </c>
      <c r="D5572" s="31">
        <f t="shared" si="174"/>
        <v>6.5299696449467454E-2</v>
      </c>
      <c r="F5572" s="2" t="s">
        <v>822</v>
      </c>
      <c r="G5572" s="23" t="s">
        <v>902</v>
      </c>
      <c r="H5572" s="2" t="s">
        <v>822</v>
      </c>
      <c r="J5572" s="31">
        <v>53.832901</v>
      </c>
      <c r="K5572" s="31">
        <v>8.1825705000000006</v>
      </c>
      <c r="L5572" s="31"/>
      <c r="M5572" s="31" t="s">
        <v>854</v>
      </c>
      <c r="N5572" s="6" t="s">
        <v>856</v>
      </c>
    </row>
    <row r="5573" spans="1:14" ht="15" customHeight="1" x14ac:dyDescent="0.2">
      <c r="A5573" s="31">
        <v>0.33214795995075092</v>
      </c>
      <c r="B5573" s="31"/>
      <c r="C5573" s="2" t="s">
        <v>855</v>
      </c>
      <c r="D5573" s="31">
        <f t="shared" si="174"/>
        <v>6.5101000150347185E-2</v>
      </c>
      <c r="F5573" s="2" t="s">
        <v>822</v>
      </c>
      <c r="G5573" s="23" t="s">
        <v>902</v>
      </c>
      <c r="H5573" s="2" t="s">
        <v>822</v>
      </c>
      <c r="J5573" s="31">
        <v>55.584598499999998</v>
      </c>
      <c r="K5573" s="31">
        <v>-8.7941599000000004</v>
      </c>
      <c r="L5573" s="31"/>
      <c r="M5573" s="31" t="s">
        <v>854</v>
      </c>
      <c r="N5573" s="6" t="s">
        <v>856</v>
      </c>
    </row>
    <row r="5574" spans="1:14" ht="15" customHeight="1" x14ac:dyDescent="0.2">
      <c r="A5574" s="31">
        <v>0.33208332369063009</v>
      </c>
      <c r="B5574" s="31"/>
      <c r="C5574" s="2" t="s">
        <v>855</v>
      </c>
      <c r="D5574" s="31">
        <f t="shared" si="174"/>
        <v>6.5088331443363498E-2</v>
      </c>
      <c r="F5574" s="2" t="s">
        <v>822</v>
      </c>
      <c r="G5574" s="23" t="s">
        <v>902</v>
      </c>
      <c r="H5574" s="2" t="s">
        <v>822</v>
      </c>
      <c r="J5574" s="31">
        <v>54.096000699999998</v>
      </c>
      <c r="K5574" s="31">
        <v>-19.847999600000001</v>
      </c>
      <c r="L5574" s="31"/>
      <c r="M5574" s="31" t="s">
        <v>854</v>
      </c>
      <c r="N5574" s="6" t="s">
        <v>856</v>
      </c>
    </row>
    <row r="5575" spans="1:14" ht="15" customHeight="1" x14ac:dyDescent="0.2">
      <c r="A5575" s="31">
        <v>0.33183907786296069</v>
      </c>
      <c r="B5575" s="31"/>
      <c r="C5575" s="2" t="s">
        <v>855</v>
      </c>
      <c r="D5575" s="31">
        <f t="shared" si="174"/>
        <v>6.5040459261140299E-2</v>
      </c>
      <c r="F5575" s="2" t="s">
        <v>822</v>
      </c>
      <c r="G5575" s="23" t="s">
        <v>902</v>
      </c>
      <c r="H5575" s="2" t="s">
        <v>822</v>
      </c>
      <c r="J5575" s="31">
        <v>56.372798899999999</v>
      </c>
      <c r="K5575" s="31">
        <v>5.5911597999999998</v>
      </c>
      <c r="L5575" s="31"/>
      <c r="M5575" s="31" t="s">
        <v>854</v>
      </c>
      <c r="N5575" s="6" t="s">
        <v>856</v>
      </c>
    </row>
    <row r="5576" spans="1:14" ht="15" customHeight="1" x14ac:dyDescent="0.2">
      <c r="A5576" s="31">
        <v>0.33131306970685459</v>
      </c>
      <c r="B5576" s="31"/>
      <c r="C5576" s="2" t="s">
        <v>855</v>
      </c>
      <c r="D5576" s="31">
        <f t="shared" si="174"/>
        <v>6.4937361662543505E-2</v>
      </c>
      <c r="F5576" s="2" t="s">
        <v>822</v>
      </c>
      <c r="G5576" s="23" t="s">
        <v>902</v>
      </c>
      <c r="H5576" s="2" t="s">
        <v>822</v>
      </c>
      <c r="J5576" s="31">
        <v>57.165401500000002</v>
      </c>
      <c r="K5576" s="31">
        <v>-14.1387997</v>
      </c>
      <c r="L5576" s="31"/>
      <c r="M5576" s="31" t="s">
        <v>854</v>
      </c>
      <c r="N5576" s="6" t="s">
        <v>856</v>
      </c>
    </row>
    <row r="5577" spans="1:14" ht="15" customHeight="1" x14ac:dyDescent="0.2">
      <c r="A5577" s="31">
        <v>0.33128299846822967</v>
      </c>
      <c r="B5577" s="31"/>
      <c r="C5577" s="2" t="s">
        <v>855</v>
      </c>
      <c r="D5577" s="31">
        <f t="shared" si="174"/>
        <v>6.4931467699773024E-2</v>
      </c>
      <c r="F5577" s="2" t="s">
        <v>822</v>
      </c>
      <c r="G5577" s="23" t="s">
        <v>902</v>
      </c>
      <c r="H5577" s="2" t="s">
        <v>822</v>
      </c>
      <c r="J5577" s="31">
        <v>48.227901500000002</v>
      </c>
      <c r="K5577" s="31">
        <v>-25.073699999999999</v>
      </c>
      <c r="L5577" s="31"/>
      <c r="M5577" s="31" t="s">
        <v>854</v>
      </c>
      <c r="N5577" s="6" t="s">
        <v>856</v>
      </c>
    </row>
    <row r="5578" spans="1:14" ht="15" customHeight="1" x14ac:dyDescent="0.2">
      <c r="A5578" s="31">
        <v>0.33110367907799582</v>
      </c>
      <c r="B5578" s="31"/>
      <c r="C5578" s="2" t="s">
        <v>855</v>
      </c>
      <c r="D5578" s="31">
        <f t="shared" si="174"/>
        <v>6.4896321099287183E-2</v>
      </c>
      <c r="F5578" s="2" t="s">
        <v>822</v>
      </c>
      <c r="G5578" s="23" t="s">
        <v>902</v>
      </c>
      <c r="H5578" s="2" t="s">
        <v>822</v>
      </c>
      <c r="J5578" s="31">
        <v>50.088001300000002</v>
      </c>
      <c r="K5578" s="31">
        <v>-40.555999800000002</v>
      </c>
      <c r="L5578" s="31"/>
      <c r="M5578" s="31" t="s">
        <v>854</v>
      </c>
      <c r="N5578" s="6" t="s">
        <v>856</v>
      </c>
    </row>
    <row r="5579" spans="1:14" ht="15" customHeight="1" x14ac:dyDescent="0.2">
      <c r="A5579" s="31">
        <v>0.33098980998687239</v>
      </c>
      <c r="B5579" s="31"/>
      <c r="C5579" s="2" t="s">
        <v>855</v>
      </c>
      <c r="D5579" s="31">
        <f t="shared" si="174"/>
        <v>6.4874002757426996E-2</v>
      </c>
      <c r="F5579" s="2" t="s">
        <v>822</v>
      </c>
      <c r="G5579" s="23" t="s">
        <v>902</v>
      </c>
      <c r="H5579" s="2" t="s">
        <v>822</v>
      </c>
      <c r="J5579" s="31">
        <v>54.770801499999997</v>
      </c>
      <c r="K5579" s="31">
        <v>-25.865400300000001</v>
      </c>
      <c r="L5579" s="31"/>
      <c r="M5579" s="31" t="s">
        <v>854</v>
      </c>
      <c r="N5579" s="6" t="s">
        <v>856</v>
      </c>
    </row>
    <row r="5580" spans="1:14" ht="15" customHeight="1" x14ac:dyDescent="0.2">
      <c r="A5580" s="31">
        <v>0.33092744213295261</v>
      </c>
      <c r="B5580" s="31"/>
      <c r="C5580" s="2" t="s">
        <v>855</v>
      </c>
      <c r="D5580" s="31">
        <f t="shared" si="174"/>
        <v>6.4861778658058714E-2</v>
      </c>
      <c r="F5580" s="2" t="s">
        <v>822</v>
      </c>
      <c r="G5580" s="23" t="s">
        <v>902</v>
      </c>
      <c r="H5580" s="2" t="s">
        <v>822</v>
      </c>
      <c r="J5580" s="31">
        <v>63.383598300000003</v>
      </c>
      <c r="K5580" s="31">
        <v>-15.171999899999999</v>
      </c>
      <c r="L5580" s="31"/>
      <c r="M5580" s="31" t="s">
        <v>854</v>
      </c>
      <c r="N5580" s="6" t="s">
        <v>856</v>
      </c>
    </row>
    <row r="5581" spans="1:14" ht="15" customHeight="1" x14ac:dyDescent="0.2">
      <c r="A5581" s="31">
        <v>0.33082512378827572</v>
      </c>
      <c r="B5581" s="31"/>
      <c r="C5581" s="2" t="s">
        <v>855</v>
      </c>
      <c r="D5581" s="31">
        <f t="shared" si="174"/>
        <v>6.4841724262502037E-2</v>
      </c>
      <c r="F5581" s="2" t="s">
        <v>822</v>
      </c>
      <c r="G5581" s="23" t="s">
        <v>902</v>
      </c>
      <c r="H5581" s="2" t="s">
        <v>822</v>
      </c>
      <c r="J5581" s="31">
        <v>51.317798600000003</v>
      </c>
      <c r="K5581" s="31">
        <v>-31.820600500000001</v>
      </c>
      <c r="L5581" s="31"/>
      <c r="M5581" s="31" t="s">
        <v>854</v>
      </c>
      <c r="N5581" s="6" t="s">
        <v>856</v>
      </c>
    </row>
    <row r="5582" spans="1:14" ht="15" customHeight="1" x14ac:dyDescent="0.2">
      <c r="A5582" s="31">
        <v>0.33070374427572569</v>
      </c>
      <c r="B5582" s="31"/>
      <c r="C5582" s="2" t="s">
        <v>855</v>
      </c>
      <c r="D5582" s="31">
        <f t="shared" si="174"/>
        <v>6.481793387804223E-2</v>
      </c>
      <c r="F5582" s="2" t="s">
        <v>822</v>
      </c>
      <c r="G5582" s="23" t="s">
        <v>902</v>
      </c>
      <c r="H5582" s="2" t="s">
        <v>822</v>
      </c>
      <c r="J5582" s="31">
        <v>56.993801099999999</v>
      </c>
      <c r="K5582" s="31">
        <v>5.3519502000000001</v>
      </c>
      <c r="L5582" s="31"/>
      <c r="M5582" s="31" t="s">
        <v>854</v>
      </c>
      <c r="N5582" s="6" t="s">
        <v>856</v>
      </c>
    </row>
    <row r="5583" spans="1:14" ht="15" customHeight="1" x14ac:dyDescent="0.2">
      <c r="A5583" s="31">
        <v>0.33047661470555151</v>
      </c>
      <c r="B5583" s="31"/>
      <c r="C5583" s="2" t="s">
        <v>855</v>
      </c>
      <c r="D5583" s="31">
        <f t="shared" si="174"/>
        <v>6.4773416482288099E-2</v>
      </c>
      <c r="F5583" s="2" t="s">
        <v>822</v>
      </c>
      <c r="G5583" s="23" t="s">
        <v>902</v>
      </c>
      <c r="H5583" s="2" t="s">
        <v>822</v>
      </c>
      <c r="J5583" s="31">
        <v>56.768001599999998</v>
      </c>
      <c r="K5583" s="31">
        <v>-22.520000499999998</v>
      </c>
      <c r="L5583" s="31"/>
      <c r="M5583" s="31" t="s">
        <v>854</v>
      </c>
      <c r="N5583" s="6" t="s">
        <v>856</v>
      </c>
    </row>
    <row r="5584" spans="1:14" ht="15" customHeight="1" x14ac:dyDescent="0.2">
      <c r="A5584" s="31">
        <v>0.33047234778318207</v>
      </c>
      <c r="B5584" s="31"/>
      <c r="C5584" s="2" t="s">
        <v>855</v>
      </c>
      <c r="D5584" s="31">
        <f t="shared" si="174"/>
        <v>6.477258016550369E-2</v>
      </c>
      <c r="F5584" s="2" t="s">
        <v>822</v>
      </c>
      <c r="G5584" s="23" t="s">
        <v>902</v>
      </c>
      <c r="H5584" s="2" t="s">
        <v>822</v>
      </c>
      <c r="J5584" s="31">
        <v>58.794101699999999</v>
      </c>
      <c r="K5584" s="31">
        <v>-2.7879499999999999</v>
      </c>
      <c r="L5584" s="31"/>
      <c r="M5584" s="31" t="s">
        <v>854</v>
      </c>
      <c r="N5584" s="6" t="s">
        <v>856</v>
      </c>
    </row>
    <row r="5585" spans="1:14" ht="15" customHeight="1" x14ac:dyDescent="0.2">
      <c r="A5585" s="31">
        <v>0.33047162511488293</v>
      </c>
      <c r="B5585" s="31"/>
      <c r="C5585" s="2" t="s">
        <v>855</v>
      </c>
      <c r="D5585" s="31">
        <f t="shared" ref="D5585:D5648" si="175" xml:space="preserve"> A5585 * 0.196</f>
        <v>6.4772438522517059E-2</v>
      </c>
      <c r="F5585" s="2" t="s">
        <v>822</v>
      </c>
      <c r="G5585" s="23" t="s">
        <v>902</v>
      </c>
      <c r="H5585" s="2" t="s">
        <v>822</v>
      </c>
      <c r="J5585" s="31">
        <v>50.883499100000002</v>
      </c>
      <c r="K5585" s="31">
        <v>-40.567199700000003</v>
      </c>
      <c r="L5585" s="31"/>
      <c r="M5585" s="31" t="s">
        <v>854</v>
      </c>
      <c r="N5585" s="6" t="s">
        <v>856</v>
      </c>
    </row>
    <row r="5586" spans="1:14" ht="15" customHeight="1" x14ac:dyDescent="0.2">
      <c r="A5586" s="31">
        <v>0.33036560010937699</v>
      </c>
      <c r="B5586" s="31"/>
      <c r="C5586" s="2" t="s">
        <v>855</v>
      </c>
      <c r="D5586" s="31">
        <f t="shared" si="175"/>
        <v>6.4751657621437891E-2</v>
      </c>
      <c r="F5586" s="2" t="s">
        <v>822</v>
      </c>
      <c r="G5586" s="23" t="s">
        <v>902</v>
      </c>
      <c r="H5586" s="2" t="s">
        <v>822</v>
      </c>
      <c r="J5586" s="31">
        <v>56.099998499999998</v>
      </c>
      <c r="K5586" s="31">
        <v>-17.8439999</v>
      </c>
      <c r="L5586" s="31"/>
      <c r="M5586" s="31" t="s">
        <v>854</v>
      </c>
      <c r="N5586" s="6" t="s">
        <v>856</v>
      </c>
    </row>
    <row r="5587" spans="1:14" ht="15" customHeight="1" x14ac:dyDescent="0.2">
      <c r="A5587" s="31">
        <v>0.33026862548777203</v>
      </c>
      <c r="B5587" s="31"/>
      <c r="C5587" s="2" t="s">
        <v>855</v>
      </c>
      <c r="D5587" s="31">
        <f t="shared" si="175"/>
        <v>6.4732650595603319E-2</v>
      </c>
      <c r="F5587" s="2" t="s">
        <v>822</v>
      </c>
      <c r="G5587" s="23" t="s">
        <v>902</v>
      </c>
      <c r="H5587" s="2" t="s">
        <v>822</v>
      </c>
      <c r="J5587" s="31">
        <v>64.409103400000006</v>
      </c>
      <c r="K5587" s="31">
        <v>-22.922700899999999</v>
      </c>
      <c r="L5587" s="31"/>
      <c r="M5587" s="31" t="s">
        <v>854</v>
      </c>
      <c r="N5587" s="6" t="s">
        <v>856</v>
      </c>
    </row>
    <row r="5588" spans="1:14" ht="15" customHeight="1" x14ac:dyDescent="0.2">
      <c r="A5588" s="31">
        <v>0.3302657635273108</v>
      </c>
      <c r="B5588" s="31"/>
      <c r="C5588" s="2" t="s">
        <v>855</v>
      </c>
      <c r="D5588" s="31">
        <f t="shared" si="175"/>
        <v>6.4732089651352923E-2</v>
      </c>
      <c r="F5588" s="2" t="s">
        <v>822</v>
      </c>
      <c r="G5588" s="23" t="s">
        <v>902</v>
      </c>
      <c r="H5588" s="2" t="s">
        <v>822</v>
      </c>
      <c r="J5588" s="31">
        <v>57.436000800000002</v>
      </c>
      <c r="K5588" s="31">
        <v>-13.1680002</v>
      </c>
      <c r="L5588" s="31"/>
      <c r="M5588" s="31" t="s">
        <v>854</v>
      </c>
      <c r="N5588" s="6" t="s">
        <v>856</v>
      </c>
    </row>
    <row r="5589" spans="1:14" ht="15" customHeight="1" x14ac:dyDescent="0.2">
      <c r="A5589" s="31">
        <v>0.33022819142458482</v>
      </c>
      <c r="B5589" s="31"/>
      <c r="C5589" s="2" t="s">
        <v>855</v>
      </c>
      <c r="D5589" s="31">
        <f t="shared" si="175"/>
        <v>6.4724725519218623E-2</v>
      </c>
      <c r="F5589" s="2" t="s">
        <v>822</v>
      </c>
      <c r="G5589" s="23" t="s">
        <v>902</v>
      </c>
      <c r="H5589" s="2" t="s">
        <v>822</v>
      </c>
      <c r="J5589" s="31">
        <v>64.731300399999995</v>
      </c>
      <c r="K5589" s="31">
        <v>-22.933299999999999</v>
      </c>
      <c r="L5589" s="31"/>
      <c r="M5589" s="31" t="s">
        <v>854</v>
      </c>
      <c r="N5589" s="6" t="s">
        <v>856</v>
      </c>
    </row>
    <row r="5590" spans="1:14" ht="15" customHeight="1" x14ac:dyDescent="0.2">
      <c r="A5590" s="31">
        <v>0.32966436216672068</v>
      </c>
      <c r="B5590" s="31"/>
      <c r="C5590" s="2" t="s">
        <v>855</v>
      </c>
      <c r="D5590" s="31">
        <f t="shared" si="175"/>
        <v>6.461421498467726E-2</v>
      </c>
      <c r="F5590" s="2" t="s">
        <v>822</v>
      </c>
      <c r="G5590" s="23" t="s">
        <v>902</v>
      </c>
      <c r="H5590" s="2" t="s">
        <v>822</v>
      </c>
      <c r="J5590" s="31">
        <v>58.1040001</v>
      </c>
      <c r="K5590" s="31">
        <v>-22.520000499999998</v>
      </c>
      <c r="L5590" s="31"/>
      <c r="M5590" s="31" t="s">
        <v>854</v>
      </c>
      <c r="N5590" s="6" t="s">
        <v>856</v>
      </c>
    </row>
    <row r="5591" spans="1:14" ht="15" customHeight="1" x14ac:dyDescent="0.2">
      <c r="A5591" s="31">
        <v>0.3294920754103346</v>
      </c>
      <c r="B5591" s="31"/>
      <c r="C5591" s="2" t="s">
        <v>855</v>
      </c>
      <c r="D5591" s="31">
        <f t="shared" si="175"/>
        <v>6.4580446780425585E-2</v>
      </c>
      <c r="F5591" s="2" t="s">
        <v>822</v>
      </c>
      <c r="G5591" s="23" t="s">
        <v>902</v>
      </c>
      <c r="H5591" s="2" t="s">
        <v>822</v>
      </c>
      <c r="J5591" s="31">
        <v>58.771999399999999</v>
      </c>
      <c r="K5591" s="31">
        <v>-16.507999399999999</v>
      </c>
      <c r="L5591" s="31"/>
      <c r="M5591" s="31" t="s">
        <v>854</v>
      </c>
      <c r="N5591" s="6" t="s">
        <v>856</v>
      </c>
    </row>
    <row r="5592" spans="1:14" ht="15" customHeight="1" x14ac:dyDescent="0.2">
      <c r="A5592" s="31">
        <v>0.32946837178217392</v>
      </c>
      <c r="B5592" s="31"/>
      <c r="C5592" s="2" t="s">
        <v>855</v>
      </c>
      <c r="D5592" s="31">
        <f t="shared" si="175"/>
        <v>6.4575800869306088E-2</v>
      </c>
      <c r="F5592" s="2" t="s">
        <v>822</v>
      </c>
      <c r="G5592" s="23" t="s">
        <v>902</v>
      </c>
      <c r="H5592" s="2" t="s">
        <v>822</v>
      </c>
      <c r="J5592" s="31">
        <v>58.771999399999999</v>
      </c>
      <c r="K5592" s="31">
        <v>0.192</v>
      </c>
      <c r="L5592" s="31"/>
      <c r="M5592" s="31" t="s">
        <v>854</v>
      </c>
      <c r="N5592" s="6" t="s">
        <v>856</v>
      </c>
    </row>
    <row r="5593" spans="1:14" ht="15" customHeight="1" x14ac:dyDescent="0.2">
      <c r="A5593" s="31">
        <v>0.32940180697681082</v>
      </c>
      <c r="B5593" s="31"/>
      <c r="C5593" s="2" t="s">
        <v>855</v>
      </c>
      <c r="D5593" s="31">
        <f t="shared" si="175"/>
        <v>6.4562754167454925E-2</v>
      </c>
      <c r="F5593" s="2" t="s">
        <v>822</v>
      </c>
      <c r="G5593" s="23" t="s">
        <v>902</v>
      </c>
      <c r="H5593" s="2" t="s">
        <v>822</v>
      </c>
      <c r="J5593" s="31">
        <v>53.123600000000003</v>
      </c>
      <c r="K5593" s="31">
        <v>0.86</v>
      </c>
      <c r="L5593" s="31"/>
      <c r="M5593" s="31" t="s">
        <v>854</v>
      </c>
      <c r="N5593" s="6" t="s">
        <v>856</v>
      </c>
    </row>
    <row r="5594" spans="1:14" ht="15" customHeight="1" x14ac:dyDescent="0.2">
      <c r="A5594" s="31">
        <v>0.32921473463215728</v>
      </c>
      <c r="B5594" s="31"/>
      <c r="C5594" s="2" t="s">
        <v>855</v>
      </c>
      <c r="D5594" s="31">
        <f t="shared" si="175"/>
        <v>6.4526087987902825E-2</v>
      </c>
      <c r="F5594" s="2" t="s">
        <v>822</v>
      </c>
      <c r="G5594" s="23" t="s">
        <v>902</v>
      </c>
      <c r="H5594" s="2" t="s">
        <v>822</v>
      </c>
      <c r="J5594" s="31">
        <v>34.672401399999998</v>
      </c>
      <c r="K5594" s="31">
        <v>-8.0488900999999995</v>
      </c>
      <c r="L5594" s="31"/>
      <c r="M5594" s="31" t="s">
        <v>854</v>
      </c>
      <c r="N5594" s="6" t="s">
        <v>856</v>
      </c>
    </row>
    <row r="5595" spans="1:14" ht="15" customHeight="1" x14ac:dyDescent="0.2">
      <c r="A5595" s="31">
        <v>0.32889228933966841</v>
      </c>
      <c r="B5595" s="31"/>
      <c r="C5595" s="2" t="s">
        <v>855</v>
      </c>
      <c r="D5595" s="31">
        <f t="shared" si="175"/>
        <v>6.4462888710575011E-2</v>
      </c>
      <c r="F5595" s="2" t="s">
        <v>822</v>
      </c>
      <c r="G5595" s="23" t="s">
        <v>902</v>
      </c>
      <c r="H5595" s="2" t="s">
        <v>822</v>
      </c>
      <c r="J5595" s="31">
        <v>49.388198899999999</v>
      </c>
      <c r="K5595" s="31">
        <v>-19.203399699999999</v>
      </c>
      <c r="L5595" s="31"/>
      <c r="M5595" s="31" t="s">
        <v>854</v>
      </c>
      <c r="N5595" s="6" t="s">
        <v>856</v>
      </c>
    </row>
    <row r="5596" spans="1:14" ht="15" customHeight="1" x14ac:dyDescent="0.2">
      <c r="A5596" s="31">
        <v>0.32871092115972339</v>
      </c>
      <c r="B5596" s="31"/>
      <c r="C5596" s="2" t="s">
        <v>855</v>
      </c>
      <c r="D5596" s="31">
        <f t="shared" si="175"/>
        <v>6.4427340547305784E-2</v>
      </c>
      <c r="F5596" s="2" t="s">
        <v>822</v>
      </c>
      <c r="G5596" s="23" t="s">
        <v>902</v>
      </c>
      <c r="H5596" s="2" t="s">
        <v>822</v>
      </c>
      <c r="J5596" s="31">
        <v>57.436000800000002</v>
      </c>
      <c r="K5596" s="31">
        <v>-11.1639996</v>
      </c>
      <c r="L5596" s="31"/>
      <c r="M5596" s="31" t="s">
        <v>854</v>
      </c>
      <c r="N5596" s="6" t="s">
        <v>856</v>
      </c>
    </row>
    <row r="5597" spans="1:14" ht="15" customHeight="1" x14ac:dyDescent="0.2">
      <c r="A5597" s="31">
        <v>0.3286490984197466</v>
      </c>
      <c r="B5597" s="31"/>
      <c r="C5597" s="2" t="s">
        <v>855</v>
      </c>
      <c r="D5597" s="31">
        <f t="shared" si="175"/>
        <v>6.4415223290270329E-2</v>
      </c>
      <c r="F5597" s="2" t="s">
        <v>822</v>
      </c>
      <c r="G5597" s="23" t="s">
        <v>902</v>
      </c>
      <c r="H5597" s="2" t="s">
        <v>822</v>
      </c>
      <c r="J5597" s="31">
        <v>60.108001700000003</v>
      </c>
      <c r="K5597" s="31">
        <v>-15.171999899999999</v>
      </c>
      <c r="L5597" s="31"/>
      <c r="M5597" s="31" t="s">
        <v>854</v>
      </c>
      <c r="N5597" s="6" t="s">
        <v>856</v>
      </c>
    </row>
    <row r="5598" spans="1:14" ht="15" customHeight="1" x14ac:dyDescent="0.2">
      <c r="A5598" s="31">
        <v>0.32840873723788577</v>
      </c>
      <c r="B5598" s="31"/>
      <c r="C5598" s="2" t="s">
        <v>855</v>
      </c>
      <c r="D5598" s="31">
        <f t="shared" si="175"/>
        <v>6.4368112498625618E-2</v>
      </c>
      <c r="F5598" s="2" t="s">
        <v>822</v>
      </c>
      <c r="G5598" s="23" t="s">
        <v>902</v>
      </c>
      <c r="H5598" s="2" t="s">
        <v>822</v>
      </c>
      <c r="J5598" s="31">
        <v>63.662300100000003</v>
      </c>
      <c r="K5598" s="31">
        <v>5.3089399000000004</v>
      </c>
      <c r="L5598" s="31"/>
      <c r="M5598" s="31" t="s">
        <v>854</v>
      </c>
      <c r="N5598" s="6" t="s">
        <v>856</v>
      </c>
    </row>
    <row r="5599" spans="1:14" ht="15" customHeight="1" x14ac:dyDescent="0.2">
      <c r="A5599" s="31">
        <v>0.32839233576285348</v>
      </c>
      <c r="B5599" s="31"/>
      <c r="C5599" s="2" t="s">
        <v>855</v>
      </c>
      <c r="D5599" s="31">
        <f t="shared" si="175"/>
        <v>6.4364897809519289E-2</v>
      </c>
      <c r="F5599" s="2" t="s">
        <v>822</v>
      </c>
      <c r="G5599" s="23" t="s">
        <v>902</v>
      </c>
      <c r="H5599" s="2" t="s">
        <v>822</v>
      </c>
      <c r="J5599" s="31">
        <v>57.106201200000001</v>
      </c>
      <c r="K5599" s="31">
        <v>5.4679098000000002</v>
      </c>
      <c r="L5599" s="31"/>
      <c r="M5599" s="31" t="s">
        <v>854</v>
      </c>
      <c r="N5599" s="6" t="s">
        <v>856</v>
      </c>
    </row>
    <row r="5600" spans="1:14" ht="15" customHeight="1" x14ac:dyDescent="0.2">
      <c r="A5600" s="31">
        <v>0.32825826019693233</v>
      </c>
      <c r="B5600" s="31"/>
      <c r="C5600" s="2" t="s">
        <v>855</v>
      </c>
      <c r="D5600" s="31">
        <f t="shared" si="175"/>
        <v>6.4338618998598746E-2</v>
      </c>
      <c r="F5600" s="2" t="s">
        <v>822</v>
      </c>
      <c r="G5600" s="23" t="s">
        <v>902</v>
      </c>
      <c r="H5600" s="2" t="s">
        <v>822</v>
      </c>
      <c r="J5600" s="31">
        <v>64.812896699999996</v>
      </c>
      <c r="K5600" s="31">
        <v>24.3843994</v>
      </c>
      <c r="L5600" s="31"/>
      <c r="M5600" s="31" t="s">
        <v>854</v>
      </c>
      <c r="N5600" s="6" t="s">
        <v>856</v>
      </c>
    </row>
    <row r="5601" spans="1:14" ht="15" customHeight="1" x14ac:dyDescent="0.2">
      <c r="A5601" s="31">
        <v>0.32805610541625879</v>
      </c>
      <c r="B5601" s="31"/>
      <c r="C5601" s="2" t="s">
        <v>855</v>
      </c>
      <c r="D5601" s="31">
        <f t="shared" si="175"/>
        <v>6.4298996661586727E-2</v>
      </c>
      <c r="F5601" s="2" t="s">
        <v>822</v>
      </c>
      <c r="G5601" s="23" t="s">
        <v>902</v>
      </c>
      <c r="H5601" s="2" t="s">
        <v>822</v>
      </c>
      <c r="J5601" s="31">
        <v>58.086601299999998</v>
      </c>
      <c r="K5601" s="31">
        <v>-7.3761600999999999</v>
      </c>
      <c r="L5601" s="31"/>
      <c r="M5601" s="31" t="s">
        <v>854</v>
      </c>
      <c r="N5601" s="6" t="s">
        <v>856</v>
      </c>
    </row>
    <row r="5602" spans="1:14" ht="15" customHeight="1" x14ac:dyDescent="0.2">
      <c r="A5602" s="31">
        <v>0.32804998205232688</v>
      </c>
      <c r="B5602" s="31"/>
      <c r="C5602" s="2" t="s">
        <v>855</v>
      </c>
      <c r="D5602" s="31">
        <f t="shared" si="175"/>
        <v>6.4297796482256073E-2</v>
      </c>
      <c r="F5602" s="2" t="s">
        <v>822</v>
      </c>
      <c r="G5602" s="23" t="s">
        <v>902</v>
      </c>
      <c r="H5602" s="2" t="s">
        <v>822</v>
      </c>
      <c r="J5602" s="31">
        <v>59.439998600000003</v>
      </c>
      <c r="K5602" s="31">
        <v>-0.47599999999999998</v>
      </c>
      <c r="L5602" s="31"/>
      <c r="M5602" s="31" t="s">
        <v>854</v>
      </c>
      <c r="N5602" s="6" t="s">
        <v>856</v>
      </c>
    </row>
    <row r="5603" spans="1:14" ht="15" customHeight="1" x14ac:dyDescent="0.2">
      <c r="A5603" s="31">
        <v>0.32775986698221521</v>
      </c>
      <c r="B5603" s="31"/>
      <c r="C5603" s="2" t="s">
        <v>855</v>
      </c>
      <c r="D5603" s="31">
        <f t="shared" si="175"/>
        <v>6.4240933928514182E-2</v>
      </c>
      <c r="F5603" s="2" t="s">
        <v>822</v>
      </c>
      <c r="G5603" s="23" t="s">
        <v>902</v>
      </c>
      <c r="H5603" s="2" t="s">
        <v>822</v>
      </c>
      <c r="J5603" s="31">
        <v>56.099998499999998</v>
      </c>
      <c r="K5603" s="31">
        <v>-21.851999299999999</v>
      </c>
      <c r="L5603" s="31"/>
      <c r="M5603" s="31" t="s">
        <v>854</v>
      </c>
      <c r="N5603" s="6" t="s">
        <v>856</v>
      </c>
    </row>
    <row r="5604" spans="1:14" ht="15" customHeight="1" x14ac:dyDescent="0.2">
      <c r="A5604" s="31">
        <v>0.32773355085705669</v>
      </c>
      <c r="B5604" s="31"/>
      <c r="C5604" s="2" t="s">
        <v>855</v>
      </c>
      <c r="D5604" s="31">
        <f t="shared" si="175"/>
        <v>6.4235775967983119E-2</v>
      </c>
      <c r="F5604" s="2" t="s">
        <v>822</v>
      </c>
      <c r="G5604" s="23" t="s">
        <v>902</v>
      </c>
      <c r="H5604" s="2" t="s">
        <v>822</v>
      </c>
      <c r="J5604" s="31">
        <v>61.945800800000001</v>
      </c>
      <c r="K5604" s="31">
        <v>-7.3830099000000002</v>
      </c>
      <c r="L5604" s="31"/>
      <c r="M5604" s="31" t="s">
        <v>854</v>
      </c>
      <c r="N5604" s="6" t="s">
        <v>856</v>
      </c>
    </row>
    <row r="5605" spans="1:14" ht="15" customHeight="1" x14ac:dyDescent="0.2">
      <c r="A5605" s="31">
        <v>0.32764669410437153</v>
      </c>
      <c r="B5605" s="31"/>
      <c r="C5605" s="2" t="s">
        <v>855</v>
      </c>
      <c r="D5605" s="31">
        <f t="shared" si="175"/>
        <v>6.4218752044456817E-2</v>
      </c>
      <c r="F5605" s="2" t="s">
        <v>822</v>
      </c>
      <c r="G5605" s="23" t="s">
        <v>902</v>
      </c>
      <c r="H5605" s="2" t="s">
        <v>822</v>
      </c>
      <c r="J5605" s="31">
        <v>58.250099200000001</v>
      </c>
      <c r="K5605" s="31">
        <v>2.2057600000000002</v>
      </c>
      <c r="L5605" s="31"/>
      <c r="M5605" s="31" t="s">
        <v>854</v>
      </c>
      <c r="N5605" s="6" t="s">
        <v>856</v>
      </c>
    </row>
    <row r="5606" spans="1:14" ht="15" customHeight="1" x14ac:dyDescent="0.2">
      <c r="A5606" s="31">
        <v>0.32738780755458019</v>
      </c>
      <c r="B5606" s="31"/>
      <c r="C5606" s="2" t="s">
        <v>855</v>
      </c>
      <c r="D5606" s="31">
        <f t="shared" si="175"/>
        <v>6.4168010280697726E-2</v>
      </c>
      <c r="F5606" s="2" t="s">
        <v>822</v>
      </c>
      <c r="G5606" s="23" t="s">
        <v>902</v>
      </c>
      <c r="H5606" s="2" t="s">
        <v>822</v>
      </c>
      <c r="J5606" s="31">
        <v>40.779598200000002</v>
      </c>
      <c r="K5606" s="31">
        <v>-8.7961101999999993</v>
      </c>
      <c r="L5606" s="31"/>
      <c r="M5606" s="31" t="s">
        <v>854</v>
      </c>
      <c r="N5606" s="6" t="s">
        <v>856</v>
      </c>
    </row>
    <row r="5607" spans="1:14" ht="15" customHeight="1" x14ac:dyDescent="0.2">
      <c r="A5607" s="31">
        <v>0.32733817456476388</v>
      </c>
      <c r="B5607" s="31"/>
      <c r="C5607" s="2" t="s">
        <v>855</v>
      </c>
      <c r="D5607" s="31">
        <f t="shared" si="175"/>
        <v>6.4158282214693718E-2</v>
      </c>
      <c r="F5607" s="2" t="s">
        <v>822</v>
      </c>
      <c r="G5607" s="23" t="s">
        <v>902</v>
      </c>
      <c r="H5607" s="2" t="s">
        <v>822</v>
      </c>
      <c r="J5607" s="31">
        <v>55.415199299999998</v>
      </c>
      <c r="K5607" s="31">
        <v>4.2299800000000003</v>
      </c>
      <c r="L5607" s="31"/>
      <c r="M5607" s="31" t="s">
        <v>854</v>
      </c>
      <c r="N5607" s="6" t="s">
        <v>856</v>
      </c>
    </row>
    <row r="5608" spans="1:14" ht="15" customHeight="1" x14ac:dyDescent="0.2">
      <c r="A5608" s="31">
        <v>0.32712871993153908</v>
      </c>
      <c r="B5608" s="31"/>
      <c r="C5608" s="2" t="s">
        <v>855</v>
      </c>
      <c r="D5608" s="31">
        <f t="shared" si="175"/>
        <v>6.4117229106581658E-2</v>
      </c>
      <c r="F5608" s="2" t="s">
        <v>822</v>
      </c>
      <c r="G5608" s="23" t="s">
        <v>902</v>
      </c>
      <c r="H5608" s="2" t="s">
        <v>822</v>
      </c>
      <c r="J5608" s="31">
        <v>54.8755989</v>
      </c>
      <c r="K5608" s="31">
        <v>6.0538401999999998</v>
      </c>
      <c r="L5608" s="31"/>
      <c r="M5608" s="31" t="s">
        <v>854</v>
      </c>
      <c r="N5608" s="6" t="s">
        <v>856</v>
      </c>
    </row>
    <row r="5609" spans="1:14" ht="15" customHeight="1" x14ac:dyDescent="0.2">
      <c r="A5609" s="31">
        <v>0.32691264434382372</v>
      </c>
      <c r="B5609" s="31"/>
      <c r="C5609" s="2" t="s">
        <v>855</v>
      </c>
      <c r="D5609" s="31">
        <f t="shared" si="175"/>
        <v>6.4074878291389456E-2</v>
      </c>
      <c r="F5609" s="2" t="s">
        <v>822</v>
      </c>
      <c r="G5609" s="23" t="s">
        <v>902</v>
      </c>
      <c r="H5609" s="2" t="s">
        <v>822</v>
      </c>
      <c r="J5609" s="31">
        <v>58.1040001</v>
      </c>
      <c r="K5609" s="31">
        <v>-27.864000300000001</v>
      </c>
      <c r="L5609" s="31"/>
      <c r="M5609" s="31" t="s">
        <v>854</v>
      </c>
      <c r="N5609" s="6" t="s">
        <v>856</v>
      </c>
    </row>
    <row r="5610" spans="1:14" ht="15" customHeight="1" x14ac:dyDescent="0.2">
      <c r="A5610" s="31">
        <v>0.32641194348546559</v>
      </c>
      <c r="B5610" s="31"/>
      <c r="C5610" s="2" t="s">
        <v>855</v>
      </c>
      <c r="D5610" s="31">
        <f t="shared" si="175"/>
        <v>6.3976740923151254E-2</v>
      </c>
      <c r="F5610" s="2" t="s">
        <v>822</v>
      </c>
      <c r="G5610" s="23" t="s">
        <v>902</v>
      </c>
      <c r="H5610" s="2" t="s">
        <v>822</v>
      </c>
      <c r="J5610" s="31">
        <v>56.768001599999998</v>
      </c>
      <c r="K5610" s="31">
        <v>-15.171999899999999</v>
      </c>
      <c r="L5610" s="31"/>
      <c r="M5610" s="31" t="s">
        <v>854</v>
      </c>
      <c r="N5610" s="6" t="s">
        <v>856</v>
      </c>
    </row>
    <row r="5611" spans="1:14" ht="15" customHeight="1" x14ac:dyDescent="0.2">
      <c r="A5611" s="31">
        <v>0.32640418151627909</v>
      </c>
      <c r="B5611" s="31"/>
      <c r="C5611" s="2" t="s">
        <v>855</v>
      </c>
      <c r="D5611" s="31">
        <f t="shared" si="175"/>
        <v>6.3975219577190698E-2</v>
      </c>
      <c r="F5611" s="2" t="s">
        <v>822</v>
      </c>
      <c r="G5611" s="23" t="s">
        <v>902</v>
      </c>
      <c r="H5611" s="2" t="s">
        <v>822</v>
      </c>
      <c r="J5611" s="31">
        <v>58.1040001</v>
      </c>
      <c r="K5611" s="31">
        <v>-28.531999599999999</v>
      </c>
      <c r="L5611" s="31"/>
      <c r="M5611" s="31" t="s">
        <v>854</v>
      </c>
      <c r="N5611" s="6" t="s">
        <v>856</v>
      </c>
    </row>
    <row r="5612" spans="1:14" ht="15" customHeight="1" x14ac:dyDescent="0.2">
      <c r="A5612" s="31">
        <v>0.32607626935686568</v>
      </c>
      <c r="B5612" s="31"/>
      <c r="C5612" s="2" t="s">
        <v>855</v>
      </c>
      <c r="D5612" s="31">
        <f t="shared" si="175"/>
        <v>6.3910948793945682E-2</v>
      </c>
      <c r="F5612" s="2" t="s">
        <v>822</v>
      </c>
      <c r="G5612" s="23" t="s">
        <v>902</v>
      </c>
      <c r="H5612" s="2" t="s">
        <v>822</v>
      </c>
      <c r="J5612" s="31">
        <v>52.759998299999999</v>
      </c>
      <c r="K5612" s="31">
        <v>-41.891998299999997</v>
      </c>
      <c r="L5612" s="31"/>
      <c r="M5612" s="31" t="s">
        <v>854</v>
      </c>
      <c r="N5612" s="6" t="s">
        <v>856</v>
      </c>
    </row>
    <row r="5613" spans="1:14" ht="15" customHeight="1" x14ac:dyDescent="0.2">
      <c r="A5613" s="31">
        <v>0.32603147802563981</v>
      </c>
      <c r="B5613" s="31"/>
      <c r="C5613" s="2" t="s">
        <v>855</v>
      </c>
      <c r="D5613" s="31">
        <f t="shared" si="175"/>
        <v>6.390216969302541E-2</v>
      </c>
      <c r="F5613" s="2" t="s">
        <v>822</v>
      </c>
      <c r="G5613" s="23" t="s">
        <v>902</v>
      </c>
      <c r="H5613" s="2" t="s">
        <v>822</v>
      </c>
      <c r="J5613" s="31">
        <v>49.085998500000002</v>
      </c>
      <c r="K5613" s="31">
        <v>-41.891998299999997</v>
      </c>
      <c r="L5613" s="31"/>
      <c r="M5613" s="31" t="s">
        <v>854</v>
      </c>
      <c r="N5613" s="6" t="s">
        <v>856</v>
      </c>
    </row>
    <row r="5614" spans="1:14" ht="15" customHeight="1" x14ac:dyDescent="0.2">
      <c r="A5614" s="31">
        <v>0.32592518284044969</v>
      </c>
      <c r="B5614" s="31"/>
      <c r="C5614" s="2" t="s">
        <v>855</v>
      </c>
      <c r="D5614" s="31">
        <f t="shared" si="175"/>
        <v>6.3881335836728143E-2</v>
      </c>
      <c r="F5614" s="2" t="s">
        <v>822</v>
      </c>
      <c r="G5614" s="23" t="s">
        <v>902</v>
      </c>
      <c r="H5614" s="2" t="s">
        <v>822</v>
      </c>
      <c r="J5614" s="31">
        <v>57.113899199999999</v>
      </c>
      <c r="K5614" s="31">
        <v>6.3680301000000004</v>
      </c>
      <c r="L5614" s="31"/>
      <c r="M5614" s="31" t="s">
        <v>854</v>
      </c>
      <c r="N5614" s="6" t="s">
        <v>856</v>
      </c>
    </row>
    <row r="5615" spans="1:14" ht="15" customHeight="1" x14ac:dyDescent="0.2">
      <c r="A5615" s="31">
        <v>0.32510961887357298</v>
      </c>
      <c r="B5615" s="31"/>
      <c r="C5615" s="2" t="s">
        <v>855</v>
      </c>
      <c r="D5615" s="31">
        <f t="shared" si="175"/>
        <v>6.372148529922031E-2</v>
      </c>
      <c r="F5615" s="2" t="s">
        <v>822</v>
      </c>
      <c r="G5615" s="23" t="s">
        <v>902</v>
      </c>
      <c r="H5615" s="2" t="s">
        <v>822</v>
      </c>
      <c r="J5615" s="31">
        <v>51.611301400000002</v>
      </c>
      <c r="K5615" s="31">
        <v>-20.107799499999999</v>
      </c>
      <c r="L5615" s="31"/>
      <c r="M5615" s="31" t="s">
        <v>854</v>
      </c>
      <c r="N5615" s="6" t="s">
        <v>856</v>
      </c>
    </row>
    <row r="5616" spans="1:14" ht="15" customHeight="1" x14ac:dyDescent="0.2">
      <c r="A5616" s="31">
        <v>0.32487459454136119</v>
      </c>
      <c r="B5616" s="31"/>
      <c r="C5616" s="2" t="s">
        <v>855</v>
      </c>
      <c r="D5616" s="31">
        <f t="shared" si="175"/>
        <v>6.3675420530106802E-2</v>
      </c>
      <c r="F5616" s="2" t="s">
        <v>822</v>
      </c>
      <c r="G5616" s="23" t="s">
        <v>902</v>
      </c>
      <c r="H5616" s="2" t="s">
        <v>822</v>
      </c>
      <c r="J5616" s="31">
        <v>48.759101899999997</v>
      </c>
      <c r="K5616" s="31">
        <v>-28.5890007</v>
      </c>
      <c r="L5616" s="31"/>
      <c r="M5616" s="31" t="s">
        <v>854</v>
      </c>
      <c r="N5616" s="6" t="s">
        <v>856</v>
      </c>
    </row>
    <row r="5617" spans="1:14" ht="15" customHeight="1" x14ac:dyDescent="0.2">
      <c r="A5617" s="31">
        <v>0.32480728905368189</v>
      </c>
      <c r="B5617" s="31"/>
      <c r="C5617" s="2" t="s">
        <v>855</v>
      </c>
      <c r="D5617" s="31">
        <f t="shared" si="175"/>
        <v>6.3662228654521646E-2</v>
      </c>
      <c r="F5617" s="2" t="s">
        <v>822</v>
      </c>
      <c r="G5617" s="23" t="s">
        <v>902</v>
      </c>
      <c r="H5617" s="2" t="s">
        <v>822</v>
      </c>
      <c r="J5617" s="31">
        <v>52.054798099999999</v>
      </c>
      <c r="K5617" s="31">
        <v>-33.166400899999999</v>
      </c>
      <c r="L5617" s="31"/>
      <c r="M5617" s="31" t="s">
        <v>854</v>
      </c>
      <c r="N5617" s="6" t="s">
        <v>856</v>
      </c>
    </row>
    <row r="5618" spans="1:14" ht="15" customHeight="1" x14ac:dyDescent="0.2">
      <c r="A5618" s="31">
        <v>0.32455716804283402</v>
      </c>
      <c r="B5618" s="31"/>
      <c r="C5618" s="2" t="s">
        <v>855</v>
      </c>
      <c r="D5618" s="31">
        <f t="shared" si="175"/>
        <v>6.3613204936395468E-2</v>
      </c>
      <c r="F5618" s="2" t="s">
        <v>822</v>
      </c>
      <c r="G5618" s="23" t="s">
        <v>902</v>
      </c>
      <c r="H5618" s="2" t="s">
        <v>822</v>
      </c>
      <c r="J5618" s="31">
        <v>56.793800400000002</v>
      </c>
      <c r="K5618" s="31">
        <v>-9.6739397</v>
      </c>
      <c r="L5618" s="31"/>
      <c r="M5618" s="31" t="s">
        <v>854</v>
      </c>
      <c r="N5618" s="6" t="s">
        <v>856</v>
      </c>
    </row>
    <row r="5619" spans="1:14" ht="15" customHeight="1" x14ac:dyDescent="0.2">
      <c r="A5619" s="31">
        <v>0.32450747757852588</v>
      </c>
      <c r="B5619" s="31"/>
      <c r="C5619" s="2" t="s">
        <v>855</v>
      </c>
      <c r="D5619" s="31">
        <f t="shared" si="175"/>
        <v>6.3603465605391069E-2</v>
      </c>
      <c r="F5619" s="2" t="s">
        <v>822</v>
      </c>
      <c r="G5619" s="23" t="s">
        <v>902</v>
      </c>
      <c r="H5619" s="2" t="s">
        <v>822</v>
      </c>
      <c r="J5619" s="31">
        <v>50.0276985</v>
      </c>
      <c r="K5619" s="31">
        <v>-17.1592007</v>
      </c>
      <c r="L5619" s="31"/>
      <c r="M5619" s="31" t="s">
        <v>854</v>
      </c>
      <c r="N5619" s="6" t="s">
        <v>856</v>
      </c>
    </row>
    <row r="5620" spans="1:14" ht="15" customHeight="1" x14ac:dyDescent="0.2">
      <c r="A5620" s="31">
        <v>0.32448689838714279</v>
      </c>
      <c r="B5620" s="31"/>
      <c r="C5620" s="2" t="s">
        <v>855</v>
      </c>
      <c r="D5620" s="31">
        <f t="shared" si="175"/>
        <v>6.3599432083879984E-2</v>
      </c>
      <c r="F5620" s="2" t="s">
        <v>822</v>
      </c>
      <c r="G5620" s="23" t="s">
        <v>902</v>
      </c>
      <c r="H5620" s="2" t="s">
        <v>822</v>
      </c>
      <c r="J5620" s="31">
        <v>47.437099500000002</v>
      </c>
      <c r="K5620" s="31">
        <v>-27.8612003</v>
      </c>
      <c r="L5620" s="31"/>
      <c r="M5620" s="31" t="s">
        <v>854</v>
      </c>
      <c r="N5620" s="6" t="s">
        <v>856</v>
      </c>
    </row>
    <row r="5621" spans="1:14" ht="15" customHeight="1" x14ac:dyDescent="0.2">
      <c r="A5621" s="31">
        <v>0.32439111912863428</v>
      </c>
      <c r="B5621" s="31"/>
      <c r="C5621" s="2" t="s">
        <v>855</v>
      </c>
      <c r="D5621" s="31">
        <f t="shared" si="175"/>
        <v>6.3580659349212323E-2</v>
      </c>
      <c r="F5621" s="2" t="s">
        <v>822</v>
      </c>
      <c r="G5621" s="23" t="s">
        <v>902</v>
      </c>
      <c r="H5621" s="2" t="s">
        <v>822</v>
      </c>
      <c r="J5621" s="31">
        <v>36.434398700000003</v>
      </c>
      <c r="K5621" s="31">
        <v>-28.2926006</v>
      </c>
      <c r="L5621" s="31"/>
      <c r="M5621" s="31" t="s">
        <v>854</v>
      </c>
      <c r="N5621" s="6" t="s">
        <v>856</v>
      </c>
    </row>
    <row r="5622" spans="1:14" ht="15" customHeight="1" x14ac:dyDescent="0.2">
      <c r="A5622" s="31">
        <v>0.32423943140852352</v>
      </c>
      <c r="B5622" s="31"/>
      <c r="C5622" s="2" t="s">
        <v>855</v>
      </c>
      <c r="D5622" s="31">
        <f t="shared" si="175"/>
        <v>6.3550928556070613E-2</v>
      </c>
      <c r="F5622" s="2" t="s">
        <v>822</v>
      </c>
      <c r="G5622" s="23" t="s">
        <v>902</v>
      </c>
      <c r="H5622" s="2" t="s">
        <v>822</v>
      </c>
      <c r="J5622" s="31">
        <v>59.439998600000003</v>
      </c>
      <c r="K5622" s="31">
        <v>-23.856000900000002</v>
      </c>
      <c r="L5622" s="31"/>
      <c r="M5622" s="31" t="s">
        <v>854</v>
      </c>
      <c r="N5622" s="6" t="s">
        <v>856</v>
      </c>
    </row>
    <row r="5623" spans="1:14" ht="15" customHeight="1" x14ac:dyDescent="0.2">
      <c r="A5623" s="31">
        <v>0.32417321823063078</v>
      </c>
      <c r="B5623" s="31"/>
      <c r="C5623" s="2" t="s">
        <v>855</v>
      </c>
      <c r="D5623" s="31">
        <f t="shared" si="175"/>
        <v>6.3537950773203636E-2</v>
      </c>
      <c r="F5623" s="2" t="s">
        <v>822</v>
      </c>
      <c r="G5623" s="23" t="s">
        <v>902</v>
      </c>
      <c r="H5623" s="2" t="s">
        <v>822</v>
      </c>
      <c r="J5623" s="31">
        <v>58.881198900000001</v>
      </c>
      <c r="K5623" s="31">
        <v>-1.7685500000000001</v>
      </c>
      <c r="L5623" s="31"/>
      <c r="M5623" s="31" t="s">
        <v>854</v>
      </c>
      <c r="N5623" s="6" t="s">
        <v>856</v>
      </c>
    </row>
    <row r="5624" spans="1:14" ht="15" customHeight="1" x14ac:dyDescent="0.2">
      <c r="A5624" s="31">
        <v>0.32405400173983778</v>
      </c>
      <c r="B5624" s="31"/>
      <c r="C5624" s="2" t="s">
        <v>855</v>
      </c>
      <c r="D5624" s="31">
        <f t="shared" si="175"/>
        <v>6.3514584341008207E-2</v>
      </c>
      <c r="F5624" s="2" t="s">
        <v>822</v>
      </c>
      <c r="G5624" s="23" t="s">
        <v>902</v>
      </c>
      <c r="H5624" s="2" t="s">
        <v>822</v>
      </c>
      <c r="J5624" s="31">
        <v>50.084800700000002</v>
      </c>
      <c r="K5624" s="31">
        <v>-15.174699800000001</v>
      </c>
      <c r="L5624" s="31"/>
      <c r="M5624" s="31" t="s">
        <v>854</v>
      </c>
      <c r="N5624" s="6" t="s">
        <v>856</v>
      </c>
    </row>
    <row r="5625" spans="1:14" ht="15" customHeight="1" x14ac:dyDescent="0.2">
      <c r="A5625" s="31">
        <v>0.32404809377837102</v>
      </c>
      <c r="B5625" s="31"/>
      <c r="C5625" s="2" t="s">
        <v>855</v>
      </c>
      <c r="D5625" s="31">
        <f t="shared" si="175"/>
        <v>6.351342638056072E-2</v>
      </c>
      <c r="F5625" s="2" t="s">
        <v>822</v>
      </c>
      <c r="G5625" s="23" t="s">
        <v>902</v>
      </c>
      <c r="H5625" s="2" t="s">
        <v>822</v>
      </c>
      <c r="J5625" s="31">
        <v>59.439998600000003</v>
      </c>
      <c r="K5625" s="31">
        <v>-17.176000599999998</v>
      </c>
      <c r="L5625" s="31"/>
      <c r="M5625" s="31" t="s">
        <v>854</v>
      </c>
      <c r="N5625" s="6" t="s">
        <v>856</v>
      </c>
    </row>
    <row r="5626" spans="1:14" ht="15" customHeight="1" x14ac:dyDescent="0.2">
      <c r="A5626" s="31">
        <v>0.32394982951899137</v>
      </c>
      <c r="B5626" s="31"/>
      <c r="C5626" s="2" t="s">
        <v>855</v>
      </c>
      <c r="D5626" s="31">
        <f t="shared" si="175"/>
        <v>6.3494166585722309E-2</v>
      </c>
      <c r="F5626" s="2" t="s">
        <v>822</v>
      </c>
      <c r="G5626" s="23" t="s">
        <v>902</v>
      </c>
      <c r="H5626" s="2" t="s">
        <v>822</v>
      </c>
      <c r="J5626" s="31">
        <v>53.428001399999999</v>
      </c>
      <c r="K5626" s="31">
        <v>-28.531999599999999</v>
      </c>
      <c r="L5626" s="31"/>
      <c r="M5626" s="31" t="s">
        <v>854</v>
      </c>
      <c r="N5626" s="6" t="s">
        <v>856</v>
      </c>
    </row>
    <row r="5627" spans="1:14" ht="15" customHeight="1" x14ac:dyDescent="0.2">
      <c r="A5627" s="31">
        <v>0.3237336396993456</v>
      </c>
      <c r="B5627" s="31"/>
      <c r="C5627" s="2" t="s">
        <v>855</v>
      </c>
      <c r="D5627" s="31">
        <f t="shared" si="175"/>
        <v>6.3451793381071736E-2</v>
      </c>
      <c r="F5627" s="2" t="s">
        <v>822</v>
      </c>
      <c r="G5627" s="23" t="s">
        <v>902</v>
      </c>
      <c r="H5627" s="2" t="s">
        <v>822</v>
      </c>
      <c r="J5627" s="31">
        <v>56.768001599999998</v>
      </c>
      <c r="K5627" s="31">
        <v>-19.847999600000001</v>
      </c>
      <c r="L5627" s="31"/>
      <c r="M5627" s="31" t="s">
        <v>854</v>
      </c>
      <c r="N5627" s="6" t="s">
        <v>856</v>
      </c>
    </row>
    <row r="5628" spans="1:14" ht="15" customHeight="1" x14ac:dyDescent="0.2">
      <c r="A5628" s="31">
        <v>0.32371384504333151</v>
      </c>
      <c r="B5628" s="31"/>
      <c r="C5628" s="2" t="s">
        <v>855</v>
      </c>
      <c r="D5628" s="31">
        <f t="shared" si="175"/>
        <v>6.3447913628492975E-2</v>
      </c>
      <c r="F5628" s="2" t="s">
        <v>822</v>
      </c>
      <c r="G5628" s="23" t="s">
        <v>902</v>
      </c>
      <c r="H5628" s="2" t="s">
        <v>822</v>
      </c>
      <c r="J5628" s="31">
        <v>60.108001700000003</v>
      </c>
      <c r="K5628" s="31">
        <v>-24.5240002</v>
      </c>
      <c r="L5628" s="31"/>
      <c r="M5628" s="31" t="s">
        <v>854</v>
      </c>
      <c r="N5628" s="6" t="s">
        <v>856</v>
      </c>
    </row>
    <row r="5629" spans="1:14" ht="15" customHeight="1" x14ac:dyDescent="0.2">
      <c r="A5629" s="31">
        <v>0.3234203567031349</v>
      </c>
      <c r="B5629" s="31"/>
      <c r="C5629" s="2" t="s">
        <v>855</v>
      </c>
      <c r="D5629" s="31">
        <f t="shared" si="175"/>
        <v>6.3390389913814446E-2</v>
      </c>
      <c r="F5629" s="2" t="s">
        <v>822</v>
      </c>
      <c r="G5629" s="23" t="s">
        <v>902</v>
      </c>
      <c r="H5629" s="2" t="s">
        <v>822</v>
      </c>
      <c r="J5629" s="31">
        <v>58.171501200000002</v>
      </c>
      <c r="K5629" s="31">
        <v>-5.3397198000000001</v>
      </c>
      <c r="L5629" s="31"/>
      <c r="M5629" s="31" t="s">
        <v>854</v>
      </c>
      <c r="N5629" s="6" t="s">
        <v>856</v>
      </c>
    </row>
    <row r="5630" spans="1:14" ht="15" customHeight="1" x14ac:dyDescent="0.2">
      <c r="A5630" s="31">
        <v>0.32339909044209342</v>
      </c>
      <c r="B5630" s="31"/>
      <c r="C5630" s="2" t="s">
        <v>855</v>
      </c>
      <c r="D5630" s="31">
        <f t="shared" si="175"/>
        <v>6.3386221726650316E-2</v>
      </c>
      <c r="F5630" s="2" t="s">
        <v>822</v>
      </c>
      <c r="G5630" s="23" t="s">
        <v>902</v>
      </c>
      <c r="H5630" s="2" t="s">
        <v>822</v>
      </c>
      <c r="J5630" s="31">
        <v>51.0774002</v>
      </c>
      <c r="K5630" s="31">
        <v>-37.448700000000002</v>
      </c>
      <c r="L5630" s="31"/>
      <c r="M5630" s="31" t="s">
        <v>854</v>
      </c>
      <c r="N5630" s="6" t="s">
        <v>856</v>
      </c>
    </row>
    <row r="5631" spans="1:14" ht="15" customHeight="1" x14ac:dyDescent="0.2">
      <c r="A5631" s="31">
        <v>0.32330880706170351</v>
      </c>
      <c r="B5631" s="31"/>
      <c r="C5631" s="2" t="s">
        <v>855</v>
      </c>
      <c r="D5631" s="31">
        <f t="shared" si="175"/>
        <v>6.3368526184093887E-2</v>
      </c>
      <c r="F5631" s="2" t="s">
        <v>822</v>
      </c>
      <c r="G5631" s="23" t="s">
        <v>902</v>
      </c>
      <c r="H5631" s="2" t="s">
        <v>822</v>
      </c>
      <c r="J5631" s="31">
        <v>48.083999599999999</v>
      </c>
      <c r="K5631" s="31">
        <v>-21.184000000000001</v>
      </c>
      <c r="L5631" s="31"/>
      <c r="M5631" s="31" t="s">
        <v>854</v>
      </c>
      <c r="N5631" s="6" t="s">
        <v>856</v>
      </c>
    </row>
    <row r="5632" spans="1:14" ht="15" customHeight="1" x14ac:dyDescent="0.2">
      <c r="A5632" s="31">
        <v>0.32195076288791241</v>
      </c>
      <c r="B5632" s="31"/>
      <c r="C5632" s="2" t="s">
        <v>855</v>
      </c>
      <c r="D5632" s="31">
        <f t="shared" si="175"/>
        <v>6.3102349526030832E-2</v>
      </c>
      <c r="F5632" s="2" t="s">
        <v>822</v>
      </c>
      <c r="G5632" s="23" t="s">
        <v>902</v>
      </c>
      <c r="H5632" s="2" t="s">
        <v>822</v>
      </c>
      <c r="J5632" s="31">
        <v>55.028301200000001</v>
      </c>
      <c r="K5632" s="31">
        <v>-9.8873300999999998</v>
      </c>
      <c r="L5632" s="31"/>
      <c r="M5632" s="31" t="s">
        <v>854</v>
      </c>
      <c r="N5632" s="6" t="s">
        <v>856</v>
      </c>
    </row>
    <row r="5633" spans="1:14" ht="15" customHeight="1" x14ac:dyDescent="0.2">
      <c r="A5633" s="31">
        <v>0.32169729755664922</v>
      </c>
      <c r="B5633" s="31"/>
      <c r="C5633" s="2" t="s">
        <v>855</v>
      </c>
      <c r="D5633" s="31">
        <f t="shared" si="175"/>
        <v>6.3052670321103246E-2</v>
      </c>
      <c r="F5633" s="2" t="s">
        <v>822</v>
      </c>
      <c r="G5633" s="23" t="s">
        <v>902</v>
      </c>
      <c r="H5633" s="2" t="s">
        <v>822</v>
      </c>
      <c r="J5633" s="31">
        <v>46.080001799999998</v>
      </c>
      <c r="K5633" s="31">
        <v>-31.8719997</v>
      </c>
      <c r="L5633" s="31"/>
      <c r="M5633" s="31" t="s">
        <v>854</v>
      </c>
      <c r="N5633" s="6" t="s">
        <v>856</v>
      </c>
    </row>
    <row r="5634" spans="1:14" ht="15" customHeight="1" x14ac:dyDescent="0.2">
      <c r="A5634" s="31">
        <v>0.32142574155737252</v>
      </c>
      <c r="B5634" s="31"/>
      <c r="C5634" s="2" t="s">
        <v>855</v>
      </c>
      <c r="D5634" s="31">
        <f t="shared" si="175"/>
        <v>6.2999445345245014E-2</v>
      </c>
      <c r="F5634" s="2" t="s">
        <v>822</v>
      </c>
      <c r="G5634" s="23" t="s">
        <v>902</v>
      </c>
      <c r="H5634" s="2" t="s">
        <v>822</v>
      </c>
      <c r="J5634" s="31">
        <v>60.776001000000001</v>
      </c>
      <c r="K5634" s="31">
        <v>-19.1800003</v>
      </c>
      <c r="L5634" s="31"/>
      <c r="M5634" s="31" t="s">
        <v>854</v>
      </c>
      <c r="N5634" s="6" t="s">
        <v>856</v>
      </c>
    </row>
    <row r="5635" spans="1:14" ht="15" customHeight="1" x14ac:dyDescent="0.2">
      <c r="A5635" s="31">
        <v>0.32086913702646358</v>
      </c>
      <c r="B5635" s="31"/>
      <c r="C5635" s="2" t="s">
        <v>855</v>
      </c>
      <c r="D5635" s="31">
        <f t="shared" si="175"/>
        <v>6.2890350857186861E-2</v>
      </c>
      <c r="F5635" s="2" t="s">
        <v>822</v>
      </c>
      <c r="G5635" s="23" t="s">
        <v>902</v>
      </c>
      <c r="H5635" s="2" t="s">
        <v>822</v>
      </c>
      <c r="J5635" s="31">
        <v>57.724498699999998</v>
      </c>
      <c r="K5635" s="31">
        <v>5.3604598000000001</v>
      </c>
      <c r="L5635" s="31"/>
      <c r="M5635" s="31" t="s">
        <v>854</v>
      </c>
      <c r="N5635" s="6" t="s">
        <v>856</v>
      </c>
    </row>
    <row r="5636" spans="1:14" ht="15" customHeight="1" x14ac:dyDescent="0.2">
      <c r="A5636" s="31">
        <v>0.32060100509919498</v>
      </c>
      <c r="B5636" s="31"/>
      <c r="C5636" s="2" t="s">
        <v>855</v>
      </c>
      <c r="D5636" s="31">
        <f t="shared" si="175"/>
        <v>6.2837796999442225E-2</v>
      </c>
      <c r="F5636" s="2" t="s">
        <v>822</v>
      </c>
      <c r="G5636" s="23" t="s">
        <v>902</v>
      </c>
      <c r="H5636" s="2" t="s">
        <v>822</v>
      </c>
      <c r="J5636" s="31">
        <v>61.964698800000001</v>
      </c>
      <c r="K5636" s="31">
        <v>-7.7522301999999996</v>
      </c>
      <c r="L5636" s="31"/>
      <c r="M5636" s="31" t="s">
        <v>854</v>
      </c>
      <c r="N5636" s="6" t="s">
        <v>856</v>
      </c>
    </row>
    <row r="5637" spans="1:14" ht="15" customHeight="1" x14ac:dyDescent="0.2">
      <c r="A5637" s="31">
        <v>0.32053024330107038</v>
      </c>
      <c r="B5637" s="31"/>
      <c r="C5637" s="2" t="s">
        <v>855</v>
      </c>
      <c r="D5637" s="31">
        <f t="shared" si="175"/>
        <v>6.2823927687009798E-2</v>
      </c>
      <c r="F5637" s="2" t="s">
        <v>822</v>
      </c>
      <c r="G5637" s="23" t="s">
        <v>902</v>
      </c>
      <c r="H5637" s="2" t="s">
        <v>822</v>
      </c>
      <c r="J5637" s="31">
        <v>52.840099299999999</v>
      </c>
      <c r="K5637" s="31">
        <v>4.6097697999999996</v>
      </c>
      <c r="L5637" s="31"/>
      <c r="M5637" s="31" t="s">
        <v>854</v>
      </c>
      <c r="N5637" s="6" t="s">
        <v>856</v>
      </c>
    </row>
    <row r="5638" spans="1:14" ht="15" customHeight="1" x14ac:dyDescent="0.2">
      <c r="A5638" s="31">
        <v>0.32040731273872791</v>
      </c>
      <c r="B5638" s="31"/>
      <c r="C5638" s="2" t="s">
        <v>855</v>
      </c>
      <c r="D5638" s="31">
        <f t="shared" si="175"/>
        <v>6.2799833296790675E-2</v>
      </c>
      <c r="F5638" s="2" t="s">
        <v>822</v>
      </c>
      <c r="G5638" s="23" t="s">
        <v>902</v>
      </c>
      <c r="H5638" s="2" t="s">
        <v>822</v>
      </c>
      <c r="J5638" s="31">
        <v>59.773998300000002</v>
      </c>
      <c r="K5638" s="31">
        <v>-18.846000700000001</v>
      </c>
      <c r="L5638" s="31"/>
      <c r="M5638" s="31" t="s">
        <v>854</v>
      </c>
      <c r="N5638" s="6" t="s">
        <v>856</v>
      </c>
    </row>
    <row r="5639" spans="1:14" ht="15" customHeight="1" x14ac:dyDescent="0.2">
      <c r="A5639" s="31">
        <v>0.32019013564523602</v>
      </c>
      <c r="B5639" s="31"/>
      <c r="C5639" s="2" t="s">
        <v>855</v>
      </c>
      <c r="D5639" s="31">
        <f t="shared" si="175"/>
        <v>6.2757266586466257E-2</v>
      </c>
      <c r="F5639" s="2" t="s">
        <v>822</v>
      </c>
      <c r="G5639" s="23" t="s">
        <v>902</v>
      </c>
      <c r="H5639" s="2" t="s">
        <v>822</v>
      </c>
      <c r="J5639" s="31">
        <v>53.115398399999997</v>
      </c>
      <c r="K5639" s="31">
        <v>-18.824600199999999</v>
      </c>
      <c r="L5639" s="31"/>
      <c r="M5639" s="31" t="s">
        <v>854</v>
      </c>
      <c r="N5639" s="6" t="s">
        <v>856</v>
      </c>
    </row>
    <row r="5640" spans="1:14" ht="15" customHeight="1" x14ac:dyDescent="0.2">
      <c r="A5640" s="31">
        <v>0.31998953505942851</v>
      </c>
      <c r="B5640" s="31"/>
      <c r="C5640" s="2" t="s">
        <v>855</v>
      </c>
      <c r="D5640" s="31">
        <f t="shared" si="175"/>
        <v>6.2717948871647985E-2</v>
      </c>
      <c r="F5640" s="2" t="s">
        <v>822</v>
      </c>
      <c r="G5640" s="23" t="s">
        <v>902</v>
      </c>
      <c r="H5640" s="2" t="s">
        <v>822</v>
      </c>
      <c r="J5640" s="31">
        <v>54.096000699999998</v>
      </c>
      <c r="K5640" s="31">
        <v>-29.200000800000002</v>
      </c>
      <c r="L5640" s="31"/>
      <c r="M5640" s="31" t="s">
        <v>854</v>
      </c>
      <c r="N5640" s="6" t="s">
        <v>856</v>
      </c>
    </row>
    <row r="5641" spans="1:14" ht="15" customHeight="1" x14ac:dyDescent="0.2">
      <c r="A5641" s="31">
        <v>0.31984997339602123</v>
      </c>
      <c r="B5641" s="31"/>
      <c r="C5641" s="2" t="s">
        <v>855</v>
      </c>
      <c r="D5641" s="31">
        <f t="shared" si="175"/>
        <v>6.2690594785620168E-2</v>
      </c>
      <c r="F5641" s="2" t="s">
        <v>822</v>
      </c>
      <c r="G5641" s="23" t="s">
        <v>902</v>
      </c>
      <c r="H5641" s="2" t="s">
        <v>822</v>
      </c>
      <c r="J5641" s="31">
        <v>55.4319992</v>
      </c>
      <c r="K5641" s="31">
        <v>-18.511999100000001</v>
      </c>
      <c r="L5641" s="31"/>
      <c r="M5641" s="31" t="s">
        <v>854</v>
      </c>
      <c r="N5641" s="6" t="s">
        <v>856</v>
      </c>
    </row>
    <row r="5642" spans="1:14" ht="15" customHeight="1" x14ac:dyDescent="0.2">
      <c r="A5642" s="31">
        <v>0.31930344287665119</v>
      </c>
      <c r="B5642" s="31"/>
      <c r="C5642" s="2" t="s">
        <v>855</v>
      </c>
      <c r="D5642" s="31">
        <f t="shared" si="175"/>
        <v>6.2583474803823633E-2</v>
      </c>
      <c r="F5642" s="2" t="s">
        <v>822</v>
      </c>
      <c r="G5642" s="23" t="s">
        <v>902</v>
      </c>
      <c r="H5642" s="2" t="s">
        <v>822</v>
      </c>
      <c r="J5642" s="31">
        <v>54.166599300000001</v>
      </c>
      <c r="K5642" s="31">
        <v>-11.8319998</v>
      </c>
      <c r="L5642" s="31"/>
      <c r="M5642" s="31" t="s">
        <v>854</v>
      </c>
      <c r="N5642" s="6" t="s">
        <v>856</v>
      </c>
    </row>
    <row r="5643" spans="1:14" ht="15" customHeight="1" x14ac:dyDescent="0.2">
      <c r="A5643" s="31">
        <v>0.31930170194952828</v>
      </c>
      <c r="B5643" s="31"/>
      <c r="C5643" s="2" t="s">
        <v>855</v>
      </c>
      <c r="D5643" s="31">
        <f t="shared" si="175"/>
        <v>6.2583133582107542E-2</v>
      </c>
      <c r="F5643" s="2" t="s">
        <v>822</v>
      </c>
      <c r="G5643" s="23" t="s">
        <v>902</v>
      </c>
      <c r="H5643" s="2" t="s">
        <v>822</v>
      </c>
      <c r="J5643" s="31">
        <v>49.419998200000002</v>
      </c>
      <c r="K5643" s="31">
        <v>-39.220001199999999</v>
      </c>
      <c r="L5643" s="31"/>
      <c r="M5643" s="31" t="s">
        <v>854</v>
      </c>
      <c r="N5643" s="6" t="s">
        <v>856</v>
      </c>
    </row>
    <row r="5644" spans="1:14" ht="15" customHeight="1" x14ac:dyDescent="0.2">
      <c r="A5644" s="31">
        <v>0.31923456800354072</v>
      </c>
      <c r="B5644" s="31"/>
      <c r="C5644" s="2" t="s">
        <v>855</v>
      </c>
      <c r="D5644" s="31">
        <f t="shared" si="175"/>
        <v>6.2569975328693989E-2</v>
      </c>
      <c r="F5644" s="2" t="s">
        <v>822</v>
      </c>
      <c r="G5644" s="23" t="s">
        <v>902</v>
      </c>
      <c r="H5644" s="2" t="s">
        <v>822</v>
      </c>
      <c r="J5644" s="31">
        <v>60.776001000000001</v>
      </c>
      <c r="K5644" s="31">
        <v>-13.8360004</v>
      </c>
      <c r="L5644" s="31"/>
      <c r="M5644" s="31" t="s">
        <v>854</v>
      </c>
      <c r="N5644" s="6" t="s">
        <v>856</v>
      </c>
    </row>
    <row r="5645" spans="1:14" ht="15" customHeight="1" x14ac:dyDescent="0.2">
      <c r="A5645" s="31">
        <v>0.3192327486446162</v>
      </c>
      <c r="B5645" s="31"/>
      <c r="C5645" s="2" t="s">
        <v>855</v>
      </c>
      <c r="D5645" s="31">
        <f t="shared" si="175"/>
        <v>6.2569618734344773E-2</v>
      </c>
      <c r="F5645" s="2" t="s">
        <v>822</v>
      </c>
      <c r="G5645" s="23" t="s">
        <v>902</v>
      </c>
      <c r="H5645" s="2" t="s">
        <v>822</v>
      </c>
      <c r="J5645" s="31">
        <v>53.429599799999998</v>
      </c>
      <c r="K5645" s="31">
        <v>3.5336599</v>
      </c>
      <c r="L5645" s="31"/>
      <c r="M5645" s="31" t="s">
        <v>854</v>
      </c>
      <c r="N5645" s="6" t="s">
        <v>856</v>
      </c>
    </row>
    <row r="5646" spans="1:14" ht="15" customHeight="1" x14ac:dyDescent="0.2">
      <c r="A5646" s="31">
        <v>0.3191664189772766</v>
      </c>
      <c r="B5646" s="31"/>
      <c r="C5646" s="2" t="s">
        <v>855</v>
      </c>
      <c r="D5646" s="31">
        <f t="shared" si="175"/>
        <v>6.2556618119546215E-2</v>
      </c>
      <c r="F5646" s="2" t="s">
        <v>822</v>
      </c>
      <c r="G5646" s="23" t="s">
        <v>902</v>
      </c>
      <c r="H5646" s="2" t="s">
        <v>822</v>
      </c>
      <c r="J5646" s="31">
        <v>62.674598699999997</v>
      </c>
      <c r="K5646" s="31">
        <v>-22.520000499999998</v>
      </c>
      <c r="L5646" s="31"/>
      <c r="M5646" s="31" t="s">
        <v>854</v>
      </c>
      <c r="N5646" s="6" t="s">
        <v>856</v>
      </c>
    </row>
    <row r="5647" spans="1:14" ht="15" customHeight="1" x14ac:dyDescent="0.2">
      <c r="A5647" s="31">
        <v>0.31905229417165232</v>
      </c>
      <c r="B5647" s="31"/>
      <c r="C5647" s="2" t="s">
        <v>855</v>
      </c>
      <c r="D5647" s="31">
        <f t="shared" si="175"/>
        <v>6.2534249657643856E-2</v>
      </c>
      <c r="F5647" s="2" t="s">
        <v>822</v>
      </c>
      <c r="G5647" s="23" t="s">
        <v>902</v>
      </c>
      <c r="H5647" s="2" t="s">
        <v>822</v>
      </c>
      <c r="J5647" s="31">
        <v>54.685901600000001</v>
      </c>
      <c r="K5647" s="31">
        <v>0.97132200000000002</v>
      </c>
      <c r="L5647" s="31"/>
      <c r="M5647" s="31" t="s">
        <v>854</v>
      </c>
      <c r="N5647" s="6" t="s">
        <v>856</v>
      </c>
    </row>
    <row r="5648" spans="1:14" ht="15" customHeight="1" x14ac:dyDescent="0.2">
      <c r="A5648" s="31">
        <v>0.3187953659738601</v>
      </c>
      <c r="B5648" s="31"/>
      <c r="C5648" s="2" t="s">
        <v>855</v>
      </c>
      <c r="D5648" s="31">
        <f t="shared" si="175"/>
        <v>6.2483891730876581E-2</v>
      </c>
      <c r="F5648" s="2" t="s">
        <v>822</v>
      </c>
      <c r="G5648" s="23" t="s">
        <v>902</v>
      </c>
      <c r="H5648" s="2" t="s">
        <v>822</v>
      </c>
      <c r="J5648" s="31">
        <v>54.686100000000003</v>
      </c>
      <c r="K5648" s="31">
        <v>-15.0375996</v>
      </c>
      <c r="L5648" s="31"/>
      <c r="M5648" s="31" t="s">
        <v>854</v>
      </c>
      <c r="N5648" s="6" t="s">
        <v>856</v>
      </c>
    </row>
    <row r="5649" spans="1:14" ht="15" customHeight="1" x14ac:dyDescent="0.2">
      <c r="A5649" s="31">
        <v>0.3187728919234013</v>
      </c>
      <c r="B5649" s="31"/>
      <c r="C5649" s="2" t="s">
        <v>855</v>
      </c>
      <c r="D5649" s="31">
        <f t="shared" ref="D5649:D5712" si="176" xml:space="preserve"> A5649 * 0.196</f>
        <v>6.247948681698666E-2</v>
      </c>
      <c r="F5649" s="2" t="s">
        <v>822</v>
      </c>
      <c r="G5649" s="23" t="s">
        <v>902</v>
      </c>
      <c r="H5649" s="2" t="s">
        <v>822</v>
      </c>
      <c r="J5649" s="31">
        <v>60.108001700000003</v>
      </c>
      <c r="K5649" s="31">
        <v>1.528</v>
      </c>
      <c r="L5649" s="31"/>
      <c r="M5649" s="31" t="s">
        <v>854</v>
      </c>
      <c r="N5649" s="6" t="s">
        <v>856</v>
      </c>
    </row>
    <row r="5650" spans="1:14" ht="15" customHeight="1" x14ac:dyDescent="0.2">
      <c r="A5650" s="31">
        <v>0.31857539497059117</v>
      </c>
      <c r="B5650" s="31"/>
      <c r="C5650" s="2" t="s">
        <v>855</v>
      </c>
      <c r="D5650" s="31">
        <f t="shared" si="176"/>
        <v>6.2440777414235871E-2</v>
      </c>
      <c r="F5650" s="2" t="s">
        <v>822</v>
      </c>
      <c r="G5650" s="23" t="s">
        <v>902</v>
      </c>
      <c r="H5650" s="2" t="s">
        <v>822</v>
      </c>
      <c r="J5650" s="31">
        <v>57.436000800000002</v>
      </c>
      <c r="K5650" s="31">
        <v>-23.856000900000002</v>
      </c>
      <c r="L5650" s="31"/>
      <c r="M5650" s="31" t="s">
        <v>854</v>
      </c>
      <c r="N5650" s="6" t="s">
        <v>856</v>
      </c>
    </row>
    <row r="5651" spans="1:14" ht="15" customHeight="1" x14ac:dyDescent="0.2">
      <c r="A5651" s="31">
        <v>0.31857245169418691</v>
      </c>
      <c r="B5651" s="31"/>
      <c r="C5651" s="2" t="s">
        <v>855</v>
      </c>
      <c r="D5651" s="31">
        <f t="shared" si="176"/>
        <v>6.244020053206064E-2</v>
      </c>
      <c r="F5651" s="2" t="s">
        <v>822</v>
      </c>
      <c r="G5651" s="23" t="s">
        <v>902</v>
      </c>
      <c r="H5651" s="2" t="s">
        <v>822</v>
      </c>
      <c r="J5651" s="31">
        <v>54.096000699999998</v>
      </c>
      <c r="K5651" s="31">
        <v>-27.864000300000001</v>
      </c>
      <c r="L5651" s="31"/>
      <c r="M5651" s="31" t="s">
        <v>854</v>
      </c>
      <c r="N5651" s="6" t="s">
        <v>856</v>
      </c>
    </row>
    <row r="5652" spans="1:14" ht="15" customHeight="1" x14ac:dyDescent="0.2">
      <c r="A5652" s="31">
        <v>0.318254102505034</v>
      </c>
      <c r="B5652" s="31"/>
      <c r="C5652" s="2" t="s">
        <v>855</v>
      </c>
      <c r="D5652" s="31">
        <f t="shared" si="176"/>
        <v>6.2377804090986665E-2</v>
      </c>
      <c r="F5652" s="2" t="s">
        <v>822</v>
      </c>
      <c r="G5652" s="23" t="s">
        <v>902</v>
      </c>
      <c r="H5652" s="2" t="s">
        <v>822</v>
      </c>
      <c r="J5652" s="31">
        <v>29.3799992</v>
      </c>
      <c r="K5652" s="31">
        <v>-37.883998900000002</v>
      </c>
      <c r="L5652" s="31"/>
      <c r="M5652" s="31" t="s">
        <v>854</v>
      </c>
      <c r="N5652" s="6" t="s">
        <v>856</v>
      </c>
    </row>
    <row r="5653" spans="1:14" ht="15" customHeight="1" x14ac:dyDescent="0.2">
      <c r="A5653" s="31">
        <v>0.31824103422109729</v>
      </c>
      <c r="B5653" s="31"/>
      <c r="C5653" s="2" t="s">
        <v>855</v>
      </c>
      <c r="D5653" s="31">
        <f t="shared" si="176"/>
        <v>6.237524270733507E-2</v>
      </c>
      <c r="F5653" s="2" t="s">
        <v>822</v>
      </c>
      <c r="G5653" s="23" t="s">
        <v>902</v>
      </c>
      <c r="H5653" s="2" t="s">
        <v>822</v>
      </c>
      <c r="J5653" s="31">
        <v>58.771999399999999</v>
      </c>
      <c r="K5653" s="31">
        <v>1.528</v>
      </c>
      <c r="L5653" s="31"/>
      <c r="M5653" s="31" t="s">
        <v>854</v>
      </c>
      <c r="N5653" s="6" t="s">
        <v>856</v>
      </c>
    </row>
    <row r="5654" spans="1:14" ht="15" customHeight="1" x14ac:dyDescent="0.2">
      <c r="A5654" s="31">
        <v>0.31823228366725648</v>
      </c>
      <c r="B5654" s="31"/>
      <c r="C5654" s="2" t="s">
        <v>855</v>
      </c>
      <c r="D5654" s="31">
        <f t="shared" si="176"/>
        <v>6.2373527598782272E-2</v>
      </c>
      <c r="F5654" s="2" t="s">
        <v>822</v>
      </c>
      <c r="G5654" s="23" t="s">
        <v>902</v>
      </c>
      <c r="H5654" s="2" t="s">
        <v>822</v>
      </c>
      <c r="J5654" s="31">
        <v>48.751998899999997</v>
      </c>
      <c r="K5654" s="31">
        <v>-39.220001199999999</v>
      </c>
      <c r="L5654" s="31"/>
      <c r="M5654" s="31" t="s">
        <v>854</v>
      </c>
      <c r="N5654" s="6" t="s">
        <v>856</v>
      </c>
    </row>
    <row r="5655" spans="1:14" ht="15" customHeight="1" x14ac:dyDescent="0.2">
      <c r="A5655" s="31">
        <v>0.31808115554878941</v>
      </c>
      <c r="B5655" s="31"/>
      <c r="C5655" s="2" t="s">
        <v>855</v>
      </c>
      <c r="D5655" s="31">
        <f t="shared" si="176"/>
        <v>6.2343906487562724E-2</v>
      </c>
      <c r="F5655" s="2" t="s">
        <v>822</v>
      </c>
      <c r="G5655" s="23" t="s">
        <v>902</v>
      </c>
      <c r="H5655" s="2" t="s">
        <v>822</v>
      </c>
      <c r="J5655" s="31">
        <v>56.099998499999998</v>
      </c>
      <c r="K5655" s="31">
        <v>-27.864000300000001</v>
      </c>
      <c r="L5655" s="31"/>
      <c r="M5655" s="31" t="s">
        <v>854</v>
      </c>
      <c r="N5655" s="6" t="s">
        <v>856</v>
      </c>
    </row>
    <row r="5656" spans="1:14" ht="15" customHeight="1" x14ac:dyDescent="0.2">
      <c r="A5656" s="31">
        <v>0.31791196225365093</v>
      </c>
      <c r="B5656" s="31"/>
      <c r="C5656" s="2" t="s">
        <v>855</v>
      </c>
      <c r="D5656" s="31">
        <f t="shared" si="176"/>
        <v>6.2310744601715581E-2</v>
      </c>
      <c r="F5656" s="2" t="s">
        <v>822</v>
      </c>
      <c r="G5656" s="23" t="s">
        <v>902</v>
      </c>
      <c r="H5656" s="2" t="s">
        <v>822</v>
      </c>
      <c r="J5656" s="31">
        <v>62.693801899999997</v>
      </c>
      <c r="K5656" s="31">
        <v>-16.4913998</v>
      </c>
      <c r="L5656" s="31"/>
      <c r="M5656" s="31" t="s">
        <v>854</v>
      </c>
      <c r="N5656" s="6" t="s">
        <v>856</v>
      </c>
    </row>
    <row r="5657" spans="1:14" ht="15" customHeight="1" x14ac:dyDescent="0.2">
      <c r="A5657" s="31">
        <v>0.31770611268333898</v>
      </c>
      <c r="B5657" s="31"/>
      <c r="C5657" s="2" t="s">
        <v>855</v>
      </c>
      <c r="D5657" s="31">
        <f t="shared" si="176"/>
        <v>6.2270398085934445E-2</v>
      </c>
      <c r="F5657" s="2" t="s">
        <v>822</v>
      </c>
      <c r="G5657" s="23" t="s">
        <v>902</v>
      </c>
      <c r="H5657" s="2" t="s">
        <v>822</v>
      </c>
      <c r="J5657" s="31">
        <v>61.444000199999998</v>
      </c>
      <c r="K5657" s="31">
        <v>-13.1680002</v>
      </c>
      <c r="L5657" s="31"/>
      <c r="M5657" s="31" t="s">
        <v>854</v>
      </c>
      <c r="N5657" s="6" t="s">
        <v>856</v>
      </c>
    </row>
    <row r="5658" spans="1:14" ht="15" customHeight="1" x14ac:dyDescent="0.2">
      <c r="A5658" s="31">
        <v>0.31755158673098988</v>
      </c>
      <c r="B5658" s="31"/>
      <c r="C5658" s="2" t="s">
        <v>855</v>
      </c>
      <c r="D5658" s="31">
        <f t="shared" si="176"/>
        <v>6.2240110999274019E-2</v>
      </c>
      <c r="F5658" s="2" t="s">
        <v>822</v>
      </c>
      <c r="G5658" s="23" t="s">
        <v>902</v>
      </c>
      <c r="H5658" s="2" t="s">
        <v>822</v>
      </c>
      <c r="J5658" s="31">
        <v>60.108001700000003</v>
      </c>
      <c r="K5658" s="31">
        <v>-0.47599999999999998</v>
      </c>
      <c r="L5658" s="31"/>
      <c r="M5658" s="31" t="s">
        <v>854</v>
      </c>
      <c r="N5658" s="6" t="s">
        <v>856</v>
      </c>
    </row>
    <row r="5659" spans="1:14" ht="15" customHeight="1" x14ac:dyDescent="0.2">
      <c r="A5659" s="31">
        <v>0.31749921428230748</v>
      </c>
      <c r="B5659" s="31"/>
      <c r="C5659" s="2" t="s">
        <v>855</v>
      </c>
      <c r="D5659" s="31">
        <f t="shared" si="176"/>
        <v>6.2229845999332269E-2</v>
      </c>
      <c r="F5659" s="2" t="s">
        <v>822</v>
      </c>
      <c r="G5659" s="23" t="s">
        <v>902</v>
      </c>
      <c r="H5659" s="2" t="s">
        <v>822</v>
      </c>
      <c r="J5659" s="31">
        <v>54.096000699999998</v>
      </c>
      <c r="K5659" s="31">
        <v>-21.851999299999999</v>
      </c>
      <c r="L5659" s="31"/>
      <c r="M5659" s="31" t="s">
        <v>854</v>
      </c>
      <c r="N5659" s="6" t="s">
        <v>856</v>
      </c>
    </row>
    <row r="5660" spans="1:14" ht="15" customHeight="1" x14ac:dyDescent="0.2">
      <c r="A5660" s="31">
        <v>0.31723673619098119</v>
      </c>
      <c r="B5660" s="31"/>
      <c r="C5660" s="2" t="s">
        <v>855</v>
      </c>
      <c r="D5660" s="31">
        <f t="shared" si="176"/>
        <v>6.2178400293432315E-2</v>
      </c>
      <c r="F5660" s="2" t="s">
        <v>822</v>
      </c>
      <c r="G5660" s="23" t="s">
        <v>902</v>
      </c>
      <c r="H5660" s="2" t="s">
        <v>822</v>
      </c>
      <c r="J5660" s="31">
        <v>54.469200100000002</v>
      </c>
      <c r="K5660" s="31">
        <v>-8.7941599000000004</v>
      </c>
      <c r="L5660" s="31"/>
      <c r="M5660" s="31" t="s">
        <v>854</v>
      </c>
      <c r="N5660" s="6" t="s">
        <v>856</v>
      </c>
    </row>
    <row r="5661" spans="1:14" ht="15" customHeight="1" x14ac:dyDescent="0.2">
      <c r="A5661" s="31">
        <v>0.31715344749938812</v>
      </c>
      <c r="B5661" s="31"/>
      <c r="C5661" s="2" t="s">
        <v>855</v>
      </c>
      <c r="D5661" s="31">
        <f t="shared" si="176"/>
        <v>6.2162075709880076E-2</v>
      </c>
      <c r="F5661" s="2" t="s">
        <v>822</v>
      </c>
      <c r="G5661" s="23" t="s">
        <v>902</v>
      </c>
      <c r="H5661" s="2" t="s">
        <v>822</v>
      </c>
      <c r="J5661" s="31">
        <v>58.771999399999999</v>
      </c>
      <c r="K5661" s="31">
        <v>-23.856000900000002</v>
      </c>
      <c r="L5661" s="31"/>
      <c r="M5661" s="31" t="s">
        <v>854</v>
      </c>
      <c r="N5661" s="6" t="s">
        <v>856</v>
      </c>
    </row>
    <row r="5662" spans="1:14" ht="15" customHeight="1" x14ac:dyDescent="0.2">
      <c r="A5662" s="31">
        <v>0.31714250333175481</v>
      </c>
      <c r="B5662" s="31"/>
      <c r="C5662" s="2" t="s">
        <v>855</v>
      </c>
      <c r="D5662" s="31">
        <f t="shared" si="176"/>
        <v>6.2159930653023943E-2</v>
      </c>
      <c r="F5662" s="2" t="s">
        <v>822</v>
      </c>
      <c r="G5662" s="23" t="s">
        <v>902</v>
      </c>
      <c r="H5662" s="2" t="s">
        <v>822</v>
      </c>
      <c r="J5662" s="31">
        <v>51.040401500000002</v>
      </c>
      <c r="K5662" s="31">
        <v>-22.086200699999999</v>
      </c>
      <c r="L5662" s="31"/>
      <c r="M5662" s="31" t="s">
        <v>854</v>
      </c>
      <c r="N5662" s="6" t="s">
        <v>856</v>
      </c>
    </row>
    <row r="5663" spans="1:14" ht="15" customHeight="1" x14ac:dyDescent="0.2">
      <c r="A5663" s="31">
        <v>0.31713885303320122</v>
      </c>
      <c r="B5663" s="31"/>
      <c r="C5663" s="2" t="s">
        <v>855</v>
      </c>
      <c r="D5663" s="31">
        <f t="shared" si="176"/>
        <v>6.2159215194507442E-2</v>
      </c>
      <c r="F5663" s="2" t="s">
        <v>822</v>
      </c>
      <c r="G5663" s="23" t="s">
        <v>902</v>
      </c>
      <c r="H5663" s="2" t="s">
        <v>822</v>
      </c>
      <c r="J5663" s="31">
        <v>52.759998299999999</v>
      </c>
      <c r="K5663" s="31">
        <v>-15.8400002</v>
      </c>
      <c r="L5663" s="31"/>
      <c r="M5663" s="31" t="s">
        <v>854</v>
      </c>
      <c r="N5663" s="6" t="s">
        <v>856</v>
      </c>
    </row>
    <row r="5664" spans="1:14" ht="15" customHeight="1" x14ac:dyDescent="0.2">
      <c r="A5664" s="31">
        <v>0.31711996545025678</v>
      </c>
      <c r="B5664" s="31"/>
      <c r="C5664" s="2" t="s">
        <v>855</v>
      </c>
      <c r="D5664" s="31">
        <f t="shared" si="176"/>
        <v>6.2155513228250331E-2</v>
      </c>
      <c r="F5664" s="2" t="s">
        <v>822</v>
      </c>
      <c r="G5664" s="23" t="s">
        <v>902</v>
      </c>
      <c r="H5664" s="2" t="s">
        <v>822</v>
      </c>
      <c r="J5664" s="31">
        <v>63.717601799999997</v>
      </c>
      <c r="K5664" s="31">
        <v>-14.800200500000001</v>
      </c>
      <c r="L5664" s="31"/>
      <c r="M5664" s="31" t="s">
        <v>854</v>
      </c>
      <c r="N5664" s="6" t="s">
        <v>856</v>
      </c>
    </row>
    <row r="5665" spans="1:14" ht="15" customHeight="1" x14ac:dyDescent="0.2">
      <c r="A5665" s="31">
        <v>0.31630647667014261</v>
      </c>
      <c r="B5665" s="31"/>
      <c r="C5665" s="2" t="s">
        <v>855</v>
      </c>
      <c r="D5665" s="31">
        <f t="shared" si="176"/>
        <v>6.1996069427347957E-2</v>
      </c>
      <c r="F5665" s="2" t="s">
        <v>822</v>
      </c>
      <c r="G5665" s="23" t="s">
        <v>902</v>
      </c>
      <c r="H5665" s="2" t="s">
        <v>822</v>
      </c>
      <c r="J5665" s="31">
        <v>50.498001100000003</v>
      </c>
      <c r="K5665" s="31">
        <v>-14.390299799999999</v>
      </c>
      <c r="L5665" s="31"/>
      <c r="M5665" s="31" t="s">
        <v>854</v>
      </c>
      <c r="N5665" s="6" t="s">
        <v>856</v>
      </c>
    </row>
    <row r="5666" spans="1:14" ht="15" customHeight="1" x14ac:dyDescent="0.2">
      <c r="A5666" s="31">
        <v>0.31626408289620311</v>
      </c>
      <c r="B5666" s="31"/>
      <c r="C5666" s="2" t="s">
        <v>855</v>
      </c>
      <c r="D5666" s="31">
        <f t="shared" si="176"/>
        <v>6.1987760247655815E-2</v>
      </c>
      <c r="F5666" s="2" t="s">
        <v>822</v>
      </c>
      <c r="G5666" s="23" t="s">
        <v>902</v>
      </c>
      <c r="H5666" s="2" t="s">
        <v>822</v>
      </c>
      <c r="J5666" s="31">
        <v>58.026298500000003</v>
      </c>
      <c r="K5666" s="31">
        <v>-6.6702399000000003</v>
      </c>
      <c r="L5666" s="31"/>
      <c r="M5666" s="31" t="s">
        <v>854</v>
      </c>
      <c r="N5666" s="6" t="s">
        <v>856</v>
      </c>
    </row>
    <row r="5667" spans="1:14" ht="15" customHeight="1" x14ac:dyDescent="0.2">
      <c r="A5667" s="31">
        <v>0.3161971954877596</v>
      </c>
      <c r="B5667" s="31"/>
      <c r="C5667" s="2" t="s">
        <v>855</v>
      </c>
      <c r="D5667" s="31">
        <f t="shared" si="176"/>
        <v>6.1974650315600885E-2</v>
      </c>
      <c r="F5667" s="2" t="s">
        <v>822</v>
      </c>
      <c r="G5667" s="23" t="s">
        <v>902</v>
      </c>
      <c r="H5667" s="2" t="s">
        <v>822</v>
      </c>
      <c r="J5667" s="31">
        <v>51.476398500000002</v>
      </c>
      <c r="K5667" s="31">
        <v>-33.8401985</v>
      </c>
      <c r="L5667" s="31"/>
      <c r="M5667" s="31" t="s">
        <v>854</v>
      </c>
      <c r="N5667" s="6" t="s">
        <v>856</v>
      </c>
    </row>
    <row r="5668" spans="1:14" ht="15" customHeight="1" x14ac:dyDescent="0.2">
      <c r="A5668" s="31">
        <v>0.31610700114410212</v>
      </c>
      <c r="B5668" s="31"/>
      <c r="C5668" s="2" t="s">
        <v>855</v>
      </c>
      <c r="D5668" s="31">
        <f t="shared" si="176"/>
        <v>6.1956972224244018E-2</v>
      </c>
      <c r="F5668" s="2" t="s">
        <v>822</v>
      </c>
      <c r="G5668" s="23" t="s">
        <v>902</v>
      </c>
      <c r="H5668" s="2" t="s">
        <v>822</v>
      </c>
      <c r="J5668" s="31">
        <v>61.444000199999998</v>
      </c>
      <c r="K5668" s="31">
        <v>-21.851999299999999</v>
      </c>
      <c r="L5668" s="31"/>
      <c r="M5668" s="31" t="s">
        <v>854</v>
      </c>
      <c r="N5668" s="6" t="s">
        <v>856</v>
      </c>
    </row>
    <row r="5669" spans="1:14" ht="15" customHeight="1" x14ac:dyDescent="0.2">
      <c r="A5669" s="31">
        <v>0.31601419273311632</v>
      </c>
      <c r="B5669" s="31"/>
      <c r="C5669" s="2" t="s">
        <v>855</v>
      </c>
      <c r="D5669" s="31">
        <f t="shared" si="176"/>
        <v>6.1938781775690802E-2</v>
      </c>
      <c r="F5669" s="2" t="s">
        <v>822</v>
      </c>
      <c r="G5669" s="23" t="s">
        <v>902</v>
      </c>
      <c r="H5669" s="2" t="s">
        <v>822</v>
      </c>
      <c r="J5669" s="31">
        <v>52.759998299999999</v>
      </c>
      <c r="K5669" s="31">
        <v>-24.5240002</v>
      </c>
      <c r="L5669" s="31"/>
      <c r="M5669" s="31" t="s">
        <v>854</v>
      </c>
      <c r="N5669" s="6" t="s">
        <v>856</v>
      </c>
    </row>
    <row r="5670" spans="1:14" ht="15" customHeight="1" x14ac:dyDescent="0.2">
      <c r="A5670" s="31">
        <v>0.31599676454132458</v>
      </c>
      <c r="B5670" s="31"/>
      <c r="C5670" s="2" t="s">
        <v>855</v>
      </c>
      <c r="D5670" s="31">
        <f t="shared" si="176"/>
        <v>6.1935365850099622E-2</v>
      </c>
      <c r="F5670" s="2" t="s">
        <v>822</v>
      </c>
      <c r="G5670" s="23" t="s">
        <v>902</v>
      </c>
      <c r="H5670" s="2" t="s">
        <v>822</v>
      </c>
      <c r="J5670" s="31">
        <v>60.776001000000001</v>
      </c>
      <c r="K5670" s="31">
        <v>-14.5039997</v>
      </c>
      <c r="L5670" s="31"/>
      <c r="M5670" s="31" t="s">
        <v>854</v>
      </c>
      <c r="N5670" s="6" t="s">
        <v>856</v>
      </c>
    </row>
    <row r="5671" spans="1:14" ht="15" customHeight="1" x14ac:dyDescent="0.2">
      <c r="A5671" s="31">
        <v>0.31493265660096059</v>
      </c>
      <c r="B5671" s="31"/>
      <c r="C5671" s="2" t="s">
        <v>855</v>
      </c>
      <c r="D5671" s="31">
        <f t="shared" si="176"/>
        <v>6.1726800693788275E-2</v>
      </c>
      <c r="F5671" s="2" t="s">
        <v>822</v>
      </c>
      <c r="G5671" s="23" t="s">
        <v>902</v>
      </c>
      <c r="H5671" s="2" t="s">
        <v>822</v>
      </c>
      <c r="J5671" s="31">
        <v>56.768001599999998</v>
      </c>
      <c r="K5671" s="31">
        <v>-33.208000200000001</v>
      </c>
      <c r="L5671" s="31"/>
      <c r="M5671" s="31" t="s">
        <v>854</v>
      </c>
      <c r="N5671" s="6" t="s">
        <v>856</v>
      </c>
    </row>
    <row r="5672" spans="1:14" ht="15" customHeight="1" x14ac:dyDescent="0.2">
      <c r="A5672" s="31">
        <v>0.31464797004560391</v>
      </c>
      <c r="B5672" s="31"/>
      <c r="C5672" s="2" t="s">
        <v>855</v>
      </c>
      <c r="D5672" s="31">
        <f t="shared" si="176"/>
        <v>6.1671002128938369E-2</v>
      </c>
      <c r="F5672" s="2" t="s">
        <v>822</v>
      </c>
      <c r="G5672" s="23" t="s">
        <v>902</v>
      </c>
      <c r="H5672" s="2" t="s">
        <v>822</v>
      </c>
      <c r="J5672" s="31">
        <v>62.674598699999997</v>
      </c>
      <c r="K5672" s="31">
        <v>-18.511999100000001</v>
      </c>
      <c r="L5672" s="31"/>
      <c r="M5672" s="31" t="s">
        <v>854</v>
      </c>
      <c r="N5672" s="6" t="s">
        <v>856</v>
      </c>
    </row>
    <row r="5673" spans="1:14" ht="15" customHeight="1" x14ac:dyDescent="0.2">
      <c r="A5673" s="31">
        <v>0.31456810841053812</v>
      </c>
      <c r="B5673" s="31"/>
      <c r="C5673" s="2" t="s">
        <v>855</v>
      </c>
      <c r="D5673" s="31">
        <f t="shared" si="176"/>
        <v>6.1655349248465476E-2</v>
      </c>
      <c r="F5673" s="2" t="s">
        <v>822</v>
      </c>
      <c r="G5673" s="23" t="s">
        <v>902</v>
      </c>
      <c r="H5673" s="2" t="s">
        <v>822</v>
      </c>
      <c r="J5673" s="31">
        <v>55.4319992</v>
      </c>
      <c r="K5673" s="31">
        <v>-23.187999699999999</v>
      </c>
      <c r="L5673" s="31"/>
      <c r="M5673" s="31" t="s">
        <v>854</v>
      </c>
      <c r="N5673" s="6" t="s">
        <v>856</v>
      </c>
    </row>
    <row r="5674" spans="1:14" ht="15" customHeight="1" x14ac:dyDescent="0.2">
      <c r="A5674" s="31">
        <v>0.31447513716148001</v>
      </c>
      <c r="B5674" s="31"/>
      <c r="C5674" s="2" t="s">
        <v>855</v>
      </c>
      <c r="D5674" s="31">
        <f t="shared" si="176"/>
        <v>6.1637126883650084E-2</v>
      </c>
      <c r="F5674" s="2" t="s">
        <v>822</v>
      </c>
      <c r="G5674" s="23" t="s">
        <v>902</v>
      </c>
      <c r="H5674" s="2" t="s">
        <v>822</v>
      </c>
      <c r="J5674" s="31">
        <v>54.278301200000001</v>
      </c>
      <c r="K5674" s="31">
        <v>-10.637299499999999</v>
      </c>
      <c r="L5674" s="31"/>
      <c r="M5674" s="31" t="s">
        <v>854</v>
      </c>
      <c r="N5674" s="6" t="s">
        <v>856</v>
      </c>
    </row>
    <row r="5675" spans="1:14" ht="15" customHeight="1" x14ac:dyDescent="0.2">
      <c r="A5675" s="31">
        <v>0.31433355538401958</v>
      </c>
      <c r="B5675" s="31"/>
      <c r="C5675" s="2" t="s">
        <v>855</v>
      </c>
      <c r="D5675" s="31">
        <f t="shared" si="176"/>
        <v>6.1609376855267843E-2</v>
      </c>
      <c r="F5675" s="2" t="s">
        <v>822</v>
      </c>
      <c r="G5675" s="23" t="s">
        <v>902</v>
      </c>
      <c r="H5675" s="2" t="s">
        <v>822</v>
      </c>
      <c r="J5675" s="31">
        <v>54.750801099999997</v>
      </c>
      <c r="K5675" s="31">
        <v>-11.8197002</v>
      </c>
      <c r="L5675" s="31"/>
      <c r="M5675" s="31" t="s">
        <v>854</v>
      </c>
      <c r="N5675" s="6" t="s">
        <v>856</v>
      </c>
    </row>
    <row r="5676" spans="1:14" ht="15" customHeight="1" x14ac:dyDescent="0.2">
      <c r="A5676" s="31">
        <v>0.31397709108187272</v>
      </c>
      <c r="B5676" s="31"/>
      <c r="C5676" s="2" t="s">
        <v>855</v>
      </c>
      <c r="D5676" s="31">
        <f t="shared" si="176"/>
        <v>6.1539509852047057E-2</v>
      </c>
      <c r="F5676" s="2" t="s">
        <v>822</v>
      </c>
      <c r="G5676" s="23" t="s">
        <v>902</v>
      </c>
      <c r="H5676" s="2" t="s">
        <v>822</v>
      </c>
      <c r="J5676" s="31">
        <v>54.763999900000002</v>
      </c>
      <c r="K5676" s="31">
        <v>-17.8439999</v>
      </c>
      <c r="L5676" s="31"/>
      <c r="M5676" s="31" t="s">
        <v>854</v>
      </c>
      <c r="N5676" s="6" t="s">
        <v>856</v>
      </c>
    </row>
    <row r="5677" spans="1:14" ht="15" customHeight="1" x14ac:dyDescent="0.2">
      <c r="A5677" s="31">
        <v>0.31323671418148918</v>
      </c>
      <c r="B5677" s="31"/>
      <c r="C5677" s="2" t="s">
        <v>855</v>
      </c>
      <c r="D5677" s="31">
        <f t="shared" si="176"/>
        <v>6.1394395979571879E-2</v>
      </c>
      <c r="F5677" s="2" t="s">
        <v>822</v>
      </c>
      <c r="G5677" s="23" t="s">
        <v>902</v>
      </c>
      <c r="H5677" s="2" t="s">
        <v>822</v>
      </c>
      <c r="J5677" s="31">
        <v>56.099998499999998</v>
      </c>
      <c r="K5677" s="31">
        <v>-16.507999399999999</v>
      </c>
      <c r="L5677" s="31"/>
      <c r="M5677" s="31" t="s">
        <v>854</v>
      </c>
      <c r="N5677" s="6" t="s">
        <v>856</v>
      </c>
    </row>
    <row r="5678" spans="1:14" ht="15" customHeight="1" x14ac:dyDescent="0.2">
      <c r="A5678" s="31">
        <v>0.31304091032959391</v>
      </c>
      <c r="B5678" s="31"/>
      <c r="C5678" s="2" t="s">
        <v>855</v>
      </c>
      <c r="D5678" s="31">
        <f t="shared" si="176"/>
        <v>6.1356018424600409E-2</v>
      </c>
      <c r="F5678" s="2" t="s">
        <v>822</v>
      </c>
      <c r="G5678" s="23" t="s">
        <v>902</v>
      </c>
      <c r="H5678" s="2" t="s">
        <v>822</v>
      </c>
      <c r="J5678" s="31">
        <v>58.659400900000001</v>
      </c>
      <c r="K5678" s="31">
        <v>10.362700500000001</v>
      </c>
      <c r="L5678" s="31"/>
      <c r="M5678" s="31" t="s">
        <v>854</v>
      </c>
      <c r="N5678" s="6" t="s">
        <v>856</v>
      </c>
    </row>
    <row r="5679" spans="1:14" ht="15" customHeight="1" x14ac:dyDescent="0.2">
      <c r="A5679" s="31">
        <v>0.3129065109013518</v>
      </c>
      <c r="B5679" s="31"/>
      <c r="C5679" s="2" t="s">
        <v>855</v>
      </c>
      <c r="D5679" s="31">
        <f t="shared" si="176"/>
        <v>6.1329676136664957E-2</v>
      </c>
      <c r="F5679" s="2" t="s">
        <v>822</v>
      </c>
      <c r="G5679" s="23" t="s">
        <v>902</v>
      </c>
      <c r="H5679" s="2" t="s">
        <v>822</v>
      </c>
      <c r="J5679" s="31">
        <v>49.465099299999999</v>
      </c>
      <c r="K5679" s="31">
        <v>-27.821199400000001</v>
      </c>
      <c r="L5679" s="31"/>
      <c r="M5679" s="31" t="s">
        <v>854</v>
      </c>
      <c r="N5679" s="6" t="s">
        <v>856</v>
      </c>
    </row>
    <row r="5680" spans="1:14" ht="15" customHeight="1" x14ac:dyDescent="0.2">
      <c r="A5680" s="31">
        <v>0.31261739927081211</v>
      </c>
      <c r="B5680" s="31"/>
      <c r="C5680" s="2" t="s">
        <v>855</v>
      </c>
      <c r="D5680" s="31">
        <f t="shared" si="176"/>
        <v>6.1273010257079173E-2</v>
      </c>
      <c r="F5680" s="2" t="s">
        <v>822</v>
      </c>
      <c r="G5680" s="23" t="s">
        <v>902</v>
      </c>
      <c r="H5680" s="2" t="s">
        <v>822</v>
      </c>
      <c r="J5680" s="31">
        <v>58.784500100000002</v>
      </c>
      <c r="K5680" s="31">
        <v>-6.3356098999999997</v>
      </c>
      <c r="L5680" s="31"/>
      <c r="M5680" s="31" t="s">
        <v>854</v>
      </c>
      <c r="N5680" s="6" t="s">
        <v>856</v>
      </c>
    </row>
    <row r="5681" spans="1:14" ht="15" customHeight="1" x14ac:dyDescent="0.2">
      <c r="A5681" s="31">
        <v>0.31250303988969452</v>
      </c>
      <c r="B5681" s="31"/>
      <c r="C5681" s="2" t="s">
        <v>855</v>
      </c>
      <c r="D5681" s="31">
        <f t="shared" si="176"/>
        <v>6.1250595818380126E-2</v>
      </c>
      <c r="F5681" s="2" t="s">
        <v>822</v>
      </c>
      <c r="G5681" s="23" t="s">
        <v>902</v>
      </c>
      <c r="H5681" s="2" t="s">
        <v>822</v>
      </c>
      <c r="J5681" s="31">
        <v>56.803600299999999</v>
      </c>
      <c r="K5681" s="31">
        <v>-14.7427998</v>
      </c>
      <c r="L5681" s="31"/>
      <c r="M5681" s="31" t="s">
        <v>854</v>
      </c>
      <c r="N5681" s="6" t="s">
        <v>856</v>
      </c>
    </row>
    <row r="5682" spans="1:14" ht="15" customHeight="1" x14ac:dyDescent="0.2">
      <c r="A5682" s="31">
        <v>0.31217631130597728</v>
      </c>
      <c r="B5682" s="31"/>
      <c r="C5682" s="2" t="s">
        <v>855</v>
      </c>
      <c r="D5682" s="31">
        <f t="shared" si="176"/>
        <v>6.1186557015971553E-2</v>
      </c>
      <c r="F5682" s="2" t="s">
        <v>822</v>
      </c>
      <c r="G5682" s="23" t="s">
        <v>902</v>
      </c>
      <c r="H5682" s="2" t="s">
        <v>822</v>
      </c>
      <c r="J5682" s="31">
        <v>60.108001700000003</v>
      </c>
      <c r="K5682" s="31">
        <v>-9.8280001000000006</v>
      </c>
      <c r="L5682" s="31"/>
      <c r="M5682" s="31" t="s">
        <v>854</v>
      </c>
      <c r="N5682" s="6" t="s">
        <v>856</v>
      </c>
    </row>
    <row r="5683" spans="1:14" ht="15" customHeight="1" x14ac:dyDescent="0.2">
      <c r="A5683" s="31">
        <v>0.31214294531569758</v>
      </c>
      <c r="B5683" s="31"/>
      <c r="C5683" s="2" t="s">
        <v>855</v>
      </c>
      <c r="D5683" s="31">
        <f t="shared" si="176"/>
        <v>6.1180017281876727E-2</v>
      </c>
      <c r="F5683" s="2" t="s">
        <v>822</v>
      </c>
      <c r="G5683" s="23" t="s">
        <v>902</v>
      </c>
      <c r="H5683" s="2" t="s">
        <v>822</v>
      </c>
      <c r="J5683" s="31">
        <v>49.253101299999997</v>
      </c>
      <c r="K5683" s="31">
        <v>-28.575300200000001</v>
      </c>
      <c r="L5683" s="31"/>
      <c r="M5683" s="31" t="s">
        <v>854</v>
      </c>
      <c r="N5683" s="6" t="s">
        <v>856</v>
      </c>
    </row>
    <row r="5684" spans="1:14" ht="15" customHeight="1" x14ac:dyDescent="0.2">
      <c r="A5684" s="31">
        <v>0.31206311956453081</v>
      </c>
      <c r="B5684" s="31"/>
      <c r="C5684" s="2" t="s">
        <v>855</v>
      </c>
      <c r="D5684" s="31">
        <f t="shared" si="176"/>
        <v>6.1164371434648042E-2</v>
      </c>
      <c r="F5684" s="2" t="s">
        <v>822</v>
      </c>
      <c r="G5684" s="23" t="s">
        <v>902</v>
      </c>
      <c r="H5684" s="2" t="s">
        <v>822</v>
      </c>
      <c r="J5684" s="31">
        <v>60.935798599999998</v>
      </c>
      <c r="K5684" s="31">
        <v>-7.6015300999999997</v>
      </c>
      <c r="L5684" s="31"/>
      <c r="M5684" s="31" t="s">
        <v>854</v>
      </c>
      <c r="N5684" s="6" t="s">
        <v>856</v>
      </c>
    </row>
    <row r="5685" spans="1:14" ht="15" customHeight="1" x14ac:dyDescent="0.2">
      <c r="A5685" s="31">
        <v>0.31177028966071929</v>
      </c>
      <c r="B5685" s="31"/>
      <c r="C5685" s="2" t="s">
        <v>855</v>
      </c>
      <c r="D5685" s="31">
        <f t="shared" si="176"/>
        <v>6.1106976773500986E-2</v>
      </c>
      <c r="F5685" s="2" t="s">
        <v>822</v>
      </c>
      <c r="G5685" s="23" t="s">
        <v>902</v>
      </c>
      <c r="H5685" s="2" t="s">
        <v>822</v>
      </c>
      <c r="J5685" s="31">
        <v>54.235000599999999</v>
      </c>
      <c r="K5685" s="31">
        <v>-14.220000300000001</v>
      </c>
      <c r="L5685" s="31"/>
      <c r="M5685" s="31" t="s">
        <v>854</v>
      </c>
      <c r="N5685" s="6" t="s">
        <v>856</v>
      </c>
    </row>
    <row r="5686" spans="1:14" ht="15" customHeight="1" x14ac:dyDescent="0.2">
      <c r="A5686" s="31">
        <v>0.31176763088969822</v>
      </c>
      <c r="B5686" s="31"/>
      <c r="C5686" s="2" t="s">
        <v>855</v>
      </c>
      <c r="D5686" s="31">
        <f t="shared" si="176"/>
        <v>6.1106455654380852E-2</v>
      </c>
      <c r="F5686" s="2" t="s">
        <v>822</v>
      </c>
      <c r="G5686" s="23" t="s">
        <v>902</v>
      </c>
      <c r="H5686" s="2" t="s">
        <v>822</v>
      </c>
      <c r="J5686" s="31">
        <v>55.667800900000003</v>
      </c>
      <c r="K5686" s="31">
        <v>-12.872599599999999</v>
      </c>
      <c r="L5686" s="31"/>
      <c r="M5686" s="31" t="s">
        <v>854</v>
      </c>
      <c r="N5686" s="6" t="s">
        <v>856</v>
      </c>
    </row>
    <row r="5687" spans="1:14" ht="15" customHeight="1" x14ac:dyDescent="0.2">
      <c r="A5687" s="31">
        <v>0.31161659273879128</v>
      </c>
      <c r="B5687" s="31"/>
      <c r="C5687" s="2" t="s">
        <v>855</v>
      </c>
      <c r="D5687" s="31">
        <f t="shared" si="176"/>
        <v>6.1076852176803094E-2</v>
      </c>
      <c r="F5687" s="2" t="s">
        <v>822</v>
      </c>
      <c r="G5687" s="23" t="s">
        <v>902</v>
      </c>
      <c r="H5687" s="2" t="s">
        <v>822</v>
      </c>
      <c r="J5687" s="31">
        <v>49.678600299999999</v>
      </c>
      <c r="K5687" s="31">
        <v>-18.9899998</v>
      </c>
      <c r="L5687" s="31"/>
      <c r="M5687" s="31" t="s">
        <v>854</v>
      </c>
      <c r="N5687" s="6" t="s">
        <v>856</v>
      </c>
    </row>
    <row r="5688" spans="1:14" ht="15" customHeight="1" x14ac:dyDescent="0.2">
      <c r="A5688" s="31">
        <v>0.31137622965994188</v>
      </c>
      <c r="B5688" s="31"/>
      <c r="C5688" s="2" t="s">
        <v>855</v>
      </c>
      <c r="D5688" s="31">
        <f t="shared" si="176"/>
        <v>6.1029741013348612E-2</v>
      </c>
      <c r="F5688" s="2" t="s">
        <v>822</v>
      </c>
      <c r="G5688" s="23" t="s">
        <v>902</v>
      </c>
      <c r="H5688" s="2" t="s">
        <v>822</v>
      </c>
      <c r="J5688" s="31">
        <v>47.416000400000001</v>
      </c>
      <c r="K5688" s="31">
        <v>-35.212001800000003</v>
      </c>
      <c r="L5688" s="31"/>
      <c r="M5688" s="31" t="s">
        <v>854</v>
      </c>
      <c r="N5688" s="6" t="s">
        <v>856</v>
      </c>
    </row>
    <row r="5689" spans="1:14" ht="15" customHeight="1" x14ac:dyDescent="0.2">
      <c r="A5689" s="31">
        <v>0.31121943102883021</v>
      </c>
      <c r="B5689" s="31"/>
      <c r="C5689" s="2" t="s">
        <v>855</v>
      </c>
      <c r="D5689" s="31">
        <f t="shared" si="176"/>
        <v>6.099900848165072E-2</v>
      </c>
      <c r="F5689" s="2" t="s">
        <v>822</v>
      </c>
      <c r="G5689" s="23" t="s">
        <v>902</v>
      </c>
      <c r="H5689" s="2" t="s">
        <v>822</v>
      </c>
      <c r="J5689" s="31">
        <v>52.091999100000002</v>
      </c>
      <c r="K5689" s="31">
        <v>-27.864000300000001</v>
      </c>
      <c r="L5689" s="31"/>
      <c r="M5689" s="31" t="s">
        <v>854</v>
      </c>
      <c r="N5689" s="6" t="s">
        <v>856</v>
      </c>
    </row>
    <row r="5690" spans="1:14" ht="15" customHeight="1" x14ac:dyDescent="0.2">
      <c r="A5690" s="31">
        <v>0.31109016728475802</v>
      </c>
      <c r="B5690" s="31"/>
      <c r="C5690" s="2" t="s">
        <v>855</v>
      </c>
      <c r="D5690" s="31">
        <f t="shared" si="176"/>
        <v>6.0973672787812572E-2</v>
      </c>
      <c r="F5690" s="2" t="s">
        <v>822</v>
      </c>
      <c r="G5690" s="23" t="s">
        <v>902</v>
      </c>
      <c r="H5690" s="2" t="s">
        <v>822</v>
      </c>
      <c r="J5690" s="31">
        <v>54.096000699999998</v>
      </c>
      <c r="K5690" s="31">
        <v>-29.867999999999999</v>
      </c>
      <c r="L5690" s="31"/>
      <c r="M5690" s="31" t="s">
        <v>854</v>
      </c>
      <c r="N5690" s="6" t="s">
        <v>856</v>
      </c>
    </row>
    <row r="5691" spans="1:14" ht="15" customHeight="1" x14ac:dyDescent="0.2">
      <c r="A5691" s="31">
        <v>0.31086488822255792</v>
      </c>
      <c r="B5691" s="31"/>
      <c r="C5691" s="2" t="s">
        <v>855</v>
      </c>
      <c r="D5691" s="31">
        <f t="shared" si="176"/>
        <v>6.0929518091621358E-2</v>
      </c>
      <c r="F5691" s="2" t="s">
        <v>822</v>
      </c>
      <c r="G5691" s="23" t="s">
        <v>902</v>
      </c>
      <c r="H5691" s="2" t="s">
        <v>822</v>
      </c>
      <c r="J5691" s="31">
        <v>59.439998600000003</v>
      </c>
      <c r="K5691" s="31">
        <v>-26.527999900000001</v>
      </c>
      <c r="L5691" s="31"/>
      <c r="M5691" s="31" t="s">
        <v>854</v>
      </c>
      <c r="N5691" s="6" t="s">
        <v>856</v>
      </c>
    </row>
    <row r="5692" spans="1:14" ht="15" customHeight="1" x14ac:dyDescent="0.2">
      <c r="A5692" s="31">
        <v>0.31076381502586897</v>
      </c>
      <c r="B5692" s="31"/>
      <c r="C5692" s="2" t="s">
        <v>855</v>
      </c>
      <c r="D5692" s="31">
        <f t="shared" si="176"/>
        <v>6.0909707745070318E-2</v>
      </c>
      <c r="F5692" s="2" t="s">
        <v>822</v>
      </c>
      <c r="G5692" s="23" t="s">
        <v>902</v>
      </c>
      <c r="H5692" s="2" t="s">
        <v>822</v>
      </c>
      <c r="J5692" s="31">
        <v>61.590599099999999</v>
      </c>
      <c r="K5692" s="31">
        <v>-7.7511600999999999</v>
      </c>
      <c r="L5692" s="31"/>
      <c r="M5692" s="31" t="s">
        <v>854</v>
      </c>
      <c r="N5692" s="6" t="s">
        <v>856</v>
      </c>
    </row>
    <row r="5693" spans="1:14" ht="15" customHeight="1" x14ac:dyDescent="0.2">
      <c r="A5693" s="31">
        <v>0.31066860324145351</v>
      </c>
      <c r="B5693" s="31"/>
      <c r="C5693" s="2" t="s">
        <v>855</v>
      </c>
      <c r="D5693" s="31">
        <f t="shared" si="176"/>
        <v>6.0891046235324889E-2</v>
      </c>
      <c r="F5693" s="2" t="s">
        <v>822</v>
      </c>
      <c r="G5693" s="23" t="s">
        <v>902</v>
      </c>
      <c r="H5693" s="2" t="s">
        <v>822</v>
      </c>
      <c r="J5693" s="31">
        <v>51.423999799999997</v>
      </c>
      <c r="K5693" s="31">
        <v>-23.856000900000002</v>
      </c>
      <c r="L5693" s="31"/>
      <c r="M5693" s="31" t="s">
        <v>854</v>
      </c>
      <c r="N5693" s="6" t="s">
        <v>856</v>
      </c>
    </row>
    <row r="5694" spans="1:14" ht="15" customHeight="1" x14ac:dyDescent="0.2">
      <c r="A5694" s="31">
        <v>0.31050537748118251</v>
      </c>
      <c r="B5694" s="31"/>
      <c r="C5694" s="2" t="s">
        <v>855</v>
      </c>
      <c r="D5694" s="31">
        <f t="shared" si="176"/>
        <v>6.0859053986311772E-2</v>
      </c>
      <c r="F5694" s="2" t="s">
        <v>822</v>
      </c>
      <c r="G5694" s="23" t="s">
        <v>902</v>
      </c>
      <c r="H5694" s="2" t="s">
        <v>822</v>
      </c>
      <c r="J5694" s="31">
        <v>54.096000699999998</v>
      </c>
      <c r="K5694" s="31">
        <v>-30.5359993</v>
      </c>
      <c r="L5694" s="31"/>
      <c r="M5694" s="31" t="s">
        <v>854</v>
      </c>
      <c r="N5694" s="6" t="s">
        <v>856</v>
      </c>
    </row>
    <row r="5695" spans="1:14" ht="15" customHeight="1" x14ac:dyDescent="0.2">
      <c r="A5695" s="31">
        <v>0.31005248762638488</v>
      </c>
      <c r="B5695" s="31"/>
      <c r="C5695" s="2" t="s">
        <v>855</v>
      </c>
      <c r="D5695" s="31">
        <f t="shared" si="176"/>
        <v>6.0770287574771438E-2</v>
      </c>
      <c r="F5695" s="2" t="s">
        <v>822</v>
      </c>
      <c r="G5695" s="23" t="s">
        <v>902</v>
      </c>
      <c r="H5695" s="2" t="s">
        <v>822</v>
      </c>
      <c r="J5695" s="31">
        <v>56.768001599999998</v>
      </c>
      <c r="K5695" s="31">
        <v>-10.4960003</v>
      </c>
      <c r="L5695" s="31"/>
      <c r="M5695" s="31" t="s">
        <v>854</v>
      </c>
      <c r="N5695" s="6" t="s">
        <v>856</v>
      </c>
    </row>
    <row r="5696" spans="1:14" ht="15" customHeight="1" x14ac:dyDescent="0.2">
      <c r="A5696" s="31">
        <v>0.30982790643475572</v>
      </c>
      <c r="B5696" s="31"/>
      <c r="C5696" s="2" t="s">
        <v>855</v>
      </c>
      <c r="D5696" s="31">
        <f t="shared" si="176"/>
        <v>6.0726269661212126E-2</v>
      </c>
      <c r="F5696" s="2" t="s">
        <v>822</v>
      </c>
      <c r="G5696" s="23" t="s">
        <v>902</v>
      </c>
      <c r="H5696" s="2" t="s">
        <v>822</v>
      </c>
      <c r="J5696" s="31">
        <v>57.002601599999998</v>
      </c>
      <c r="K5696" s="31">
        <v>7.54</v>
      </c>
      <c r="L5696" s="31"/>
      <c r="M5696" s="31" t="s">
        <v>854</v>
      </c>
      <c r="N5696" s="6" t="s">
        <v>856</v>
      </c>
    </row>
    <row r="5697" spans="1:14" ht="15" customHeight="1" x14ac:dyDescent="0.2">
      <c r="A5697" s="31">
        <v>0.30980677095755721</v>
      </c>
      <c r="B5697" s="31"/>
      <c r="C5697" s="2" t="s">
        <v>855</v>
      </c>
      <c r="D5697" s="31">
        <f t="shared" si="176"/>
        <v>6.0722127107681212E-2</v>
      </c>
      <c r="F5697" s="2" t="s">
        <v>822</v>
      </c>
      <c r="G5697" s="23" t="s">
        <v>902</v>
      </c>
      <c r="H5697" s="2" t="s">
        <v>822</v>
      </c>
      <c r="J5697" s="31">
        <v>57.377601599999998</v>
      </c>
      <c r="K5697" s="31">
        <v>-8.4601603000000001</v>
      </c>
      <c r="L5697" s="31"/>
      <c r="M5697" s="31" t="s">
        <v>854</v>
      </c>
      <c r="N5697" s="6" t="s">
        <v>856</v>
      </c>
    </row>
    <row r="5698" spans="1:14" ht="15" customHeight="1" x14ac:dyDescent="0.2">
      <c r="A5698" s="31">
        <v>0.30963637002560412</v>
      </c>
      <c r="B5698" s="31"/>
      <c r="C5698" s="2" t="s">
        <v>855</v>
      </c>
      <c r="D5698" s="31">
        <f t="shared" si="176"/>
        <v>6.0688728525018408E-2</v>
      </c>
      <c r="F5698" s="2" t="s">
        <v>822</v>
      </c>
      <c r="G5698" s="23" t="s">
        <v>902</v>
      </c>
      <c r="H5698" s="2" t="s">
        <v>822</v>
      </c>
      <c r="J5698" s="31">
        <v>56.303398100000003</v>
      </c>
      <c r="K5698" s="31">
        <v>-2.7860798999999998</v>
      </c>
      <c r="L5698" s="31"/>
      <c r="M5698" s="31" t="s">
        <v>854</v>
      </c>
      <c r="N5698" s="6" t="s">
        <v>856</v>
      </c>
    </row>
    <row r="5699" spans="1:14" ht="15" customHeight="1" x14ac:dyDescent="0.2">
      <c r="A5699" s="31">
        <v>0.30946670431491902</v>
      </c>
      <c r="B5699" s="31"/>
      <c r="C5699" s="2" t="s">
        <v>855</v>
      </c>
      <c r="D5699" s="31">
        <f t="shared" si="176"/>
        <v>6.0655474045724127E-2</v>
      </c>
      <c r="F5699" s="2" t="s">
        <v>822</v>
      </c>
      <c r="G5699" s="23" t="s">
        <v>902</v>
      </c>
      <c r="H5699" s="2" t="s">
        <v>822</v>
      </c>
      <c r="J5699" s="31">
        <v>54.075599699999998</v>
      </c>
      <c r="K5699" s="31">
        <v>-25.876800500000002</v>
      </c>
      <c r="L5699" s="31"/>
      <c r="M5699" s="31" t="s">
        <v>854</v>
      </c>
      <c r="N5699" s="6" t="s">
        <v>856</v>
      </c>
    </row>
    <row r="5700" spans="1:14" ht="15" customHeight="1" x14ac:dyDescent="0.2">
      <c r="A5700" s="31">
        <v>0.30946422925052991</v>
      </c>
      <c r="B5700" s="31"/>
      <c r="C5700" s="2" t="s">
        <v>855</v>
      </c>
      <c r="D5700" s="31">
        <f t="shared" si="176"/>
        <v>6.0654988933103865E-2</v>
      </c>
      <c r="F5700" s="2" t="s">
        <v>822</v>
      </c>
      <c r="G5700" s="23" t="s">
        <v>902</v>
      </c>
      <c r="H5700" s="2" t="s">
        <v>822</v>
      </c>
      <c r="J5700" s="31">
        <v>53.4314003</v>
      </c>
      <c r="K5700" s="31">
        <v>-17.847200399999998</v>
      </c>
      <c r="L5700" s="31"/>
      <c r="M5700" s="31" t="s">
        <v>854</v>
      </c>
      <c r="N5700" s="6" t="s">
        <v>856</v>
      </c>
    </row>
    <row r="5701" spans="1:14" ht="15" customHeight="1" x14ac:dyDescent="0.2">
      <c r="A5701" s="31">
        <v>0.30943412555536898</v>
      </c>
      <c r="B5701" s="31"/>
      <c r="C5701" s="2" t="s">
        <v>855</v>
      </c>
      <c r="D5701" s="31">
        <f t="shared" si="176"/>
        <v>6.064908860885232E-2</v>
      </c>
      <c r="F5701" s="2" t="s">
        <v>822</v>
      </c>
      <c r="G5701" s="23" t="s">
        <v>902</v>
      </c>
      <c r="H5701" s="2" t="s">
        <v>822</v>
      </c>
      <c r="J5701" s="31">
        <v>58.408100099999999</v>
      </c>
      <c r="K5701" s="31">
        <v>-1.00674</v>
      </c>
      <c r="L5701" s="31"/>
      <c r="M5701" s="31" t="s">
        <v>854</v>
      </c>
      <c r="N5701" s="6" t="s">
        <v>856</v>
      </c>
    </row>
    <row r="5702" spans="1:14" ht="15" customHeight="1" x14ac:dyDescent="0.2">
      <c r="A5702" s="31">
        <v>0.3091429629869632</v>
      </c>
      <c r="B5702" s="31"/>
      <c r="C5702" s="2" t="s">
        <v>855</v>
      </c>
      <c r="D5702" s="31">
        <f t="shared" si="176"/>
        <v>6.0592020745444793E-2</v>
      </c>
      <c r="F5702" s="2" t="s">
        <v>822</v>
      </c>
      <c r="G5702" s="23" t="s">
        <v>902</v>
      </c>
      <c r="H5702" s="2" t="s">
        <v>822</v>
      </c>
      <c r="J5702" s="31">
        <v>59.439998600000003</v>
      </c>
      <c r="K5702" s="31">
        <v>-25.860000599999999</v>
      </c>
      <c r="L5702" s="31"/>
      <c r="M5702" s="31" t="s">
        <v>854</v>
      </c>
      <c r="N5702" s="6" t="s">
        <v>856</v>
      </c>
    </row>
    <row r="5703" spans="1:14" ht="15" customHeight="1" x14ac:dyDescent="0.2">
      <c r="A5703" s="31">
        <v>0.30908230400427189</v>
      </c>
      <c r="B5703" s="31"/>
      <c r="C5703" s="2" t="s">
        <v>855</v>
      </c>
      <c r="D5703" s="31">
        <f t="shared" si="176"/>
        <v>6.0580131584837292E-2</v>
      </c>
      <c r="F5703" s="2" t="s">
        <v>822</v>
      </c>
      <c r="G5703" s="23" t="s">
        <v>902</v>
      </c>
      <c r="H5703" s="2" t="s">
        <v>822</v>
      </c>
      <c r="J5703" s="31">
        <v>60.108001700000003</v>
      </c>
      <c r="K5703" s="31">
        <v>-14.5039997</v>
      </c>
      <c r="L5703" s="31"/>
      <c r="M5703" s="31" t="s">
        <v>854</v>
      </c>
      <c r="N5703" s="6" t="s">
        <v>856</v>
      </c>
    </row>
    <row r="5704" spans="1:14" ht="15" customHeight="1" x14ac:dyDescent="0.2">
      <c r="A5704" s="31">
        <v>0.3090037708622132</v>
      </c>
      <c r="B5704" s="31"/>
      <c r="C5704" s="2" t="s">
        <v>855</v>
      </c>
      <c r="D5704" s="31">
        <f t="shared" si="176"/>
        <v>6.0564739088993791E-2</v>
      </c>
      <c r="F5704" s="2" t="s">
        <v>822</v>
      </c>
      <c r="G5704" s="23" t="s">
        <v>902</v>
      </c>
      <c r="H5704" s="2" t="s">
        <v>822</v>
      </c>
      <c r="J5704" s="31">
        <v>56.099998499999998</v>
      </c>
      <c r="K5704" s="31">
        <v>-18.511999100000001</v>
      </c>
      <c r="L5704" s="31"/>
      <c r="M5704" s="31" t="s">
        <v>854</v>
      </c>
      <c r="N5704" s="6" t="s">
        <v>856</v>
      </c>
    </row>
    <row r="5705" spans="1:14" ht="15" customHeight="1" x14ac:dyDescent="0.2">
      <c r="A5705" s="31">
        <v>0.30872308385167929</v>
      </c>
      <c r="B5705" s="31"/>
      <c r="C5705" s="2" t="s">
        <v>855</v>
      </c>
      <c r="D5705" s="31">
        <f t="shared" si="176"/>
        <v>6.0509724434929142E-2</v>
      </c>
      <c r="F5705" s="2" t="s">
        <v>822</v>
      </c>
      <c r="G5705" s="23" t="s">
        <v>902</v>
      </c>
      <c r="H5705" s="2" t="s">
        <v>822</v>
      </c>
      <c r="J5705" s="31">
        <v>56.633598300000003</v>
      </c>
      <c r="K5705" s="31">
        <v>5.1405801999999996</v>
      </c>
      <c r="L5705" s="31"/>
      <c r="M5705" s="31" t="s">
        <v>854</v>
      </c>
      <c r="N5705" s="6" t="s">
        <v>856</v>
      </c>
    </row>
    <row r="5706" spans="1:14" ht="15" customHeight="1" x14ac:dyDescent="0.2">
      <c r="A5706" s="31">
        <v>0.30872253507619118</v>
      </c>
      <c r="B5706" s="31"/>
      <c r="C5706" s="2" t="s">
        <v>855</v>
      </c>
      <c r="D5706" s="31">
        <f t="shared" si="176"/>
        <v>6.0509616874933475E-2</v>
      </c>
      <c r="F5706" s="2" t="s">
        <v>822</v>
      </c>
      <c r="G5706" s="23" t="s">
        <v>902</v>
      </c>
      <c r="H5706" s="2" t="s">
        <v>822</v>
      </c>
      <c r="J5706" s="31">
        <v>48.751998899999997</v>
      </c>
      <c r="K5706" s="31">
        <v>-39.888000499999997</v>
      </c>
      <c r="L5706" s="31"/>
      <c r="M5706" s="31" t="s">
        <v>854</v>
      </c>
      <c r="N5706" s="6" t="s">
        <v>856</v>
      </c>
    </row>
    <row r="5707" spans="1:14" ht="15" customHeight="1" x14ac:dyDescent="0.2">
      <c r="A5707" s="31">
        <v>0.30866952632557748</v>
      </c>
      <c r="B5707" s="31"/>
      <c r="C5707" s="2" t="s">
        <v>855</v>
      </c>
      <c r="D5707" s="31">
        <f t="shared" si="176"/>
        <v>6.0499227159813186E-2</v>
      </c>
      <c r="F5707" s="2" t="s">
        <v>822</v>
      </c>
      <c r="G5707" s="23" t="s">
        <v>902</v>
      </c>
      <c r="H5707" s="2" t="s">
        <v>822</v>
      </c>
      <c r="J5707" s="31">
        <v>58.771999399999999</v>
      </c>
      <c r="K5707" s="31">
        <v>-14.5039997</v>
      </c>
      <c r="L5707" s="31"/>
      <c r="M5707" s="31" t="s">
        <v>854</v>
      </c>
      <c r="N5707" s="6" t="s">
        <v>856</v>
      </c>
    </row>
    <row r="5708" spans="1:14" ht="15" customHeight="1" x14ac:dyDescent="0.2">
      <c r="A5708" s="31">
        <v>0.30858044200614521</v>
      </c>
      <c r="B5708" s="31"/>
      <c r="C5708" s="2" t="s">
        <v>855</v>
      </c>
      <c r="D5708" s="31">
        <f t="shared" si="176"/>
        <v>6.048176663320446E-2</v>
      </c>
      <c r="F5708" s="2" t="s">
        <v>822</v>
      </c>
      <c r="G5708" s="23" t="s">
        <v>902</v>
      </c>
      <c r="H5708" s="2" t="s">
        <v>822</v>
      </c>
      <c r="J5708" s="31">
        <v>52.037300100000003</v>
      </c>
      <c r="K5708" s="31">
        <v>-30.513099700000001</v>
      </c>
      <c r="L5708" s="31"/>
      <c r="M5708" s="31" t="s">
        <v>854</v>
      </c>
      <c r="N5708" s="6" t="s">
        <v>856</v>
      </c>
    </row>
    <row r="5709" spans="1:14" ht="15" customHeight="1" x14ac:dyDescent="0.2">
      <c r="A5709" s="31">
        <v>0.30850685008625361</v>
      </c>
      <c r="B5709" s="31"/>
      <c r="C5709" s="2" t="s">
        <v>855</v>
      </c>
      <c r="D5709" s="31">
        <f t="shared" si="176"/>
        <v>6.0467342616905707E-2</v>
      </c>
      <c r="F5709" s="2" t="s">
        <v>822</v>
      </c>
      <c r="G5709" s="23" t="s">
        <v>902</v>
      </c>
      <c r="H5709" s="2" t="s">
        <v>822</v>
      </c>
      <c r="J5709" s="31">
        <v>56.768001599999998</v>
      </c>
      <c r="K5709" s="31">
        <v>-17.8439999</v>
      </c>
      <c r="L5709" s="31"/>
      <c r="M5709" s="31" t="s">
        <v>854</v>
      </c>
      <c r="N5709" s="6" t="s">
        <v>856</v>
      </c>
    </row>
    <row r="5710" spans="1:14" ht="15" customHeight="1" x14ac:dyDescent="0.2">
      <c r="A5710" s="31">
        <v>0.30799778792262772</v>
      </c>
      <c r="B5710" s="31"/>
      <c r="C5710" s="2" t="s">
        <v>855</v>
      </c>
      <c r="D5710" s="31">
        <f t="shared" si="176"/>
        <v>6.0367566432835036E-2</v>
      </c>
      <c r="F5710" s="2" t="s">
        <v>822</v>
      </c>
      <c r="G5710" s="23" t="s">
        <v>902</v>
      </c>
      <c r="H5710" s="2" t="s">
        <v>822</v>
      </c>
      <c r="J5710" s="31">
        <v>57.436000800000002</v>
      </c>
      <c r="K5710" s="31">
        <v>-16.507999399999999</v>
      </c>
      <c r="L5710" s="31"/>
      <c r="M5710" s="31" t="s">
        <v>854</v>
      </c>
      <c r="N5710" s="6" t="s">
        <v>856</v>
      </c>
    </row>
    <row r="5711" spans="1:14" ht="15" customHeight="1" x14ac:dyDescent="0.2">
      <c r="A5711" s="31">
        <v>0.3078669833883213</v>
      </c>
      <c r="B5711" s="31"/>
      <c r="C5711" s="2" t="s">
        <v>855</v>
      </c>
      <c r="D5711" s="31">
        <f t="shared" si="176"/>
        <v>6.0341928744110977E-2</v>
      </c>
      <c r="F5711" s="2" t="s">
        <v>822</v>
      </c>
      <c r="G5711" s="23" t="s">
        <v>902</v>
      </c>
      <c r="H5711" s="2" t="s">
        <v>822</v>
      </c>
      <c r="J5711" s="31">
        <v>50.063499499999999</v>
      </c>
      <c r="K5711" s="31">
        <v>-29.1532993</v>
      </c>
      <c r="L5711" s="31"/>
      <c r="M5711" s="31" t="s">
        <v>854</v>
      </c>
      <c r="N5711" s="6" t="s">
        <v>856</v>
      </c>
    </row>
    <row r="5712" spans="1:14" ht="15" customHeight="1" x14ac:dyDescent="0.2">
      <c r="A5712" s="31">
        <v>0.30782885613242789</v>
      </c>
      <c r="B5712" s="31"/>
      <c r="C5712" s="2" t="s">
        <v>855</v>
      </c>
      <c r="D5712" s="31">
        <f t="shared" si="176"/>
        <v>6.0334455801955865E-2</v>
      </c>
      <c r="F5712" s="2" t="s">
        <v>822</v>
      </c>
      <c r="G5712" s="23" t="s">
        <v>902</v>
      </c>
      <c r="H5712" s="2" t="s">
        <v>822</v>
      </c>
      <c r="J5712" s="31">
        <v>50.462501500000002</v>
      </c>
      <c r="K5712" s="31">
        <v>-16.338699299999998</v>
      </c>
      <c r="L5712" s="31"/>
      <c r="M5712" s="31" t="s">
        <v>854</v>
      </c>
      <c r="N5712" s="6" t="s">
        <v>856</v>
      </c>
    </row>
    <row r="5713" spans="1:14" ht="15" customHeight="1" x14ac:dyDescent="0.2">
      <c r="A5713" s="31">
        <v>0.30777796741131469</v>
      </c>
      <c r="B5713" s="31"/>
      <c r="C5713" s="2" t="s">
        <v>855</v>
      </c>
      <c r="D5713" s="31">
        <f t="shared" ref="D5713:D5776" si="177" xml:space="preserve"> A5713 * 0.196</f>
        <v>6.0324481612617685E-2</v>
      </c>
      <c r="F5713" s="2" t="s">
        <v>822</v>
      </c>
      <c r="G5713" s="23" t="s">
        <v>902</v>
      </c>
      <c r="H5713" s="2" t="s">
        <v>822</v>
      </c>
      <c r="J5713" s="31">
        <v>59.996700300000001</v>
      </c>
      <c r="K5713" s="31">
        <v>0.192</v>
      </c>
      <c r="L5713" s="31"/>
      <c r="M5713" s="31" t="s">
        <v>854</v>
      </c>
      <c r="N5713" s="6" t="s">
        <v>856</v>
      </c>
    </row>
    <row r="5714" spans="1:14" ht="15" customHeight="1" x14ac:dyDescent="0.2">
      <c r="A5714" s="31">
        <v>0.30758687715067329</v>
      </c>
      <c r="B5714" s="31"/>
      <c r="C5714" s="2" t="s">
        <v>855</v>
      </c>
      <c r="D5714" s="31">
        <f t="shared" si="177"/>
        <v>6.0287027921531969E-2</v>
      </c>
      <c r="F5714" s="2" t="s">
        <v>822</v>
      </c>
      <c r="G5714" s="23" t="s">
        <v>902</v>
      </c>
      <c r="H5714" s="2" t="s">
        <v>822</v>
      </c>
      <c r="J5714" s="31">
        <v>61.444000199999998</v>
      </c>
      <c r="K5714" s="31">
        <v>2.8640001000000002</v>
      </c>
      <c r="L5714" s="31"/>
      <c r="M5714" s="31" t="s">
        <v>854</v>
      </c>
      <c r="N5714" s="6" t="s">
        <v>856</v>
      </c>
    </row>
    <row r="5715" spans="1:14" ht="15" customHeight="1" x14ac:dyDescent="0.2">
      <c r="A5715" s="31">
        <v>0.30741551164338571</v>
      </c>
      <c r="B5715" s="31"/>
      <c r="C5715" s="2" t="s">
        <v>855</v>
      </c>
      <c r="D5715" s="31">
        <f t="shared" si="177"/>
        <v>6.0253440282103603E-2</v>
      </c>
      <c r="F5715" s="2" t="s">
        <v>822</v>
      </c>
      <c r="G5715" s="23" t="s">
        <v>902</v>
      </c>
      <c r="H5715" s="2" t="s">
        <v>822</v>
      </c>
      <c r="J5715" s="31">
        <v>50.756000499999999</v>
      </c>
      <c r="K5715" s="31">
        <v>-18.511999100000001</v>
      </c>
      <c r="L5715" s="31"/>
      <c r="M5715" s="31" t="s">
        <v>854</v>
      </c>
      <c r="N5715" s="6" t="s">
        <v>856</v>
      </c>
    </row>
    <row r="5716" spans="1:14" ht="15" customHeight="1" x14ac:dyDescent="0.2">
      <c r="A5716" s="31">
        <v>0.30699814109910672</v>
      </c>
      <c r="B5716" s="31"/>
      <c r="C5716" s="2" t="s">
        <v>855</v>
      </c>
      <c r="D5716" s="31">
        <f t="shared" si="177"/>
        <v>6.0171635655424924E-2</v>
      </c>
      <c r="F5716" s="2" t="s">
        <v>822</v>
      </c>
      <c r="G5716" s="23" t="s">
        <v>902</v>
      </c>
      <c r="H5716" s="2" t="s">
        <v>822</v>
      </c>
      <c r="J5716" s="31">
        <v>50.756000499999999</v>
      </c>
      <c r="K5716" s="31">
        <v>-34.543998700000003</v>
      </c>
      <c r="L5716" s="31"/>
      <c r="M5716" s="31" t="s">
        <v>854</v>
      </c>
      <c r="N5716" s="6" t="s">
        <v>856</v>
      </c>
    </row>
    <row r="5717" spans="1:14" ht="15" customHeight="1" x14ac:dyDescent="0.2">
      <c r="A5717" s="31">
        <v>0.3069167856746966</v>
      </c>
      <c r="B5717" s="31"/>
      <c r="C5717" s="2" t="s">
        <v>855</v>
      </c>
      <c r="D5717" s="31">
        <f t="shared" si="177"/>
        <v>6.0155689992240538E-2</v>
      </c>
      <c r="F5717" s="2" t="s">
        <v>822</v>
      </c>
      <c r="G5717" s="23" t="s">
        <v>902</v>
      </c>
      <c r="H5717" s="2" t="s">
        <v>822</v>
      </c>
      <c r="J5717" s="31">
        <v>59.439998600000003</v>
      </c>
      <c r="K5717" s="31">
        <v>-15.171999899999999</v>
      </c>
      <c r="L5717" s="31"/>
      <c r="M5717" s="31" t="s">
        <v>854</v>
      </c>
      <c r="N5717" s="6" t="s">
        <v>856</v>
      </c>
    </row>
    <row r="5718" spans="1:14" ht="15" customHeight="1" x14ac:dyDescent="0.2">
      <c r="A5718" s="31">
        <v>0.30657646473699818</v>
      </c>
      <c r="B5718" s="31"/>
      <c r="C5718" s="2" t="s">
        <v>855</v>
      </c>
      <c r="D5718" s="31">
        <f t="shared" si="177"/>
        <v>6.0088987088451645E-2</v>
      </c>
      <c r="F5718" s="2" t="s">
        <v>822</v>
      </c>
      <c r="G5718" s="23" t="s">
        <v>902</v>
      </c>
      <c r="H5718" s="2" t="s">
        <v>822</v>
      </c>
      <c r="J5718" s="31">
        <v>50.966098799999997</v>
      </c>
      <c r="K5718" s="31">
        <v>-39.238799999999998</v>
      </c>
      <c r="L5718" s="31"/>
      <c r="M5718" s="31" t="s">
        <v>854</v>
      </c>
      <c r="N5718" s="6" t="s">
        <v>856</v>
      </c>
    </row>
    <row r="5719" spans="1:14" ht="15" customHeight="1" x14ac:dyDescent="0.2">
      <c r="A5719" s="31">
        <v>0.30651070900190008</v>
      </c>
      <c r="B5719" s="31"/>
      <c r="C5719" s="2" t="s">
        <v>855</v>
      </c>
      <c r="D5719" s="31">
        <f t="shared" si="177"/>
        <v>6.0076098964372417E-2</v>
      </c>
      <c r="F5719" s="2" t="s">
        <v>822</v>
      </c>
      <c r="G5719" s="23" t="s">
        <v>902</v>
      </c>
      <c r="H5719" s="2" t="s">
        <v>822</v>
      </c>
      <c r="J5719" s="31">
        <v>49.277801500000002</v>
      </c>
      <c r="K5719" s="31">
        <v>-42.788398700000002</v>
      </c>
      <c r="L5719" s="31"/>
      <c r="M5719" s="31" t="s">
        <v>854</v>
      </c>
      <c r="N5719" s="6" t="s">
        <v>856</v>
      </c>
    </row>
    <row r="5720" spans="1:14" ht="15" customHeight="1" x14ac:dyDescent="0.2">
      <c r="A5720" s="31">
        <v>0.30602242214990388</v>
      </c>
      <c r="B5720" s="31"/>
      <c r="C5720" s="2" t="s">
        <v>855</v>
      </c>
      <c r="D5720" s="31">
        <f t="shared" si="177"/>
        <v>5.9980394741381164E-2</v>
      </c>
      <c r="F5720" s="2" t="s">
        <v>822</v>
      </c>
      <c r="G5720" s="23" t="s">
        <v>902</v>
      </c>
      <c r="H5720" s="2" t="s">
        <v>822</v>
      </c>
      <c r="J5720" s="31">
        <v>59.439998600000003</v>
      </c>
      <c r="K5720" s="31">
        <v>-20.516000699999999</v>
      </c>
      <c r="L5720" s="31"/>
      <c r="M5720" s="31" t="s">
        <v>854</v>
      </c>
      <c r="N5720" s="6" t="s">
        <v>856</v>
      </c>
    </row>
    <row r="5721" spans="1:14" ht="15" customHeight="1" x14ac:dyDescent="0.2">
      <c r="A5721" s="31">
        <v>0.30524254678882839</v>
      </c>
      <c r="B5721" s="31"/>
      <c r="C5721" s="2" t="s">
        <v>855</v>
      </c>
      <c r="D5721" s="31">
        <f t="shared" si="177"/>
        <v>5.9827539170610365E-2</v>
      </c>
      <c r="F5721" s="2" t="s">
        <v>822</v>
      </c>
      <c r="G5721" s="23" t="s">
        <v>902</v>
      </c>
      <c r="H5721" s="2" t="s">
        <v>822</v>
      </c>
      <c r="J5721" s="31">
        <v>59.439998600000003</v>
      </c>
      <c r="K5721" s="31">
        <v>-15.8400002</v>
      </c>
      <c r="L5721" s="31"/>
      <c r="M5721" s="31" t="s">
        <v>854</v>
      </c>
      <c r="N5721" s="6" t="s">
        <v>856</v>
      </c>
    </row>
    <row r="5722" spans="1:14" ht="15" customHeight="1" x14ac:dyDescent="0.2">
      <c r="A5722" s="31">
        <v>0.30522113196577882</v>
      </c>
      <c r="B5722" s="31"/>
      <c r="C5722" s="2" t="s">
        <v>855</v>
      </c>
      <c r="D5722" s="31">
        <f t="shared" si="177"/>
        <v>5.9823341865292652E-2</v>
      </c>
      <c r="F5722" s="2" t="s">
        <v>822</v>
      </c>
      <c r="G5722" s="23" t="s">
        <v>902</v>
      </c>
      <c r="H5722" s="2" t="s">
        <v>822</v>
      </c>
      <c r="J5722" s="31">
        <v>51.446399700000001</v>
      </c>
      <c r="K5722" s="31">
        <v>-21.869300800000001</v>
      </c>
      <c r="L5722" s="31"/>
      <c r="M5722" s="31" t="s">
        <v>854</v>
      </c>
      <c r="N5722" s="6" t="s">
        <v>856</v>
      </c>
    </row>
    <row r="5723" spans="1:14" ht="15" customHeight="1" x14ac:dyDescent="0.2">
      <c r="A5723" s="31">
        <v>0.30520836383314309</v>
      </c>
      <c r="B5723" s="31"/>
      <c r="C5723" s="2" t="s">
        <v>855</v>
      </c>
      <c r="D5723" s="31">
        <f t="shared" si="177"/>
        <v>5.9820839311296045E-2</v>
      </c>
      <c r="F5723" s="2" t="s">
        <v>822</v>
      </c>
      <c r="G5723" s="23" t="s">
        <v>902</v>
      </c>
      <c r="H5723" s="2" t="s">
        <v>822</v>
      </c>
      <c r="J5723" s="31">
        <v>60.087200199999998</v>
      </c>
      <c r="K5723" s="31">
        <v>-1.7703500000000001</v>
      </c>
      <c r="L5723" s="31"/>
      <c r="M5723" s="31" t="s">
        <v>854</v>
      </c>
      <c r="N5723" s="6" t="s">
        <v>856</v>
      </c>
    </row>
    <row r="5724" spans="1:14" ht="15" customHeight="1" x14ac:dyDescent="0.2">
      <c r="A5724" s="31">
        <v>0.30495180299959829</v>
      </c>
      <c r="B5724" s="31"/>
      <c r="C5724" s="2" t="s">
        <v>855</v>
      </c>
      <c r="D5724" s="31">
        <f t="shared" si="177"/>
        <v>5.9770553387921269E-2</v>
      </c>
      <c r="F5724" s="2" t="s">
        <v>822</v>
      </c>
      <c r="G5724" s="23" t="s">
        <v>902</v>
      </c>
      <c r="H5724" s="2" t="s">
        <v>822</v>
      </c>
      <c r="J5724" s="31">
        <v>51.380199400000002</v>
      </c>
      <c r="K5724" s="31">
        <v>-29.0879993</v>
      </c>
      <c r="L5724" s="31"/>
      <c r="M5724" s="31" t="s">
        <v>854</v>
      </c>
      <c r="N5724" s="6" t="s">
        <v>856</v>
      </c>
    </row>
    <row r="5725" spans="1:14" ht="15" customHeight="1" x14ac:dyDescent="0.2">
      <c r="A5725" s="31">
        <v>0.30484174341357112</v>
      </c>
      <c r="B5725" s="31"/>
      <c r="C5725" s="2" t="s">
        <v>855</v>
      </c>
      <c r="D5725" s="31">
        <f t="shared" si="177"/>
        <v>5.9748981709059942E-2</v>
      </c>
      <c r="F5725" s="2" t="s">
        <v>822</v>
      </c>
      <c r="G5725" s="23" t="s">
        <v>902</v>
      </c>
      <c r="H5725" s="2" t="s">
        <v>822</v>
      </c>
      <c r="J5725" s="31">
        <v>50.823600800000001</v>
      </c>
      <c r="K5725" s="31">
        <v>-23.820900000000002</v>
      </c>
      <c r="L5725" s="31"/>
      <c r="M5725" s="31" t="s">
        <v>854</v>
      </c>
      <c r="N5725" s="6" t="s">
        <v>856</v>
      </c>
    </row>
    <row r="5726" spans="1:14" ht="15" customHeight="1" x14ac:dyDescent="0.2">
      <c r="A5726" s="31">
        <v>0.30431609217218941</v>
      </c>
      <c r="B5726" s="31"/>
      <c r="C5726" s="2" t="s">
        <v>855</v>
      </c>
      <c r="D5726" s="31">
        <f t="shared" si="177"/>
        <v>5.9645954065749129E-2</v>
      </c>
      <c r="F5726" s="2" t="s">
        <v>822</v>
      </c>
      <c r="G5726" s="23" t="s">
        <v>902</v>
      </c>
      <c r="H5726" s="2" t="s">
        <v>822</v>
      </c>
      <c r="J5726" s="31">
        <v>60.169998200000002</v>
      </c>
      <c r="K5726" s="31">
        <v>4.1963701000000002</v>
      </c>
      <c r="L5726" s="31"/>
      <c r="M5726" s="31" t="s">
        <v>854</v>
      </c>
      <c r="N5726" s="6" t="s">
        <v>856</v>
      </c>
    </row>
    <row r="5727" spans="1:14" ht="15" customHeight="1" x14ac:dyDescent="0.2">
      <c r="A5727" s="31">
        <v>0.30426877189403068</v>
      </c>
      <c r="B5727" s="31"/>
      <c r="C5727" s="2" t="s">
        <v>855</v>
      </c>
      <c r="D5727" s="31">
        <f t="shared" si="177"/>
        <v>5.9636679291230017E-2</v>
      </c>
      <c r="F5727" s="2" t="s">
        <v>822</v>
      </c>
      <c r="G5727" s="23" t="s">
        <v>902</v>
      </c>
      <c r="H5727" s="2" t="s">
        <v>822</v>
      </c>
      <c r="J5727" s="31">
        <v>54.367801700000001</v>
      </c>
      <c r="K5727" s="31">
        <v>13.1314001</v>
      </c>
      <c r="L5727" s="31"/>
      <c r="M5727" s="31" t="s">
        <v>854</v>
      </c>
      <c r="N5727" s="6" t="s">
        <v>856</v>
      </c>
    </row>
    <row r="5728" spans="1:14" ht="15" customHeight="1" x14ac:dyDescent="0.2">
      <c r="A5728" s="31">
        <v>0.30419025015206208</v>
      </c>
      <c r="B5728" s="31"/>
      <c r="C5728" s="2" t="s">
        <v>855</v>
      </c>
      <c r="D5728" s="31">
        <f t="shared" si="177"/>
        <v>5.9621289029804167E-2</v>
      </c>
      <c r="F5728" s="2" t="s">
        <v>822</v>
      </c>
      <c r="G5728" s="23" t="s">
        <v>902</v>
      </c>
      <c r="H5728" s="2" t="s">
        <v>822</v>
      </c>
      <c r="J5728" s="31">
        <v>54.096000699999998</v>
      </c>
      <c r="K5728" s="31">
        <v>-34.543998700000003</v>
      </c>
      <c r="L5728" s="31"/>
      <c r="M5728" s="31" t="s">
        <v>854</v>
      </c>
      <c r="N5728" s="6" t="s">
        <v>856</v>
      </c>
    </row>
    <row r="5729" spans="1:14" ht="15" customHeight="1" x14ac:dyDescent="0.2">
      <c r="A5729" s="31">
        <v>0.30418895224465858</v>
      </c>
      <c r="B5729" s="31"/>
      <c r="C5729" s="2" t="s">
        <v>855</v>
      </c>
      <c r="D5729" s="31">
        <f t="shared" si="177"/>
        <v>5.9621034639953087E-2</v>
      </c>
      <c r="F5729" s="2" t="s">
        <v>822</v>
      </c>
      <c r="G5729" s="23" t="s">
        <v>902</v>
      </c>
      <c r="H5729" s="2" t="s">
        <v>822</v>
      </c>
      <c r="J5729" s="31">
        <v>60.5990982</v>
      </c>
      <c r="K5729" s="31">
        <v>-7.0214701000000002</v>
      </c>
      <c r="L5729" s="31"/>
      <c r="M5729" s="31" t="s">
        <v>854</v>
      </c>
      <c r="N5729" s="6" t="s">
        <v>856</v>
      </c>
    </row>
    <row r="5730" spans="1:14" ht="15" customHeight="1" x14ac:dyDescent="0.2">
      <c r="A5730" s="31">
        <v>0.3037223589455838</v>
      </c>
      <c r="B5730" s="31"/>
      <c r="C5730" s="2" t="s">
        <v>855</v>
      </c>
      <c r="D5730" s="31">
        <f t="shared" si="177"/>
        <v>5.9529582353334429E-2</v>
      </c>
      <c r="F5730" s="2" t="s">
        <v>822</v>
      </c>
      <c r="G5730" s="23" t="s">
        <v>902</v>
      </c>
      <c r="H5730" s="2" t="s">
        <v>822</v>
      </c>
      <c r="J5730" s="31">
        <v>54.076198599999998</v>
      </c>
      <c r="K5730" s="31">
        <v>-23.853200900000001</v>
      </c>
      <c r="L5730" s="31"/>
      <c r="M5730" s="31" t="s">
        <v>854</v>
      </c>
      <c r="N5730" s="6" t="s">
        <v>856</v>
      </c>
    </row>
    <row r="5731" spans="1:14" ht="15" customHeight="1" x14ac:dyDescent="0.2">
      <c r="A5731" s="31">
        <v>0.30334533333435232</v>
      </c>
      <c r="B5731" s="31"/>
      <c r="C5731" s="2" t="s">
        <v>855</v>
      </c>
      <c r="D5731" s="31">
        <f t="shared" si="177"/>
        <v>5.9455685333533057E-2</v>
      </c>
      <c r="F5731" s="2" t="s">
        <v>822</v>
      </c>
      <c r="G5731" s="23" t="s">
        <v>902</v>
      </c>
      <c r="H5731" s="2" t="s">
        <v>822</v>
      </c>
      <c r="J5731" s="31">
        <v>61.893100699999998</v>
      </c>
      <c r="K5731" s="31">
        <v>-7.0828899999999999</v>
      </c>
      <c r="L5731" s="31"/>
      <c r="M5731" s="31" t="s">
        <v>854</v>
      </c>
      <c r="N5731" s="6" t="s">
        <v>856</v>
      </c>
    </row>
    <row r="5732" spans="1:14" ht="15" customHeight="1" x14ac:dyDescent="0.2">
      <c r="A5732" s="31">
        <v>0.30331262088187272</v>
      </c>
      <c r="B5732" s="31"/>
      <c r="C5732" s="2" t="s">
        <v>855</v>
      </c>
      <c r="D5732" s="31">
        <f t="shared" si="177"/>
        <v>5.9449273692847054E-2</v>
      </c>
      <c r="F5732" s="2" t="s">
        <v>822</v>
      </c>
      <c r="G5732" s="23" t="s">
        <v>902</v>
      </c>
      <c r="H5732" s="2" t="s">
        <v>822</v>
      </c>
      <c r="J5732" s="31">
        <v>58.146301299999998</v>
      </c>
      <c r="K5732" s="31">
        <v>-2.7771699000000001</v>
      </c>
      <c r="L5732" s="31"/>
      <c r="M5732" s="31" t="s">
        <v>854</v>
      </c>
      <c r="N5732" s="6" t="s">
        <v>856</v>
      </c>
    </row>
    <row r="5733" spans="1:14" ht="15" customHeight="1" x14ac:dyDescent="0.2">
      <c r="A5733" s="31">
        <v>0.30252563099682372</v>
      </c>
      <c r="B5733" s="31"/>
      <c r="C5733" s="2" t="s">
        <v>855</v>
      </c>
      <c r="D5733" s="31">
        <f t="shared" si="177"/>
        <v>5.9295023675377451E-2</v>
      </c>
      <c r="F5733" s="2" t="s">
        <v>822</v>
      </c>
      <c r="G5733" s="23" t="s">
        <v>902</v>
      </c>
      <c r="H5733" s="2" t="s">
        <v>822</v>
      </c>
      <c r="J5733" s="31">
        <v>58.1040001</v>
      </c>
      <c r="K5733" s="31">
        <v>-21.851999299999999</v>
      </c>
      <c r="L5733" s="31"/>
      <c r="M5733" s="31" t="s">
        <v>854</v>
      </c>
      <c r="N5733" s="6" t="s">
        <v>856</v>
      </c>
    </row>
    <row r="5734" spans="1:14" ht="15" customHeight="1" x14ac:dyDescent="0.2">
      <c r="A5734" s="31">
        <v>0.30217998689808678</v>
      </c>
      <c r="B5734" s="31"/>
      <c r="C5734" s="2" t="s">
        <v>855</v>
      </c>
      <c r="D5734" s="31">
        <f t="shared" si="177"/>
        <v>5.9227277432025015E-2</v>
      </c>
      <c r="F5734" s="2" t="s">
        <v>822</v>
      </c>
      <c r="G5734" s="23" t="s">
        <v>902</v>
      </c>
      <c r="H5734" s="2" t="s">
        <v>822</v>
      </c>
      <c r="J5734" s="31">
        <v>60.108001700000003</v>
      </c>
      <c r="K5734" s="31">
        <v>2.8640001000000002</v>
      </c>
      <c r="L5734" s="31"/>
      <c r="M5734" s="31" t="s">
        <v>854</v>
      </c>
      <c r="N5734" s="6" t="s">
        <v>856</v>
      </c>
    </row>
    <row r="5735" spans="1:14" ht="15" customHeight="1" x14ac:dyDescent="0.2">
      <c r="A5735" s="31">
        <v>0.3018492715225764</v>
      </c>
      <c r="B5735" s="31"/>
      <c r="C5735" s="2" t="s">
        <v>855</v>
      </c>
      <c r="D5735" s="31">
        <f t="shared" si="177"/>
        <v>5.9162457218424974E-2</v>
      </c>
      <c r="F5735" s="2" t="s">
        <v>822</v>
      </c>
      <c r="G5735" s="23" t="s">
        <v>902</v>
      </c>
      <c r="H5735" s="2" t="s">
        <v>822</v>
      </c>
      <c r="J5735" s="31">
        <v>51.371601099999999</v>
      </c>
      <c r="K5735" s="31">
        <v>-17.970199600000001</v>
      </c>
      <c r="L5735" s="31"/>
      <c r="M5735" s="31" t="s">
        <v>854</v>
      </c>
      <c r="N5735" s="6" t="s">
        <v>856</v>
      </c>
    </row>
    <row r="5736" spans="1:14" ht="15" customHeight="1" x14ac:dyDescent="0.2">
      <c r="A5736" s="31">
        <v>0.30172649524785572</v>
      </c>
      <c r="B5736" s="31"/>
      <c r="C5736" s="2" t="s">
        <v>855</v>
      </c>
      <c r="D5736" s="31">
        <f t="shared" si="177"/>
        <v>5.9138393068579723E-2</v>
      </c>
      <c r="F5736" s="2" t="s">
        <v>822</v>
      </c>
      <c r="G5736" s="23" t="s">
        <v>902</v>
      </c>
      <c r="H5736" s="2" t="s">
        <v>822</v>
      </c>
      <c r="J5736" s="31">
        <v>62.111999500000003</v>
      </c>
      <c r="K5736" s="31">
        <v>-17.8439999</v>
      </c>
      <c r="L5736" s="31"/>
      <c r="M5736" s="31" t="s">
        <v>854</v>
      </c>
      <c r="N5736" s="6" t="s">
        <v>856</v>
      </c>
    </row>
    <row r="5737" spans="1:14" ht="15" customHeight="1" x14ac:dyDescent="0.2">
      <c r="A5737" s="31">
        <v>0.3015742160309513</v>
      </c>
      <c r="B5737" s="31"/>
      <c r="C5737" s="2" t="s">
        <v>855</v>
      </c>
      <c r="D5737" s="31">
        <f t="shared" si="177"/>
        <v>5.9108546342066456E-2</v>
      </c>
      <c r="F5737" s="2" t="s">
        <v>822</v>
      </c>
      <c r="G5737" s="23" t="s">
        <v>902</v>
      </c>
      <c r="H5737" s="2" t="s">
        <v>822</v>
      </c>
      <c r="J5737" s="31">
        <v>60.776001000000001</v>
      </c>
      <c r="K5737" s="31">
        <v>-20.516000699999999</v>
      </c>
      <c r="L5737" s="31"/>
      <c r="M5737" s="31" t="s">
        <v>854</v>
      </c>
      <c r="N5737" s="6" t="s">
        <v>856</v>
      </c>
    </row>
    <row r="5738" spans="1:14" ht="15" customHeight="1" x14ac:dyDescent="0.2">
      <c r="A5738" s="31">
        <v>0.30114518831150078</v>
      </c>
      <c r="B5738" s="31"/>
      <c r="C5738" s="2" t="s">
        <v>855</v>
      </c>
      <c r="D5738" s="31">
        <f t="shared" si="177"/>
        <v>5.9024456909054154E-2</v>
      </c>
      <c r="F5738" s="2" t="s">
        <v>822</v>
      </c>
      <c r="G5738" s="23" t="s">
        <v>902</v>
      </c>
      <c r="H5738" s="2" t="s">
        <v>822</v>
      </c>
      <c r="J5738" s="31">
        <v>57.436000800000002</v>
      </c>
      <c r="K5738" s="31">
        <v>-20.516000699999999</v>
      </c>
      <c r="L5738" s="31"/>
      <c r="M5738" s="31" t="s">
        <v>854</v>
      </c>
      <c r="N5738" s="6" t="s">
        <v>856</v>
      </c>
    </row>
    <row r="5739" spans="1:14" ht="15" customHeight="1" x14ac:dyDescent="0.2">
      <c r="A5739" s="31">
        <v>0.30113728875744727</v>
      </c>
      <c r="B5739" s="31"/>
      <c r="C5739" s="2" t="s">
        <v>855</v>
      </c>
      <c r="D5739" s="31">
        <f t="shared" si="177"/>
        <v>5.9022908596459665E-2</v>
      </c>
      <c r="F5739" s="2" t="s">
        <v>822</v>
      </c>
      <c r="G5739" s="23" t="s">
        <v>902</v>
      </c>
      <c r="H5739" s="2" t="s">
        <v>822</v>
      </c>
      <c r="J5739" s="31">
        <v>56.768001599999998</v>
      </c>
      <c r="K5739" s="31">
        <v>-20.516000699999999</v>
      </c>
      <c r="L5739" s="31"/>
      <c r="M5739" s="31" t="s">
        <v>854</v>
      </c>
      <c r="N5739" s="6" t="s">
        <v>856</v>
      </c>
    </row>
    <row r="5740" spans="1:14" ht="15" customHeight="1" x14ac:dyDescent="0.2">
      <c r="A5740" s="31">
        <v>0.30101905537667351</v>
      </c>
      <c r="B5740" s="31"/>
      <c r="C5740" s="2" t="s">
        <v>855</v>
      </c>
      <c r="D5740" s="31">
        <f t="shared" si="177"/>
        <v>5.8999734853828006E-2</v>
      </c>
      <c r="F5740" s="2" t="s">
        <v>822</v>
      </c>
      <c r="G5740" s="23" t="s">
        <v>902</v>
      </c>
      <c r="H5740" s="2" t="s">
        <v>822</v>
      </c>
      <c r="J5740" s="31">
        <v>58.771999399999999</v>
      </c>
      <c r="K5740" s="31">
        <v>-30.5359993</v>
      </c>
      <c r="L5740" s="31"/>
      <c r="M5740" s="31" t="s">
        <v>854</v>
      </c>
      <c r="N5740" s="6" t="s">
        <v>856</v>
      </c>
    </row>
    <row r="5741" spans="1:14" ht="15" customHeight="1" x14ac:dyDescent="0.2">
      <c r="A5741" s="31">
        <v>0.30089898082204808</v>
      </c>
      <c r="B5741" s="31"/>
      <c r="C5741" s="2" t="s">
        <v>855</v>
      </c>
      <c r="D5741" s="31">
        <f t="shared" si="177"/>
        <v>5.8976200241121428E-2</v>
      </c>
      <c r="F5741" s="2" t="s">
        <v>822</v>
      </c>
      <c r="G5741" s="23" t="s">
        <v>902</v>
      </c>
      <c r="H5741" s="2" t="s">
        <v>822</v>
      </c>
      <c r="J5741" s="31">
        <v>59.129600500000002</v>
      </c>
      <c r="K5741" s="31">
        <v>-6.66716</v>
      </c>
      <c r="L5741" s="31"/>
      <c r="M5741" s="31" t="s">
        <v>854</v>
      </c>
      <c r="N5741" s="6" t="s">
        <v>856</v>
      </c>
    </row>
    <row r="5742" spans="1:14" ht="15" customHeight="1" x14ac:dyDescent="0.2">
      <c r="A5742" s="31">
        <v>0.30071742238551552</v>
      </c>
      <c r="B5742" s="31"/>
      <c r="C5742" s="2" t="s">
        <v>855</v>
      </c>
      <c r="D5742" s="31">
        <f t="shared" si="177"/>
        <v>5.8940614787561046E-2</v>
      </c>
      <c r="F5742" s="2" t="s">
        <v>822</v>
      </c>
      <c r="G5742" s="23" t="s">
        <v>902</v>
      </c>
      <c r="H5742" s="2" t="s">
        <v>822</v>
      </c>
      <c r="J5742" s="31">
        <v>49.419998200000002</v>
      </c>
      <c r="K5742" s="31">
        <v>-23.187999699999999</v>
      </c>
      <c r="L5742" s="31"/>
      <c r="M5742" s="31" t="s">
        <v>854</v>
      </c>
      <c r="N5742" s="6" t="s">
        <v>856</v>
      </c>
    </row>
    <row r="5743" spans="1:14" ht="15" customHeight="1" x14ac:dyDescent="0.2">
      <c r="A5743" s="31">
        <v>0.3007109894311254</v>
      </c>
      <c r="B5743" s="31"/>
      <c r="C5743" s="2" t="s">
        <v>855</v>
      </c>
      <c r="D5743" s="31">
        <f t="shared" si="177"/>
        <v>5.8939353928500582E-2</v>
      </c>
      <c r="F5743" s="2" t="s">
        <v>822</v>
      </c>
      <c r="G5743" s="23" t="s">
        <v>902</v>
      </c>
      <c r="H5743" s="2" t="s">
        <v>822</v>
      </c>
      <c r="J5743" s="31">
        <v>58.1040001</v>
      </c>
      <c r="K5743" s="31">
        <v>-29.867999999999999</v>
      </c>
      <c r="L5743" s="31"/>
      <c r="M5743" s="31" t="s">
        <v>854</v>
      </c>
      <c r="N5743" s="6" t="s">
        <v>856</v>
      </c>
    </row>
    <row r="5744" spans="1:14" ht="15" customHeight="1" x14ac:dyDescent="0.2">
      <c r="A5744" s="31">
        <v>0.29996256636231189</v>
      </c>
      <c r="B5744" s="31"/>
      <c r="C5744" s="2" t="s">
        <v>855</v>
      </c>
      <c r="D5744" s="31">
        <f t="shared" si="177"/>
        <v>5.8792663007013135E-2</v>
      </c>
      <c r="F5744" s="2" t="s">
        <v>822</v>
      </c>
      <c r="G5744" s="23" t="s">
        <v>902</v>
      </c>
      <c r="H5744" s="2" t="s">
        <v>822</v>
      </c>
      <c r="J5744" s="31">
        <v>54.763999900000002</v>
      </c>
      <c r="K5744" s="31">
        <v>-24.5240002</v>
      </c>
      <c r="L5744" s="31"/>
      <c r="M5744" s="31" t="s">
        <v>854</v>
      </c>
      <c r="N5744" s="6" t="s">
        <v>856</v>
      </c>
    </row>
    <row r="5745" spans="1:14" ht="15" customHeight="1" x14ac:dyDescent="0.2">
      <c r="A5745" s="31">
        <v>0.29992117182487749</v>
      </c>
      <c r="B5745" s="31"/>
      <c r="C5745" s="2" t="s">
        <v>855</v>
      </c>
      <c r="D5745" s="31">
        <f t="shared" si="177"/>
        <v>5.878454967767599E-2</v>
      </c>
      <c r="F5745" s="2" t="s">
        <v>822</v>
      </c>
      <c r="G5745" s="23" t="s">
        <v>902</v>
      </c>
      <c r="H5745" s="2" t="s">
        <v>822</v>
      </c>
      <c r="J5745" s="31">
        <v>40.0680008</v>
      </c>
      <c r="K5745" s="31">
        <v>-34.570201900000001</v>
      </c>
      <c r="L5745" s="31"/>
      <c r="M5745" s="31" t="s">
        <v>854</v>
      </c>
      <c r="N5745" s="6" t="s">
        <v>856</v>
      </c>
    </row>
    <row r="5746" spans="1:14" ht="15" customHeight="1" x14ac:dyDescent="0.2">
      <c r="A5746" s="31">
        <v>0.29954158478048148</v>
      </c>
      <c r="B5746" s="31"/>
      <c r="C5746" s="2" t="s">
        <v>855</v>
      </c>
      <c r="D5746" s="31">
        <f t="shared" si="177"/>
        <v>5.871015061697437E-2</v>
      </c>
      <c r="F5746" s="2" t="s">
        <v>822</v>
      </c>
      <c r="G5746" s="23" t="s">
        <v>902</v>
      </c>
      <c r="H5746" s="2" t="s">
        <v>822</v>
      </c>
      <c r="J5746" s="31">
        <v>55.4319992</v>
      </c>
      <c r="K5746" s="31">
        <v>-29.867999999999999</v>
      </c>
      <c r="L5746" s="31"/>
      <c r="M5746" s="31" t="s">
        <v>854</v>
      </c>
      <c r="N5746" s="6" t="s">
        <v>856</v>
      </c>
    </row>
    <row r="5747" spans="1:14" ht="15" customHeight="1" x14ac:dyDescent="0.2">
      <c r="A5747" s="31">
        <v>0.299459176467676</v>
      </c>
      <c r="B5747" s="31"/>
      <c r="C5747" s="2" t="s">
        <v>855</v>
      </c>
      <c r="D5747" s="31">
        <f t="shared" si="177"/>
        <v>5.8693998587664498E-2</v>
      </c>
      <c r="F5747" s="2" t="s">
        <v>822</v>
      </c>
      <c r="G5747" s="23" t="s">
        <v>902</v>
      </c>
      <c r="H5747" s="2" t="s">
        <v>822</v>
      </c>
      <c r="J5747" s="31">
        <v>55.222499800000001</v>
      </c>
      <c r="K5747" s="31">
        <v>-12.7851</v>
      </c>
      <c r="L5747" s="31"/>
      <c r="M5747" s="31" t="s">
        <v>854</v>
      </c>
      <c r="N5747" s="6" t="s">
        <v>856</v>
      </c>
    </row>
    <row r="5748" spans="1:14" ht="15" customHeight="1" x14ac:dyDescent="0.2">
      <c r="A5748" s="31">
        <v>0.2994132688985679</v>
      </c>
      <c r="B5748" s="31"/>
      <c r="C5748" s="2" t="s">
        <v>855</v>
      </c>
      <c r="D5748" s="31">
        <f t="shared" si="177"/>
        <v>5.8685000704119313E-2</v>
      </c>
      <c r="F5748" s="2" t="s">
        <v>822</v>
      </c>
      <c r="G5748" s="23" t="s">
        <v>902</v>
      </c>
      <c r="H5748" s="2" t="s">
        <v>822</v>
      </c>
      <c r="J5748" s="31">
        <v>55.431899999999999</v>
      </c>
      <c r="K5748" s="31">
        <v>-11.1632996</v>
      </c>
      <c r="L5748" s="31"/>
      <c r="M5748" s="31" t="s">
        <v>854</v>
      </c>
      <c r="N5748" s="6" t="s">
        <v>856</v>
      </c>
    </row>
    <row r="5749" spans="1:14" ht="15" customHeight="1" x14ac:dyDescent="0.2">
      <c r="A5749" s="31">
        <v>0.29903710424214602</v>
      </c>
      <c r="B5749" s="31"/>
      <c r="C5749" s="2" t="s">
        <v>855</v>
      </c>
      <c r="D5749" s="31">
        <f t="shared" si="177"/>
        <v>5.8611272431460623E-2</v>
      </c>
      <c r="F5749" s="2" t="s">
        <v>822</v>
      </c>
      <c r="G5749" s="23" t="s">
        <v>902</v>
      </c>
      <c r="H5749" s="2" t="s">
        <v>822</v>
      </c>
      <c r="J5749" s="31">
        <v>55.4319992</v>
      </c>
      <c r="K5749" s="31">
        <v>-25.1919994</v>
      </c>
      <c r="L5749" s="31"/>
      <c r="M5749" s="31" t="s">
        <v>854</v>
      </c>
      <c r="N5749" s="6" t="s">
        <v>856</v>
      </c>
    </row>
    <row r="5750" spans="1:14" ht="15" customHeight="1" x14ac:dyDescent="0.2">
      <c r="A5750" s="31">
        <v>0.29876623853699791</v>
      </c>
      <c r="B5750" s="31"/>
      <c r="C5750" s="2" t="s">
        <v>855</v>
      </c>
      <c r="D5750" s="31">
        <f t="shared" si="177"/>
        <v>5.8558182753251593E-2</v>
      </c>
      <c r="F5750" s="2" t="s">
        <v>822</v>
      </c>
      <c r="G5750" s="23" t="s">
        <v>902</v>
      </c>
      <c r="H5750" s="2" t="s">
        <v>822</v>
      </c>
      <c r="J5750" s="31">
        <v>56.768001599999998</v>
      </c>
      <c r="K5750" s="31">
        <v>-16.507999399999999</v>
      </c>
      <c r="L5750" s="31"/>
      <c r="M5750" s="31" t="s">
        <v>854</v>
      </c>
      <c r="N5750" s="6" t="s">
        <v>856</v>
      </c>
    </row>
    <row r="5751" spans="1:14" ht="15" customHeight="1" x14ac:dyDescent="0.2">
      <c r="A5751" s="31">
        <v>0.29821088735500639</v>
      </c>
      <c r="B5751" s="31"/>
      <c r="C5751" s="2" t="s">
        <v>855</v>
      </c>
      <c r="D5751" s="31">
        <f t="shared" si="177"/>
        <v>5.8449333921581255E-2</v>
      </c>
      <c r="F5751" s="2" t="s">
        <v>822</v>
      </c>
      <c r="G5751" s="23" t="s">
        <v>902</v>
      </c>
      <c r="H5751" s="2" t="s">
        <v>822</v>
      </c>
      <c r="J5751" s="31">
        <v>67.550201400000006</v>
      </c>
      <c r="K5751" s="31">
        <v>13.5881004</v>
      </c>
      <c r="L5751" s="31"/>
      <c r="M5751" s="31" t="s">
        <v>854</v>
      </c>
      <c r="N5751" s="6" t="s">
        <v>856</v>
      </c>
    </row>
    <row r="5752" spans="1:14" ht="15" customHeight="1" x14ac:dyDescent="0.2">
      <c r="A5752" s="31">
        <v>0.29805622882414118</v>
      </c>
      <c r="B5752" s="31"/>
      <c r="C5752" s="2" t="s">
        <v>855</v>
      </c>
      <c r="D5752" s="31">
        <f t="shared" si="177"/>
        <v>5.8419020849531676E-2</v>
      </c>
      <c r="F5752" s="2" t="s">
        <v>822</v>
      </c>
      <c r="G5752" s="23" t="s">
        <v>902</v>
      </c>
      <c r="H5752" s="2" t="s">
        <v>822</v>
      </c>
      <c r="J5752" s="31">
        <v>59.439998600000003</v>
      </c>
      <c r="K5752" s="31">
        <v>4.1999997999999996</v>
      </c>
      <c r="L5752" s="31"/>
      <c r="M5752" s="31" t="s">
        <v>854</v>
      </c>
      <c r="N5752" s="6" t="s">
        <v>856</v>
      </c>
    </row>
    <row r="5753" spans="1:14" ht="15" customHeight="1" x14ac:dyDescent="0.2">
      <c r="A5753" s="31">
        <v>0.29789413361111028</v>
      </c>
      <c r="B5753" s="31"/>
      <c r="C5753" s="2" t="s">
        <v>855</v>
      </c>
      <c r="D5753" s="31">
        <f t="shared" si="177"/>
        <v>5.8387250187777615E-2</v>
      </c>
      <c r="F5753" s="2" t="s">
        <v>822</v>
      </c>
      <c r="G5753" s="23" t="s">
        <v>902</v>
      </c>
      <c r="H5753" s="2" t="s">
        <v>822</v>
      </c>
      <c r="J5753" s="31">
        <v>56.099998499999998</v>
      </c>
      <c r="K5753" s="31">
        <v>-23.187999699999999</v>
      </c>
      <c r="L5753" s="31"/>
      <c r="M5753" s="31" t="s">
        <v>854</v>
      </c>
      <c r="N5753" s="6" t="s">
        <v>856</v>
      </c>
    </row>
    <row r="5754" spans="1:14" ht="15" customHeight="1" x14ac:dyDescent="0.2">
      <c r="A5754" s="31">
        <v>0.29787701370863789</v>
      </c>
      <c r="B5754" s="31"/>
      <c r="C5754" s="2" t="s">
        <v>855</v>
      </c>
      <c r="D5754" s="31">
        <f t="shared" si="177"/>
        <v>5.8383894686893027E-2</v>
      </c>
      <c r="F5754" s="2" t="s">
        <v>822</v>
      </c>
      <c r="G5754" s="23" t="s">
        <v>902</v>
      </c>
      <c r="H5754" s="2" t="s">
        <v>822</v>
      </c>
      <c r="J5754" s="31">
        <v>62.111999500000003</v>
      </c>
      <c r="K5754" s="31">
        <v>-13.1680002</v>
      </c>
      <c r="L5754" s="31"/>
      <c r="M5754" s="31" t="s">
        <v>854</v>
      </c>
      <c r="N5754" s="6" t="s">
        <v>856</v>
      </c>
    </row>
    <row r="5755" spans="1:14" ht="15" customHeight="1" x14ac:dyDescent="0.2">
      <c r="A5755" s="31">
        <v>0.29755904148593199</v>
      </c>
      <c r="B5755" s="31"/>
      <c r="C5755" s="2" t="s">
        <v>855</v>
      </c>
      <c r="D5755" s="31">
        <f t="shared" si="177"/>
        <v>5.8321572131242672E-2</v>
      </c>
      <c r="F5755" s="2" t="s">
        <v>822</v>
      </c>
      <c r="G5755" s="23" t="s">
        <v>902</v>
      </c>
      <c r="H5755" s="2" t="s">
        <v>822</v>
      </c>
      <c r="J5755" s="31">
        <v>52.092800099999998</v>
      </c>
      <c r="K5755" s="31">
        <v>-34.543201400000001</v>
      </c>
      <c r="L5755" s="31"/>
      <c r="M5755" s="31" t="s">
        <v>854</v>
      </c>
      <c r="N5755" s="6" t="s">
        <v>856</v>
      </c>
    </row>
    <row r="5756" spans="1:14" ht="15" customHeight="1" x14ac:dyDescent="0.2">
      <c r="A5756" s="31">
        <v>0.29752783273191818</v>
      </c>
      <c r="B5756" s="31"/>
      <c r="C5756" s="2" t="s">
        <v>855</v>
      </c>
      <c r="D5756" s="31">
        <f t="shared" si="177"/>
        <v>5.8315455215455968E-2</v>
      </c>
      <c r="F5756" s="2" t="s">
        <v>822</v>
      </c>
      <c r="G5756" s="23" t="s">
        <v>902</v>
      </c>
      <c r="H5756" s="2" t="s">
        <v>822</v>
      </c>
      <c r="J5756" s="31">
        <v>52.765899699999999</v>
      </c>
      <c r="K5756" s="31">
        <v>-27.1980991</v>
      </c>
      <c r="L5756" s="31"/>
      <c r="M5756" s="31" t="s">
        <v>854</v>
      </c>
      <c r="N5756" s="6" t="s">
        <v>856</v>
      </c>
    </row>
    <row r="5757" spans="1:14" ht="15" customHeight="1" x14ac:dyDescent="0.2">
      <c r="A5757" s="31">
        <v>0.29750268965276511</v>
      </c>
      <c r="B5757" s="31"/>
      <c r="C5757" s="2" t="s">
        <v>855</v>
      </c>
      <c r="D5757" s="31">
        <f t="shared" si="177"/>
        <v>5.8310527171941962E-2</v>
      </c>
      <c r="F5757" s="2" t="s">
        <v>822</v>
      </c>
      <c r="G5757" s="23" t="s">
        <v>902</v>
      </c>
      <c r="H5757" s="2" t="s">
        <v>822</v>
      </c>
      <c r="J5757" s="31">
        <v>62.297401399999998</v>
      </c>
      <c r="K5757" s="31">
        <v>5.5791402000000003</v>
      </c>
      <c r="L5757" s="31"/>
      <c r="M5757" s="31" t="s">
        <v>854</v>
      </c>
      <c r="N5757" s="6" t="s">
        <v>856</v>
      </c>
    </row>
    <row r="5758" spans="1:14" ht="15" customHeight="1" x14ac:dyDescent="0.2">
      <c r="A5758" s="31">
        <v>0.29738230618153172</v>
      </c>
      <c r="B5758" s="31"/>
      <c r="C5758" s="2" t="s">
        <v>855</v>
      </c>
      <c r="D5758" s="31">
        <f t="shared" si="177"/>
        <v>5.8286932011580223E-2</v>
      </c>
      <c r="F5758" s="2" t="s">
        <v>822</v>
      </c>
      <c r="G5758" s="23" t="s">
        <v>902</v>
      </c>
      <c r="H5758" s="2" t="s">
        <v>822</v>
      </c>
      <c r="J5758" s="31">
        <v>56.305400800000001</v>
      </c>
      <c r="K5758" s="31">
        <v>-2.5436499000000001</v>
      </c>
      <c r="L5758" s="31"/>
      <c r="M5758" s="31" t="s">
        <v>854</v>
      </c>
      <c r="N5758" s="6" t="s">
        <v>856</v>
      </c>
    </row>
    <row r="5759" spans="1:14" ht="15" customHeight="1" x14ac:dyDescent="0.2">
      <c r="A5759" s="31">
        <v>0.2973190653652325</v>
      </c>
      <c r="B5759" s="31"/>
      <c r="C5759" s="2" t="s">
        <v>855</v>
      </c>
      <c r="D5759" s="31">
        <f t="shared" si="177"/>
        <v>5.8274536811585571E-2</v>
      </c>
      <c r="F5759" s="2" t="s">
        <v>822</v>
      </c>
      <c r="G5759" s="23" t="s">
        <v>902</v>
      </c>
      <c r="H5759" s="2" t="s">
        <v>822</v>
      </c>
      <c r="J5759" s="31">
        <v>59.129600500000002</v>
      </c>
      <c r="K5759" s="31">
        <v>-5.2491598000000002</v>
      </c>
      <c r="L5759" s="31"/>
      <c r="M5759" s="31" t="s">
        <v>854</v>
      </c>
      <c r="N5759" s="6" t="s">
        <v>856</v>
      </c>
    </row>
    <row r="5760" spans="1:14" ht="15" customHeight="1" x14ac:dyDescent="0.2">
      <c r="A5760" s="31">
        <v>0.2970798383995662</v>
      </c>
      <c r="B5760" s="31"/>
      <c r="C5760" s="2" t="s">
        <v>855</v>
      </c>
      <c r="D5760" s="31">
        <f t="shared" si="177"/>
        <v>5.8227648326314975E-2</v>
      </c>
      <c r="F5760" s="2" t="s">
        <v>822</v>
      </c>
      <c r="G5760" s="23" t="s">
        <v>902</v>
      </c>
      <c r="H5760" s="2" t="s">
        <v>822</v>
      </c>
      <c r="J5760" s="31">
        <v>57.436000800000002</v>
      </c>
      <c r="K5760" s="31">
        <v>-31.8719997</v>
      </c>
      <c r="L5760" s="31"/>
      <c r="M5760" s="31" t="s">
        <v>854</v>
      </c>
      <c r="N5760" s="6" t="s">
        <v>856</v>
      </c>
    </row>
    <row r="5761" spans="1:14" ht="15" customHeight="1" x14ac:dyDescent="0.2">
      <c r="A5761" s="31">
        <v>0.29702708967795588</v>
      </c>
      <c r="B5761" s="31"/>
      <c r="C5761" s="2" t="s">
        <v>855</v>
      </c>
      <c r="D5761" s="31">
        <f t="shared" si="177"/>
        <v>5.8217309576879352E-2</v>
      </c>
      <c r="F5761" s="2" t="s">
        <v>822</v>
      </c>
      <c r="G5761" s="23" t="s">
        <v>902</v>
      </c>
      <c r="H5761" s="2" t="s">
        <v>822</v>
      </c>
      <c r="J5761" s="31">
        <v>57.436000800000002</v>
      </c>
      <c r="K5761" s="31">
        <v>-21.184000000000001</v>
      </c>
      <c r="L5761" s="31"/>
      <c r="M5761" s="31" t="s">
        <v>854</v>
      </c>
      <c r="N5761" s="6" t="s">
        <v>856</v>
      </c>
    </row>
    <row r="5762" spans="1:14" ht="15" customHeight="1" x14ac:dyDescent="0.2">
      <c r="A5762" s="31">
        <v>0.29683953340206548</v>
      </c>
      <c r="B5762" s="31"/>
      <c r="C5762" s="2" t="s">
        <v>855</v>
      </c>
      <c r="D5762" s="31">
        <f t="shared" si="177"/>
        <v>5.8180548546804836E-2</v>
      </c>
      <c r="F5762" s="2" t="s">
        <v>822</v>
      </c>
      <c r="G5762" s="23" t="s">
        <v>902</v>
      </c>
      <c r="H5762" s="2" t="s">
        <v>822</v>
      </c>
      <c r="J5762" s="31">
        <v>65.129798899999997</v>
      </c>
      <c r="K5762" s="31">
        <v>22.017799400000001</v>
      </c>
      <c r="L5762" s="31"/>
      <c r="M5762" s="31" t="s">
        <v>854</v>
      </c>
      <c r="N5762" s="6" t="s">
        <v>856</v>
      </c>
    </row>
    <row r="5763" spans="1:14" ht="15" customHeight="1" x14ac:dyDescent="0.2">
      <c r="A5763" s="31">
        <v>0.29672190155744849</v>
      </c>
      <c r="B5763" s="31"/>
      <c r="C5763" s="2" t="s">
        <v>855</v>
      </c>
      <c r="D5763" s="31">
        <f t="shared" si="177"/>
        <v>5.8157492705259904E-2</v>
      </c>
      <c r="F5763" s="2" t="s">
        <v>822</v>
      </c>
      <c r="G5763" s="23" t="s">
        <v>902</v>
      </c>
      <c r="H5763" s="2" t="s">
        <v>822</v>
      </c>
      <c r="J5763" s="31">
        <v>60.737701399999999</v>
      </c>
      <c r="K5763" s="31">
        <v>4.0963501999999998</v>
      </c>
      <c r="L5763" s="31"/>
      <c r="M5763" s="31" t="s">
        <v>854</v>
      </c>
      <c r="N5763" s="6" t="s">
        <v>856</v>
      </c>
    </row>
    <row r="5764" spans="1:14" ht="15" customHeight="1" x14ac:dyDescent="0.2">
      <c r="A5764" s="31">
        <v>0.29661701160514342</v>
      </c>
      <c r="B5764" s="31"/>
      <c r="C5764" s="2" t="s">
        <v>855</v>
      </c>
      <c r="D5764" s="31">
        <f t="shared" si="177"/>
        <v>5.8136934274608115E-2</v>
      </c>
      <c r="F5764" s="2" t="s">
        <v>822</v>
      </c>
      <c r="G5764" s="23" t="s">
        <v>902</v>
      </c>
      <c r="H5764" s="2" t="s">
        <v>822</v>
      </c>
      <c r="J5764" s="31">
        <v>53.4933014</v>
      </c>
      <c r="K5764" s="31">
        <v>-13.827799799999999</v>
      </c>
      <c r="L5764" s="31"/>
      <c r="M5764" s="31" t="s">
        <v>854</v>
      </c>
      <c r="N5764" s="6" t="s">
        <v>856</v>
      </c>
    </row>
    <row r="5765" spans="1:14" ht="15" customHeight="1" x14ac:dyDescent="0.2">
      <c r="A5765" s="31">
        <v>0.29653767647627732</v>
      </c>
      <c r="B5765" s="31"/>
      <c r="C5765" s="2" t="s">
        <v>855</v>
      </c>
      <c r="D5765" s="31">
        <f t="shared" si="177"/>
        <v>5.8121384589350358E-2</v>
      </c>
      <c r="F5765" s="2" t="s">
        <v>822</v>
      </c>
      <c r="G5765" s="23" t="s">
        <v>902</v>
      </c>
      <c r="H5765" s="2" t="s">
        <v>822</v>
      </c>
      <c r="J5765" s="31">
        <v>63.717601799999997</v>
      </c>
      <c r="K5765" s="31">
        <v>-14.466199899999999</v>
      </c>
      <c r="L5765" s="31"/>
      <c r="M5765" s="31" t="s">
        <v>854</v>
      </c>
      <c r="N5765" s="6" t="s">
        <v>856</v>
      </c>
    </row>
    <row r="5766" spans="1:14" ht="15" customHeight="1" x14ac:dyDescent="0.2">
      <c r="A5766" s="31">
        <v>0.29623039229323722</v>
      </c>
      <c r="B5766" s="31"/>
      <c r="C5766" s="2" t="s">
        <v>855</v>
      </c>
      <c r="D5766" s="31">
        <f t="shared" si="177"/>
        <v>5.8061156889474497E-2</v>
      </c>
      <c r="F5766" s="2" t="s">
        <v>822</v>
      </c>
      <c r="G5766" s="23" t="s">
        <v>902</v>
      </c>
      <c r="H5766" s="2" t="s">
        <v>822</v>
      </c>
      <c r="J5766" s="31">
        <v>56.285800899999998</v>
      </c>
      <c r="K5766" s="31">
        <v>-6.6575297999999998</v>
      </c>
      <c r="L5766" s="31"/>
      <c r="M5766" s="31" t="s">
        <v>854</v>
      </c>
      <c r="N5766" s="6" t="s">
        <v>856</v>
      </c>
    </row>
    <row r="5767" spans="1:14" ht="15" customHeight="1" x14ac:dyDescent="0.2">
      <c r="A5767" s="31">
        <v>0.29620914364563478</v>
      </c>
      <c r="B5767" s="31"/>
      <c r="C5767" s="2" t="s">
        <v>855</v>
      </c>
      <c r="D5767" s="31">
        <f t="shared" si="177"/>
        <v>5.8056992154544421E-2</v>
      </c>
      <c r="F5767" s="2" t="s">
        <v>822</v>
      </c>
      <c r="G5767" s="23" t="s">
        <v>902</v>
      </c>
      <c r="H5767" s="2" t="s">
        <v>822</v>
      </c>
      <c r="J5767" s="31">
        <v>56.768001599999998</v>
      </c>
      <c r="K5767" s="31">
        <v>-28.531999599999999</v>
      </c>
      <c r="L5767" s="31"/>
      <c r="M5767" s="31" t="s">
        <v>854</v>
      </c>
      <c r="N5767" s="6" t="s">
        <v>856</v>
      </c>
    </row>
    <row r="5768" spans="1:14" ht="15" customHeight="1" x14ac:dyDescent="0.2">
      <c r="A5768" s="31">
        <v>0.29614711922465559</v>
      </c>
      <c r="B5768" s="31"/>
      <c r="C5768" s="2" t="s">
        <v>855</v>
      </c>
      <c r="D5768" s="31">
        <f t="shared" si="177"/>
        <v>5.8044835368032496E-2</v>
      </c>
      <c r="F5768" s="2" t="s">
        <v>822</v>
      </c>
      <c r="G5768" s="23" t="s">
        <v>902</v>
      </c>
      <c r="H5768" s="2" t="s">
        <v>822</v>
      </c>
      <c r="J5768" s="31">
        <v>58.1040001</v>
      </c>
      <c r="K5768" s="31">
        <v>-31.8719997</v>
      </c>
      <c r="L5768" s="31"/>
      <c r="M5768" s="31" t="s">
        <v>854</v>
      </c>
      <c r="N5768" s="6" t="s">
        <v>856</v>
      </c>
    </row>
    <row r="5769" spans="1:14" ht="15" customHeight="1" x14ac:dyDescent="0.2">
      <c r="A5769" s="31">
        <v>0.29613335819389031</v>
      </c>
      <c r="B5769" s="31"/>
      <c r="C5769" s="2" t="s">
        <v>855</v>
      </c>
      <c r="D5769" s="31">
        <f t="shared" si="177"/>
        <v>5.80421382060025E-2</v>
      </c>
      <c r="F5769" s="2" t="s">
        <v>822</v>
      </c>
      <c r="G5769" s="23" t="s">
        <v>902</v>
      </c>
      <c r="H5769" s="2" t="s">
        <v>822</v>
      </c>
      <c r="J5769" s="31">
        <v>60.108001700000003</v>
      </c>
      <c r="K5769" s="31">
        <v>-19.1800003</v>
      </c>
      <c r="L5769" s="31"/>
      <c r="M5769" s="31" t="s">
        <v>854</v>
      </c>
      <c r="N5769" s="6" t="s">
        <v>856</v>
      </c>
    </row>
    <row r="5770" spans="1:14" ht="15" customHeight="1" x14ac:dyDescent="0.2">
      <c r="A5770" s="31">
        <v>0.29593944916624071</v>
      </c>
      <c r="B5770" s="31"/>
      <c r="C5770" s="2" t="s">
        <v>855</v>
      </c>
      <c r="D5770" s="31">
        <f t="shared" si="177"/>
        <v>5.8004132036583181E-2</v>
      </c>
      <c r="F5770" s="2" t="s">
        <v>822</v>
      </c>
      <c r="G5770" s="23" t="s">
        <v>902</v>
      </c>
      <c r="H5770" s="2" t="s">
        <v>822</v>
      </c>
      <c r="J5770" s="31">
        <v>60.654800399999999</v>
      </c>
      <c r="K5770" s="31">
        <v>2.21068</v>
      </c>
      <c r="L5770" s="31"/>
      <c r="M5770" s="31" t="s">
        <v>854</v>
      </c>
      <c r="N5770" s="6" t="s">
        <v>856</v>
      </c>
    </row>
    <row r="5771" spans="1:14" ht="15" customHeight="1" x14ac:dyDescent="0.2">
      <c r="A5771" s="31">
        <v>0.29581210439332217</v>
      </c>
      <c r="B5771" s="31"/>
      <c r="C5771" s="2" t="s">
        <v>855</v>
      </c>
      <c r="D5771" s="31">
        <f t="shared" si="177"/>
        <v>5.7979172461091147E-2</v>
      </c>
      <c r="F5771" s="2" t="s">
        <v>822</v>
      </c>
      <c r="G5771" s="23" t="s">
        <v>902</v>
      </c>
      <c r="H5771" s="2" t="s">
        <v>822</v>
      </c>
      <c r="J5771" s="31">
        <v>49.953601800000001</v>
      </c>
      <c r="K5771" s="31">
        <v>-0.66116399999999997</v>
      </c>
      <c r="L5771" s="31"/>
      <c r="M5771" s="31" t="s">
        <v>854</v>
      </c>
      <c r="N5771" s="6" t="s">
        <v>856</v>
      </c>
    </row>
    <row r="5772" spans="1:14" ht="15" customHeight="1" x14ac:dyDescent="0.2">
      <c r="A5772" s="31">
        <v>0.29575023634065811</v>
      </c>
      <c r="B5772" s="31"/>
      <c r="C5772" s="2" t="s">
        <v>855</v>
      </c>
      <c r="D5772" s="31">
        <f t="shared" si="177"/>
        <v>5.7967046322768993E-2</v>
      </c>
      <c r="F5772" s="2" t="s">
        <v>822</v>
      </c>
      <c r="G5772" s="23" t="s">
        <v>902</v>
      </c>
      <c r="H5772" s="2" t="s">
        <v>822</v>
      </c>
      <c r="J5772" s="31">
        <v>54.096000699999998</v>
      </c>
      <c r="K5772" s="31">
        <v>-33.208000200000001</v>
      </c>
      <c r="L5772" s="31"/>
      <c r="M5772" s="31" t="s">
        <v>854</v>
      </c>
      <c r="N5772" s="6" t="s">
        <v>856</v>
      </c>
    </row>
    <row r="5773" spans="1:14" ht="15" customHeight="1" x14ac:dyDescent="0.2">
      <c r="A5773" s="31">
        <v>0.29571568464302728</v>
      </c>
      <c r="B5773" s="31"/>
      <c r="C5773" s="2" t="s">
        <v>855</v>
      </c>
      <c r="D5773" s="31">
        <f t="shared" si="177"/>
        <v>5.7960274190033349E-2</v>
      </c>
      <c r="F5773" s="2" t="s">
        <v>822</v>
      </c>
      <c r="G5773" s="23" t="s">
        <v>902</v>
      </c>
      <c r="H5773" s="2" t="s">
        <v>822</v>
      </c>
      <c r="J5773" s="31">
        <v>61.965599099999999</v>
      </c>
      <c r="K5773" s="31">
        <v>3.5518401000000002</v>
      </c>
      <c r="L5773" s="31"/>
      <c r="M5773" s="31" t="s">
        <v>854</v>
      </c>
      <c r="N5773" s="6" t="s">
        <v>856</v>
      </c>
    </row>
    <row r="5774" spans="1:14" ht="15" customHeight="1" x14ac:dyDescent="0.2">
      <c r="A5774" s="31">
        <v>0.29527109301632831</v>
      </c>
      <c r="B5774" s="31"/>
      <c r="C5774" s="2" t="s">
        <v>855</v>
      </c>
      <c r="D5774" s="31">
        <f t="shared" si="177"/>
        <v>5.787313423120035E-2</v>
      </c>
      <c r="F5774" s="2" t="s">
        <v>822</v>
      </c>
      <c r="G5774" s="23" t="s">
        <v>902</v>
      </c>
      <c r="H5774" s="2" t="s">
        <v>822</v>
      </c>
      <c r="J5774" s="31">
        <v>58.771999399999999</v>
      </c>
      <c r="K5774" s="31">
        <v>-15.8400002</v>
      </c>
      <c r="L5774" s="31"/>
      <c r="M5774" s="31" t="s">
        <v>854</v>
      </c>
      <c r="N5774" s="6" t="s">
        <v>856</v>
      </c>
    </row>
    <row r="5775" spans="1:14" ht="15" customHeight="1" x14ac:dyDescent="0.2">
      <c r="A5775" s="31">
        <v>0.29519627554954769</v>
      </c>
      <c r="B5775" s="31"/>
      <c r="C5775" s="2" t="s">
        <v>855</v>
      </c>
      <c r="D5775" s="31">
        <f t="shared" si="177"/>
        <v>5.7858470007711348E-2</v>
      </c>
      <c r="F5775" s="2" t="s">
        <v>822</v>
      </c>
      <c r="G5775" s="23" t="s">
        <v>902</v>
      </c>
      <c r="H5775" s="2" t="s">
        <v>822</v>
      </c>
      <c r="J5775" s="31">
        <v>51.423999799999997</v>
      </c>
      <c r="K5775" s="31">
        <v>-41.223998999999999</v>
      </c>
      <c r="L5775" s="31"/>
      <c r="M5775" s="31" t="s">
        <v>854</v>
      </c>
      <c r="N5775" s="6" t="s">
        <v>856</v>
      </c>
    </row>
    <row r="5776" spans="1:14" ht="15" customHeight="1" x14ac:dyDescent="0.2">
      <c r="A5776" s="31">
        <v>0.29508146202939128</v>
      </c>
      <c r="B5776" s="31"/>
      <c r="C5776" s="2" t="s">
        <v>855</v>
      </c>
      <c r="D5776" s="31">
        <f t="shared" si="177"/>
        <v>5.7835966557760694E-2</v>
      </c>
      <c r="F5776" s="2" t="s">
        <v>822</v>
      </c>
      <c r="G5776" s="23" t="s">
        <v>902</v>
      </c>
      <c r="H5776" s="2" t="s">
        <v>822</v>
      </c>
      <c r="J5776" s="31">
        <v>50.819698299999999</v>
      </c>
      <c r="K5776" s="31">
        <v>-41.592498800000001</v>
      </c>
      <c r="L5776" s="31"/>
      <c r="M5776" s="31" t="s">
        <v>854</v>
      </c>
      <c r="N5776" s="6" t="s">
        <v>856</v>
      </c>
    </row>
    <row r="5777" spans="1:14" ht="15" customHeight="1" x14ac:dyDescent="0.2">
      <c r="A5777" s="31">
        <v>0.29502782072611539</v>
      </c>
      <c r="B5777" s="31"/>
      <c r="C5777" s="2" t="s">
        <v>855</v>
      </c>
      <c r="D5777" s="31">
        <f t="shared" ref="D5777:D5840" si="178" xml:space="preserve"> A5777 * 0.196</f>
        <v>5.7825452862318619E-2</v>
      </c>
      <c r="F5777" s="2" t="s">
        <v>822</v>
      </c>
      <c r="G5777" s="23" t="s">
        <v>902</v>
      </c>
      <c r="H5777" s="2" t="s">
        <v>822</v>
      </c>
      <c r="J5777" s="31">
        <v>56.768001599999998</v>
      </c>
      <c r="K5777" s="31">
        <v>-17.176000599999998</v>
      </c>
      <c r="L5777" s="31"/>
      <c r="M5777" s="31" t="s">
        <v>854</v>
      </c>
      <c r="N5777" s="6" t="s">
        <v>856</v>
      </c>
    </row>
    <row r="5778" spans="1:14" ht="15" customHeight="1" x14ac:dyDescent="0.2">
      <c r="A5778" s="31">
        <v>0.29497083341708591</v>
      </c>
      <c r="B5778" s="31"/>
      <c r="C5778" s="2" t="s">
        <v>855</v>
      </c>
      <c r="D5778" s="31">
        <f t="shared" si="178"/>
        <v>5.7814283349748842E-2</v>
      </c>
      <c r="F5778" s="2" t="s">
        <v>822</v>
      </c>
      <c r="G5778" s="23" t="s">
        <v>902</v>
      </c>
      <c r="H5778" s="2" t="s">
        <v>822</v>
      </c>
      <c r="J5778" s="31">
        <v>52.537700700000002</v>
      </c>
      <c r="K5778" s="31">
        <v>-17.221099899999999</v>
      </c>
      <c r="L5778" s="31"/>
      <c r="M5778" s="31" t="s">
        <v>854</v>
      </c>
      <c r="N5778" s="6" t="s">
        <v>856</v>
      </c>
    </row>
    <row r="5779" spans="1:14" ht="15" customHeight="1" x14ac:dyDescent="0.2">
      <c r="A5779" s="31">
        <v>0.29488036384841781</v>
      </c>
      <c r="B5779" s="31"/>
      <c r="C5779" s="2" t="s">
        <v>855</v>
      </c>
      <c r="D5779" s="31">
        <f t="shared" si="178"/>
        <v>5.7796551314289894E-2</v>
      </c>
      <c r="F5779" s="2" t="s">
        <v>822</v>
      </c>
      <c r="G5779" s="23" t="s">
        <v>902</v>
      </c>
      <c r="H5779" s="2" t="s">
        <v>822</v>
      </c>
      <c r="J5779" s="31">
        <v>59.463600200000002</v>
      </c>
      <c r="K5779" s="31">
        <v>-4.5401601999999999</v>
      </c>
      <c r="L5779" s="31"/>
      <c r="M5779" s="31" t="s">
        <v>854</v>
      </c>
      <c r="N5779" s="6" t="s">
        <v>856</v>
      </c>
    </row>
    <row r="5780" spans="1:14" ht="15" customHeight="1" x14ac:dyDescent="0.2">
      <c r="A5780" s="31">
        <v>0.29480837139824778</v>
      </c>
      <c r="B5780" s="31"/>
      <c r="C5780" s="2" t="s">
        <v>855</v>
      </c>
      <c r="D5780" s="31">
        <f t="shared" si="178"/>
        <v>5.7782440794056568E-2</v>
      </c>
      <c r="F5780" s="2" t="s">
        <v>822</v>
      </c>
      <c r="G5780" s="23" t="s">
        <v>902</v>
      </c>
      <c r="H5780" s="2" t="s">
        <v>822</v>
      </c>
      <c r="J5780" s="31">
        <v>55.4319992</v>
      </c>
      <c r="K5780" s="31">
        <v>-21.851999299999999</v>
      </c>
      <c r="L5780" s="31"/>
      <c r="M5780" s="31" t="s">
        <v>854</v>
      </c>
      <c r="N5780" s="6" t="s">
        <v>856</v>
      </c>
    </row>
    <row r="5781" spans="1:14" ht="15" customHeight="1" x14ac:dyDescent="0.2">
      <c r="A5781" s="31">
        <v>0.29387699673363132</v>
      </c>
      <c r="B5781" s="31"/>
      <c r="C5781" s="2" t="s">
        <v>855</v>
      </c>
      <c r="D5781" s="31">
        <f t="shared" si="178"/>
        <v>5.7599891359791738E-2</v>
      </c>
      <c r="F5781" s="2" t="s">
        <v>822</v>
      </c>
      <c r="G5781" s="23" t="s">
        <v>902</v>
      </c>
      <c r="H5781" s="2" t="s">
        <v>822</v>
      </c>
      <c r="J5781" s="31">
        <v>65.087097200000002</v>
      </c>
      <c r="K5781" s="31">
        <v>22.062799500000001</v>
      </c>
      <c r="L5781" s="31"/>
      <c r="M5781" s="31" t="s">
        <v>854</v>
      </c>
      <c r="N5781" s="6" t="s">
        <v>856</v>
      </c>
    </row>
    <row r="5782" spans="1:14" ht="15" customHeight="1" x14ac:dyDescent="0.2">
      <c r="A5782" s="31">
        <v>0.29387240587528229</v>
      </c>
      <c r="B5782" s="31"/>
      <c r="C5782" s="2" t="s">
        <v>855</v>
      </c>
      <c r="D5782" s="31">
        <f t="shared" si="178"/>
        <v>5.7598991551555331E-2</v>
      </c>
      <c r="F5782" s="2" t="s">
        <v>822</v>
      </c>
      <c r="G5782" s="23" t="s">
        <v>902</v>
      </c>
      <c r="H5782" s="2" t="s">
        <v>822</v>
      </c>
      <c r="J5782" s="31">
        <v>51.610199000000001</v>
      </c>
      <c r="K5782" s="31">
        <v>-31.9620991</v>
      </c>
      <c r="L5782" s="31"/>
      <c r="M5782" s="31" t="s">
        <v>854</v>
      </c>
      <c r="N5782" s="6" t="s">
        <v>856</v>
      </c>
    </row>
    <row r="5783" spans="1:14" ht="15" customHeight="1" x14ac:dyDescent="0.2">
      <c r="A5783" s="31">
        <v>0.29361625999574842</v>
      </c>
      <c r="B5783" s="31"/>
      <c r="C5783" s="2" t="s">
        <v>855</v>
      </c>
      <c r="D5783" s="31">
        <f t="shared" si="178"/>
        <v>5.7548786959166695E-2</v>
      </c>
      <c r="F5783" s="2" t="s">
        <v>822</v>
      </c>
      <c r="G5783" s="23" t="s">
        <v>902</v>
      </c>
      <c r="H5783" s="2" t="s">
        <v>822</v>
      </c>
      <c r="J5783" s="31">
        <v>58.1040001</v>
      </c>
      <c r="K5783" s="31">
        <v>-19.1800003</v>
      </c>
      <c r="L5783" s="31"/>
      <c r="M5783" s="31" t="s">
        <v>854</v>
      </c>
      <c r="N5783" s="6" t="s">
        <v>856</v>
      </c>
    </row>
    <row r="5784" spans="1:14" ht="15" customHeight="1" x14ac:dyDescent="0.2">
      <c r="A5784" s="31">
        <v>0.29312890878450348</v>
      </c>
      <c r="B5784" s="31"/>
      <c r="C5784" s="2" t="s">
        <v>855</v>
      </c>
      <c r="D5784" s="31">
        <f t="shared" si="178"/>
        <v>5.7453266121762686E-2</v>
      </c>
      <c r="F5784" s="2" t="s">
        <v>822</v>
      </c>
      <c r="G5784" s="23" t="s">
        <v>902</v>
      </c>
      <c r="H5784" s="2" t="s">
        <v>822</v>
      </c>
      <c r="J5784" s="31">
        <v>51.445800800000001</v>
      </c>
      <c r="K5784" s="31">
        <v>-29.427</v>
      </c>
      <c r="L5784" s="31"/>
      <c r="M5784" s="31" t="s">
        <v>854</v>
      </c>
      <c r="N5784" s="6" t="s">
        <v>856</v>
      </c>
    </row>
    <row r="5785" spans="1:14" ht="15" customHeight="1" x14ac:dyDescent="0.2">
      <c r="A5785" s="31">
        <v>0.29311872389035643</v>
      </c>
      <c r="B5785" s="31"/>
      <c r="C5785" s="2" t="s">
        <v>855</v>
      </c>
      <c r="D5785" s="31">
        <f t="shared" si="178"/>
        <v>5.7451269882509863E-2</v>
      </c>
      <c r="F5785" s="2" t="s">
        <v>822</v>
      </c>
      <c r="G5785" s="23" t="s">
        <v>902</v>
      </c>
      <c r="H5785" s="2" t="s">
        <v>822</v>
      </c>
      <c r="J5785" s="31">
        <v>63.383598300000003</v>
      </c>
      <c r="K5785" s="31">
        <v>-16.552200299999999</v>
      </c>
      <c r="L5785" s="31"/>
      <c r="M5785" s="31" t="s">
        <v>854</v>
      </c>
      <c r="N5785" s="6" t="s">
        <v>856</v>
      </c>
    </row>
    <row r="5786" spans="1:14" ht="15" customHeight="1" x14ac:dyDescent="0.2">
      <c r="A5786" s="31">
        <v>0.29308018254812229</v>
      </c>
      <c r="B5786" s="31"/>
      <c r="C5786" s="2" t="s">
        <v>855</v>
      </c>
      <c r="D5786" s="31">
        <f t="shared" si="178"/>
        <v>5.744371577943197E-2</v>
      </c>
      <c r="F5786" s="2" t="s">
        <v>822</v>
      </c>
      <c r="G5786" s="23" t="s">
        <v>902</v>
      </c>
      <c r="H5786" s="2" t="s">
        <v>822</v>
      </c>
      <c r="J5786" s="31">
        <v>54.742698699999998</v>
      </c>
      <c r="K5786" s="31">
        <v>-33.206401800000002</v>
      </c>
      <c r="L5786" s="31"/>
      <c r="M5786" s="31" t="s">
        <v>854</v>
      </c>
      <c r="N5786" s="6" t="s">
        <v>856</v>
      </c>
    </row>
    <row r="5787" spans="1:14" ht="15" customHeight="1" x14ac:dyDescent="0.2">
      <c r="A5787" s="31">
        <v>0.2930514612354016</v>
      </c>
      <c r="B5787" s="31"/>
      <c r="C5787" s="2" t="s">
        <v>855</v>
      </c>
      <c r="D5787" s="31">
        <f t="shared" si="178"/>
        <v>5.7438086402138717E-2</v>
      </c>
      <c r="F5787" s="2" t="s">
        <v>822</v>
      </c>
      <c r="G5787" s="23" t="s">
        <v>902</v>
      </c>
      <c r="H5787" s="2" t="s">
        <v>822</v>
      </c>
      <c r="J5787" s="31">
        <v>61.777999899999998</v>
      </c>
      <c r="K5787" s="31">
        <v>-19.1800003</v>
      </c>
      <c r="L5787" s="31"/>
      <c r="M5787" s="31" t="s">
        <v>854</v>
      </c>
      <c r="N5787" s="6" t="s">
        <v>856</v>
      </c>
    </row>
    <row r="5788" spans="1:14" ht="15" customHeight="1" x14ac:dyDescent="0.2">
      <c r="A5788" s="31">
        <v>0.2930168839867861</v>
      </c>
      <c r="B5788" s="31"/>
      <c r="C5788" s="2" t="s">
        <v>855</v>
      </c>
      <c r="D5788" s="31">
        <f t="shared" si="178"/>
        <v>5.7431309261410081E-2</v>
      </c>
      <c r="F5788" s="2" t="s">
        <v>822</v>
      </c>
      <c r="G5788" s="23" t="s">
        <v>902</v>
      </c>
      <c r="H5788" s="2" t="s">
        <v>822</v>
      </c>
      <c r="J5788" s="31">
        <v>60.776001000000001</v>
      </c>
      <c r="K5788" s="31">
        <v>-25.1919994</v>
      </c>
      <c r="L5788" s="31"/>
      <c r="M5788" s="31" t="s">
        <v>854</v>
      </c>
      <c r="N5788" s="6" t="s">
        <v>856</v>
      </c>
    </row>
    <row r="5789" spans="1:14" ht="15" customHeight="1" x14ac:dyDescent="0.2">
      <c r="A5789" s="31">
        <v>0.2928576688511727</v>
      </c>
      <c r="B5789" s="31"/>
      <c r="C5789" s="2" t="s">
        <v>855</v>
      </c>
      <c r="D5789" s="31">
        <f t="shared" si="178"/>
        <v>5.7400103094829853E-2</v>
      </c>
      <c r="F5789" s="2" t="s">
        <v>822</v>
      </c>
      <c r="G5789" s="23" t="s">
        <v>902</v>
      </c>
      <c r="H5789" s="2" t="s">
        <v>822</v>
      </c>
      <c r="J5789" s="31">
        <v>62.674598699999997</v>
      </c>
      <c r="K5789" s="31">
        <v>-20.516000699999999</v>
      </c>
      <c r="L5789" s="31"/>
      <c r="M5789" s="31" t="s">
        <v>854</v>
      </c>
      <c r="N5789" s="6" t="s">
        <v>856</v>
      </c>
    </row>
    <row r="5790" spans="1:14" ht="15" customHeight="1" x14ac:dyDescent="0.2">
      <c r="A5790" s="31">
        <v>0.29270695965296628</v>
      </c>
      <c r="B5790" s="31"/>
      <c r="C5790" s="2" t="s">
        <v>855</v>
      </c>
      <c r="D5790" s="31">
        <f t="shared" si="178"/>
        <v>5.7370564091981394E-2</v>
      </c>
      <c r="F5790" s="2" t="s">
        <v>822</v>
      </c>
      <c r="G5790" s="23" t="s">
        <v>902</v>
      </c>
      <c r="H5790" s="2" t="s">
        <v>822</v>
      </c>
      <c r="J5790" s="31">
        <v>62.111999500000003</v>
      </c>
      <c r="K5790" s="31">
        <v>-25.860000599999999</v>
      </c>
      <c r="L5790" s="31"/>
      <c r="M5790" s="31" t="s">
        <v>854</v>
      </c>
      <c r="N5790" s="6" t="s">
        <v>856</v>
      </c>
    </row>
    <row r="5791" spans="1:14" ht="15" customHeight="1" x14ac:dyDescent="0.2">
      <c r="A5791" s="31">
        <v>0.29225444042304971</v>
      </c>
      <c r="B5791" s="31"/>
      <c r="C5791" s="2" t="s">
        <v>855</v>
      </c>
      <c r="D5791" s="31">
        <f t="shared" si="178"/>
        <v>5.7281870322917747E-2</v>
      </c>
      <c r="F5791" s="2" t="s">
        <v>822</v>
      </c>
      <c r="G5791" s="23" t="s">
        <v>902</v>
      </c>
      <c r="H5791" s="2" t="s">
        <v>822</v>
      </c>
      <c r="J5791" s="31">
        <v>63.7837982</v>
      </c>
      <c r="K5791" s="31">
        <v>-17.549600600000002</v>
      </c>
      <c r="L5791" s="31"/>
      <c r="M5791" s="31" t="s">
        <v>854</v>
      </c>
      <c r="N5791" s="6" t="s">
        <v>856</v>
      </c>
    </row>
    <row r="5792" spans="1:14" ht="15" customHeight="1" x14ac:dyDescent="0.2">
      <c r="A5792" s="31">
        <v>0.29223672329915618</v>
      </c>
      <c r="B5792" s="31"/>
      <c r="C5792" s="2" t="s">
        <v>855</v>
      </c>
      <c r="D5792" s="31">
        <f t="shared" si="178"/>
        <v>5.7278397766634612E-2</v>
      </c>
      <c r="F5792" s="2" t="s">
        <v>822</v>
      </c>
      <c r="G5792" s="23" t="s">
        <v>902</v>
      </c>
      <c r="H5792" s="2" t="s">
        <v>822</v>
      </c>
      <c r="J5792" s="31">
        <v>55.408401499999997</v>
      </c>
      <c r="K5792" s="31">
        <v>-15.463199599999999</v>
      </c>
      <c r="L5792" s="31"/>
      <c r="M5792" s="31" t="s">
        <v>854</v>
      </c>
      <c r="N5792" s="6" t="s">
        <v>856</v>
      </c>
    </row>
    <row r="5793" spans="1:14" ht="15" customHeight="1" x14ac:dyDescent="0.2">
      <c r="A5793" s="31">
        <v>0.29221529887097669</v>
      </c>
      <c r="B5793" s="31"/>
      <c r="C5793" s="2" t="s">
        <v>855</v>
      </c>
      <c r="D5793" s="31">
        <f t="shared" si="178"/>
        <v>5.7274198578711431E-2</v>
      </c>
      <c r="F5793" s="2" t="s">
        <v>822</v>
      </c>
      <c r="G5793" s="23" t="s">
        <v>902</v>
      </c>
      <c r="H5793" s="2" t="s">
        <v>822</v>
      </c>
      <c r="J5793" s="31">
        <v>50.7521019</v>
      </c>
      <c r="K5793" s="31">
        <v>-33.879600500000002</v>
      </c>
      <c r="L5793" s="31"/>
      <c r="M5793" s="31" t="s">
        <v>854</v>
      </c>
      <c r="N5793" s="6" t="s">
        <v>856</v>
      </c>
    </row>
    <row r="5794" spans="1:14" ht="15" customHeight="1" x14ac:dyDescent="0.2">
      <c r="A5794" s="31">
        <v>0.29214623382589833</v>
      </c>
      <c r="B5794" s="31"/>
      <c r="C5794" s="2" t="s">
        <v>855</v>
      </c>
      <c r="D5794" s="31">
        <f t="shared" si="178"/>
        <v>5.7260661829876075E-2</v>
      </c>
      <c r="F5794" s="2" t="s">
        <v>822</v>
      </c>
      <c r="G5794" s="23" t="s">
        <v>902</v>
      </c>
      <c r="H5794" s="2" t="s">
        <v>822</v>
      </c>
      <c r="J5794" s="31">
        <v>58.380401599999999</v>
      </c>
      <c r="K5794" s="31">
        <v>-0.44336900000000001</v>
      </c>
      <c r="L5794" s="31"/>
      <c r="M5794" s="31" t="s">
        <v>854</v>
      </c>
      <c r="N5794" s="6" t="s">
        <v>856</v>
      </c>
    </row>
    <row r="5795" spans="1:14" ht="15" customHeight="1" x14ac:dyDescent="0.2">
      <c r="A5795" s="31">
        <v>0.29174161678152771</v>
      </c>
      <c r="B5795" s="31"/>
      <c r="C5795" s="2" t="s">
        <v>855</v>
      </c>
      <c r="D5795" s="31">
        <f t="shared" si="178"/>
        <v>5.7181356889179434E-2</v>
      </c>
      <c r="F5795" s="2" t="s">
        <v>822</v>
      </c>
      <c r="G5795" s="23" t="s">
        <v>902</v>
      </c>
      <c r="H5795" s="2" t="s">
        <v>822</v>
      </c>
      <c r="J5795" s="31">
        <v>60.776001000000001</v>
      </c>
      <c r="K5795" s="31">
        <v>-19.847999600000001</v>
      </c>
      <c r="L5795" s="31"/>
      <c r="M5795" s="31" t="s">
        <v>854</v>
      </c>
      <c r="N5795" s="6" t="s">
        <v>856</v>
      </c>
    </row>
    <row r="5796" spans="1:14" ht="15" customHeight="1" x14ac:dyDescent="0.2">
      <c r="A5796" s="31">
        <v>0.29159480573469282</v>
      </c>
      <c r="B5796" s="31"/>
      <c r="C5796" s="2" t="s">
        <v>855</v>
      </c>
      <c r="D5796" s="31">
        <f t="shared" si="178"/>
        <v>5.7152581923999794E-2</v>
      </c>
      <c r="F5796" s="2" t="s">
        <v>822</v>
      </c>
      <c r="G5796" s="23" t="s">
        <v>902</v>
      </c>
      <c r="H5796" s="2" t="s">
        <v>822</v>
      </c>
      <c r="J5796" s="31">
        <v>56.099998499999998</v>
      </c>
      <c r="K5796" s="31">
        <v>-29.867999999999999</v>
      </c>
      <c r="L5796" s="31"/>
      <c r="M5796" s="31" t="s">
        <v>854</v>
      </c>
      <c r="N5796" s="6" t="s">
        <v>856</v>
      </c>
    </row>
    <row r="5797" spans="1:14" ht="15" customHeight="1" x14ac:dyDescent="0.2">
      <c r="A5797" s="31">
        <v>0.29153962113094961</v>
      </c>
      <c r="B5797" s="31"/>
      <c r="C5797" s="2" t="s">
        <v>855</v>
      </c>
      <c r="D5797" s="31">
        <f t="shared" si="178"/>
        <v>5.7141765741666128E-2</v>
      </c>
      <c r="F5797" s="2" t="s">
        <v>822</v>
      </c>
      <c r="G5797" s="23" t="s">
        <v>902</v>
      </c>
      <c r="H5797" s="2" t="s">
        <v>822</v>
      </c>
      <c r="J5797" s="31">
        <v>52.091999100000002</v>
      </c>
      <c r="K5797" s="31">
        <v>-41.891998299999997</v>
      </c>
      <c r="L5797" s="31"/>
      <c r="M5797" s="31" t="s">
        <v>854</v>
      </c>
      <c r="N5797" s="6" t="s">
        <v>856</v>
      </c>
    </row>
    <row r="5798" spans="1:14" ht="15" customHeight="1" x14ac:dyDescent="0.2">
      <c r="A5798" s="31">
        <v>0.29153433229937059</v>
      </c>
      <c r="B5798" s="31"/>
      <c r="C5798" s="2" t="s">
        <v>855</v>
      </c>
      <c r="D5798" s="31">
        <f t="shared" si="178"/>
        <v>5.7140729130676637E-2</v>
      </c>
      <c r="F5798" s="2" t="s">
        <v>822</v>
      </c>
      <c r="G5798" s="23" t="s">
        <v>902</v>
      </c>
      <c r="H5798" s="2" t="s">
        <v>822</v>
      </c>
      <c r="J5798" s="31">
        <v>58.771999399999999</v>
      </c>
      <c r="K5798" s="31">
        <v>-26.527999900000001</v>
      </c>
      <c r="L5798" s="31"/>
      <c r="M5798" s="31" t="s">
        <v>854</v>
      </c>
      <c r="N5798" s="6" t="s">
        <v>856</v>
      </c>
    </row>
    <row r="5799" spans="1:14" ht="15" customHeight="1" x14ac:dyDescent="0.2">
      <c r="A5799" s="31">
        <v>0.29143783578269122</v>
      </c>
      <c r="B5799" s="31"/>
      <c r="C5799" s="2" t="s">
        <v>855</v>
      </c>
      <c r="D5799" s="31">
        <f t="shared" si="178"/>
        <v>5.712181581340748E-2</v>
      </c>
      <c r="F5799" s="2" t="s">
        <v>822</v>
      </c>
      <c r="G5799" s="23" t="s">
        <v>902</v>
      </c>
      <c r="H5799" s="2" t="s">
        <v>822</v>
      </c>
      <c r="J5799" s="31">
        <v>58.086601299999998</v>
      </c>
      <c r="K5799" s="31">
        <v>5.3448399999999996</v>
      </c>
      <c r="L5799" s="31"/>
      <c r="M5799" s="31" t="s">
        <v>854</v>
      </c>
      <c r="N5799" s="6" t="s">
        <v>856</v>
      </c>
    </row>
    <row r="5800" spans="1:14" ht="15" customHeight="1" x14ac:dyDescent="0.2">
      <c r="A5800" s="31">
        <v>0.29140055074777549</v>
      </c>
      <c r="B5800" s="31"/>
      <c r="C5800" s="2" t="s">
        <v>855</v>
      </c>
      <c r="D5800" s="31">
        <f t="shared" si="178"/>
        <v>5.7114507946563996E-2</v>
      </c>
      <c r="F5800" s="2" t="s">
        <v>822</v>
      </c>
      <c r="G5800" s="23" t="s">
        <v>902</v>
      </c>
      <c r="H5800" s="2" t="s">
        <v>822</v>
      </c>
      <c r="J5800" s="31">
        <v>64.115997300000004</v>
      </c>
      <c r="K5800" s="31">
        <v>-27.864000300000001</v>
      </c>
      <c r="L5800" s="31"/>
      <c r="M5800" s="31" t="s">
        <v>854</v>
      </c>
      <c r="N5800" s="6" t="s">
        <v>856</v>
      </c>
    </row>
    <row r="5801" spans="1:14" ht="15" customHeight="1" x14ac:dyDescent="0.2">
      <c r="A5801" s="31">
        <v>0.29135823727161808</v>
      </c>
      <c r="B5801" s="31"/>
      <c r="C5801" s="2" t="s">
        <v>855</v>
      </c>
      <c r="D5801" s="31">
        <f t="shared" si="178"/>
        <v>5.7106214505237146E-2</v>
      </c>
      <c r="F5801" s="2" t="s">
        <v>822</v>
      </c>
      <c r="G5801" s="23" t="s">
        <v>902</v>
      </c>
      <c r="H5801" s="2" t="s">
        <v>822</v>
      </c>
      <c r="J5801" s="31">
        <v>54.763999900000002</v>
      </c>
      <c r="K5801" s="31">
        <v>-19.1800003</v>
      </c>
      <c r="L5801" s="31"/>
      <c r="M5801" s="31" t="s">
        <v>854</v>
      </c>
      <c r="N5801" s="6" t="s">
        <v>856</v>
      </c>
    </row>
    <row r="5802" spans="1:14" ht="15" customHeight="1" x14ac:dyDescent="0.2">
      <c r="A5802" s="31">
        <v>0.29115945540450888</v>
      </c>
      <c r="B5802" s="31"/>
      <c r="C5802" s="2" t="s">
        <v>855</v>
      </c>
      <c r="D5802" s="31">
        <f t="shared" si="178"/>
        <v>5.7067253259283746E-2</v>
      </c>
      <c r="F5802" s="2" t="s">
        <v>822</v>
      </c>
      <c r="G5802" s="23" t="s">
        <v>902</v>
      </c>
      <c r="H5802" s="2" t="s">
        <v>822</v>
      </c>
      <c r="J5802" s="31">
        <v>56.099998499999998</v>
      </c>
      <c r="K5802" s="31">
        <v>-10.4960003</v>
      </c>
      <c r="L5802" s="31"/>
      <c r="M5802" s="31" t="s">
        <v>854</v>
      </c>
      <c r="N5802" s="6" t="s">
        <v>856</v>
      </c>
    </row>
    <row r="5803" spans="1:14" ht="15" customHeight="1" x14ac:dyDescent="0.2">
      <c r="A5803" s="31">
        <v>0.29104273989097262</v>
      </c>
      <c r="B5803" s="31"/>
      <c r="C5803" s="2" t="s">
        <v>855</v>
      </c>
      <c r="D5803" s="31">
        <f t="shared" si="178"/>
        <v>5.7044377018630639E-2</v>
      </c>
      <c r="F5803" s="2" t="s">
        <v>822</v>
      </c>
      <c r="G5803" s="23" t="s">
        <v>902</v>
      </c>
      <c r="H5803" s="2" t="s">
        <v>822</v>
      </c>
      <c r="J5803" s="31">
        <v>50.088001300000002</v>
      </c>
      <c r="K5803" s="31">
        <v>-38.551998099999999</v>
      </c>
      <c r="L5803" s="31"/>
      <c r="M5803" s="31" t="s">
        <v>854</v>
      </c>
      <c r="N5803" s="6" t="s">
        <v>856</v>
      </c>
    </row>
    <row r="5804" spans="1:14" ht="15" customHeight="1" x14ac:dyDescent="0.2">
      <c r="A5804" s="31">
        <v>0.29073204207240227</v>
      </c>
      <c r="B5804" s="31"/>
      <c r="C5804" s="2" t="s">
        <v>855</v>
      </c>
      <c r="D5804" s="31">
        <f t="shared" si="178"/>
        <v>5.6983480246190849E-2</v>
      </c>
      <c r="F5804" s="2" t="s">
        <v>822</v>
      </c>
      <c r="G5804" s="23" t="s">
        <v>902</v>
      </c>
      <c r="H5804" s="2" t="s">
        <v>822</v>
      </c>
      <c r="J5804" s="31">
        <v>60.108001700000003</v>
      </c>
      <c r="K5804" s="31">
        <v>-26.527999900000001</v>
      </c>
      <c r="L5804" s="31"/>
      <c r="M5804" s="31" t="s">
        <v>854</v>
      </c>
      <c r="N5804" s="6" t="s">
        <v>856</v>
      </c>
    </row>
    <row r="5805" spans="1:14" ht="15" customHeight="1" x14ac:dyDescent="0.2">
      <c r="A5805" s="31">
        <v>0.29071134021818318</v>
      </c>
      <c r="B5805" s="31"/>
      <c r="C5805" s="2" t="s">
        <v>855</v>
      </c>
      <c r="D5805" s="31">
        <f t="shared" si="178"/>
        <v>5.6979422682763903E-2</v>
      </c>
      <c r="F5805" s="2" t="s">
        <v>822</v>
      </c>
      <c r="G5805" s="23" t="s">
        <v>902</v>
      </c>
      <c r="H5805" s="2" t="s">
        <v>822</v>
      </c>
      <c r="J5805" s="31">
        <v>51.355400099999997</v>
      </c>
      <c r="K5805" s="31">
        <v>-34.586101499999998</v>
      </c>
      <c r="L5805" s="31"/>
      <c r="M5805" s="31" t="s">
        <v>854</v>
      </c>
      <c r="N5805" s="6" t="s">
        <v>856</v>
      </c>
    </row>
    <row r="5806" spans="1:14" ht="15" customHeight="1" x14ac:dyDescent="0.2">
      <c r="A5806" s="31">
        <v>0.29052642499390868</v>
      </c>
      <c r="B5806" s="31"/>
      <c r="C5806" s="2" t="s">
        <v>855</v>
      </c>
      <c r="D5806" s="31">
        <f t="shared" si="178"/>
        <v>5.6943179298806101E-2</v>
      </c>
      <c r="F5806" s="2" t="s">
        <v>822</v>
      </c>
      <c r="G5806" s="23" t="s">
        <v>902</v>
      </c>
      <c r="H5806" s="2" t="s">
        <v>822</v>
      </c>
      <c r="J5806" s="31">
        <v>56.768001599999998</v>
      </c>
      <c r="K5806" s="31">
        <v>-19.1800003</v>
      </c>
      <c r="L5806" s="31"/>
      <c r="M5806" s="31" t="s">
        <v>854</v>
      </c>
      <c r="N5806" s="6" t="s">
        <v>856</v>
      </c>
    </row>
    <row r="5807" spans="1:14" ht="15" customHeight="1" x14ac:dyDescent="0.2">
      <c r="A5807" s="31">
        <v>0.29027398654058711</v>
      </c>
      <c r="B5807" s="31"/>
      <c r="C5807" s="2" t="s">
        <v>855</v>
      </c>
      <c r="D5807" s="31">
        <f t="shared" si="178"/>
        <v>5.6893701361955075E-2</v>
      </c>
      <c r="F5807" s="2" t="s">
        <v>822</v>
      </c>
      <c r="G5807" s="23" t="s">
        <v>902</v>
      </c>
      <c r="H5807" s="2" t="s">
        <v>822</v>
      </c>
      <c r="J5807" s="31">
        <v>43.495201100000003</v>
      </c>
      <c r="K5807" s="31">
        <v>-33.906299599999997</v>
      </c>
      <c r="L5807" s="31"/>
      <c r="M5807" s="31" t="s">
        <v>854</v>
      </c>
      <c r="N5807" s="6" t="s">
        <v>856</v>
      </c>
    </row>
    <row r="5808" spans="1:14" ht="15" customHeight="1" x14ac:dyDescent="0.2">
      <c r="A5808" s="31">
        <v>0.29004143958958972</v>
      </c>
      <c r="B5808" s="31"/>
      <c r="C5808" s="2" t="s">
        <v>855</v>
      </c>
      <c r="D5808" s="31">
        <f t="shared" si="178"/>
        <v>5.6848122159559589E-2</v>
      </c>
      <c r="F5808" s="2" t="s">
        <v>822</v>
      </c>
      <c r="G5808" s="23" t="s">
        <v>902</v>
      </c>
      <c r="H5808" s="2" t="s">
        <v>822</v>
      </c>
      <c r="J5808" s="31">
        <v>54.763999900000002</v>
      </c>
      <c r="K5808" s="31">
        <v>-26.527999900000001</v>
      </c>
      <c r="L5808" s="31"/>
      <c r="M5808" s="31" t="s">
        <v>854</v>
      </c>
      <c r="N5808" s="6" t="s">
        <v>856</v>
      </c>
    </row>
    <row r="5809" spans="1:14" ht="15" customHeight="1" x14ac:dyDescent="0.2">
      <c r="A5809" s="31">
        <v>0.28966878382791289</v>
      </c>
      <c r="B5809" s="31"/>
      <c r="C5809" s="2" t="s">
        <v>855</v>
      </c>
      <c r="D5809" s="31">
        <f t="shared" si="178"/>
        <v>5.6775081630270931E-2</v>
      </c>
      <c r="F5809" s="2" t="s">
        <v>822</v>
      </c>
      <c r="G5809" s="23" t="s">
        <v>902</v>
      </c>
      <c r="H5809" s="2" t="s">
        <v>822</v>
      </c>
      <c r="J5809" s="31">
        <v>60.108001700000003</v>
      </c>
      <c r="K5809" s="31">
        <v>-17.176000599999998</v>
      </c>
      <c r="L5809" s="31"/>
      <c r="M5809" s="31" t="s">
        <v>854</v>
      </c>
      <c r="N5809" s="6" t="s">
        <v>856</v>
      </c>
    </row>
    <row r="5810" spans="1:14" ht="15" customHeight="1" x14ac:dyDescent="0.2">
      <c r="A5810" s="31">
        <v>0.28962981203854071</v>
      </c>
      <c r="B5810" s="31"/>
      <c r="C5810" s="2" t="s">
        <v>855</v>
      </c>
      <c r="D5810" s="31">
        <f t="shared" si="178"/>
        <v>5.6767443159553982E-2</v>
      </c>
      <c r="F5810" s="2" t="s">
        <v>822</v>
      </c>
      <c r="G5810" s="23" t="s">
        <v>902</v>
      </c>
      <c r="H5810" s="2" t="s">
        <v>822</v>
      </c>
      <c r="J5810" s="31">
        <v>53.428001399999999</v>
      </c>
      <c r="K5810" s="31">
        <v>-27.864000300000001</v>
      </c>
      <c r="L5810" s="31"/>
      <c r="M5810" s="31" t="s">
        <v>854</v>
      </c>
      <c r="N5810" s="6" t="s">
        <v>856</v>
      </c>
    </row>
    <row r="5811" spans="1:14" ht="15" customHeight="1" x14ac:dyDescent="0.2">
      <c r="A5811" s="31">
        <v>0.28945097477214848</v>
      </c>
      <c r="B5811" s="31"/>
      <c r="C5811" s="2" t="s">
        <v>855</v>
      </c>
      <c r="D5811" s="31">
        <f t="shared" si="178"/>
        <v>5.6732391055341107E-2</v>
      </c>
      <c r="F5811" s="2" t="s">
        <v>822</v>
      </c>
      <c r="G5811" s="23" t="s">
        <v>902</v>
      </c>
      <c r="H5811" s="2" t="s">
        <v>822</v>
      </c>
      <c r="J5811" s="31">
        <v>58.771999399999999</v>
      </c>
      <c r="K5811" s="31">
        <v>-11.1639996</v>
      </c>
      <c r="L5811" s="31"/>
      <c r="M5811" s="31" t="s">
        <v>854</v>
      </c>
      <c r="N5811" s="6" t="s">
        <v>856</v>
      </c>
    </row>
    <row r="5812" spans="1:14" ht="15" customHeight="1" x14ac:dyDescent="0.2">
      <c r="A5812" s="31">
        <v>0.28918958868193478</v>
      </c>
      <c r="B5812" s="31"/>
      <c r="C5812" s="2" t="s">
        <v>855</v>
      </c>
      <c r="D5812" s="31">
        <f t="shared" si="178"/>
        <v>5.668115938165922E-2</v>
      </c>
      <c r="F5812" s="2" t="s">
        <v>822</v>
      </c>
      <c r="G5812" s="23" t="s">
        <v>902</v>
      </c>
      <c r="H5812" s="2" t="s">
        <v>822</v>
      </c>
      <c r="J5812" s="31">
        <v>63.419498400000002</v>
      </c>
      <c r="K5812" s="31">
        <v>-24.6916008</v>
      </c>
      <c r="L5812" s="31"/>
      <c r="M5812" s="31" t="s">
        <v>854</v>
      </c>
      <c r="N5812" s="6" t="s">
        <v>856</v>
      </c>
    </row>
    <row r="5813" spans="1:14" ht="15" customHeight="1" x14ac:dyDescent="0.2">
      <c r="A5813" s="31">
        <v>0.28888827105510417</v>
      </c>
      <c r="B5813" s="31"/>
      <c r="C5813" s="2" t="s">
        <v>855</v>
      </c>
      <c r="D5813" s="31">
        <f t="shared" si="178"/>
        <v>5.6622101126800418E-2</v>
      </c>
      <c r="F5813" s="2" t="s">
        <v>822</v>
      </c>
      <c r="G5813" s="23" t="s">
        <v>902</v>
      </c>
      <c r="H5813" s="2" t="s">
        <v>822</v>
      </c>
      <c r="J5813" s="31">
        <v>56.122398400000002</v>
      </c>
      <c r="K5813" s="31">
        <v>-24.538299599999998</v>
      </c>
      <c r="L5813" s="31"/>
      <c r="M5813" s="31" t="s">
        <v>854</v>
      </c>
      <c r="N5813" s="6" t="s">
        <v>856</v>
      </c>
    </row>
    <row r="5814" spans="1:14" ht="15" customHeight="1" x14ac:dyDescent="0.2">
      <c r="A5814" s="31">
        <v>0.28883541053671552</v>
      </c>
      <c r="B5814" s="31"/>
      <c r="C5814" s="2" t="s">
        <v>855</v>
      </c>
      <c r="D5814" s="31">
        <f t="shared" si="178"/>
        <v>5.6611740465196243E-2</v>
      </c>
      <c r="F5814" s="2" t="s">
        <v>822</v>
      </c>
      <c r="G5814" s="23" t="s">
        <v>902</v>
      </c>
      <c r="H5814" s="2" t="s">
        <v>822</v>
      </c>
      <c r="J5814" s="31">
        <v>50.3959999</v>
      </c>
      <c r="K5814" s="31">
        <v>-23.385700199999999</v>
      </c>
      <c r="L5814" s="31"/>
      <c r="M5814" s="31" t="s">
        <v>854</v>
      </c>
      <c r="N5814" s="6" t="s">
        <v>856</v>
      </c>
    </row>
    <row r="5815" spans="1:14" ht="15" customHeight="1" x14ac:dyDescent="0.2">
      <c r="A5815" s="31">
        <v>0.28809326431550702</v>
      </c>
      <c r="B5815" s="31"/>
      <c r="C5815" s="2" t="s">
        <v>855</v>
      </c>
      <c r="D5815" s="31">
        <f t="shared" si="178"/>
        <v>5.6466279805839382E-2</v>
      </c>
      <c r="F5815" s="2" t="s">
        <v>822</v>
      </c>
      <c r="G5815" s="23" t="s">
        <v>902</v>
      </c>
      <c r="H5815" s="2" t="s">
        <v>822</v>
      </c>
      <c r="J5815" s="31">
        <v>61.444000199999998</v>
      </c>
      <c r="K5815" s="31">
        <v>-11.8319998</v>
      </c>
      <c r="L5815" s="31"/>
      <c r="M5815" s="31" t="s">
        <v>854</v>
      </c>
      <c r="N5815" s="6" t="s">
        <v>856</v>
      </c>
    </row>
    <row r="5816" spans="1:14" ht="15" customHeight="1" x14ac:dyDescent="0.2">
      <c r="A5816" s="31">
        <v>0.287933330837844</v>
      </c>
      <c r="B5816" s="31"/>
      <c r="C5816" s="2" t="s">
        <v>855</v>
      </c>
      <c r="D5816" s="31">
        <f t="shared" si="178"/>
        <v>5.6434932844217425E-2</v>
      </c>
      <c r="F5816" s="2" t="s">
        <v>822</v>
      </c>
      <c r="G5816" s="23" t="s">
        <v>902</v>
      </c>
      <c r="H5816" s="2" t="s">
        <v>822</v>
      </c>
      <c r="J5816" s="31">
        <v>54.763999900000002</v>
      </c>
      <c r="K5816" s="31">
        <v>-31.8719997</v>
      </c>
      <c r="L5816" s="31"/>
      <c r="M5816" s="31" t="s">
        <v>854</v>
      </c>
      <c r="N5816" s="6" t="s">
        <v>856</v>
      </c>
    </row>
    <row r="5817" spans="1:14" ht="15" customHeight="1" x14ac:dyDescent="0.2">
      <c r="A5817" s="31">
        <v>0.2878970568308386</v>
      </c>
      <c r="B5817" s="31"/>
      <c r="C5817" s="2" t="s">
        <v>855</v>
      </c>
      <c r="D5817" s="31">
        <f t="shared" si="178"/>
        <v>5.6427823138844369E-2</v>
      </c>
      <c r="F5817" s="2" t="s">
        <v>822</v>
      </c>
      <c r="G5817" s="23" t="s">
        <v>902</v>
      </c>
      <c r="H5817" s="2" t="s">
        <v>822</v>
      </c>
      <c r="J5817" s="31">
        <v>60.1725998</v>
      </c>
      <c r="K5817" s="31">
        <v>-3.8311601</v>
      </c>
      <c r="L5817" s="31"/>
      <c r="M5817" s="31" t="s">
        <v>854</v>
      </c>
      <c r="N5817" s="6" t="s">
        <v>856</v>
      </c>
    </row>
    <row r="5818" spans="1:14" ht="15" customHeight="1" x14ac:dyDescent="0.2">
      <c r="A5818" s="31">
        <v>0.28766274278473503</v>
      </c>
      <c r="B5818" s="31"/>
      <c r="C5818" s="2" t="s">
        <v>855</v>
      </c>
      <c r="D5818" s="31">
        <f t="shared" si="178"/>
        <v>5.6381897585808069E-2</v>
      </c>
      <c r="F5818" s="2" t="s">
        <v>822</v>
      </c>
      <c r="G5818" s="23" t="s">
        <v>902</v>
      </c>
      <c r="H5818" s="2" t="s">
        <v>822</v>
      </c>
      <c r="J5818" s="31">
        <v>61.669101699999999</v>
      </c>
      <c r="K5818" s="31">
        <v>-8.4145699</v>
      </c>
      <c r="L5818" s="31"/>
      <c r="M5818" s="31" t="s">
        <v>854</v>
      </c>
      <c r="N5818" s="6" t="s">
        <v>856</v>
      </c>
    </row>
    <row r="5819" spans="1:14" ht="15" customHeight="1" x14ac:dyDescent="0.2">
      <c r="A5819" s="31">
        <v>0.28749037959493801</v>
      </c>
      <c r="B5819" s="31"/>
      <c r="C5819" s="2" t="s">
        <v>855</v>
      </c>
      <c r="D5819" s="31">
        <f t="shared" si="178"/>
        <v>5.634811440060785E-2</v>
      </c>
      <c r="F5819" s="2" t="s">
        <v>822</v>
      </c>
      <c r="G5819" s="23" t="s">
        <v>902</v>
      </c>
      <c r="H5819" s="2" t="s">
        <v>822</v>
      </c>
      <c r="J5819" s="31">
        <v>58.420600899999997</v>
      </c>
      <c r="K5819" s="31">
        <v>-5.8200002</v>
      </c>
      <c r="L5819" s="31"/>
      <c r="M5819" s="31" t="s">
        <v>854</v>
      </c>
      <c r="N5819" s="6" t="s">
        <v>856</v>
      </c>
    </row>
    <row r="5820" spans="1:14" ht="15" customHeight="1" x14ac:dyDescent="0.2">
      <c r="A5820" s="31">
        <v>0.28736798839772398</v>
      </c>
      <c r="B5820" s="31"/>
      <c r="C5820" s="2" t="s">
        <v>855</v>
      </c>
      <c r="D5820" s="31">
        <f t="shared" si="178"/>
        <v>5.6324125725953904E-2</v>
      </c>
      <c r="F5820" s="2" t="s">
        <v>822</v>
      </c>
      <c r="G5820" s="23" t="s">
        <v>902</v>
      </c>
      <c r="H5820" s="2" t="s">
        <v>822</v>
      </c>
      <c r="J5820" s="31">
        <v>55.483798999999998</v>
      </c>
      <c r="K5820" s="31">
        <v>-0.86891200000000002</v>
      </c>
      <c r="L5820" s="31"/>
      <c r="M5820" s="31" t="s">
        <v>854</v>
      </c>
      <c r="N5820" s="6" t="s">
        <v>856</v>
      </c>
    </row>
    <row r="5821" spans="1:14" ht="15" customHeight="1" x14ac:dyDescent="0.2">
      <c r="A5821" s="31">
        <v>0.28730652089584141</v>
      </c>
      <c r="B5821" s="31"/>
      <c r="C5821" s="2" t="s">
        <v>855</v>
      </c>
      <c r="D5821" s="31">
        <f t="shared" si="178"/>
        <v>5.6312078095584917E-2</v>
      </c>
      <c r="F5821" s="2" t="s">
        <v>822</v>
      </c>
      <c r="G5821" s="23" t="s">
        <v>902</v>
      </c>
      <c r="H5821" s="2" t="s">
        <v>822</v>
      </c>
      <c r="J5821" s="31">
        <v>61.356201200000001</v>
      </c>
      <c r="K5821" s="31">
        <v>-8.5222101000000006</v>
      </c>
      <c r="L5821" s="31"/>
      <c r="M5821" s="31" t="s">
        <v>854</v>
      </c>
      <c r="N5821" s="6" t="s">
        <v>856</v>
      </c>
    </row>
    <row r="5822" spans="1:14" ht="15" customHeight="1" x14ac:dyDescent="0.2">
      <c r="A5822" s="31">
        <v>0.28684269172446952</v>
      </c>
      <c r="B5822" s="31"/>
      <c r="C5822" s="2" t="s">
        <v>855</v>
      </c>
      <c r="D5822" s="31">
        <f t="shared" si="178"/>
        <v>5.6221167577996028E-2</v>
      </c>
      <c r="F5822" s="2" t="s">
        <v>822</v>
      </c>
      <c r="G5822" s="23" t="s">
        <v>902</v>
      </c>
      <c r="H5822" s="2" t="s">
        <v>822</v>
      </c>
      <c r="J5822" s="31">
        <v>58.771999399999999</v>
      </c>
      <c r="K5822" s="31">
        <v>0.86</v>
      </c>
      <c r="L5822" s="31"/>
      <c r="M5822" s="31" t="s">
        <v>854</v>
      </c>
      <c r="N5822" s="6" t="s">
        <v>856</v>
      </c>
    </row>
    <row r="5823" spans="1:14" ht="15" customHeight="1" x14ac:dyDescent="0.2">
      <c r="A5823" s="31">
        <v>0.28669334063190421</v>
      </c>
      <c r="B5823" s="31"/>
      <c r="C5823" s="2" t="s">
        <v>855</v>
      </c>
      <c r="D5823" s="31">
        <f t="shared" si="178"/>
        <v>5.619189476385323E-2</v>
      </c>
      <c r="F5823" s="2" t="s">
        <v>822</v>
      </c>
      <c r="G5823" s="23" t="s">
        <v>902</v>
      </c>
      <c r="H5823" s="2" t="s">
        <v>822</v>
      </c>
      <c r="J5823" s="31">
        <v>57.123699199999997</v>
      </c>
      <c r="K5823" s="31">
        <v>6.0380501999999998</v>
      </c>
      <c r="L5823" s="31"/>
      <c r="M5823" s="31" t="s">
        <v>854</v>
      </c>
      <c r="N5823" s="6" t="s">
        <v>856</v>
      </c>
    </row>
    <row r="5824" spans="1:14" ht="15" customHeight="1" x14ac:dyDescent="0.2">
      <c r="A5824" s="31">
        <v>0.28640965039082822</v>
      </c>
      <c r="B5824" s="31"/>
      <c r="C5824" s="2" t="s">
        <v>855</v>
      </c>
      <c r="D5824" s="31">
        <f t="shared" si="178"/>
        <v>5.6136291476602332E-2</v>
      </c>
      <c r="F5824" s="2" t="s">
        <v>822</v>
      </c>
      <c r="G5824" s="23" t="s">
        <v>902</v>
      </c>
      <c r="H5824" s="2" t="s">
        <v>822</v>
      </c>
      <c r="J5824" s="31">
        <v>58.1040001</v>
      </c>
      <c r="K5824" s="31">
        <v>-10.4960003</v>
      </c>
      <c r="L5824" s="31"/>
      <c r="M5824" s="31" t="s">
        <v>854</v>
      </c>
      <c r="N5824" s="6" t="s">
        <v>856</v>
      </c>
    </row>
    <row r="5825" spans="1:14" ht="15" customHeight="1" x14ac:dyDescent="0.2">
      <c r="A5825" s="31">
        <v>0.28637936050319018</v>
      </c>
      <c r="B5825" s="31"/>
      <c r="C5825" s="2" t="s">
        <v>855</v>
      </c>
      <c r="D5825" s="31">
        <f t="shared" si="178"/>
        <v>5.613035465862528E-2</v>
      </c>
      <c r="F5825" s="2" t="s">
        <v>822</v>
      </c>
      <c r="G5825" s="23" t="s">
        <v>902</v>
      </c>
      <c r="H5825" s="2" t="s">
        <v>822</v>
      </c>
      <c r="J5825" s="31">
        <v>49.713001300000002</v>
      </c>
      <c r="K5825" s="31">
        <v>-29.186700800000001</v>
      </c>
      <c r="L5825" s="31"/>
      <c r="M5825" s="31" t="s">
        <v>854</v>
      </c>
      <c r="N5825" s="6" t="s">
        <v>856</v>
      </c>
    </row>
    <row r="5826" spans="1:14" ht="15" customHeight="1" x14ac:dyDescent="0.2">
      <c r="A5826" s="31">
        <v>0.28588237741595113</v>
      </c>
      <c r="B5826" s="31"/>
      <c r="C5826" s="2" t="s">
        <v>855</v>
      </c>
      <c r="D5826" s="31">
        <f t="shared" si="178"/>
        <v>5.603294597352642E-2</v>
      </c>
      <c r="F5826" s="2" t="s">
        <v>822</v>
      </c>
      <c r="G5826" s="23" t="s">
        <v>902</v>
      </c>
      <c r="H5826" s="2" t="s">
        <v>822</v>
      </c>
      <c r="J5826" s="31">
        <v>58.246700300000001</v>
      </c>
      <c r="K5826" s="31">
        <v>2.8140700000000001</v>
      </c>
      <c r="L5826" s="31"/>
      <c r="M5826" s="31" t="s">
        <v>854</v>
      </c>
      <c r="N5826" s="6" t="s">
        <v>856</v>
      </c>
    </row>
    <row r="5827" spans="1:14" ht="15" customHeight="1" x14ac:dyDescent="0.2">
      <c r="A5827" s="31">
        <v>0.28574578338994322</v>
      </c>
      <c r="B5827" s="31"/>
      <c r="C5827" s="2" t="s">
        <v>855</v>
      </c>
      <c r="D5827" s="31">
        <f t="shared" si="178"/>
        <v>5.6006173544428876E-2</v>
      </c>
      <c r="F5827" s="2" t="s">
        <v>822</v>
      </c>
      <c r="G5827" s="23" t="s">
        <v>902</v>
      </c>
      <c r="H5827" s="2" t="s">
        <v>822</v>
      </c>
      <c r="J5827" s="31">
        <v>53.457599600000002</v>
      </c>
      <c r="K5827" s="31">
        <v>0.86</v>
      </c>
      <c r="L5827" s="31"/>
      <c r="M5827" s="31" t="s">
        <v>854</v>
      </c>
      <c r="N5827" s="6" t="s">
        <v>856</v>
      </c>
    </row>
    <row r="5828" spans="1:14" ht="15" customHeight="1" x14ac:dyDescent="0.2">
      <c r="A5828" s="31">
        <v>0.28558170589424547</v>
      </c>
      <c r="B5828" s="31"/>
      <c r="C5828" s="2" t="s">
        <v>855</v>
      </c>
      <c r="D5828" s="31">
        <f t="shared" si="178"/>
        <v>5.5974014355272113E-2</v>
      </c>
      <c r="F5828" s="2" t="s">
        <v>822</v>
      </c>
      <c r="G5828" s="23" t="s">
        <v>902</v>
      </c>
      <c r="H5828" s="2" t="s">
        <v>822</v>
      </c>
      <c r="J5828" s="31">
        <v>50.087898299999999</v>
      </c>
      <c r="K5828" s="31">
        <v>-23.856100099999999</v>
      </c>
      <c r="L5828" s="31"/>
      <c r="M5828" s="31" t="s">
        <v>854</v>
      </c>
      <c r="N5828" s="6" t="s">
        <v>856</v>
      </c>
    </row>
    <row r="5829" spans="1:14" ht="15" customHeight="1" x14ac:dyDescent="0.2">
      <c r="A5829" s="31">
        <v>0.28509187651613982</v>
      </c>
      <c r="B5829" s="31"/>
      <c r="C5829" s="2" t="s">
        <v>855</v>
      </c>
      <c r="D5829" s="31">
        <f t="shared" si="178"/>
        <v>5.5878007797163405E-2</v>
      </c>
      <c r="F5829" s="2" t="s">
        <v>822</v>
      </c>
      <c r="G5829" s="23" t="s">
        <v>902</v>
      </c>
      <c r="H5829" s="2" t="s">
        <v>822</v>
      </c>
      <c r="J5829" s="31">
        <v>61.887100199999999</v>
      </c>
      <c r="K5829" s="31">
        <v>-8.4147902000000006</v>
      </c>
      <c r="L5829" s="31"/>
      <c r="M5829" s="31" t="s">
        <v>854</v>
      </c>
      <c r="N5829" s="6" t="s">
        <v>856</v>
      </c>
    </row>
    <row r="5830" spans="1:14" ht="15" customHeight="1" x14ac:dyDescent="0.2">
      <c r="A5830" s="31">
        <v>0.28479133523088918</v>
      </c>
      <c r="B5830" s="31"/>
      <c r="C5830" s="2" t="s">
        <v>855</v>
      </c>
      <c r="D5830" s="31">
        <f t="shared" si="178"/>
        <v>5.5819101705254281E-2</v>
      </c>
      <c r="F5830" s="2" t="s">
        <v>822</v>
      </c>
      <c r="G5830" s="23" t="s">
        <v>902</v>
      </c>
      <c r="H5830" s="2" t="s">
        <v>822</v>
      </c>
      <c r="J5830" s="31">
        <v>56.048801400000002</v>
      </c>
      <c r="K5830" s="31">
        <v>-12.936900100000001</v>
      </c>
      <c r="L5830" s="31"/>
      <c r="M5830" s="31" t="s">
        <v>854</v>
      </c>
      <c r="N5830" s="6" t="s">
        <v>856</v>
      </c>
    </row>
    <row r="5831" spans="1:14" ht="15" customHeight="1" x14ac:dyDescent="0.2">
      <c r="A5831" s="31">
        <v>0.28471799234818712</v>
      </c>
      <c r="B5831" s="31"/>
      <c r="C5831" s="2" t="s">
        <v>855</v>
      </c>
      <c r="D5831" s="31">
        <f t="shared" si="178"/>
        <v>5.5804726500244678E-2</v>
      </c>
      <c r="F5831" s="2" t="s">
        <v>822</v>
      </c>
      <c r="G5831" s="23" t="s">
        <v>902</v>
      </c>
      <c r="H5831" s="2" t="s">
        <v>822</v>
      </c>
      <c r="J5831" s="31">
        <v>58.771999399999999</v>
      </c>
      <c r="K5831" s="31">
        <v>-19.847999600000001</v>
      </c>
      <c r="L5831" s="31"/>
      <c r="M5831" s="31" t="s">
        <v>854</v>
      </c>
      <c r="N5831" s="6" t="s">
        <v>856</v>
      </c>
    </row>
    <row r="5832" spans="1:14" ht="15" customHeight="1" x14ac:dyDescent="0.2">
      <c r="A5832" s="31">
        <v>0.28470023695113322</v>
      </c>
      <c r="B5832" s="31"/>
      <c r="C5832" s="2" t="s">
        <v>855</v>
      </c>
      <c r="D5832" s="31">
        <f t="shared" si="178"/>
        <v>5.5801246442422112E-2</v>
      </c>
      <c r="F5832" s="2" t="s">
        <v>822</v>
      </c>
      <c r="G5832" s="23" t="s">
        <v>902</v>
      </c>
      <c r="H5832" s="2" t="s">
        <v>822</v>
      </c>
      <c r="J5832" s="31">
        <v>56.601699799999999</v>
      </c>
      <c r="K5832" s="31">
        <v>-1.8854500000000001</v>
      </c>
      <c r="L5832" s="31"/>
      <c r="M5832" s="31" t="s">
        <v>854</v>
      </c>
      <c r="N5832" s="6" t="s">
        <v>856</v>
      </c>
    </row>
    <row r="5833" spans="1:14" ht="15" customHeight="1" x14ac:dyDescent="0.2">
      <c r="A5833" s="31">
        <v>0.28467215709376942</v>
      </c>
      <c r="B5833" s="31"/>
      <c r="C5833" s="2" t="s">
        <v>855</v>
      </c>
      <c r="D5833" s="31">
        <f t="shared" si="178"/>
        <v>5.5795742790378806E-2</v>
      </c>
      <c r="F5833" s="2" t="s">
        <v>822</v>
      </c>
      <c r="G5833" s="23" t="s">
        <v>902</v>
      </c>
      <c r="H5833" s="2" t="s">
        <v>822</v>
      </c>
      <c r="J5833" s="31">
        <v>54.236698199999999</v>
      </c>
      <c r="K5833" s="31">
        <v>2.8761798999999999</v>
      </c>
      <c r="L5833" s="31"/>
      <c r="M5833" s="31" t="s">
        <v>854</v>
      </c>
      <c r="N5833" s="6" t="s">
        <v>856</v>
      </c>
    </row>
    <row r="5834" spans="1:14" ht="15" customHeight="1" x14ac:dyDescent="0.2">
      <c r="A5834" s="31">
        <v>0.28452408175638211</v>
      </c>
      <c r="B5834" s="31"/>
      <c r="C5834" s="2" t="s">
        <v>855</v>
      </c>
      <c r="D5834" s="31">
        <f t="shared" si="178"/>
        <v>5.5766720024250899E-2</v>
      </c>
      <c r="F5834" s="2" t="s">
        <v>822</v>
      </c>
      <c r="G5834" s="23" t="s">
        <v>902</v>
      </c>
      <c r="H5834" s="2" t="s">
        <v>822</v>
      </c>
      <c r="J5834" s="31">
        <v>51.447101600000003</v>
      </c>
      <c r="K5834" s="31">
        <v>-32.557098400000001</v>
      </c>
      <c r="L5834" s="31"/>
      <c r="M5834" s="31" t="s">
        <v>854</v>
      </c>
      <c r="N5834" s="6" t="s">
        <v>856</v>
      </c>
    </row>
    <row r="5835" spans="1:14" ht="15" customHeight="1" x14ac:dyDescent="0.2">
      <c r="A5835" s="31">
        <v>0.28423515729736509</v>
      </c>
      <c r="B5835" s="31"/>
      <c r="C5835" s="2" t="s">
        <v>855</v>
      </c>
      <c r="D5835" s="31">
        <f t="shared" si="178"/>
        <v>5.5710090830283561E-2</v>
      </c>
      <c r="F5835" s="2" t="s">
        <v>822</v>
      </c>
      <c r="G5835" s="23" t="s">
        <v>902</v>
      </c>
      <c r="H5835" s="2" t="s">
        <v>822</v>
      </c>
      <c r="J5835" s="31">
        <v>56.970600099999999</v>
      </c>
      <c r="K5835" s="31">
        <v>5.0825500000000003</v>
      </c>
      <c r="L5835" s="31"/>
      <c r="M5835" s="31" t="s">
        <v>854</v>
      </c>
      <c r="N5835" s="6" t="s">
        <v>856</v>
      </c>
    </row>
    <row r="5836" spans="1:14" ht="15" customHeight="1" x14ac:dyDescent="0.2">
      <c r="A5836" s="31">
        <v>0.28415629892192962</v>
      </c>
      <c r="B5836" s="31"/>
      <c r="C5836" s="2" t="s">
        <v>855</v>
      </c>
      <c r="D5836" s="31">
        <f t="shared" si="178"/>
        <v>5.5694634588698208E-2</v>
      </c>
      <c r="F5836" s="2" t="s">
        <v>822</v>
      </c>
      <c r="G5836" s="23" t="s">
        <v>902</v>
      </c>
      <c r="H5836" s="2" t="s">
        <v>822</v>
      </c>
      <c r="J5836" s="31">
        <v>56.099998499999998</v>
      </c>
      <c r="K5836" s="31">
        <v>-8.7941599000000004</v>
      </c>
      <c r="L5836" s="31"/>
      <c r="M5836" s="31" t="s">
        <v>854</v>
      </c>
      <c r="N5836" s="6" t="s">
        <v>856</v>
      </c>
    </row>
    <row r="5837" spans="1:14" ht="15" customHeight="1" x14ac:dyDescent="0.2">
      <c r="A5837" s="31">
        <v>0.28395382758003052</v>
      </c>
      <c r="B5837" s="31"/>
      <c r="C5837" s="2" t="s">
        <v>855</v>
      </c>
      <c r="D5837" s="31">
        <f t="shared" si="178"/>
        <v>5.5654950205685984E-2</v>
      </c>
      <c r="F5837" s="2" t="s">
        <v>822</v>
      </c>
      <c r="G5837" s="23" t="s">
        <v>902</v>
      </c>
      <c r="H5837" s="2" t="s">
        <v>822</v>
      </c>
      <c r="J5837" s="31">
        <v>64.356796299999999</v>
      </c>
      <c r="K5837" s="31">
        <v>-12.9979</v>
      </c>
      <c r="L5837" s="31"/>
      <c r="M5837" s="31" t="s">
        <v>854</v>
      </c>
      <c r="N5837" s="6" t="s">
        <v>856</v>
      </c>
    </row>
    <row r="5838" spans="1:14" ht="15" customHeight="1" x14ac:dyDescent="0.2">
      <c r="A5838" s="31">
        <v>0.28393916157578969</v>
      </c>
      <c r="B5838" s="31"/>
      <c r="C5838" s="2" t="s">
        <v>855</v>
      </c>
      <c r="D5838" s="31">
        <f t="shared" si="178"/>
        <v>5.5652075668854779E-2</v>
      </c>
      <c r="F5838" s="2" t="s">
        <v>822</v>
      </c>
      <c r="G5838" s="23" t="s">
        <v>902</v>
      </c>
      <c r="H5838" s="2" t="s">
        <v>822</v>
      </c>
      <c r="J5838" s="31">
        <v>61.444000199999998</v>
      </c>
      <c r="K5838" s="31">
        <v>3.5518401000000002</v>
      </c>
      <c r="L5838" s="31"/>
      <c r="M5838" s="31" t="s">
        <v>854</v>
      </c>
      <c r="N5838" s="6" t="s">
        <v>856</v>
      </c>
    </row>
    <row r="5839" spans="1:14" ht="15" customHeight="1" x14ac:dyDescent="0.2">
      <c r="A5839" s="31">
        <v>0.28389206698961328</v>
      </c>
      <c r="B5839" s="31"/>
      <c r="C5839" s="2" t="s">
        <v>855</v>
      </c>
      <c r="D5839" s="31">
        <f t="shared" si="178"/>
        <v>5.5642845129964202E-2</v>
      </c>
      <c r="F5839" s="2" t="s">
        <v>822</v>
      </c>
      <c r="G5839" s="23" t="s">
        <v>902</v>
      </c>
      <c r="H5839" s="2" t="s">
        <v>822</v>
      </c>
      <c r="J5839" s="31">
        <v>59.439998600000003</v>
      </c>
      <c r="K5839" s="31">
        <v>4.6358398999999997</v>
      </c>
      <c r="L5839" s="31"/>
      <c r="M5839" s="31" t="s">
        <v>854</v>
      </c>
      <c r="N5839" s="6" t="s">
        <v>856</v>
      </c>
    </row>
    <row r="5840" spans="1:14" ht="15" customHeight="1" x14ac:dyDescent="0.2">
      <c r="A5840" s="31">
        <v>0.28381333586833679</v>
      </c>
      <c r="B5840" s="31"/>
      <c r="C5840" s="2" t="s">
        <v>855</v>
      </c>
      <c r="D5840" s="31">
        <f t="shared" si="178"/>
        <v>5.5627413830194011E-2</v>
      </c>
      <c r="F5840" s="2" t="s">
        <v>822</v>
      </c>
      <c r="G5840" s="23" t="s">
        <v>902</v>
      </c>
      <c r="H5840" s="2" t="s">
        <v>822</v>
      </c>
      <c r="J5840" s="31">
        <v>63.008598300000003</v>
      </c>
      <c r="K5840" s="31">
        <v>-23.856000900000002</v>
      </c>
      <c r="L5840" s="31"/>
      <c r="M5840" s="31" t="s">
        <v>854</v>
      </c>
      <c r="N5840" s="6" t="s">
        <v>856</v>
      </c>
    </row>
    <row r="5841" spans="1:14" ht="15" customHeight="1" x14ac:dyDescent="0.2">
      <c r="A5841" s="31">
        <v>0.28377729292348242</v>
      </c>
      <c r="B5841" s="31"/>
      <c r="C5841" s="2" t="s">
        <v>855</v>
      </c>
      <c r="D5841" s="31">
        <f t="shared" ref="D5841:D5904" si="179" xml:space="preserve"> A5841 * 0.196</f>
        <v>5.5620349413002555E-2</v>
      </c>
      <c r="F5841" s="2" t="s">
        <v>822</v>
      </c>
      <c r="G5841" s="23" t="s">
        <v>902</v>
      </c>
      <c r="H5841" s="2" t="s">
        <v>822</v>
      </c>
      <c r="J5841" s="31">
        <v>51.0630989</v>
      </c>
      <c r="K5841" s="31">
        <v>-33.587699899999997</v>
      </c>
      <c r="L5841" s="31"/>
      <c r="M5841" s="31" t="s">
        <v>854</v>
      </c>
      <c r="N5841" s="6" t="s">
        <v>856</v>
      </c>
    </row>
    <row r="5842" spans="1:14" ht="15" customHeight="1" x14ac:dyDescent="0.2">
      <c r="A5842" s="31">
        <v>0.28354893171704781</v>
      </c>
      <c r="B5842" s="31"/>
      <c r="C5842" s="2" t="s">
        <v>855</v>
      </c>
      <c r="D5842" s="31">
        <f t="shared" si="179"/>
        <v>5.5575590616541375E-2</v>
      </c>
      <c r="F5842" s="2" t="s">
        <v>822</v>
      </c>
      <c r="G5842" s="23" t="s">
        <v>902</v>
      </c>
      <c r="H5842" s="2" t="s">
        <v>822</v>
      </c>
      <c r="J5842" s="31">
        <v>54.763999900000002</v>
      </c>
      <c r="K5842" s="31">
        <v>-27.195999100000002</v>
      </c>
      <c r="L5842" s="31"/>
      <c r="M5842" s="31" t="s">
        <v>854</v>
      </c>
      <c r="N5842" s="6" t="s">
        <v>856</v>
      </c>
    </row>
    <row r="5843" spans="1:14" ht="15" customHeight="1" x14ac:dyDescent="0.2">
      <c r="A5843" s="31">
        <v>0.28351639376157622</v>
      </c>
      <c r="B5843" s="31"/>
      <c r="C5843" s="2" t="s">
        <v>855</v>
      </c>
      <c r="D5843" s="31">
        <f t="shared" si="179"/>
        <v>5.5569213177268942E-2</v>
      </c>
      <c r="F5843" s="2" t="s">
        <v>822</v>
      </c>
      <c r="G5843" s="23" t="s">
        <v>902</v>
      </c>
      <c r="H5843" s="2" t="s">
        <v>822</v>
      </c>
      <c r="J5843" s="31">
        <v>50.496601099999999</v>
      </c>
      <c r="K5843" s="31">
        <v>-41.417499499999998</v>
      </c>
      <c r="L5843" s="31"/>
      <c r="M5843" s="31" t="s">
        <v>854</v>
      </c>
      <c r="N5843" s="6" t="s">
        <v>856</v>
      </c>
    </row>
    <row r="5844" spans="1:14" ht="15" customHeight="1" x14ac:dyDescent="0.2">
      <c r="A5844" s="31">
        <v>0.28349852236379641</v>
      </c>
      <c r="B5844" s="31"/>
      <c r="C5844" s="2" t="s">
        <v>855</v>
      </c>
      <c r="D5844" s="31">
        <f t="shared" si="179"/>
        <v>5.5565710383304101E-2</v>
      </c>
      <c r="F5844" s="2" t="s">
        <v>822</v>
      </c>
      <c r="G5844" s="23" t="s">
        <v>902</v>
      </c>
      <c r="H5844" s="2" t="s">
        <v>822</v>
      </c>
      <c r="J5844" s="31">
        <v>59.129600500000002</v>
      </c>
      <c r="K5844" s="31">
        <v>-5.8200002</v>
      </c>
      <c r="L5844" s="31"/>
      <c r="M5844" s="31" t="s">
        <v>854</v>
      </c>
      <c r="N5844" s="6" t="s">
        <v>856</v>
      </c>
    </row>
    <row r="5845" spans="1:14" ht="15" customHeight="1" x14ac:dyDescent="0.2">
      <c r="A5845" s="31">
        <v>0.28349752031370762</v>
      </c>
      <c r="B5845" s="31"/>
      <c r="C5845" s="2" t="s">
        <v>855</v>
      </c>
      <c r="D5845" s="31">
        <f t="shared" si="179"/>
        <v>5.5565513981486694E-2</v>
      </c>
      <c r="F5845" s="2" t="s">
        <v>822</v>
      </c>
      <c r="G5845" s="23" t="s">
        <v>902</v>
      </c>
      <c r="H5845" s="2" t="s">
        <v>822</v>
      </c>
      <c r="J5845" s="31">
        <v>58.1040001</v>
      </c>
      <c r="K5845" s="31">
        <v>-13.1680002</v>
      </c>
      <c r="L5845" s="31"/>
      <c r="M5845" s="31" t="s">
        <v>854</v>
      </c>
      <c r="N5845" s="6" t="s">
        <v>856</v>
      </c>
    </row>
    <row r="5846" spans="1:14" ht="15" customHeight="1" x14ac:dyDescent="0.2">
      <c r="A5846" s="31">
        <v>0.28307202332564291</v>
      </c>
      <c r="B5846" s="31"/>
      <c r="C5846" s="2" t="s">
        <v>855</v>
      </c>
      <c r="D5846" s="31">
        <f t="shared" si="179"/>
        <v>5.5482116571826015E-2</v>
      </c>
      <c r="F5846" s="2" t="s">
        <v>822</v>
      </c>
      <c r="G5846" s="23" t="s">
        <v>902</v>
      </c>
      <c r="H5846" s="2" t="s">
        <v>822</v>
      </c>
      <c r="J5846" s="31">
        <v>55.4043007</v>
      </c>
      <c r="K5846" s="31">
        <v>17.620100000000001</v>
      </c>
      <c r="L5846" s="31"/>
      <c r="M5846" s="31" t="s">
        <v>854</v>
      </c>
      <c r="N5846" s="6" t="s">
        <v>856</v>
      </c>
    </row>
    <row r="5847" spans="1:14" ht="15" customHeight="1" x14ac:dyDescent="0.2">
      <c r="A5847" s="31">
        <v>0.28303558477153068</v>
      </c>
      <c r="B5847" s="31"/>
      <c r="C5847" s="2" t="s">
        <v>855</v>
      </c>
      <c r="D5847" s="31">
        <f t="shared" si="179"/>
        <v>5.5474974615220017E-2</v>
      </c>
      <c r="F5847" s="2" t="s">
        <v>822</v>
      </c>
      <c r="G5847" s="23" t="s">
        <v>902</v>
      </c>
      <c r="H5847" s="2" t="s">
        <v>822</v>
      </c>
      <c r="J5847" s="31">
        <v>52.759998299999999</v>
      </c>
      <c r="K5847" s="31">
        <v>-29.867999999999999</v>
      </c>
      <c r="L5847" s="31"/>
      <c r="M5847" s="31" t="s">
        <v>854</v>
      </c>
      <c r="N5847" s="6" t="s">
        <v>856</v>
      </c>
    </row>
    <row r="5848" spans="1:14" ht="15" customHeight="1" x14ac:dyDescent="0.2">
      <c r="A5848" s="31">
        <v>0.28257090399918411</v>
      </c>
      <c r="B5848" s="31"/>
      <c r="C5848" s="2" t="s">
        <v>855</v>
      </c>
      <c r="D5848" s="31">
        <f t="shared" si="179"/>
        <v>5.538389718384009E-2</v>
      </c>
      <c r="F5848" s="2" t="s">
        <v>822</v>
      </c>
      <c r="G5848" s="23" t="s">
        <v>902</v>
      </c>
      <c r="H5848" s="2" t="s">
        <v>822</v>
      </c>
      <c r="J5848" s="31">
        <v>57.436000800000002</v>
      </c>
      <c r="K5848" s="31">
        <v>-31.204000499999999</v>
      </c>
      <c r="L5848" s="31"/>
      <c r="M5848" s="31" t="s">
        <v>854</v>
      </c>
      <c r="N5848" s="6" t="s">
        <v>856</v>
      </c>
    </row>
    <row r="5849" spans="1:14" ht="15" customHeight="1" x14ac:dyDescent="0.2">
      <c r="A5849" s="31">
        <v>0.28238768674697989</v>
      </c>
      <c r="B5849" s="31"/>
      <c r="C5849" s="2" t="s">
        <v>855</v>
      </c>
      <c r="D5849" s="31">
        <f t="shared" si="179"/>
        <v>5.5347986602408063E-2</v>
      </c>
      <c r="F5849" s="2" t="s">
        <v>822</v>
      </c>
      <c r="G5849" s="23" t="s">
        <v>902</v>
      </c>
      <c r="H5849" s="2" t="s">
        <v>822</v>
      </c>
      <c r="J5849" s="31">
        <v>62.111999500000003</v>
      </c>
      <c r="K5849" s="31">
        <v>-21.851999299999999</v>
      </c>
      <c r="L5849" s="31"/>
      <c r="M5849" s="31" t="s">
        <v>854</v>
      </c>
      <c r="N5849" s="6" t="s">
        <v>856</v>
      </c>
    </row>
    <row r="5850" spans="1:14" ht="15" customHeight="1" x14ac:dyDescent="0.2">
      <c r="A5850" s="31">
        <v>0.28214401584796428</v>
      </c>
      <c r="B5850" s="31"/>
      <c r="C5850" s="2" t="s">
        <v>855</v>
      </c>
      <c r="D5850" s="31">
        <f t="shared" si="179"/>
        <v>5.5300227106201E-2</v>
      </c>
      <c r="F5850" s="2" t="s">
        <v>822</v>
      </c>
      <c r="G5850" s="23" t="s">
        <v>902</v>
      </c>
      <c r="H5850" s="2" t="s">
        <v>822</v>
      </c>
      <c r="J5850" s="31">
        <v>62.111999500000003</v>
      </c>
      <c r="K5850" s="31">
        <v>-16.507999399999999</v>
      </c>
      <c r="L5850" s="31"/>
      <c r="M5850" s="31" t="s">
        <v>854</v>
      </c>
      <c r="N5850" s="6" t="s">
        <v>856</v>
      </c>
    </row>
    <row r="5851" spans="1:14" ht="15" customHeight="1" x14ac:dyDescent="0.2">
      <c r="A5851" s="31">
        <v>0.28212323157095492</v>
      </c>
      <c r="B5851" s="31"/>
      <c r="C5851" s="2" t="s">
        <v>855</v>
      </c>
      <c r="D5851" s="31">
        <f t="shared" si="179"/>
        <v>5.5296153387907165E-2</v>
      </c>
      <c r="F5851" s="2" t="s">
        <v>822</v>
      </c>
      <c r="G5851" s="23" t="s">
        <v>902</v>
      </c>
      <c r="H5851" s="2" t="s">
        <v>822</v>
      </c>
      <c r="J5851" s="31">
        <v>59.439998600000003</v>
      </c>
      <c r="K5851" s="31">
        <v>-14.5039997</v>
      </c>
      <c r="L5851" s="31"/>
      <c r="M5851" s="31" t="s">
        <v>854</v>
      </c>
      <c r="N5851" s="6" t="s">
        <v>856</v>
      </c>
    </row>
    <row r="5852" spans="1:14" ht="15" customHeight="1" x14ac:dyDescent="0.2">
      <c r="A5852" s="31">
        <v>0.28204309622701468</v>
      </c>
      <c r="B5852" s="31"/>
      <c r="C5852" s="2" t="s">
        <v>855</v>
      </c>
      <c r="D5852" s="31">
        <f t="shared" si="179"/>
        <v>5.5280446860494881E-2</v>
      </c>
      <c r="F5852" s="2" t="s">
        <v>822</v>
      </c>
      <c r="G5852" s="23" t="s">
        <v>902</v>
      </c>
      <c r="H5852" s="2" t="s">
        <v>822</v>
      </c>
      <c r="J5852" s="31">
        <v>63.383598300000003</v>
      </c>
      <c r="K5852" s="31">
        <v>-13.8360004</v>
      </c>
      <c r="L5852" s="31"/>
      <c r="M5852" s="31" t="s">
        <v>854</v>
      </c>
      <c r="N5852" s="6" t="s">
        <v>856</v>
      </c>
    </row>
    <row r="5853" spans="1:14" ht="15" customHeight="1" x14ac:dyDescent="0.2">
      <c r="A5853" s="31">
        <v>0.28201642106453823</v>
      </c>
      <c r="B5853" s="31"/>
      <c r="C5853" s="2" t="s">
        <v>855</v>
      </c>
      <c r="D5853" s="31">
        <f t="shared" si="179"/>
        <v>5.5275218528649493E-2</v>
      </c>
      <c r="F5853" s="2" t="s">
        <v>822</v>
      </c>
      <c r="G5853" s="23" t="s">
        <v>902</v>
      </c>
      <c r="H5853" s="2" t="s">
        <v>822</v>
      </c>
      <c r="J5853" s="31">
        <v>51.708099400000002</v>
      </c>
      <c r="K5853" s="31">
        <v>-36.129001600000002</v>
      </c>
      <c r="L5853" s="31"/>
      <c r="M5853" s="31" t="s">
        <v>854</v>
      </c>
      <c r="N5853" s="6" t="s">
        <v>856</v>
      </c>
    </row>
    <row r="5854" spans="1:14" ht="15" customHeight="1" x14ac:dyDescent="0.2">
      <c r="A5854" s="31">
        <v>0.28175306399800609</v>
      </c>
      <c r="B5854" s="31"/>
      <c r="C5854" s="2" t="s">
        <v>855</v>
      </c>
      <c r="D5854" s="31">
        <f t="shared" si="179"/>
        <v>5.5223600543609197E-2</v>
      </c>
      <c r="F5854" s="2" t="s">
        <v>822</v>
      </c>
      <c r="G5854" s="23" t="s">
        <v>902</v>
      </c>
      <c r="H5854" s="2" t="s">
        <v>822</v>
      </c>
      <c r="J5854" s="31">
        <v>58.771999399999999</v>
      </c>
      <c r="K5854" s="31">
        <v>-25.1919994</v>
      </c>
      <c r="L5854" s="31"/>
      <c r="M5854" s="31" t="s">
        <v>854</v>
      </c>
      <c r="N5854" s="6" t="s">
        <v>856</v>
      </c>
    </row>
    <row r="5855" spans="1:14" ht="15" customHeight="1" x14ac:dyDescent="0.2">
      <c r="A5855" s="31">
        <v>0.28170406975196738</v>
      </c>
      <c r="B5855" s="31"/>
      <c r="C5855" s="2" t="s">
        <v>855</v>
      </c>
      <c r="D5855" s="31">
        <f t="shared" si="179"/>
        <v>5.5213997671385608E-2</v>
      </c>
      <c r="F5855" s="2" t="s">
        <v>822</v>
      </c>
      <c r="G5855" s="23" t="s">
        <v>902</v>
      </c>
      <c r="H5855" s="2" t="s">
        <v>822</v>
      </c>
      <c r="J5855" s="31">
        <v>57.518501299999997</v>
      </c>
      <c r="K5855" s="31">
        <v>-9.8819599</v>
      </c>
      <c r="L5855" s="31"/>
      <c r="M5855" s="31" t="s">
        <v>854</v>
      </c>
      <c r="N5855" s="6" t="s">
        <v>856</v>
      </c>
    </row>
    <row r="5856" spans="1:14" ht="15" customHeight="1" x14ac:dyDescent="0.2">
      <c r="A5856" s="31">
        <v>0.28166397269521659</v>
      </c>
      <c r="B5856" s="31"/>
      <c r="C5856" s="2" t="s">
        <v>855</v>
      </c>
      <c r="D5856" s="31">
        <f t="shared" si="179"/>
        <v>5.5206138648262452E-2</v>
      </c>
      <c r="F5856" s="2" t="s">
        <v>822</v>
      </c>
      <c r="G5856" s="23" t="s">
        <v>902</v>
      </c>
      <c r="H5856" s="2" t="s">
        <v>822</v>
      </c>
      <c r="J5856" s="31">
        <v>56.768001599999998</v>
      </c>
      <c r="K5856" s="31">
        <v>-12.5</v>
      </c>
      <c r="L5856" s="31"/>
      <c r="M5856" s="31" t="s">
        <v>854</v>
      </c>
      <c r="N5856" s="6" t="s">
        <v>856</v>
      </c>
    </row>
    <row r="5857" spans="1:14" ht="15" customHeight="1" x14ac:dyDescent="0.2">
      <c r="A5857" s="31">
        <v>0.28135512769889781</v>
      </c>
      <c r="B5857" s="31"/>
      <c r="C5857" s="2" t="s">
        <v>855</v>
      </c>
      <c r="D5857" s="31">
        <f t="shared" si="179"/>
        <v>5.5145605028983975E-2</v>
      </c>
      <c r="F5857" s="2" t="s">
        <v>822</v>
      </c>
      <c r="G5857" s="23" t="s">
        <v>902</v>
      </c>
      <c r="H5857" s="2" t="s">
        <v>822</v>
      </c>
      <c r="J5857" s="31">
        <v>60.776001000000001</v>
      </c>
      <c r="K5857" s="31">
        <v>-21.184000000000001</v>
      </c>
      <c r="L5857" s="31"/>
      <c r="M5857" s="31" t="s">
        <v>854</v>
      </c>
      <c r="N5857" s="6" t="s">
        <v>856</v>
      </c>
    </row>
    <row r="5858" spans="1:14" ht="15" customHeight="1" x14ac:dyDescent="0.2">
      <c r="A5858" s="31">
        <v>0.28086098550094318</v>
      </c>
      <c r="B5858" s="31"/>
      <c r="C5858" s="2" t="s">
        <v>855</v>
      </c>
      <c r="D5858" s="31">
        <f t="shared" si="179"/>
        <v>5.5048753158184867E-2</v>
      </c>
      <c r="F5858" s="2" t="s">
        <v>822</v>
      </c>
      <c r="G5858" s="23" t="s">
        <v>902</v>
      </c>
      <c r="H5858" s="2" t="s">
        <v>822</v>
      </c>
      <c r="J5858" s="31">
        <v>60.8965988</v>
      </c>
      <c r="K5858" s="31">
        <v>2.5650499</v>
      </c>
      <c r="L5858" s="31"/>
      <c r="M5858" s="31" t="s">
        <v>854</v>
      </c>
      <c r="N5858" s="6" t="s">
        <v>856</v>
      </c>
    </row>
    <row r="5859" spans="1:14" ht="15" customHeight="1" x14ac:dyDescent="0.2">
      <c r="A5859" s="31">
        <v>0.28074238719211769</v>
      </c>
      <c r="B5859" s="31"/>
      <c r="C5859" s="2" t="s">
        <v>855</v>
      </c>
      <c r="D5859" s="31">
        <f t="shared" si="179"/>
        <v>5.5025507889655073E-2</v>
      </c>
      <c r="F5859" s="2" t="s">
        <v>822</v>
      </c>
      <c r="G5859" s="23" t="s">
        <v>902</v>
      </c>
      <c r="H5859" s="2" t="s">
        <v>822</v>
      </c>
      <c r="J5859" s="31">
        <v>51.423999799999997</v>
      </c>
      <c r="K5859" s="31">
        <v>-37.883998900000002</v>
      </c>
      <c r="L5859" s="31"/>
      <c r="M5859" s="31" t="s">
        <v>854</v>
      </c>
      <c r="N5859" s="6" t="s">
        <v>856</v>
      </c>
    </row>
    <row r="5860" spans="1:14" ht="15" customHeight="1" x14ac:dyDescent="0.2">
      <c r="A5860" s="31">
        <v>0.28071967926387081</v>
      </c>
      <c r="B5860" s="31"/>
      <c r="C5860" s="2" t="s">
        <v>855</v>
      </c>
      <c r="D5860" s="31">
        <f t="shared" si="179"/>
        <v>5.5021057135718685E-2</v>
      </c>
      <c r="F5860" s="2" t="s">
        <v>822</v>
      </c>
      <c r="G5860" s="23" t="s">
        <v>902</v>
      </c>
      <c r="H5860" s="2" t="s">
        <v>822</v>
      </c>
      <c r="J5860" s="31">
        <v>63.416198700000002</v>
      </c>
      <c r="K5860" s="31">
        <v>5.5696501999999999</v>
      </c>
      <c r="L5860" s="31"/>
      <c r="M5860" s="31" t="s">
        <v>854</v>
      </c>
      <c r="N5860" s="6" t="s">
        <v>856</v>
      </c>
    </row>
    <row r="5861" spans="1:14" ht="15" customHeight="1" x14ac:dyDescent="0.2">
      <c r="A5861" s="31">
        <v>0.28050178884596261</v>
      </c>
      <c r="B5861" s="31"/>
      <c r="C5861" s="2" t="s">
        <v>855</v>
      </c>
      <c r="D5861" s="31">
        <f t="shared" si="179"/>
        <v>5.4978350613808673E-2</v>
      </c>
      <c r="F5861" s="2" t="s">
        <v>822</v>
      </c>
      <c r="G5861" s="23" t="s">
        <v>902</v>
      </c>
      <c r="H5861" s="2" t="s">
        <v>822</v>
      </c>
      <c r="J5861" s="31">
        <v>60.776001000000001</v>
      </c>
      <c r="K5861" s="31">
        <v>-28.531999599999999</v>
      </c>
      <c r="L5861" s="31"/>
      <c r="M5861" s="31" t="s">
        <v>854</v>
      </c>
      <c r="N5861" s="6" t="s">
        <v>856</v>
      </c>
    </row>
    <row r="5862" spans="1:14" ht="15" customHeight="1" x14ac:dyDescent="0.2">
      <c r="A5862" s="31">
        <v>0.28037260062880548</v>
      </c>
      <c r="B5862" s="31"/>
      <c r="C5862" s="2" t="s">
        <v>855</v>
      </c>
      <c r="D5862" s="31">
        <f t="shared" si="179"/>
        <v>5.4953029723245873E-2</v>
      </c>
      <c r="F5862" s="2" t="s">
        <v>822</v>
      </c>
      <c r="G5862" s="23" t="s">
        <v>902</v>
      </c>
      <c r="H5862" s="2" t="s">
        <v>822</v>
      </c>
      <c r="J5862" s="31">
        <v>61.441001900000003</v>
      </c>
      <c r="K5862" s="31">
        <v>-9.1626902000000001</v>
      </c>
      <c r="L5862" s="31"/>
      <c r="M5862" s="31" t="s">
        <v>854</v>
      </c>
      <c r="N5862" s="6" t="s">
        <v>856</v>
      </c>
    </row>
    <row r="5863" spans="1:14" ht="15" customHeight="1" x14ac:dyDescent="0.2">
      <c r="A5863" s="31">
        <v>0.28008984488161681</v>
      </c>
      <c r="B5863" s="31"/>
      <c r="C5863" s="2" t="s">
        <v>855</v>
      </c>
      <c r="D5863" s="31">
        <f t="shared" si="179"/>
        <v>5.4897609596796897E-2</v>
      </c>
      <c r="F5863" s="2" t="s">
        <v>822</v>
      </c>
      <c r="G5863" s="23" t="s">
        <v>902</v>
      </c>
      <c r="H5863" s="2" t="s">
        <v>822</v>
      </c>
      <c r="J5863" s="31">
        <v>52.080600699999998</v>
      </c>
      <c r="K5863" s="31">
        <v>2.5299999999999998</v>
      </c>
      <c r="L5863" s="31"/>
      <c r="M5863" s="31" t="s">
        <v>854</v>
      </c>
      <c r="N5863" s="6" t="s">
        <v>856</v>
      </c>
    </row>
    <row r="5864" spans="1:14" ht="15" customHeight="1" x14ac:dyDescent="0.2">
      <c r="A5864" s="31">
        <v>0.28007555269466161</v>
      </c>
      <c r="B5864" s="31"/>
      <c r="C5864" s="2" t="s">
        <v>855</v>
      </c>
      <c r="D5864" s="31">
        <f t="shared" si="179"/>
        <v>5.4894808328153681E-2</v>
      </c>
      <c r="F5864" s="2" t="s">
        <v>822</v>
      </c>
      <c r="G5864" s="23" t="s">
        <v>902</v>
      </c>
      <c r="H5864" s="2" t="s">
        <v>822</v>
      </c>
      <c r="J5864" s="31">
        <v>49.419998200000002</v>
      </c>
      <c r="K5864" s="31">
        <v>-17.176000599999998</v>
      </c>
      <c r="L5864" s="31"/>
      <c r="M5864" s="31" t="s">
        <v>854</v>
      </c>
      <c r="N5864" s="6" t="s">
        <v>856</v>
      </c>
    </row>
    <row r="5865" spans="1:14" ht="15" customHeight="1" x14ac:dyDescent="0.2">
      <c r="A5865" s="31">
        <v>0.28006491710614412</v>
      </c>
      <c r="B5865" s="31"/>
      <c r="C5865" s="2" t="s">
        <v>855</v>
      </c>
      <c r="D5865" s="31">
        <f t="shared" si="179"/>
        <v>5.4892723752804247E-2</v>
      </c>
      <c r="F5865" s="2" t="s">
        <v>822</v>
      </c>
      <c r="G5865" s="23" t="s">
        <v>902</v>
      </c>
      <c r="H5865" s="2" t="s">
        <v>822</v>
      </c>
      <c r="J5865" s="31">
        <v>51.423999799999997</v>
      </c>
      <c r="K5865" s="31">
        <v>-41.891998299999997</v>
      </c>
      <c r="L5865" s="31"/>
      <c r="M5865" s="31" t="s">
        <v>854</v>
      </c>
      <c r="N5865" s="6" t="s">
        <v>856</v>
      </c>
    </row>
    <row r="5866" spans="1:14" ht="15" customHeight="1" x14ac:dyDescent="0.2">
      <c r="A5866" s="31">
        <v>0.28000133826432411</v>
      </c>
      <c r="B5866" s="31"/>
      <c r="C5866" s="2" t="s">
        <v>855</v>
      </c>
      <c r="D5866" s="31">
        <f t="shared" si="179"/>
        <v>5.4880262299807525E-2</v>
      </c>
      <c r="F5866" s="2" t="s">
        <v>822</v>
      </c>
      <c r="G5866" s="23" t="s">
        <v>902</v>
      </c>
      <c r="H5866" s="2" t="s">
        <v>822</v>
      </c>
      <c r="J5866" s="31">
        <v>54.786300699999998</v>
      </c>
      <c r="K5866" s="31">
        <v>-11.1884003</v>
      </c>
      <c r="L5866" s="31"/>
      <c r="M5866" s="31" t="s">
        <v>854</v>
      </c>
      <c r="N5866" s="6" t="s">
        <v>856</v>
      </c>
    </row>
    <row r="5867" spans="1:14" ht="15" customHeight="1" x14ac:dyDescent="0.2">
      <c r="A5867" s="31">
        <v>0.27987972324662508</v>
      </c>
      <c r="B5867" s="31"/>
      <c r="C5867" s="2" t="s">
        <v>855</v>
      </c>
      <c r="D5867" s="31">
        <f t="shared" si="179"/>
        <v>5.485642575633852E-2</v>
      </c>
      <c r="F5867" s="2" t="s">
        <v>822</v>
      </c>
      <c r="G5867" s="23" t="s">
        <v>902</v>
      </c>
      <c r="H5867" s="2" t="s">
        <v>822</v>
      </c>
      <c r="J5867" s="31">
        <v>56.3395996</v>
      </c>
      <c r="K5867" s="31">
        <v>-14.5311003</v>
      </c>
      <c r="L5867" s="31"/>
      <c r="M5867" s="31" t="s">
        <v>854</v>
      </c>
      <c r="N5867" s="6" t="s">
        <v>856</v>
      </c>
    </row>
    <row r="5868" spans="1:14" ht="15" customHeight="1" x14ac:dyDescent="0.2">
      <c r="A5868" s="31">
        <v>0.27976520540150968</v>
      </c>
      <c r="B5868" s="31"/>
      <c r="C5868" s="2" t="s">
        <v>855</v>
      </c>
      <c r="D5868" s="31">
        <f t="shared" si="179"/>
        <v>5.4833980258695895E-2</v>
      </c>
      <c r="F5868" s="2" t="s">
        <v>822</v>
      </c>
      <c r="G5868" s="23" t="s">
        <v>902</v>
      </c>
      <c r="H5868" s="2" t="s">
        <v>822</v>
      </c>
      <c r="J5868" s="31">
        <v>60.0569992</v>
      </c>
      <c r="K5868" s="31">
        <v>-1.3868400000000001</v>
      </c>
      <c r="L5868" s="31"/>
      <c r="M5868" s="31" t="s">
        <v>854</v>
      </c>
      <c r="N5868" s="6" t="s">
        <v>856</v>
      </c>
    </row>
    <row r="5869" spans="1:14" ht="15" customHeight="1" x14ac:dyDescent="0.2">
      <c r="A5869" s="31">
        <v>0.2791291511581902</v>
      </c>
      <c r="B5869" s="31"/>
      <c r="C5869" s="2" t="s">
        <v>855</v>
      </c>
      <c r="D5869" s="31">
        <f t="shared" si="179"/>
        <v>5.4709313627005283E-2</v>
      </c>
      <c r="F5869" s="2" t="s">
        <v>822</v>
      </c>
      <c r="G5869" s="23" t="s">
        <v>902</v>
      </c>
      <c r="H5869" s="2" t="s">
        <v>822</v>
      </c>
      <c r="J5869" s="31">
        <v>52.759998299999999</v>
      </c>
      <c r="K5869" s="31">
        <v>-31.8719997</v>
      </c>
      <c r="L5869" s="31"/>
      <c r="M5869" s="31" t="s">
        <v>854</v>
      </c>
      <c r="N5869" s="6" t="s">
        <v>856</v>
      </c>
    </row>
    <row r="5870" spans="1:14" ht="15" customHeight="1" x14ac:dyDescent="0.2">
      <c r="A5870" s="31">
        <v>0.27902045351222071</v>
      </c>
      <c r="B5870" s="31"/>
      <c r="C5870" s="2" t="s">
        <v>855</v>
      </c>
      <c r="D5870" s="31">
        <f t="shared" si="179"/>
        <v>5.4688008888395263E-2</v>
      </c>
      <c r="F5870" s="2" t="s">
        <v>822</v>
      </c>
      <c r="G5870" s="23" t="s">
        <v>902</v>
      </c>
      <c r="H5870" s="2" t="s">
        <v>822</v>
      </c>
      <c r="J5870" s="31">
        <v>55.431899999999999</v>
      </c>
      <c r="K5870" s="31">
        <v>-24.5240993</v>
      </c>
      <c r="L5870" s="31"/>
      <c r="M5870" s="31" t="s">
        <v>854</v>
      </c>
      <c r="N5870" s="6" t="s">
        <v>856</v>
      </c>
    </row>
    <row r="5871" spans="1:14" ht="15" customHeight="1" x14ac:dyDescent="0.2">
      <c r="A5871" s="31">
        <v>0.27885311251530581</v>
      </c>
      <c r="B5871" s="31"/>
      <c r="C5871" s="2" t="s">
        <v>855</v>
      </c>
      <c r="D5871" s="31">
        <f t="shared" si="179"/>
        <v>5.465521005299994E-2</v>
      </c>
      <c r="F5871" s="2" t="s">
        <v>822</v>
      </c>
      <c r="G5871" s="23" t="s">
        <v>902</v>
      </c>
      <c r="H5871" s="2" t="s">
        <v>822</v>
      </c>
      <c r="J5871" s="31">
        <v>58.771999399999999</v>
      </c>
      <c r="K5871" s="31">
        <v>-6.66716</v>
      </c>
      <c r="L5871" s="31"/>
      <c r="M5871" s="31" t="s">
        <v>854</v>
      </c>
      <c r="N5871" s="6" t="s">
        <v>856</v>
      </c>
    </row>
    <row r="5872" spans="1:14" ht="15" customHeight="1" x14ac:dyDescent="0.2">
      <c r="A5872" s="31">
        <v>0.27884112732070548</v>
      </c>
      <c r="B5872" s="31"/>
      <c r="C5872" s="2" t="s">
        <v>855</v>
      </c>
      <c r="D5872" s="31">
        <f t="shared" si="179"/>
        <v>5.465286095485828E-2</v>
      </c>
      <c r="F5872" s="2" t="s">
        <v>822</v>
      </c>
      <c r="G5872" s="23" t="s">
        <v>902</v>
      </c>
      <c r="H5872" s="2" t="s">
        <v>822</v>
      </c>
      <c r="J5872" s="31">
        <v>46.122699699999998</v>
      </c>
      <c r="K5872" s="31">
        <v>-41.059898400000002</v>
      </c>
      <c r="L5872" s="31"/>
      <c r="M5872" s="31" t="s">
        <v>854</v>
      </c>
      <c r="N5872" s="6" t="s">
        <v>856</v>
      </c>
    </row>
    <row r="5873" spans="1:14" ht="15" customHeight="1" x14ac:dyDescent="0.2">
      <c r="A5873" s="31">
        <v>0.27871984607978251</v>
      </c>
      <c r="B5873" s="31"/>
      <c r="C5873" s="2" t="s">
        <v>855</v>
      </c>
      <c r="D5873" s="31">
        <f t="shared" si="179"/>
        <v>5.4629089831637376E-2</v>
      </c>
      <c r="F5873" s="2" t="s">
        <v>822</v>
      </c>
      <c r="G5873" s="23" t="s">
        <v>902</v>
      </c>
      <c r="H5873" s="2" t="s">
        <v>822</v>
      </c>
      <c r="J5873" s="31">
        <v>61.444000199999998</v>
      </c>
      <c r="K5873" s="31">
        <v>-20.516000699999999</v>
      </c>
      <c r="L5873" s="31"/>
      <c r="M5873" s="31" t="s">
        <v>854</v>
      </c>
      <c r="N5873" s="6" t="s">
        <v>856</v>
      </c>
    </row>
    <row r="5874" spans="1:14" ht="15" customHeight="1" x14ac:dyDescent="0.2">
      <c r="A5874" s="31">
        <v>0.27858141299954708</v>
      </c>
      <c r="B5874" s="31"/>
      <c r="C5874" s="2" t="s">
        <v>855</v>
      </c>
      <c r="D5874" s="31">
        <f t="shared" si="179"/>
        <v>5.4601956947911229E-2</v>
      </c>
      <c r="F5874" s="2" t="s">
        <v>822</v>
      </c>
      <c r="G5874" s="23" t="s">
        <v>902</v>
      </c>
      <c r="H5874" s="2" t="s">
        <v>822</v>
      </c>
      <c r="J5874" s="31">
        <v>61.444000199999998</v>
      </c>
      <c r="K5874" s="31">
        <v>-13.8360004</v>
      </c>
      <c r="L5874" s="31"/>
      <c r="M5874" s="31" t="s">
        <v>854</v>
      </c>
      <c r="N5874" s="6" t="s">
        <v>856</v>
      </c>
    </row>
    <row r="5875" spans="1:14" ht="15" customHeight="1" x14ac:dyDescent="0.2">
      <c r="A5875" s="31">
        <v>0.27848859165379558</v>
      </c>
      <c r="B5875" s="31"/>
      <c r="C5875" s="2" t="s">
        <v>855</v>
      </c>
      <c r="D5875" s="31">
        <f t="shared" si="179"/>
        <v>5.4583763964143939E-2</v>
      </c>
      <c r="F5875" s="2" t="s">
        <v>822</v>
      </c>
      <c r="G5875" s="23" t="s">
        <v>902</v>
      </c>
      <c r="H5875" s="2" t="s">
        <v>822</v>
      </c>
      <c r="J5875" s="31">
        <v>58.771999399999999</v>
      </c>
      <c r="K5875" s="31">
        <v>-23.187999699999999</v>
      </c>
      <c r="L5875" s="31"/>
      <c r="M5875" s="31" t="s">
        <v>854</v>
      </c>
      <c r="N5875" s="6" t="s">
        <v>856</v>
      </c>
    </row>
    <row r="5876" spans="1:14" ht="15" customHeight="1" x14ac:dyDescent="0.2">
      <c r="A5876" s="31">
        <v>0.27841498153489103</v>
      </c>
      <c r="B5876" s="31"/>
      <c r="C5876" s="2" t="s">
        <v>855</v>
      </c>
      <c r="D5876" s="31">
        <f t="shared" si="179"/>
        <v>5.4569336380838641E-2</v>
      </c>
      <c r="F5876" s="2" t="s">
        <v>822</v>
      </c>
      <c r="G5876" s="23" t="s">
        <v>902</v>
      </c>
      <c r="H5876" s="2" t="s">
        <v>822</v>
      </c>
      <c r="J5876" s="31">
        <v>58.771999399999999</v>
      </c>
      <c r="K5876" s="31">
        <v>4.6358398999999997</v>
      </c>
      <c r="L5876" s="31"/>
      <c r="M5876" s="31" t="s">
        <v>854</v>
      </c>
      <c r="N5876" s="6" t="s">
        <v>856</v>
      </c>
    </row>
    <row r="5877" spans="1:14" ht="15" customHeight="1" x14ac:dyDescent="0.2">
      <c r="A5877" s="31">
        <v>0.27825938966618319</v>
      </c>
      <c r="B5877" s="31"/>
      <c r="C5877" s="2" t="s">
        <v>855</v>
      </c>
      <c r="D5877" s="31">
        <f t="shared" si="179"/>
        <v>5.4538840374571906E-2</v>
      </c>
      <c r="F5877" s="2" t="s">
        <v>822</v>
      </c>
      <c r="G5877" s="23" t="s">
        <v>902</v>
      </c>
      <c r="H5877" s="2" t="s">
        <v>822</v>
      </c>
      <c r="J5877" s="31">
        <v>61.444000199999998</v>
      </c>
      <c r="K5877" s="31">
        <v>-28.531999599999999</v>
      </c>
      <c r="L5877" s="31"/>
      <c r="M5877" s="31" t="s">
        <v>854</v>
      </c>
      <c r="N5877" s="6" t="s">
        <v>856</v>
      </c>
    </row>
    <row r="5878" spans="1:14" ht="15" customHeight="1" x14ac:dyDescent="0.2">
      <c r="A5878" s="31">
        <v>0.27823159272742543</v>
      </c>
      <c r="B5878" s="31"/>
      <c r="C5878" s="2" t="s">
        <v>855</v>
      </c>
      <c r="D5878" s="31">
        <f t="shared" si="179"/>
        <v>5.4533392174575389E-2</v>
      </c>
      <c r="F5878" s="2" t="s">
        <v>822</v>
      </c>
      <c r="G5878" s="23" t="s">
        <v>902</v>
      </c>
      <c r="H5878" s="2" t="s">
        <v>822</v>
      </c>
      <c r="J5878" s="31">
        <v>59.439998600000003</v>
      </c>
      <c r="K5878" s="31">
        <v>-25.1919994</v>
      </c>
      <c r="L5878" s="31"/>
      <c r="M5878" s="31" t="s">
        <v>854</v>
      </c>
      <c r="N5878" s="6" t="s">
        <v>856</v>
      </c>
    </row>
    <row r="5879" spans="1:14" ht="15" customHeight="1" x14ac:dyDescent="0.2">
      <c r="A5879" s="31">
        <v>0.27809866814327588</v>
      </c>
      <c r="B5879" s="31"/>
      <c r="C5879" s="2" t="s">
        <v>855</v>
      </c>
      <c r="D5879" s="31">
        <f t="shared" si="179"/>
        <v>5.4507338956082077E-2</v>
      </c>
      <c r="F5879" s="2" t="s">
        <v>822</v>
      </c>
      <c r="G5879" s="23" t="s">
        <v>902</v>
      </c>
      <c r="H5879" s="2" t="s">
        <v>822</v>
      </c>
      <c r="J5879" s="31">
        <v>58.771999399999999</v>
      </c>
      <c r="K5879" s="31">
        <v>-10.4960003</v>
      </c>
      <c r="L5879" s="31"/>
      <c r="M5879" s="31" t="s">
        <v>854</v>
      </c>
      <c r="N5879" s="6" t="s">
        <v>856</v>
      </c>
    </row>
    <row r="5880" spans="1:14" ht="15" customHeight="1" x14ac:dyDescent="0.2">
      <c r="A5880" s="31">
        <v>0.27805112701270568</v>
      </c>
      <c r="B5880" s="31"/>
      <c r="C5880" s="2" t="s">
        <v>855</v>
      </c>
      <c r="D5880" s="31">
        <f t="shared" si="179"/>
        <v>5.4498020894490316E-2</v>
      </c>
      <c r="F5880" s="2" t="s">
        <v>822</v>
      </c>
      <c r="G5880" s="23" t="s">
        <v>902</v>
      </c>
      <c r="H5880" s="2" t="s">
        <v>822</v>
      </c>
      <c r="J5880" s="31">
        <v>63.383598300000003</v>
      </c>
      <c r="K5880" s="31">
        <v>-23.856000900000002</v>
      </c>
      <c r="L5880" s="31"/>
      <c r="M5880" s="31" t="s">
        <v>854</v>
      </c>
      <c r="N5880" s="6" t="s">
        <v>856</v>
      </c>
    </row>
    <row r="5881" spans="1:14" ht="15" customHeight="1" x14ac:dyDescent="0.2">
      <c r="A5881" s="31">
        <v>0.27803068792233548</v>
      </c>
      <c r="B5881" s="31"/>
      <c r="C5881" s="2" t="s">
        <v>855</v>
      </c>
      <c r="D5881" s="31">
        <f t="shared" si="179"/>
        <v>5.4494014832777757E-2</v>
      </c>
      <c r="F5881" s="2" t="s">
        <v>822</v>
      </c>
      <c r="G5881" s="23" t="s">
        <v>902</v>
      </c>
      <c r="H5881" s="2" t="s">
        <v>822</v>
      </c>
      <c r="J5881" s="31">
        <v>62.738899199999999</v>
      </c>
      <c r="K5881" s="31">
        <v>-24.5550003</v>
      </c>
      <c r="L5881" s="31"/>
      <c r="M5881" s="31" t="s">
        <v>854</v>
      </c>
      <c r="N5881" s="6" t="s">
        <v>856</v>
      </c>
    </row>
    <row r="5882" spans="1:14" ht="15" customHeight="1" x14ac:dyDescent="0.2">
      <c r="A5882" s="31">
        <v>0.27782231790422479</v>
      </c>
      <c r="B5882" s="31"/>
      <c r="C5882" s="2" t="s">
        <v>855</v>
      </c>
      <c r="D5882" s="31">
        <f t="shared" si="179"/>
        <v>5.445317430922806E-2</v>
      </c>
      <c r="F5882" s="2" t="s">
        <v>822</v>
      </c>
      <c r="G5882" s="23" t="s">
        <v>902</v>
      </c>
      <c r="H5882" s="2" t="s">
        <v>822</v>
      </c>
      <c r="J5882" s="31">
        <v>64.115997300000004</v>
      </c>
      <c r="K5882" s="31">
        <v>-23.267200500000001</v>
      </c>
      <c r="L5882" s="31"/>
      <c r="M5882" s="31" t="s">
        <v>854</v>
      </c>
      <c r="N5882" s="6" t="s">
        <v>856</v>
      </c>
    </row>
    <row r="5883" spans="1:14" ht="15" customHeight="1" x14ac:dyDescent="0.2">
      <c r="A5883" s="31">
        <v>0.2775681960504659</v>
      </c>
      <c r="B5883" s="31"/>
      <c r="C5883" s="2" t="s">
        <v>855</v>
      </c>
      <c r="D5883" s="31">
        <f t="shared" si="179"/>
        <v>5.4403366425891317E-2</v>
      </c>
      <c r="F5883" s="2" t="s">
        <v>822</v>
      </c>
      <c r="G5883" s="23" t="s">
        <v>902</v>
      </c>
      <c r="H5883" s="2" t="s">
        <v>822</v>
      </c>
      <c r="J5883" s="31">
        <v>61.444000199999998</v>
      </c>
      <c r="K5883" s="31">
        <v>-15.8400002</v>
      </c>
      <c r="L5883" s="31"/>
      <c r="M5883" s="31" t="s">
        <v>854</v>
      </c>
      <c r="N5883" s="6" t="s">
        <v>856</v>
      </c>
    </row>
    <row r="5884" spans="1:14" ht="15" customHeight="1" x14ac:dyDescent="0.2">
      <c r="A5884" s="31">
        <v>0.27745669447032412</v>
      </c>
      <c r="B5884" s="31"/>
      <c r="C5884" s="2" t="s">
        <v>855</v>
      </c>
      <c r="D5884" s="31">
        <f t="shared" si="179"/>
        <v>5.4381512116183528E-2</v>
      </c>
      <c r="F5884" s="2" t="s">
        <v>822</v>
      </c>
      <c r="G5884" s="23" t="s">
        <v>902</v>
      </c>
      <c r="H5884" s="2" t="s">
        <v>822</v>
      </c>
      <c r="J5884" s="31">
        <v>59.439998600000003</v>
      </c>
      <c r="K5884" s="31">
        <v>-24.5240002</v>
      </c>
      <c r="L5884" s="31"/>
      <c r="M5884" s="31" t="s">
        <v>854</v>
      </c>
      <c r="N5884" s="6" t="s">
        <v>856</v>
      </c>
    </row>
    <row r="5885" spans="1:14" ht="15" customHeight="1" x14ac:dyDescent="0.2">
      <c r="A5885" s="31">
        <v>0.27741392045057711</v>
      </c>
      <c r="B5885" s="31"/>
      <c r="C5885" s="2" t="s">
        <v>855</v>
      </c>
      <c r="D5885" s="31">
        <f t="shared" si="179"/>
        <v>5.4373128408313119E-2</v>
      </c>
      <c r="F5885" s="2" t="s">
        <v>822</v>
      </c>
      <c r="G5885" s="23" t="s">
        <v>902</v>
      </c>
      <c r="H5885" s="2" t="s">
        <v>822</v>
      </c>
      <c r="J5885" s="31">
        <v>64.311203000000006</v>
      </c>
      <c r="K5885" s="31">
        <v>-25.801000599999998</v>
      </c>
      <c r="L5885" s="31"/>
      <c r="M5885" s="31" t="s">
        <v>854</v>
      </c>
      <c r="N5885" s="6" t="s">
        <v>856</v>
      </c>
    </row>
    <row r="5886" spans="1:14" ht="15" customHeight="1" x14ac:dyDescent="0.2">
      <c r="A5886" s="31">
        <v>0.27712191573946021</v>
      </c>
      <c r="B5886" s="31"/>
      <c r="C5886" s="2" t="s">
        <v>855</v>
      </c>
      <c r="D5886" s="31">
        <f t="shared" si="179"/>
        <v>5.4315895484934207E-2</v>
      </c>
      <c r="F5886" s="2" t="s">
        <v>822</v>
      </c>
      <c r="G5886" s="23" t="s">
        <v>902</v>
      </c>
      <c r="H5886" s="2" t="s">
        <v>822</v>
      </c>
      <c r="J5886" s="31">
        <v>49.563301099999997</v>
      </c>
      <c r="K5886" s="31">
        <v>-18.096399300000002</v>
      </c>
      <c r="L5886" s="31"/>
      <c r="M5886" s="31" t="s">
        <v>854</v>
      </c>
      <c r="N5886" s="6" t="s">
        <v>856</v>
      </c>
    </row>
    <row r="5887" spans="1:14" ht="15" customHeight="1" x14ac:dyDescent="0.2">
      <c r="A5887" s="31">
        <v>0.27686020865727312</v>
      </c>
      <c r="B5887" s="31"/>
      <c r="C5887" s="2" t="s">
        <v>855</v>
      </c>
      <c r="D5887" s="31">
        <f t="shared" si="179"/>
        <v>5.4264600896825534E-2</v>
      </c>
      <c r="F5887" s="2" t="s">
        <v>822</v>
      </c>
      <c r="G5887" s="23" t="s">
        <v>902</v>
      </c>
      <c r="H5887" s="2" t="s">
        <v>822</v>
      </c>
      <c r="J5887" s="31">
        <v>53.428001399999999</v>
      </c>
      <c r="K5887" s="31">
        <v>-25.1919994</v>
      </c>
      <c r="L5887" s="31"/>
      <c r="M5887" s="31" t="s">
        <v>854</v>
      </c>
      <c r="N5887" s="6" t="s">
        <v>856</v>
      </c>
    </row>
    <row r="5888" spans="1:14" ht="15" customHeight="1" x14ac:dyDescent="0.2">
      <c r="A5888" s="31">
        <v>0.27650370432245119</v>
      </c>
      <c r="B5888" s="31"/>
      <c r="C5888" s="2" t="s">
        <v>855</v>
      </c>
      <c r="D5888" s="31">
        <f t="shared" si="179"/>
        <v>5.4194726047200437E-2</v>
      </c>
      <c r="F5888" s="2" t="s">
        <v>822</v>
      </c>
      <c r="G5888" s="23" t="s">
        <v>902</v>
      </c>
      <c r="H5888" s="2" t="s">
        <v>822</v>
      </c>
      <c r="J5888" s="31">
        <v>60.853698700000002</v>
      </c>
      <c r="K5888" s="31">
        <v>-7.2150601999999999</v>
      </c>
      <c r="L5888" s="31"/>
      <c r="M5888" s="31" t="s">
        <v>854</v>
      </c>
      <c r="N5888" s="6" t="s">
        <v>856</v>
      </c>
    </row>
    <row r="5889" spans="1:14" ht="15" customHeight="1" x14ac:dyDescent="0.2">
      <c r="A5889" s="31">
        <v>0.27649366874699532</v>
      </c>
      <c r="B5889" s="31"/>
      <c r="C5889" s="2" t="s">
        <v>855</v>
      </c>
      <c r="D5889" s="31">
        <f t="shared" si="179"/>
        <v>5.4192759074411088E-2</v>
      </c>
      <c r="F5889" s="2" t="s">
        <v>822</v>
      </c>
      <c r="G5889" s="23" t="s">
        <v>902</v>
      </c>
      <c r="H5889" s="2" t="s">
        <v>822</v>
      </c>
      <c r="J5889" s="31">
        <v>63.739101400000003</v>
      </c>
      <c r="K5889" s="31">
        <v>-13.1524</v>
      </c>
      <c r="L5889" s="31"/>
      <c r="M5889" s="31" t="s">
        <v>854</v>
      </c>
      <c r="N5889" s="6" t="s">
        <v>856</v>
      </c>
    </row>
    <row r="5890" spans="1:14" ht="15" customHeight="1" x14ac:dyDescent="0.2">
      <c r="A5890" s="31">
        <v>0.27621054232716319</v>
      </c>
      <c r="B5890" s="31"/>
      <c r="C5890" s="2" t="s">
        <v>855</v>
      </c>
      <c r="D5890" s="31">
        <f t="shared" si="179"/>
        <v>5.413726629612399E-2</v>
      </c>
      <c r="F5890" s="2" t="s">
        <v>822</v>
      </c>
      <c r="G5890" s="23" t="s">
        <v>902</v>
      </c>
      <c r="H5890" s="2" t="s">
        <v>822</v>
      </c>
      <c r="J5890" s="31">
        <v>54.937400799999999</v>
      </c>
      <c r="K5890" s="31">
        <v>-12.4188004</v>
      </c>
      <c r="L5890" s="31"/>
      <c r="M5890" s="31" t="s">
        <v>854</v>
      </c>
      <c r="N5890" s="6" t="s">
        <v>856</v>
      </c>
    </row>
    <row r="5891" spans="1:14" ht="15" customHeight="1" x14ac:dyDescent="0.2">
      <c r="A5891" s="31">
        <v>0.27605871817312788</v>
      </c>
      <c r="B5891" s="31"/>
      <c r="C5891" s="2" t="s">
        <v>855</v>
      </c>
      <c r="D5891" s="31">
        <f t="shared" si="179"/>
        <v>5.4107508761933064E-2</v>
      </c>
      <c r="F5891" s="2" t="s">
        <v>822</v>
      </c>
      <c r="G5891" s="23" t="s">
        <v>902</v>
      </c>
      <c r="H5891" s="2" t="s">
        <v>822</v>
      </c>
      <c r="J5891" s="31">
        <v>57.436000800000002</v>
      </c>
      <c r="K5891" s="31">
        <v>-32.540000900000003</v>
      </c>
      <c r="L5891" s="31"/>
      <c r="M5891" s="31" t="s">
        <v>854</v>
      </c>
      <c r="N5891" s="6" t="s">
        <v>856</v>
      </c>
    </row>
    <row r="5892" spans="1:14" ht="15" customHeight="1" x14ac:dyDescent="0.2">
      <c r="A5892" s="31">
        <v>0.27603593355404721</v>
      </c>
      <c r="B5892" s="31"/>
      <c r="C5892" s="2" t="s">
        <v>855</v>
      </c>
      <c r="D5892" s="31">
        <f t="shared" si="179"/>
        <v>5.4103042976593255E-2</v>
      </c>
      <c r="F5892" s="2" t="s">
        <v>822</v>
      </c>
      <c r="G5892" s="23" t="s">
        <v>902</v>
      </c>
      <c r="H5892" s="2" t="s">
        <v>822</v>
      </c>
      <c r="J5892" s="31">
        <v>56.768001599999998</v>
      </c>
      <c r="K5892" s="31">
        <v>-29.200000800000002</v>
      </c>
      <c r="L5892" s="31"/>
      <c r="M5892" s="31" t="s">
        <v>854</v>
      </c>
      <c r="N5892" s="6" t="s">
        <v>856</v>
      </c>
    </row>
    <row r="5893" spans="1:14" ht="15" customHeight="1" x14ac:dyDescent="0.2">
      <c r="A5893" s="31">
        <v>0.27598327844212228</v>
      </c>
      <c r="B5893" s="31"/>
      <c r="C5893" s="2" t="s">
        <v>855</v>
      </c>
      <c r="D5893" s="31">
        <f t="shared" si="179"/>
        <v>5.4092722574655971E-2</v>
      </c>
      <c r="F5893" s="2" t="s">
        <v>822</v>
      </c>
      <c r="G5893" s="23" t="s">
        <v>902</v>
      </c>
      <c r="H5893" s="2" t="s">
        <v>822</v>
      </c>
      <c r="J5893" s="31">
        <v>48.083999599999999</v>
      </c>
      <c r="K5893" s="31">
        <v>-37.883998900000002</v>
      </c>
      <c r="L5893" s="31"/>
      <c r="M5893" s="31" t="s">
        <v>854</v>
      </c>
      <c r="N5893" s="6" t="s">
        <v>856</v>
      </c>
    </row>
    <row r="5894" spans="1:14" ht="15" customHeight="1" x14ac:dyDescent="0.2">
      <c r="A5894" s="31">
        <v>0.27579736131215771</v>
      </c>
      <c r="B5894" s="31"/>
      <c r="C5894" s="2" t="s">
        <v>855</v>
      </c>
      <c r="D5894" s="31">
        <f t="shared" si="179"/>
        <v>5.4056282817182916E-2</v>
      </c>
      <c r="F5894" s="2" t="s">
        <v>822</v>
      </c>
      <c r="G5894" s="23" t="s">
        <v>902</v>
      </c>
      <c r="H5894" s="2" t="s">
        <v>822</v>
      </c>
      <c r="J5894" s="31">
        <v>59.053299000000003</v>
      </c>
      <c r="K5894" s="31">
        <v>10.3676996</v>
      </c>
      <c r="L5894" s="31"/>
      <c r="M5894" s="31" t="s">
        <v>854</v>
      </c>
      <c r="N5894" s="6" t="s">
        <v>856</v>
      </c>
    </row>
    <row r="5895" spans="1:14" ht="15" customHeight="1" x14ac:dyDescent="0.2">
      <c r="A5895" s="31">
        <v>0.27577355285517119</v>
      </c>
      <c r="B5895" s="31"/>
      <c r="C5895" s="2" t="s">
        <v>855</v>
      </c>
      <c r="D5895" s="31">
        <f t="shared" si="179"/>
        <v>5.4051616359613558E-2</v>
      </c>
      <c r="F5895" s="2" t="s">
        <v>822</v>
      </c>
      <c r="G5895" s="23" t="s">
        <v>902</v>
      </c>
      <c r="H5895" s="2" t="s">
        <v>822</v>
      </c>
      <c r="J5895" s="31">
        <v>61.444000199999998</v>
      </c>
      <c r="K5895" s="31">
        <v>-17.8439999</v>
      </c>
      <c r="L5895" s="31"/>
      <c r="M5895" s="31" t="s">
        <v>854</v>
      </c>
      <c r="N5895" s="6" t="s">
        <v>856</v>
      </c>
    </row>
    <row r="5896" spans="1:14" ht="15" customHeight="1" x14ac:dyDescent="0.2">
      <c r="A5896" s="31">
        <v>0.27575940673599691</v>
      </c>
      <c r="B5896" s="31"/>
      <c r="C5896" s="2" t="s">
        <v>855</v>
      </c>
      <c r="D5896" s="31">
        <f t="shared" si="179"/>
        <v>5.4048843720255396E-2</v>
      </c>
      <c r="F5896" s="2" t="s">
        <v>822</v>
      </c>
      <c r="G5896" s="23" t="s">
        <v>902</v>
      </c>
      <c r="H5896" s="2" t="s">
        <v>822</v>
      </c>
      <c r="J5896" s="31">
        <v>61.799301100000001</v>
      </c>
      <c r="K5896" s="31">
        <v>-6.7712402000000003</v>
      </c>
      <c r="L5896" s="31"/>
      <c r="M5896" s="31" t="s">
        <v>854</v>
      </c>
      <c r="N5896" s="6" t="s">
        <v>856</v>
      </c>
    </row>
    <row r="5897" spans="1:14" ht="15" customHeight="1" x14ac:dyDescent="0.2">
      <c r="A5897" s="31">
        <v>0.27561463281752657</v>
      </c>
      <c r="B5897" s="31"/>
      <c r="C5897" s="2" t="s">
        <v>855</v>
      </c>
      <c r="D5897" s="31">
        <f t="shared" si="179"/>
        <v>5.402046803223521E-2</v>
      </c>
      <c r="F5897" s="2" t="s">
        <v>822</v>
      </c>
      <c r="G5897" s="23" t="s">
        <v>902</v>
      </c>
      <c r="H5897" s="2" t="s">
        <v>822</v>
      </c>
      <c r="J5897" s="31">
        <v>57.436000800000002</v>
      </c>
      <c r="K5897" s="31">
        <v>-17.176000599999998</v>
      </c>
      <c r="L5897" s="31"/>
      <c r="M5897" s="31" t="s">
        <v>854</v>
      </c>
      <c r="N5897" s="6" t="s">
        <v>856</v>
      </c>
    </row>
    <row r="5898" spans="1:14" ht="15" customHeight="1" x14ac:dyDescent="0.2">
      <c r="A5898" s="31">
        <v>0.27552673770630842</v>
      </c>
      <c r="B5898" s="31"/>
      <c r="C5898" s="2" t="s">
        <v>855</v>
      </c>
      <c r="D5898" s="31">
        <f t="shared" si="179"/>
        <v>5.4003240590436451E-2</v>
      </c>
      <c r="F5898" s="2" t="s">
        <v>822</v>
      </c>
      <c r="G5898" s="23" t="s">
        <v>902</v>
      </c>
      <c r="H5898" s="2" t="s">
        <v>822</v>
      </c>
      <c r="J5898" s="31">
        <v>55.4319992</v>
      </c>
      <c r="K5898" s="31">
        <v>-31.204000499999999</v>
      </c>
      <c r="L5898" s="31"/>
      <c r="M5898" s="31" t="s">
        <v>854</v>
      </c>
      <c r="N5898" s="6" t="s">
        <v>856</v>
      </c>
    </row>
    <row r="5899" spans="1:14" ht="15" customHeight="1" x14ac:dyDescent="0.2">
      <c r="A5899" s="31">
        <v>0.27542943396959729</v>
      </c>
      <c r="B5899" s="31"/>
      <c r="C5899" s="2" t="s">
        <v>855</v>
      </c>
      <c r="D5899" s="31">
        <f t="shared" si="179"/>
        <v>5.398416905804107E-2</v>
      </c>
      <c r="F5899" s="2" t="s">
        <v>822</v>
      </c>
      <c r="G5899" s="23" t="s">
        <v>902</v>
      </c>
      <c r="H5899" s="2" t="s">
        <v>822</v>
      </c>
      <c r="J5899" s="31">
        <v>58.771999399999999</v>
      </c>
      <c r="K5899" s="31">
        <v>4.1999997999999996</v>
      </c>
      <c r="L5899" s="31"/>
      <c r="M5899" s="31" t="s">
        <v>854</v>
      </c>
      <c r="N5899" s="6" t="s">
        <v>856</v>
      </c>
    </row>
    <row r="5900" spans="1:14" ht="15" customHeight="1" x14ac:dyDescent="0.2">
      <c r="A5900" s="31">
        <v>0.27494351008301843</v>
      </c>
      <c r="B5900" s="31"/>
      <c r="C5900" s="2" t="s">
        <v>855</v>
      </c>
      <c r="D5900" s="31">
        <f t="shared" si="179"/>
        <v>5.3888927976271615E-2</v>
      </c>
      <c r="F5900" s="2" t="s">
        <v>822</v>
      </c>
      <c r="G5900" s="23" t="s">
        <v>902</v>
      </c>
      <c r="H5900" s="2" t="s">
        <v>822</v>
      </c>
      <c r="J5900" s="31">
        <v>60.108001700000003</v>
      </c>
      <c r="K5900" s="31">
        <v>-27.195999100000002</v>
      </c>
      <c r="L5900" s="31"/>
      <c r="M5900" s="31" t="s">
        <v>854</v>
      </c>
      <c r="N5900" s="6" t="s">
        <v>856</v>
      </c>
    </row>
    <row r="5901" spans="1:14" ht="15" customHeight="1" x14ac:dyDescent="0.2">
      <c r="A5901" s="31">
        <v>0.27476062707126042</v>
      </c>
      <c r="B5901" s="31"/>
      <c r="C5901" s="2" t="s">
        <v>855</v>
      </c>
      <c r="D5901" s="31">
        <f t="shared" si="179"/>
        <v>5.3853082905967048E-2</v>
      </c>
      <c r="F5901" s="2" t="s">
        <v>822</v>
      </c>
      <c r="G5901" s="23" t="s">
        <v>902</v>
      </c>
      <c r="H5901" s="2" t="s">
        <v>822</v>
      </c>
      <c r="J5901" s="31">
        <v>54.096000699999998</v>
      </c>
      <c r="K5901" s="31">
        <v>-21.184000000000001</v>
      </c>
      <c r="L5901" s="31"/>
      <c r="M5901" s="31" t="s">
        <v>854</v>
      </c>
      <c r="N5901" s="6" t="s">
        <v>856</v>
      </c>
    </row>
    <row r="5902" spans="1:14" ht="15" customHeight="1" x14ac:dyDescent="0.2">
      <c r="A5902" s="31">
        <v>0.27469631472846462</v>
      </c>
      <c r="B5902" s="31"/>
      <c r="C5902" s="2" t="s">
        <v>855</v>
      </c>
      <c r="D5902" s="31">
        <f t="shared" si="179"/>
        <v>5.3840477686779069E-2</v>
      </c>
      <c r="F5902" s="2" t="s">
        <v>822</v>
      </c>
      <c r="G5902" s="23" t="s">
        <v>902</v>
      </c>
      <c r="H5902" s="2" t="s">
        <v>822</v>
      </c>
      <c r="J5902" s="31">
        <v>60.776001000000001</v>
      </c>
      <c r="K5902" s="31">
        <v>-17.8439999</v>
      </c>
      <c r="L5902" s="31"/>
      <c r="M5902" s="31" t="s">
        <v>854</v>
      </c>
      <c r="N5902" s="6" t="s">
        <v>856</v>
      </c>
    </row>
    <row r="5903" spans="1:14" ht="15" customHeight="1" x14ac:dyDescent="0.2">
      <c r="A5903" s="31">
        <v>0.27465555318788559</v>
      </c>
      <c r="B5903" s="31"/>
      <c r="C5903" s="2" t="s">
        <v>855</v>
      </c>
      <c r="D5903" s="31">
        <f t="shared" si="179"/>
        <v>5.3832488424825575E-2</v>
      </c>
      <c r="F5903" s="2" t="s">
        <v>822</v>
      </c>
      <c r="G5903" s="23" t="s">
        <v>902</v>
      </c>
      <c r="H5903" s="2" t="s">
        <v>822</v>
      </c>
      <c r="J5903" s="31">
        <v>56.148201</v>
      </c>
      <c r="K5903" s="31">
        <v>-9.5946502999999996</v>
      </c>
      <c r="L5903" s="31"/>
      <c r="M5903" s="31" t="s">
        <v>854</v>
      </c>
      <c r="N5903" s="6" t="s">
        <v>856</v>
      </c>
    </row>
    <row r="5904" spans="1:14" ht="15" customHeight="1" x14ac:dyDescent="0.2">
      <c r="A5904" s="31">
        <v>0.2744513132326647</v>
      </c>
      <c r="B5904" s="31"/>
      <c r="C5904" s="2" t="s">
        <v>855</v>
      </c>
      <c r="D5904" s="31">
        <f t="shared" si="179"/>
        <v>5.3792457393602285E-2</v>
      </c>
      <c r="F5904" s="2" t="s">
        <v>822</v>
      </c>
      <c r="G5904" s="23" t="s">
        <v>902</v>
      </c>
      <c r="H5904" s="2" t="s">
        <v>822</v>
      </c>
      <c r="J5904" s="31">
        <v>63.717601799999997</v>
      </c>
      <c r="K5904" s="31">
        <v>7.54</v>
      </c>
      <c r="L5904" s="31"/>
      <c r="M5904" s="31" t="s">
        <v>854</v>
      </c>
      <c r="N5904" s="6" t="s">
        <v>856</v>
      </c>
    </row>
    <row r="5905" spans="1:14" ht="15" customHeight="1" x14ac:dyDescent="0.2">
      <c r="A5905" s="31">
        <v>0.27442561440780489</v>
      </c>
      <c r="B5905" s="31"/>
      <c r="C5905" s="2" t="s">
        <v>855</v>
      </c>
      <c r="D5905" s="31">
        <f t="shared" ref="D5905:D5919" si="180" xml:space="preserve"> A5905 * 0.196</f>
        <v>5.3787420423929762E-2</v>
      </c>
      <c r="F5905" s="2" t="s">
        <v>822</v>
      </c>
      <c r="G5905" s="23" t="s">
        <v>902</v>
      </c>
      <c r="H5905" s="2" t="s">
        <v>822</v>
      </c>
      <c r="J5905" s="31">
        <v>56.099998499999998</v>
      </c>
      <c r="K5905" s="31">
        <v>-26.527999900000001</v>
      </c>
      <c r="L5905" s="31"/>
      <c r="M5905" s="31" t="s">
        <v>854</v>
      </c>
      <c r="N5905" s="6" t="s">
        <v>856</v>
      </c>
    </row>
    <row r="5906" spans="1:14" ht="15" customHeight="1" x14ac:dyDescent="0.2">
      <c r="A5906" s="31">
        <v>0.27409916175879528</v>
      </c>
      <c r="B5906" s="31"/>
      <c r="C5906" s="2" t="s">
        <v>855</v>
      </c>
      <c r="D5906" s="31">
        <f t="shared" si="180"/>
        <v>5.3723435704723876E-2</v>
      </c>
      <c r="F5906" s="2" t="s">
        <v>822</v>
      </c>
      <c r="G5906" s="23" t="s">
        <v>902</v>
      </c>
      <c r="H5906" s="2" t="s">
        <v>822</v>
      </c>
      <c r="J5906" s="31">
        <v>51.423999799999997</v>
      </c>
      <c r="K5906" s="31">
        <v>-16.507999399999999</v>
      </c>
      <c r="L5906" s="31"/>
      <c r="M5906" s="31" t="s">
        <v>854</v>
      </c>
      <c r="N5906" s="6" t="s">
        <v>856</v>
      </c>
    </row>
    <row r="5907" spans="1:14" ht="15" customHeight="1" x14ac:dyDescent="0.2">
      <c r="A5907" s="31">
        <v>0.27385003874640262</v>
      </c>
      <c r="B5907" s="31"/>
      <c r="C5907" s="2" t="s">
        <v>855</v>
      </c>
      <c r="D5907" s="31">
        <f t="shared" si="180"/>
        <v>5.3674607594294918E-2</v>
      </c>
      <c r="F5907" s="2" t="s">
        <v>822</v>
      </c>
      <c r="G5907" s="23" t="s">
        <v>902</v>
      </c>
      <c r="H5907" s="2" t="s">
        <v>822</v>
      </c>
      <c r="J5907" s="31">
        <v>49.390201599999997</v>
      </c>
      <c r="K5907" s="31">
        <v>-25.880600000000001</v>
      </c>
      <c r="L5907" s="31"/>
      <c r="M5907" s="31" t="s">
        <v>854</v>
      </c>
      <c r="N5907" s="6" t="s">
        <v>856</v>
      </c>
    </row>
    <row r="5908" spans="1:14" ht="15" customHeight="1" x14ac:dyDescent="0.2">
      <c r="A5908" s="31">
        <v>0.27354549100488113</v>
      </c>
      <c r="B5908" s="31"/>
      <c r="C5908" s="2" t="s">
        <v>855</v>
      </c>
      <c r="D5908" s="31">
        <f t="shared" si="180"/>
        <v>5.3614916236956703E-2</v>
      </c>
      <c r="F5908" s="2" t="s">
        <v>822</v>
      </c>
      <c r="G5908" s="23" t="s">
        <v>902</v>
      </c>
      <c r="H5908" s="2" t="s">
        <v>822</v>
      </c>
      <c r="J5908" s="31">
        <v>61.444000199999998</v>
      </c>
      <c r="K5908" s="31">
        <v>-17.176000599999998</v>
      </c>
      <c r="L5908" s="31"/>
      <c r="M5908" s="31" t="s">
        <v>854</v>
      </c>
      <c r="N5908" s="6" t="s">
        <v>856</v>
      </c>
    </row>
    <row r="5909" spans="1:14" ht="15" customHeight="1" x14ac:dyDescent="0.2">
      <c r="A5909" s="31">
        <v>0.27353208419179159</v>
      </c>
      <c r="B5909" s="31"/>
      <c r="C5909" s="2" t="s">
        <v>855</v>
      </c>
      <c r="D5909" s="31">
        <f t="shared" si="180"/>
        <v>5.3612288501591152E-2</v>
      </c>
      <c r="F5909" s="2" t="s">
        <v>822</v>
      </c>
      <c r="G5909" s="23" t="s">
        <v>902</v>
      </c>
      <c r="H5909" s="2" t="s">
        <v>822</v>
      </c>
      <c r="J5909" s="31">
        <v>61.444000199999998</v>
      </c>
      <c r="K5909" s="31">
        <v>3.2178399999999998</v>
      </c>
      <c r="L5909" s="31"/>
      <c r="M5909" s="31" t="s">
        <v>854</v>
      </c>
      <c r="N5909" s="6" t="s">
        <v>856</v>
      </c>
    </row>
    <row r="5910" spans="1:14" ht="15" customHeight="1" x14ac:dyDescent="0.2">
      <c r="A5910" s="31">
        <v>0.27343923664049319</v>
      </c>
      <c r="B5910" s="31"/>
      <c r="C5910" s="2" t="s">
        <v>855</v>
      </c>
      <c r="D5910" s="31">
        <f t="shared" si="180"/>
        <v>5.3594090381536667E-2</v>
      </c>
      <c r="F5910" s="2" t="s">
        <v>822</v>
      </c>
      <c r="G5910" s="23" t="s">
        <v>902</v>
      </c>
      <c r="H5910" s="2" t="s">
        <v>822</v>
      </c>
      <c r="J5910" s="31">
        <v>63.616500899999998</v>
      </c>
      <c r="K5910" s="31">
        <v>8.5220003000000002</v>
      </c>
      <c r="L5910" s="31"/>
      <c r="M5910" s="31" t="s">
        <v>854</v>
      </c>
      <c r="N5910" s="6" t="s">
        <v>856</v>
      </c>
    </row>
    <row r="5911" spans="1:14" ht="15" customHeight="1" x14ac:dyDescent="0.2">
      <c r="A5911" s="31">
        <v>0.27343018185334972</v>
      </c>
      <c r="B5911" s="31"/>
      <c r="C5911" s="2" t="s">
        <v>855</v>
      </c>
      <c r="D5911" s="31">
        <f t="shared" si="180"/>
        <v>5.3592315643256547E-2</v>
      </c>
      <c r="F5911" s="2" t="s">
        <v>822</v>
      </c>
      <c r="G5911" s="23" t="s">
        <v>902</v>
      </c>
      <c r="H5911" s="2" t="s">
        <v>822</v>
      </c>
      <c r="J5911" s="31">
        <v>54.763999900000002</v>
      </c>
      <c r="K5911" s="31">
        <v>-29.200000800000002</v>
      </c>
      <c r="L5911" s="31"/>
      <c r="M5911" s="31" t="s">
        <v>854</v>
      </c>
      <c r="N5911" s="6" t="s">
        <v>856</v>
      </c>
    </row>
    <row r="5912" spans="1:14" ht="15" customHeight="1" x14ac:dyDescent="0.2">
      <c r="A5912" s="31">
        <v>0.27339834000388791</v>
      </c>
      <c r="B5912" s="31"/>
      <c r="C5912" s="2" t="s">
        <v>855</v>
      </c>
      <c r="D5912" s="31">
        <f t="shared" si="180"/>
        <v>5.3586074640762031E-2</v>
      </c>
      <c r="F5912" s="2" t="s">
        <v>822</v>
      </c>
      <c r="G5912" s="23" t="s">
        <v>902</v>
      </c>
      <c r="H5912" s="2" t="s">
        <v>822</v>
      </c>
      <c r="J5912" s="31">
        <v>51.855701400000001</v>
      </c>
      <c r="K5912" s="31">
        <v>-32.846599599999998</v>
      </c>
      <c r="L5912" s="31"/>
      <c r="M5912" s="31" t="s">
        <v>854</v>
      </c>
      <c r="N5912" s="6" t="s">
        <v>856</v>
      </c>
    </row>
    <row r="5913" spans="1:14" ht="15" customHeight="1" x14ac:dyDescent="0.2">
      <c r="A5913" s="31">
        <v>0.27324678851370648</v>
      </c>
      <c r="B5913" s="31"/>
      <c r="C5913" s="2" t="s">
        <v>855</v>
      </c>
      <c r="D5913" s="31">
        <f t="shared" si="180"/>
        <v>5.355637054868647E-2</v>
      </c>
      <c r="F5913" s="2" t="s">
        <v>822</v>
      </c>
      <c r="G5913" s="23" t="s">
        <v>902</v>
      </c>
      <c r="H5913" s="2" t="s">
        <v>822</v>
      </c>
      <c r="J5913" s="31">
        <v>59.838600200000002</v>
      </c>
      <c r="K5913" s="31">
        <v>-3.1480000000000001</v>
      </c>
      <c r="L5913" s="31"/>
      <c r="M5913" s="31" t="s">
        <v>854</v>
      </c>
      <c r="N5913" s="6" t="s">
        <v>856</v>
      </c>
    </row>
    <row r="5914" spans="1:14" ht="15" customHeight="1" x14ac:dyDescent="0.2">
      <c r="A5914" s="31">
        <v>0.27310729740677159</v>
      </c>
      <c r="B5914" s="31"/>
      <c r="C5914" s="2" t="s">
        <v>855</v>
      </c>
      <c r="D5914" s="31">
        <f t="shared" si="180"/>
        <v>5.3529030291727231E-2</v>
      </c>
      <c r="F5914" s="2" t="s">
        <v>822</v>
      </c>
      <c r="G5914" s="23" t="s">
        <v>902</v>
      </c>
      <c r="H5914" s="2" t="s">
        <v>822</v>
      </c>
      <c r="J5914" s="31">
        <v>48.083999599999999</v>
      </c>
      <c r="K5914" s="31">
        <v>-41.891998299999997</v>
      </c>
      <c r="L5914" s="31"/>
      <c r="M5914" s="31" t="s">
        <v>854</v>
      </c>
      <c r="N5914" s="6" t="s">
        <v>856</v>
      </c>
    </row>
    <row r="5915" spans="1:14" ht="15" customHeight="1" x14ac:dyDescent="0.2">
      <c r="A5915" s="31">
        <v>0.27286554211686792</v>
      </c>
      <c r="B5915" s="31"/>
      <c r="C5915" s="2" t="s">
        <v>855</v>
      </c>
      <c r="D5915" s="31">
        <f t="shared" si="180"/>
        <v>5.3481646254906118E-2</v>
      </c>
      <c r="F5915" s="2" t="s">
        <v>822</v>
      </c>
      <c r="G5915" s="23" t="s">
        <v>902</v>
      </c>
      <c r="H5915" s="2" t="s">
        <v>822</v>
      </c>
      <c r="J5915" s="31">
        <v>57.002601599999998</v>
      </c>
      <c r="K5915" s="31">
        <v>6.0538401999999998</v>
      </c>
      <c r="L5915" s="31"/>
      <c r="M5915" s="31" t="s">
        <v>854</v>
      </c>
      <c r="N5915" s="6" t="s">
        <v>856</v>
      </c>
    </row>
    <row r="5916" spans="1:14" ht="15" customHeight="1" x14ac:dyDescent="0.2">
      <c r="A5916" s="31">
        <v>0.2728417016387798</v>
      </c>
      <c r="B5916" s="31"/>
      <c r="C5916" s="2" t="s">
        <v>855</v>
      </c>
      <c r="D5916" s="31">
        <f t="shared" si="180"/>
        <v>5.3476973521200843E-2</v>
      </c>
      <c r="F5916" s="2" t="s">
        <v>822</v>
      </c>
      <c r="G5916" s="23" t="s">
        <v>902</v>
      </c>
      <c r="H5916" s="2" t="s">
        <v>822</v>
      </c>
      <c r="J5916" s="31">
        <v>64.115997300000004</v>
      </c>
      <c r="K5916" s="31">
        <v>-29.867999999999999</v>
      </c>
      <c r="L5916" s="31"/>
      <c r="M5916" s="31" t="s">
        <v>854</v>
      </c>
      <c r="N5916" s="6" t="s">
        <v>856</v>
      </c>
    </row>
    <row r="5917" spans="1:14" ht="15" customHeight="1" x14ac:dyDescent="0.2">
      <c r="A5917" s="31">
        <v>0.27270904745010838</v>
      </c>
      <c r="B5917" s="31"/>
      <c r="C5917" s="2" t="s">
        <v>855</v>
      </c>
      <c r="D5917" s="31">
        <f t="shared" si="180"/>
        <v>5.3450973300221243E-2</v>
      </c>
      <c r="F5917" s="2" t="s">
        <v>822</v>
      </c>
      <c r="G5917" s="23" t="s">
        <v>902</v>
      </c>
      <c r="H5917" s="2" t="s">
        <v>822</v>
      </c>
      <c r="J5917" s="31">
        <v>56.730598399999998</v>
      </c>
      <c r="K5917" s="31">
        <v>-14.044199900000001</v>
      </c>
      <c r="L5917" s="31"/>
      <c r="M5917" s="31" t="s">
        <v>854</v>
      </c>
      <c r="N5917" s="6" t="s">
        <v>856</v>
      </c>
    </row>
    <row r="5918" spans="1:14" ht="15" customHeight="1" x14ac:dyDescent="0.2">
      <c r="A5918" s="31">
        <v>0.27267750680251118</v>
      </c>
      <c r="B5918" s="31"/>
      <c r="C5918" s="2" t="s">
        <v>855</v>
      </c>
      <c r="D5918" s="31">
        <f t="shared" si="180"/>
        <v>5.3444791333292191E-2</v>
      </c>
      <c r="F5918" s="2" t="s">
        <v>822</v>
      </c>
      <c r="G5918" s="23" t="s">
        <v>902</v>
      </c>
      <c r="H5918" s="2" t="s">
        <v>822</v>
      </c>
      <c r="J5918" s="31">
        <v>60.108001700000003</v>
      </c>
      <c r="K5918" s="31">
        <v>-13.8360004</v>
      </c>
      <c r="L5918" s="31"/>
      <c r="M5918" s="31" t="s">
        <v>854</v>
      </c>
      <c r="N5918" s="6" t="s">
        <v>856</v>
      </c>
    </row>
    <row r="5919" spans="1:14" ht="15" customHeight="1" x14ac:dyDescent="0.2">
      <c r="A5919" s="31">
        <v>0.2725672147041085</v>
      </c>
      <c r="B5919" s="31"/>
      <c r="C5919" s="2" t="s">
        <v>855</v>
      </c>
      <c r="D5919" s="31">
        <f t="shared" si="180"/>
        <v>5.3423174082005268E-2</v>
      </c>
      <c r="F5919" s="2" t="s">
        <v>822</v>
      </c>
      <c r="G5919" s="23" t="s">
        <v>902</v>
      </c>
      <c r="H5919" s="2" t="s">
        <v>822</v>
      </c>
      <c r="J5919" s="31">
        <v>58.771999399999999</v>
      </c>
      <c r="K5919" s="31">
        <v>-0.47599999999999998</v>
      </c>
      <c r="L5919" s="31"/>
      <c r="M5919" s="31" t="s">
        <v>854</v>
      </c>
      <c r="N5919" s="6" t="s">
        <v>856</v>
      </c>
    </row>
    <row r="5920" spans="1:14" ht="15" customHeight="1" x14ac:dyDescent="0.2">
      <c r="A5920" s="22">
        <v>5.3347819588925906E-2</v>
      </c>
      <c r="B5920" s="22"/>
      <c r="C5920" s="2" t="s">
        <v>891</v>
      </c>
      <c r="D5920" s="2">
        <f>A5920</f>
        <v>5.3347819588925906E-2</v>
      </c>
      <c r="F5920" s="2">
        <v>2023</v>
      </c>
      <c r="G5920" s="23" t="s">
        <v>902</v>
      </c>
      <c r="H5920" s="2" t="s">
        <v>771</v>
      </c>
      <c r="I5920" s="23" t="s">
        <v>189</v>
      </c>
      <c r="J5920" s="23">
        <v>58077395</v>
      </c>
      <c r="K5920" s="23">
        <v>11813531</v>
      </c>
      <c r="L5920" s="23" t="s">
        <v>819</v>
      </c>
      <c r="M5920" s="2" t="s">
        <v>825</v>
      </c>
      <c r="N5920" s="6" t="s">
        <v>828</v>
      </c>
    </row>
    <row r="5921" spans="1:14" ht="15" customHeight="1" x14ac:dyDescent="0.2">
      <c r="A5921" s="31">
        <v>0.27216916216709502</v>
      </c>
      <c r="B5921" s="31"/>
      <c r="C5921" s="2" t="s">
        <v>855</v>
      </c>
      <c r="D5921" s="31">
        <f t="shared" ref="D5921:D5952" si="181" xml:space="preserve"> A5921 * 0.196</f>
        <v>5.3345155784750624E-2</v>
      </c>
      <c r="F5921" s="2" t="s">
        <v>822</v>
      </c>
      <c r="G5921" s="23" t="s">
        <v>902</v>
      </c>
      <c r="H5921" s="2" t="s">
        <v>822</v>
      </c>
      <c r="J5921" s="31">
        <v>61.518001599999998</v>
      </c>
      <c r="K5921" s="31">
        <v>2.2731099000000001</v>
      </c>
      <c r="L5921" s="31"/>
      <c r="M5921" s="31" t="s">
        <v>854</v>
      </c>
      <c r="N5921" s="6" t="s">
        <v>856</v>
      </c>
    </row>
    <row r="5922" spans="1:14" ht="15" customHeight="1" x14ac:dyDescent="0.2">
      <c r="A5922" s="31">
        <v>0.27215371211950012</v>
      </c>
      <c r="B5922" s="31"/>
      <c r="C5922" s="2" t="s">
        <v>855</v>
      </c>
      <c r="D5922" s="31">
        <f t="shared" si="181"/>
        <v>5.3342127575422026E-2</v>
      </c>
      <c r="F5922" s="2" t="s">
        <v>822</v>
      </c>
      <c r="G5922" s="23" t="s">
        <v>902</v>
      </c>
      <c r="H5922" s="2" t="s">
        <v>822</v>
      </c>
      <c r="J5922" s="31">
        <v>58.8241005</v>
      </c>
      <c r="K5922" s="31">
        <v>-4.4824400000000004</v>
      </c>
      <c r="L5922" s="31"/>
      <c r="M5922" s="31" t="s">
        <v>854</v>
      </c>
      <c r="N5922" s="6" t="s">
        <v>856</v>
      </c>
    </row>
    <row r="5923" spans="1:14" ht="15" customHeight="1" x14ac:dyDescent="0.2">
      <c r="A5923" s="31">
        <v>0.27198633028505581</v>
      </c>
      <c r="B5923" s="31"/>
      <c r="C5923" s="2" t="s">
        <v>855</v>
      </c>
      <c r="D5923" s="31">
        <f t="shared" si="181"/>
        <v>5.3309320735870941E-2</v>
      </c>
      <c r="F5923" s="2" t="s">
        <v>822</v>
      </c>
      <c r="G5923" s="23" t="s">
        <v>902</v>
      </c>
      <c r="H5923" s="2" t="s">
        <v>822</v>
      </c>
      <c r="J5923" s="31">
        <v>54.763999900000002</v>
      </c>
      <c r="K5923" s="31">
        <v>-29.867999999999999</v>
      </c>
      <c r="L5923" s="31"/>
      <c r="M5923" s="31" t="s">
        <v>854</v>
      </c>
      <c r="N5923" s="6" t="s">
        <v>856</v>
      </c>
    </row>
    <row r="5924" spans="1:14" ht="15" customHeight="1" x14ac:dyDescent="0.2">
      <c r="A5924" s="31">
        <v>0.27150320481792001</v>
      </c>
      <c r="B5924" s="31"/>
      <c r="C5924" s="2" t="s">
        <v>855</v>
      </c>
      <c r="D5924" s="31">
        <f t="shared" si="181"/>
        <v>5.3214628144312326E-2</v>
      </c>
      <c r="F5924" s="2" t="s">
        <v>822</v>
      </c>
      <c r="G5924" s="23" t="s">
        <v>902</v>
      </c>
      <c r="H5924" s="2" t="s">
        <v>822</v>
      </c>
      <c r="J5924" s="31">
        <v>58.771999399999999</v>
      </c>
      <c r="K5924" s="31">
        <v>-13.1680002</v>
      </c>
      <c r="L5924" s="31"/>
      <c r="M5924" s="31" t="s">
        <v>854</v>
      </c>
      <c r="N5924" s="6" t="s">
        <v>856</v>
      </c>
    </row>
    <row r="5925" spans="1:14" ht="15" customHeight="1" x14ac:dyDescent="0.2">
      <c r="A5925" s="31">
        <v>0.27134123918360381</v>
      </c>
      <c r="B5925" s="31"/>
      <c r="C5925" s="2" t="s">
        <v>855</v>
      </c>
      <c r="D5925" s="31">
        <f t="shared" si="181"/>
        <v>5.3182882879986348E-2</v>
      </c>
      <c r="F5925" s="2" t="s">
        <v>822</v>
      </c>
      <c r="G5925" s="23" t="s">
        <v>902</v>
      </c>
      <c r="H5925" s="2" t="s">
        <v>822</v>
      </c>
      <c r="J5925" s="31">
        <v>61.444000199999998</v>
      </c>
      <c r="K5925" s="31">
        <v>-16.507999399999999</v>
      </c>
      <c r="L5925" s="31"/>
      <c r="M5925" s="31" t="s">
        <v>854</v>
      </c>
      <c r="N5925" s="6" t="s">
        <v>856</v>
      </c>
    </row>
    <row r="5926" spans="1:14" ht="15" customHeight="1" x14ac:dyDescent="0.2">
      <c r="A5926" s="31">
        <v>0.27128730290104658</v>
      </c>
      <c r="B5926" s="31"/>
      <c r="C5926" s="2" t="s">
        <v>855</v>
      </c>
      <c r="D5926" s="31">
        <f t="shared" si="181"/>
        <v>5.3172311368605132E-2</v>
      </c>
      <c r="F5926" s="2" t="s">
        <v>822</v>
      </c>
      <c r="G5926" s="23" t="s">
        <v>902</v>
      </c>
      <c r="H5926" s="2" t="s">
        <v>822</v>
      </c>
      <c r="J5926" s="31">
        <v>59.838600200000002</v>
      </c>
      <c r="K5926" s="31">
        <v>3.5518401000000002</v>
      </c>
      <c r="L5926" s="31"/>
      <c r="M5926" s="31" t="s">
        <v>854</v>
      </c>
      <c r="N5926" s="6" t="s">
        <v>856</v>
      </c>
    </row>
    <row r="5927" spans="1:14" ht="15" customHeight="1" x14ac:dyDescent="0.2">
      <c r="A5927" s="31">
        <v>0.27089358482072629</v>
      </c>
      <c r="B5927" s="31"/>
      <c r="C5927" s="2" t="s">
        <v>855</v>
      </c>
      <c r="D5927" s="31">
        <f t="shared" si="181"/>
        <v>5.3095142624862354E-2</v>
      </c>
      <c r="F5927" s="2" t="s">
        <v>822</v>
      </c>
      <c r="G5927" s="23" t="s">
        <v>902</v>
      </c>
      <c r="H5927" s="2" t="s">
        <v>822</v>
      </c>
      <c r="J5927" s="31">
        <v>56.099998499999998</v>
      </c>
      <c r="K5927" s="31">
        <v>-32.540000900000003</v>
      </c>
      <c r="L5927" s="31"/>
      <c r="M5927" s="31" t="s">
        <v>854</v>
      </c>
      <c r="N5927" s="6" t="s">
        <v>856</v>
      </c>
    </row>
    <row r="5928" spans="1:14" ht="15" customHeight="1" x14ac:dyDescent="0.2">
      <c r="A5928" s="31">
        <v>0.27046437135273921</v>
      </c>
      <c r="B5928" s="31"/>
      <c r="C5928" s="2" t="s">
        <v>855</v>
      </c>
      <c r="D5928" s="31">
        <f t="shared" si="181"/>
        <v>5.3011016785136887E-2</v>
      </c>
      <c r="F5928" s="2" t="s">
        <v>822</v>
      </c>
      <c r="G5928" s="23" t="s">
        <v>902</v>
      </c>
      <c r="H5928" s="2" t="s">
        <v>822</v>
      </c>
      <c r="J5928" s="31">
        <v>61.590599099999999</v>
      </c>
      <c r="K5928" s="31">
        <v>-7.3761600999999999</v>
      </c>
      <c r="L5928" s="31"/>
      <c r="M5928" s="31" t="s">
        <v>854</v>
      </c>
      <c r="N5928" s="6" t="s">
        <v>856</v>
      </c>
    </row>
    <row r="5929" spans="1:14" ht="15" customHeight="1" x14ac:dyDescent="0.2">
      <c r="A5929" s="31">
        <v>0.27029482650751008</v>
      </c>
      <c r="B5929" s="31"/>
      <c r="C5929" s="2" t="s">
        <v>855</v>
      </c>
      <c r="D5929" s="31">
        <f t="shared" si="181"/>
        <v>5.2977785995471975E-2</v>
      </c>
      <c r="F5929" s="2" t="s">
        <v>822</v>
      </c>
      <c r="G5929" s="23" t="s">
        <v>902</v>
      </c>
      <c r="H5929" s="2" t="s">
        <v>822</v>
      </c>
      <c r="J5929" s="31">
        <v>49.148399400000002</v>
      </c>
      <c r="K5929" s="31">
        <v>-27.9839001</v>
      </c>
      <c r="L5929" s="31"/>
      <c r="M5929" s="31" t="s">
        <v>854</v>
      </c>
      <c r="N5929" s="6" t="s">
        <v>856</v>
      </c>
    </row>
    <row r="5930" spans="1:14" ht="15" customHeight="1" x14ac:dyDescent="0.2">
      <c r="A5930" s="31">
        <v>0.2702549391202238</v>
      </c>
      <c r="B5930" s="31"/>
      <c r="C5930" s="2" t="s">
        <v>855</v>
      </c>
      <c r="D5930" s="31">
        <f t="shared" si="181"/>
        <v>5.296996806756387E-2</v>
      </c>
      <c r="F5930" s="2" t="s">
        <v>822</v>
      </c>
      <c r="G5930" s="23" t="s">
        <v>902</v>
      </c>
      <c r="H5930" s="2" t="s">
        <v>822</v>
      </c>
      <c r="J5930" s="31">
        <v>56.768001599999998</v>
      </c>
      <c r="K5930" s="31">
        <v>-11.1639996</v>
      </c>
      <c r="L5930" s="31"/>
      <c r="M5930" s="31" t="s">
        <v>854</v>
      </c>
      <c r="N5930" s="6" t="s">
        <v>856</v>
      </c>
    </row>
    <row r="5931" spans="1:14" ht="15" customHeight="1" x14ac:dyDescent="0.2">
      <c r="A5931" s="31">
        <v>0.27023537421542759</v>
      </c>
      <c r="B5931" s="31"/>
      <c r="C5931" s="2" t="s">
        <v>855</v>
      </c>
      <c r="D5931" s="31">
        <f t="shared" si="181"/>
        <v>5.2966133346223812E-2</v>
      </c>
      <c r="F5931" s="2" t="s">
        <v>822</v>
      </c>
      <c r="G5931" s="23" t="s">
        <v>902</v>
      </c>
      <c r="H5931" s="2" t="s">
        <v>822</v>
      </c>
      <c r="J5931" s="31">
        <v>50.088001300000002</v>
      </c>
      <c r="K5931" s="31">
        <v>-41.223998999999999</v>
      </c>
      <c r="L5931" s="31"/>
      <c r="M5931" s="31" t="s">
        <v>854</v>
      </c>
      <c r="N5931" s="6" t="s">
        <v>856</v>
      </c>
    </row>
    <row r="5932" spans="1:14" ht="15" customHeight="1" x14ac:dyDescent="0.2">
      <c r="A5932" s="31">
        <v>0.27000368115062939</v>
      </c>
      <c r="B5932" s="31"/>
      <c r="C5932" s="2" t="s">
        <v>855</v>
      </c>
      <c r="D5932" s="31">
        <f t="shared" si="181"/>
        <v>5.2920721505523363E-2</v>
      </c>
      <c r="F5932" s="2" t="s">
        <v>822</v>
      </c>
      <c r="G5932" s="23" t="s">
        <v>902</v>
      </c>
      <c r="H5932" s="2" t="s">
        <v>822</v>
      </c>
      <c r="J5932" s="31">
        <v>60.776001000000001</v>
      </c>
      <c r="K5932" s="31">
        <v>-23.856000900000002</v>
      </c>
      <c r="L5932" s="31"/>
      <c r="M5932" s="31" t="s">
        <v>854</v>
      </c>
      <c r="N5932" s="6" t="s">
        <v>856</v>
      </c>
    </row>
    <row r="5933" spans="1:14" ht="15" customHeight="1" x14ac:dyDescent="0.2">
      <c r="A5933" s="31">
        <v>0.2699152287851721</v>
      </c>
      <c r="B5933" s="31"/>
      <c r="C5933" s="2" t="s">
        <v>855</v>
      </c>
      <c r="D5933" s="31">
        <f t="shared" si="181"/>
        <v>5.2903384841893733E-2</v>
      </c>
      <c r="F5933" s="2" t="s">
        <v>822</v>
      </c>
      <c r="G5933" s="23" t="s">
        <v>902</v>
      </c>
      <c r="H5933" s="2" t="s">
        <v>822</v>
      </c>
      <c r="J5933" s="31">
        <v>50.088001300000002</v>
      </c>
      <c r="K5933" s="31">
        <v>-33.208000200000001</v>
      </c>
      <c r="L5933" s="31"/>
      <c r="M5933" s="31" t="s">
        <v>854</v>
      </c>
      <c r="N5933" s="6" t="s">
        <v>856</v>
      </c>
    </row>
    <row r="5934" spans="1:14" ht="15" customHeight="1" x14ac:dyDescent="0.2">
      <c r="A5934" s="31">
        <v>0.2697042391501675</v>
      </c>
      <c r="B5934" s="31"/>
      <c r="C5934" s="2" t="s">
        <v>855</v>
      </c>
      <c r="D5934" s="31">
        <f t="shared" si="181"/>
        <v>5.286203087343283E-2</v>
      </c>
      <c r="F5934" s="2" t="s">
        <v>822</v>
      </c>
      <c r="G5934" s="23" t="s">
        <v>902</v>
      </c>
      <c r="H5934" s="2" t="s">
        <v>822</v>
      </c>
      <c r="J5934" s="31">
        <v>60.108001700000003</v>
      </c>
      <c r="K5934" s="31">
        <v>2.1960001</v>
      </c>
      <c r="L5934" s="31"/>
      <c r="M5934" s="31" t="s">
        <v>854</v>
      </c>
      <c r="N5934" s="6" t="s">
        <v>856</v>
      </c>
    </row>
    <row r="5935" spans="1:14" ht="15" customHeight="1" x14ac:dyDescent="0.2">
      <c r="A5935" s="31">
        <v>0.26946322494475389</v>
      </c>
      <c r="B5935" s="31"/>
      <c r="C5935" s="2" t="s">
        <v>855</v>
      </c>
      <c r="D5935" s="31">
        <f t="shared" si="181"/>
        <v>5.2814792089171766E-2</v>
      </c>
      <c r="F5935" s="2" t="s">
        <v>822</v>
      </c>
      <c r="G5935" s="23" t="s">
        <v>902</v>
      </c>
      <c r="H5935" s="2" t="s">
        <v>822</v>
      </c>
      <c r="J5935" s="31">
        <v>55.5802002</v>
      </c>
      <c r="K5935" s="31">
        <v>-9.8588895999999995</v>
      </c>
      <c r="L5935" s="31"/>
      <c r="M5935" s="31" t="s">
        <v>854</v>
      </c>
      <c r="N5935" s="6" t="s">
        <v>856</v>
      </c>
    </row>
    <row r="5936" spans="1:14" ht="15" customHeight="1" x14ac:dyDescent="0.2">
      <c r="A5936" s="31">
        <v>0.26944399250888262</v>
      </c>
      <c r="B5936" s="31"/>
      <c r="C5936" s="2" t="s">
        <v>855</v>
      </c>
      <c r="D5936" s="31">
        <f t="shared" si="181"/>
        <v>5.2811022531740998E-2</v>
      </c>
      <c r="F5936" s="2" t="s">
        <v>822</v>
      </c>
      <c r="G5936" s="23" t="s">
        <v>902</v>
      </c>
      <c r="H5936" s="2" t="s">
        <v>822</v>
      </c>
      <c r="J5936" s="31">
        <v>64.0282974</v>
      </c>
      <c r="K5936" s="31">
        <v>-12.656599999999999</v>
      </c>
      <c r="L5936" s="31"/>
      <c r="M5936" s="31" t="s">
        <v>854</v>
      </c>
      <c r="N5936" s="6" t="s">
        <v>856</v>
      </c>
    </row>
    <row r="5937" spans="1:14" ht="15" customHeight="1" x14ac:dyDescent="0.2">
      <c r="A5937" s="31">
        <v>0.26912893531445359</v>
      </c>
      <c r="B5937" s="31"/>
      <c r="C5937" s="2" t="s">
        <v>855</v>
      </c>
      <c r="D5937" s="31">
        <f t="shared" si="181"/>
        <v>5.2749271321632908E-2</v>
      </c>
      <c r="F5937" s="2" t="s">
        <v>822</v>
      </c>
      <c r="G5937" s="23" t="s">
        <v>902</v>
      </c>
      <c r="H5937" s="2" t="s">
        <v>822</v>
      </c>
      <c r="J5937" s="31">
        <v>52.188899999999997</v>
      </c>
      <c r="K5937" s="31">
        <v>-35.177799200000003</v>
      </c>
      <c r="L5937" s="31"/>
      <c r="M5937" s="31" t="s">
        <v>854</v>
      </c>
      <c r="N5937" s="6" t="s">
        <v>856</v>
      </c>
    </row>
    <row r="5938" spans="1:14" ht="15" customHeight="1" x14ac:dyDescent="0.2">
      <c r="A5938" s="31">
        <v>0.2690191318466657</v>
      </c>
      <c r="B5938" s="31"/>
      <c r="C5938" s="2" t="s">
        <v>855</v>
      </c>
      <c r="D5938" s="31">
        <f t="shared" si="181"/>
        <v>5.2727749841946482E-2</v>
      </c>
      <c r="F5938" s="2" t="s">
        <v>822</v>
      </c>
      <c r="G5938" s="23" t="s">
        <v>902</v>
      </c>
      <c r="H5938" s="2" t="s">
        <v>822</v>
      </c>
      <c r="J5938" s="31">
        <v>55.4319992</v>
      </c>
      <c r="K5938" s="31">
        <v>-27.864000300000001</v>
      </c>
      <c r="L5938" s="31"/>
      <c r="M5938" s="31" t="s">
        <v>854</v>
      </c>
      <c r="N5938" s="6" t="s">
        <v>856</v>
      </c>
    </row>
    <row r="5939" spans="1:14" ht="15" customHeight="1" x14ac:dyDescent="0.2">
      <c r="A5939" s="31">
        <v>0.26882058846796247</v>
      </c>
      <c r="B5939" s="31"/>
      <c r="C5939" s="2" t="s">
        <v>855</v>
      </c>
      <c r="D5939" s="31">
        <f t="shared" si="181"/>
        <v>5.2688835339720644E-2</v>
      </c>
      <c r="F5939" s="2" t="s">
        <v>822</v>
      </c>
      <c r="G5939" s="23" t="s">
        <v>902</v>
      </c>
      <c r="H5939" s="2" t="s">
        <v>822</v>
      </c>
      <c r="J5939" s="31">
        <v>60.776001000000001</v>
      </c>
      <c r="K5939" s="31">
        <v>-25.860000599999999</v>
      </c>
      <c r="L5939" s="31"/>
      <c r="M5939" s="31" t="s">
        <v>854</v>
      </c>
      <c r="N5939" s="6" t="s">
        <v>856</v>
      </c>
    </row>
    <row r="5940" spans="1:14" ht="15" customHeight="1" x14ac:dyDescent="0.2">
      <c r="A5940" s="31">
        <v>0.26864112173098598</v>
      </c>
      <c r="B5940" s="31"/>
      <c r="C5940" s="2" t="s">
        <v>855</v>
      </c>
      <c r="D5940" s="31">
        <f t="shared" si="181"/>
        <v>5.2653659859273255E-2</v>
      </c>
      <c r="F5940" s="2" t="s">
        <v>822</v>
      </c>
      <c r="G5940" s="23" t="s">
        <v>902</v>
      </c>
      <c r="H5940" s="2" t="s">
        <v>822</v>
      </c>
      <c r="J5940" s="31">
        <v>62.196399700000001</v>
      </c>
      <c r="K5940" s="31">
        <v>5.1366100000000001</v>
      </c>
      <c r="L5940" s="31"/>
      <c r="M5940" s="31" t="s">
        <v>854</v>
      </c>
      <c r="N5940" s="6" t="s">
        <v>856</v>
      </c>
    </row>
    <row r="5941" spans="1:14" ht="15" customHeight="1" x14ac:dyDescent="0.2">
      <c r="A5941" s="31">
        <v>0.26848202632716389</v>
      </c>
      <c r="B5941" s="31"/>
      <c r="C5941" s="2" t="s">
        <v>855</v>
      </c>
      <c r="D5941" s="31">
        <f t="shared" si="181"/>
        <v>5.2622477160124123E-2</v>
      </c>
      <c r="F5941" s="2" t="s">
        <v>822</v>
      </c>
      <c r="G5941" s="23" t="s">
        <v>902</v>
      </c>
      <c r="H5941" s="2" t="s">
        <v>822</v>
      </c>
      <c r="J5941" s="31">
        <v>63.8578987</v>
      </c>
      <c r="K5941" s="31">
        <v>-21.226999299999999</v>
      </c>
      <c r="L5941" s="31"/>
      <c r="M5941" s="31" t="s">
        <v>854</v>
      </c>
      <c r="N5941" s="6" t="s">
        <v>856</v>
      </c>
    </row>
    <row r="5942" spans="1:14" ht="15" customHeight="1" x14ac:dyDescent="0.2">
      <c r="A5942" s="31">
        <v>0.26847240941750378</v>
      </c>
      <c r="B5942" s="31"/>
      <c r="C5942" s="2" t="s">
        <v>855</v>
      </c>
      <c r="D5942" s="31">
        <f t="shared" si="181"/>
        <v>5.2620592245830745E-2</v>
      </c>
      <c r="F5942" s="2" t="s">
        <v>822</v>
      </c>
      <c r="G5942" s="23" t="s">
        <v>902</v>
      </c>
      <c r="H5942" s="2" t="s">
        <v>822</v>
      </c>
      <c r="J5942" s="31">
        <v>65.135398899999998</v>
      </c>
      <c r="K5942" s="31">
        <v>-23.6466007</v>
      </c>
      <c r="L5942" s="31"/>
      <c r="M5942" s="31" t="s">
        <v>854</v>
      </c>
      <c r="N5942" s="6" t="s">
        <v>856</v>
      </c>
    </row>
    <row r="5943" spans="1:14" ht="15" customHeight="1" x14ac:dyDescent="0.2">
      <c r="A5943" s="31">
        <v>0.26829681899157598</v>
      </c>
      <c r="B5943" s="31"/>
      <c r="C5943" s="2" t="s">
        <v>855</v>
      </c>
      <c r="D5943" s="31">
        <f t="shared" si="181"/>
        <v>5.2586176522348892E-2</v>
      </c>
      <c r="F5943" s="2" t="s">
        <v>822</v>
      </c>
      <c r="G5943" s="23" t="s">
        <v>902</v>
      </c>
      <c r="H5943" s="2" t="s">
        <v>822</v>
      </c>
      <c r="J5943" s="31">
        <v>62.111999500000003</v>
      </c>
      <c r="K5943" s="31">
        <v>-14.5039997</v>
      </c>
      <c r="L5943" s="31"/>
      <c r="M5943" s="31" t="s">
        <v>854</v>
      </c>
      <c r="N5943" s="6" t="s">
        <v>856</v>
      </c>
    </row>
    <row r="5944" spans="1:14" ht="15" customHeight="1" x14ac:dyDescent="0.2">
      <c r="A5944" s="31">
        <v>0.26800353278676248</v>
      </c>
      <c r="B5944" s="31"/>
      <c r="C5944" s="2" t="s">
        <v>855</v>
      </c>
      <c r="D5944" s="31">
        <f t="shared" si="181"/>
        <v>5.2528692426205448E-2</v>
      </c>
      <c r="F5944" s="2" t="s">
        <v>822</v>
      </c>
      <c r="G5944" s="23" t="s">
        <v>902</v>
      </c>
      <c r="H5944" s="2" t="s">
        <v>822</v>
      </c>
      <c r="J5944" s="31">
        <v>62.111999500000003</v>
      </c>
      <c r="K5944" s="31">
        <v>-23.187999699999999</v>
      </c>
      <c r="L5944" s="31"/>
      <c r="M5944" s="31" t="s">
        <v>854</v>
      </c>
      <c r="N5944" s="6" t="s">
        <v>856</v>
      </c>
    </row>
    <row r="5945" spans="1:14" ht="15" customHeight="1" x14ac:dyDescent="0.2">
      <c r="A5945" s="31">
        <v>0.26776971042297582</v>
      </c>
      <c r="B5945" s="31"/>
      <c r="C5945" s="2" t="s">
        <v>855</v>
      </c>
      <c r="D5945" s="31">
        <f t="shared" si="181"/>
        <v>5.2482863242903265E-2</v>
      </c>
      <c r="F5945" s="2" t="s">
        <v>822</v>
      </c>
      <c r="G5945" s="23" t="s">
        <v>902</v>
      </c>
      <c r="H5945" s="2" t="s">
        <v>822</v>
      </c>
      <c r="J5945" s="31">
        <v>54.096000699999998</v>
      </c>
      <c r="K5945" s="31">
        <v>-18.440700499999998</v>
      </c>
      <c r="L5945" s="31"/>
      <c r="M5945" s="31" t="s">
        <v>854</v>
      </c>
      <c r="N5945" s="6" t="s">
        <v>856</v>
      </c>
    </row>
    <row r="5946" spans="1:14" ht="15" customHeight="1" x14ac:dyDescent="0.2">
      <c r="A5946" s="31">
        <v>0.2676232774196573</v>
      </c>
      <c r="B5946" s="31"/>
      <c r="C5946" s="2" t="s">
        <v>855</v>
      </c>
      <c r="D5946" s="31">
        <f t="shared" si="181"/>
        <v>5.2454162374252836E-2</v>
      </c>
      <c r="F5946" s="2" t="s">
        <v>822</v>
      </c>
      <c r="G5946" s="23" t="s">
        <v>902</v>
      </c>
      <c r="H5946" s="2" t="s">
        <v>822</v>
      </c>
      <c r="J5946" s="31">
        <v>56.768001599999998</v>
      </c>
      <c r="K5946" s="31">
        <v>-32.540000900000003</v>
      </c>
      <c r="L5946" s="31"/>
      <c r="M5946" s="31" t="s">
        <v>854</v>
      </c>
      <c r="N5946" s="6" t="s">
        <v>856</v>
      </c>
    </row>
    <row r="5947" spans="1:14" ht="15" customHeight="1" x14ac:dyDescent="0.2">
      <c r="A5947" s="31">
        <v>0.26739121640176639</v>
      </c>
      <c r="B5947" s="31"/>
      <c r="C5947" s="2" t="s">
        <v>855</v>
      </c>
      <c r="D5947" s="31">
        <f t="shared" si="181"/>
        <v>5.2408678414746217E-2</v>
      </c>
      <c r="F5947" s="2" t="s">
        <v>822</v>
      </c>
      <c r="G5947" s="23" t="s">
        <v>902</v>
      </c>
      <c r="H5947" s="2" t="s">
        <v>822</v>
      </c>
      <c r="J5947" s="31">
        <v>58.1040001</v>
      </c>
      <c r="K5947" s="31">
        <v>-15.8400002</v>
      </c>
      <c r="L5947" s="31"/>
      <c r="M5947" s="31" t="s">
        <v>854</v>
      </c>
      <c r="N5947" s="6" t="s">
        <v>856</v>
      </c>
    </row>
    <row r="5948" spans="1:14" ht="15" customHeight="1" x14ac:dyDescent="0.2">
      <c r="A5948" s="31">
        <v>0.26728823525990769</v>
      </c>
      <c r="B5948" s="31"/>
      <c r="C5948" s="2" t="s">
        <v>855</v>
      </c>
      <c r="D5948" s="31">
        <f t="shared" si="181"/>
        <v>5.2388494110941909E-2</v>
      </c>
      <c r="F5948" s="2" t="s">
        <v>822</v>
      </c>
      <c r="G5948" s="23" t="s">
        <v>902</v>
      </c>
      <c r="H5948" s="2" t="s">
        <v>822</v>
      </c>
      <c r="J5948" s="31">
        <v>51.0796013</v>
      </c>
      <c r="K5948" s="31">
        <v>-20.329000499999999</v>
      </c>
      <c r="L5948" s="31"/>
      <c r="M5948" s="31" t="s">
        <v>854</v>
      </c>
      <c r="N5948" s="6" t="s">
        <v>856</v>
      </c>
    </row>
    <row r="5949" spans="1:14" ht="15" customHeight="1" x14ac:dyDescent="0.2">
      <c r="A5949" s="31">
        <v>0.26698800679786561</v>
      </c>
      <c r="B5949" s="31"/>
      <c r="C5949" s="2" t="s">
        <v>855</v>
      </c>
      <c r="D5949" s="31">
        <f t="shared" si="181"/>
        <v>5.2329649332381663E-2</v>
      </c>
      <c r="F5949" s="2" t="s">
        <v>822</v>
      </c>
      <c r="G5949" s="23" t="s">
        <v>902</v>
      </c>
      <c r="H5949" s="2" t="s">
        <v>822</v>
      </c>
      <c r="J5949" s="31">
        <v>54.768798799999999</v>
      </c>
      <c r="K5949" s="31">
        <v>-25.150299100000002</v>
      </c>
      <c r="L5949" s="31"/>
      <c r="M5949" s="31" t="s">
        <v>854</v>
      </c>
      <c r="N5949" s="6" t="s">
        <v>856</v>
      </c>
    </row>
    <row r="5950" spans="1:14" ht="15" customHeight="1" x14ac:dyDescent="0.2">
      <c r="A5950" s="31">
        <v>0.26689599858783641</v>
      </c>
      <c r="B5950" s="31"/>
      <c r="C5950" s="2" t="s">
        <v>855</v>
      </c>
      <c r="D5950" s="31">
        <f t="shared" si="181"/>
        <v>5.2311615723215937E-2</v>
      </c>
      <c r="F5950" s="2" t="s">
        <v>822</v>
      </c>
      <c r="G5950" s="23" t="s">
        <v>902</v>
      </c>
      <c r="H5950" s="2" t="s">
        <v>822</v>
      </c>
      <c r="J5950" s="31">
        <v>55.4319992</v>
      </c>
      <c r="K5950" s="31">
        <v>-27.195999100000002</v>
      </c>
      <c r="L5950" s="31"/>
      <c r="M5950" s="31" t="s">
        <v>854</v>
      </c>
      <c r="N5950" s="6" t="s">
        <v>856</v>
      </c>
    </row>
    <row r="5951" spans="1:14" ht="15" customHeight="1" x14ac:dyDescent="0.2">
      <c r="A5951" s="31">
        <v>0.2667399529392292</v>
      </c>
      <c r="B5951" s="31"/>
      <c r="C5951" s="2" t="s">
        <v>855</v>
      </c>
      <c r="D5951" s="31">
        <f t="shared" si="181"/>
        <v>5.2281030776088921E-2</v>
      </c>
      <c r="F5951" s="2" t="s">
        <v>822</v>
      </c>
      <c r="G5951" s="23" t="s">
        <v>902</v>
      </c>
      <c r="H5951" s="2" t="s">
        <v>822</v>
      </c>
      <c r="J5951" s="31">
        <v>61.479400599999998</v>
      </c>
      <c r="K5951" s="31">
        <v>4.1340598999999996</v>
      </c>
      <c r="L5951" s="31"/>
      <c r="M5951" s="31" t="s">
        <v>854</v>
      </c>
      <c r="N5951" s="6" t="s">
        <v>856</v>
      </c>
    </row>
    <row r="5952" spans="1:14" ht="15" customHeight="1" x14ac:dyDescent="0.2">
      <c r="A5952" s="31">
        <v>0.26651710207646329</v>
      </c>
      <c r="B5952" s="31"/>
      <c r="C5952" s="2" t="s">
        <v>855</v>
      </c>
      <c r="D5952" s="31">
        <f t="shared" si="181"/>
        <v>5.2237352006986808E-2</v>
      </c>
      <c r="F5952" s="2" t="s">
        <v>822</v>
      </c>
      <c r="G5952" s="23" t="s">
        <v>902</v>
      </c>
      <c r="H5952" s="2" t="s">
        <v>822</v>
      </c>
      <c r="J5952" s="31">
        <v>63.720500899999998</v>
      </c>
      <c r="K5952" s="31">
        <v>8.1828898999999993</v>
      </c>
      <c r="L5952" s="31"/>
      <c r="M5952" s="31" t="s">
        <v>854</v>
      </c>
      <c r="N5952" s="6" t="s">
        <v>856</v>
      </c>
    </row>
    <row r="5953" spans="1:14" ht="15" customHeight="1" x14ac:dyDescent="0.2">
      <c r="A5953" s="31">
        <v>0.26630178838270552</v>
      </c>
      <c r="B5953" s="31"/>
      <c r="C5953" s="2" t="s">
        <v>855</v>
      </c>
      <c r="D5953" s="31">
        <f t="shared" ref="D5953:D5984" si="182" xml:space="preserve"> A5953 * 0.196</f>
        <v>5.2195150523010284E-2</v>
      </c>
      <c r="F5953" s="2" t="s">
        <v>822</v>
      </c>
      <c r="G5953" s="23" t="s">
        <v>902</v>
      </c>
      <c r="H5953" s="2" t="s">
        <v>822</v>
      </c>
      <c r="J5953" s="31">
        <v>63.717601799999997</v>
      </c>
      <c r="K5953" s="31">
        <v>-13.8360004</v>
      </c>
      <c r="L5953" s="31"/>
      <c r="M5953" s="31" t="s">
        <v>854</v>
      </c>
      <c r="N5953" s="6" t="s">
        <v>856</v>
      </c>
    </row>
    <row r="5954" spans="1:14" ht="15" customHeight="1" x14ac:dyDescent="0.2">
      <c r="A5954" s="31">
        <v>0.26594150654352622</v>
      </c>
      <c r="B5954" s="31"/>
      <c r="C5954" s="2" t="s">
        <v>855</v>
      </c>
      <c r="D5954" s="31">
        <f t="shared" si="182"/>
        <v>5.2124535282531144E-2</v>
      </c>
      <c r="F5954" s="2" t="s">
        <v>822</v>
      </c>
      <c r="G5954" s="23" t="s">
        <v>902</v>
      </c>
      <c r="H5954" s="2" t="s">
        <v>822</v>
      </c>
      <c r="J5954" s="31">
        <v>53.904499100000002</v>
      </c>
      <c r="K5954" s="31">
        <v>2.8474300000000001</v>
      </c>
      <c r="L5954" s="31"/>
      <c r="M5954" s="31" t="s">
        <v>854</v>
      </c>
      <c r="N5954" s="6" t="s">
        <v>856</v>
      </c>
    </row>
    <row r="5955" spans="1:14" ht="15" customHeight="1" x14ac:dyDescent="0.2">
      <c r="A5955" s="31">
        <v>0.26558706211315042</v>
      </c>
      <c r="B5955" s="31"/>
      <c r="C5955" s="2" t="s">
        <v>855</v>
      </c>
      <c r="D5955" s="31">
        <f t="shared" si="182"/>
        <v>5.2055064174177483E-2</v>
      </c>
      <c r="F5955" s="2" t="s">
        <v>822</v>
      </c>
      <c r="G5955" s="23" t="s">
        <v>902</v>
      </c>
      <c r="H5955" s="2" t="s">
        <v>822</v>
      </c>
      <c r="J5955" s="31">
        <v>52.759998299999999</v>
      </c>
      <c r="K5955" s="31">
        <v>-40.555999800000002</v>
      </c>
      <c r="L5955" s="31"/>
      <c r="M5955" s="31" t="s">
        <v>854</v>
      </c>
      <c r="N5955" s="6" t="s">
        <v>856</v>
      </c>
    </row>
    <row r="5956" spans="1:14" ht="15" customHeight="1" x14ac:dyDescent="0.2">
      <c r="A5956" s="31">
        <v>0.26486192468618658</v>
      </c>
      <c r="B5956" s="31"/>
      <c r="C5956" s="2" t="s">
        <v>855</v>
      </c>
      <c r="D5956" s="31">
        <f t="shared" si="182"/>
        <v>5.1912937238492572E-2</v>
      </c>
      <c r="F5956" s="2" t="s">
        <v>822</v>
      </c>
      <c r="G5956" s="23" t="s">
        <v>902</v>
      </c>
      <c r="H5956" s="2" t="s">
        <v>822</v>
      </c>
      <c r="J5956" s="31">
        <v>60.3484993</v>
      </c>
      <c r="K5956" s="31">
        <v>-2.0389900000000001</v>
      </c>
      <c r="L5956" s="31"/>
      <c r="M5956" s="31" t="s">
        <v>854</v>
      </c>
      <c r="N5956" s="6" t="s">
        <v>856</v>
      </c>
    </row>
    <row r="5957" spans="1:14" ht="15" customHeight="1" x14ac:dyDescent="0.2">
      <c r="A5957" s="31">
        <v>0.26476287424905631</v>
      </c>
      <c r="B5957" s="31"/>
      <c r="C5957" s="2" t="s">
        <v>855</v>
      </c>
      <c r="D5957" s="31">
        <f t="shared" si="182"/>
        <v>5.1893523352815038E-2</v>
      </c>
      <c r="F5957" s="2" t="s">
        <v>822</v>
      </c>
      <c r="G5957" s="23" t="s">
        <v>902</v>
      </c>
      <c r="H5957" s="2" t="s">
        <v>822</v>
      </c>
      <c r="J5957" s="31">
        <v>53.428001399999999</v>
      </c>
      <c r="K5957" s="31">
        <v>-39.220001199999999</v>
      </c>
      <c r="L5957" s="31"/>
      <c r="M5957" s="31" t="s">
        <v>854</v>
      </c>
      <c r="N5957" s="6" t="s">
        <v>856</v>
      </c>
    </row>
    <row r="5958" spans="1:14" ht="15" customHeight="1" x14ac:dyDescent="0.2">
      <c r="A5958" s="31">
        <v>0.26461544679842158</v>
      </c>
      <c r="B5958" s="31"/>
      <c r="C5958" s="2" t="s">
        <v>855</v>
      </c>
      <c r="D5958" s="31">
        <f t="shared" si="182"/>
        <v>5.1864627572490635E-2</v>
      </c>
      <c r="F5958" s="2" t="s">
        <v>822</v>
      </c>
      <c r="G5958" s="23" t="s">
        <v>902</v>
      </c>
      <c r="H5958" s="2" t="s">
        <v>822</v>
      </c>
      <c r="J5958" s="31">
        <v>57.257900200000002</v>
      </c>
      <c r="K5958" s="31">
        <v>-9.7115697999999995</v>
      </c>
      <c r="L5958" s="31"/>
      <c r="M5958" s="31" t="s">
        <v>854</v>
      </c>
      <c r="N5958" s="6" t="s">
        <v>856</v>
      </c>
    </row>
    <row r="5959" spans="1:14" ht="15" customHeight="1" x14ac:dyDescent="0.2">
      <c r="A5959" s="31">
        <v>0.26455045220983447</v>
      </c>
      <c r="B5959" s="31"/>
      <c r="C5959" s="2" t="s">
        <v>855</v>
      </c>
      <c r="D5959" s="31">
        <f t="shared" si="182"/>
        <v>5.1851888633127556E-2</v>
      </c>
      <c r="F5959" s="2" t="s">
        <v>822</v>
      </c>
      <c r="G5959" s="23" t="s">
        <v>902</v>
      </c>
      <c r="H5959" s="2" t="s">
        <v>822</v>
      </c>
      <c r="J5959" s="31">
        <v>62.200099899999998</v>
      </c>
      <c r="K5959" s="31">
        <v>-8.5222397000000001</v>
      </c>
      <c r="L5959" s="31"/>
      <c r="M5959" s="31" t="s">
        <v>854</v>
      </c>
      <c r="N5959" s="6" t="s">
        <v>856</v>
      </c>
    </row>
    <row r="5960" spans="1:14" ht="15" customHeight="1" x14ac:dyDescent="0.2">
      <c r="A5960" s="31">
        <v>0.26434250824036221</v>
      </c>
      <c r="B5960" s="31"/>
      <c r="C5960" s="2" t="s">
        <v>855</v>
      </c>
      <c r="D5960" s="31">
        <f t="shared" si="182"/>
        <v>5.1811131615110993E-2</v>
      </c>
      <c r="F5960" s="2" t="s">
        <v>822</v>
      </c>
      <c r="G5960" s="23" t="s">
        <v>902</v>
      </c>
      <c r="H5960" s="2" t="s">
        <v>822</v>
      </c>
      <c r="J5960" s="31">
        <v>64.115997300000004</v>
      </c>
      <c r="K5960" s="31">
        <v>-28.531999599999999</v>
      </c>
      <c r="L5960" s="31"/>
      <c r="M5960" s="31" t="s">
        <v>854</v>
      </c>
      <c r="N5960" s="6" t="s">
        <v>856</v>
      </c>
    </row>
    <row r="5961" spans="1:14" ht="15" customHeight="1" x14ac:dyDescent="0.2">
      <c r="A5961" s="31">
        <v>0.26427880728055092</v>
      </c>
      <c r="B5961" s="31"/>
      <c r="C5961" s="2" t="s">
        <v>855</v>
      </c>
      <c r="D5961" s="31">
        <f t="shared" si="182"/>
        <v>5.1798646226987981E-2</v>
      </c>
      <c r="F5961" s="2" t="s">
        <v>822</v>
      </c>
      <c r="G5961" s="23" t="s">
        <v>902</v>
      </c>
      <c r="H5961" s="2" t="s">
        <v>822</v>
      </c>
      <c r="J5961" s="31">
        <v>55.038898500000002</v>
      </c>
      <c r="K5961" s="31">
        <v>-12.089400299999999</v>
      </c>
      <c r="L5961" s="31"/>
      <c r="M5961" s="31" t="s">
        <v>854</v>
      </c>
      <c r="N5961" s="6" t="s">
        <v>856</v>
      </c>
    </row>
    <row r="5962" spans="1:14" ht="15" customHeight="1" x14ac:dyDescent="0.2">
      <c r="A5962" s="31">
        <v>0.26403988906972181</v>
      </c>
      <c r="B5962" s="31"/>
      <c r="C5962" s="2" t="s">
        <v>855</v>
      </c>
      <c r="D5962" s="31">
        <f t="shared" si="182"/>
        <v>5.1751818257665477E-2</v>
      </c>
      <c r="F5962" s="2" t="s">
        <v>822</v>
      </c>
      <c r="G5962" s="23" t="s">
        <v>902</v>
      </c>
      <c r="H5962" s="2" t="s">
        <v>822</v>
      </c>
      <c r="J5962" s="31">
        <v>56.099998499999998</v>
      </c>
      <c r="K5962" s="31">
        <v>-33.208000200000001</v>
      </c>
      <c r="L5962" s="31"/>
      <c r="M5962" s="31" t="s">
        <v>854</v>
      </c>
      <c r="N5962" s="6" t="s">
        <v>856</v>
      </c>
    </row>
    <row r="5963" spans="1:14" ht="15" customHeight="1" x14ac:dyDescent="0.2">
      <c r="A5963" s="31">
        <v>0.26403198018227658</v>
      </c>
      <c r="B5963" s="31"/>
      <c r="C5963" s="2" t="s">
        <v>855</v>
      </c>
      <c r="D5963" s="31">
        <f t="shared" si="182"/>
        <v>5.1750268115726215E-2</v>
      </c>
      <c r="F5963" s="2" t="s">
        <v>822</v>
      </c>
      <c r="G5963" s="23" t="s">
        <v>902</v>
      </c>
      <c r="H5963" s="2" t="s">
        <v>822</v>
      </c>
      <c r="J5963" s="31">
        <v>64.426597599999994</v>
      </c>
      <c r="K5963" s="31">
        <v>-13.7572002</v>
      </c>
      <c r="L5963" s="31"/>
      <c r="M5963" s="31" t="s">
        <v>854</v>
      </c>
      <c r="N5963" s="6" t="s">
        <v>856</v>
      </c>
    </row>
    <row r="5964" spans="1:14" ht="15" customHeight="1" x14ac:dyDescent="0.2">
      <c r="A5964" s="31">
        <v>0.26396834425057703</v>
      </c>
      <c r="B5964" s="31"/>
      <c r="C5964" s="2" t="s">
        <v>855</v>
      </c>
      <c r="D5964" s="31">
        <f t="shared" si="182"/>
        <v>5.17377954731131E-2</v>
      </c>
      <c r="F5964" s="2" t="s">
        <v>822</v>
      </c>
      <c r="G5964" s="23" t="s">
        <v>902</v>
      </c>
      <c r="H5964" s="2" t="s">
        <v>822</v>
      </c>
      <c r="J5964" s="31">
        <v>60.108001700000003</v>
      </c>
      <c r="K5964" s="31">
        <v>-29.200000800000002</v>
      </c>
      <c r="L5964" s="31"/>
      <c r="M5964" s="31" t="s">
        <v>854</v>
      </c>
      <c r="N5964" s="6" t="s">
        <v>856</v>
      </c>
    </row>
    <row r="5965" spans="1:14" ht="15" customHeight="1" x14ac:dyDescent="0.2">
      <c r="A5965" s="31">
        <v>0.26380950988799923</v>
      </c>
      <c r="B5965" s="31"/>
      <c r="C5965" s="2" t="s">
        <v>855</v>
      </c>
      <c r="D5965" s="31">
        <f t="shared" si="182"/>
        <v>5.1706663938047848E-2</v>
      </c>
      <c r="F5965" s="2" t="s">
        <v>822</v>
      </c>
      <c r="G5965" s="23" t="s">
        <v>902</v>
      </c>
      <c r="H5965" s="2" t="s">
        <v>822</v>
      </c>
      <c r="J5965" s="31">
        <v>53.693401299999998</v>
      </c>
      <c r="K5965" s="31">
        <v>-13.454600299999999</v>
      </c>
      <c r="L5965" s="31"/>
      <c r="M5965" s="31" t="s">
        <v>854</v>
      </c>
      <c r="N5965" s="6" t="s">
        <v>856</v>
      </c>
    </row>
    <row r="5966" spans="1:14" ht="15" customHeight="1" x14ac:dyDescent="0.2">
      <c r="A5966" s="31">
        <v>0.26372543719950031</v>
      </c>
      <c r="B5966" s="31"/>
      <c r="C5966" s="2" t="s">
        <v>855</v>
      </c>
      <c r="D5966" s="31">
        <f t="shared" si="182"/>
        <v>5.1690185691102064E-2</v>
      </c>
      <c r="F5966" s="2" t="s">
        <v>822</v>
      </c>
      <c r="G5966" s="23" t="s">
        <v>902</v>
      </c>
      <c r="H5966" s="2" t="s">
        <v>822</v>
      </c>
      <c r="J5966" s="31">
        <v>53.428001399999999</v>
      </c>
      <c r="K5966" s="31">
        <v>-22.520000499999998</v>
      </c>
      <c r="L5966" s="31"/>
      <c r="M5966" s="31" t="s">
        <v>854</v>
      </c>
      <c r="N5966" s="6" t="s">
        <v>856</v>
      </c>
    </row>
    <row r="5967" spans="1:14" ht="15" customHeight="1" x14ac:dyDescent="0.2">
      <c r="A5967" s="31">
        <v>0.26371162320557751</v>
      </c>
      <c r="B5967" s="31"/>
      <c r="C5967" s="2" t="s">
        <v>855</v>
      </c>
      <c r="D5967" s="31">
        <f t="shared" si="182"/>
        <v>5.1687478148293192E-2</v>
      </c>
      <c r="F5967" s="2" t="s">
        <v>822</v>
      </c>
      <c r="G5967" s="23" t="s">
        <v>902</v>
      </c>
      <c r="H5967" s="2" t="s">
        <v>822</v>
      </c>
      <c r="J5967" s="31">
        <v>54.763999900000002</v>
      </c>
      <c r="K5967" s="31">
        <v>2.1960001</v>
      </c>
      <c r="L5967" s="31"/>
      <c r="M5967" s="31" t="s">
        <v>854</v>
      </c>
      <c r="N5967" s="6" t="s">
        <v>856</v>
      </c>
    </row>
    <row r="5968" spans="1:14" ht="15" customHeight="1" x14ac:dyDescent="0.2">
      <c r="A5968" s="31">
        <v>0.26361147274309571</v>
      </c>
      <c r="B5968" s="31"/>
      <c r="C5968" s="2" t="s">
        <v>855</v>
      </c>
      <c r="D5968" s="31">
        <f t="shared" si="182"/>
        <v>5.1667848657646759E-2</v>
      </c>
      <c r="F5968" s="2" t="s">
        <v>822</v>
      </c>
      <c r="G5968" s="23" t="s">
        <v>902</v>
      </c>
      <c r="H5968" s="2" t="s">
        <v>822</v>
      </c>
      <c r="J5968" s="31">
        <v>62.273498500000002</v>
      </c>
      <c r="K5968" s="31">
        <v>-7.1665301000000001</v>
      </c>
      <c r="L5968" s="31"/>
      <c r="M5968" s="31" t="s">
        <v>854</v>
      </c>
      <c r="N5968" s="6" t="s">
        <v>856</v>
      </c>
    </row>
    <row r="5969" spans="1:14" ht="15" customHeight="1" x14ac:dyDescent="0.2">
      <c r="A5969" s="31">
        <v>0.2635375565363105</v>
      </c>
      <c r="B5969" s="31"/>
      <c r="C5969" s="2" t="s">
        <v>855</v>
      </c>
      <c r="D5969" s="31">
        <f t="shared" si="182"/>
        <v>5.1653361081116858E-2</v>
      </c>
      <c r="F5969" s="2" t="s">
        <v>822</v>
      </c>
      <c r="G5969" s="23" t="s">
        <v>902</v>
      </c>
      <c r="H5969" s="2" t="s">
        <v>822</v>
      </c>
      <c r="J5969" s="31">
        <v>53.815799699999999</v>
      </c>
      <c r="K5969" s="31">
        <v>-19.1952</v>
      </c>
      <c r="L5969" s="31"/>
      <c r="M5969" s="31" t="s">
        <v>854</v>
      </c>
      <c r="N5969" s="6" t="s">
        <v>856</v>
      </c>
    </row>
    <row r="5970" spans="1:14" ht="15" customHeight="1" x14ac:dyDescent="0.2">
      <c r="A5970" s="31">
        <v>0.26339960377158272</v>
      </c>
      <c r="B5970" s="31"/>
      <c r="C5970" s="2" t="s">
        <v>855</v>
      </c>
      <c r="D5970" s="31">
        <f t="shared" si="182"/>
        <v>5.1626322339230216E-2</v>
      </c>
      <c r="F5970" s="2" t="s">
        <v>822</v>
      </c>
      <c r="G5970" s="23" t="s">
        <v>902</v>
      </c>
      <c r="H5970" s="2" t="s">
        <v>822</v>
      </c>
      <c r="J5970" s="31">
        <v>61.9396019</v>
      </c>
      <c r="K5970" s="31">
        <v>2.8808899000000001</v>
      </c>
      <c r="L5970" s="31"/>
      <c r="M5970" s="31" t="s">
        <v>854</v>
      </c>
      <c r="N5970" s="6" t="s">
        <v>856</v>
      </c>
    </row>
    <row r="5971" spans="1:14" ht="15" customHeight="1" x14ac:dyDescent="0.2">
      <c r="A5971" s="31">
        <v>0.26318379767540379</v>
      </c>
      <c r="B5971" s="31"/>
      <c r="C5971" s="2" t="s">
        <v>855</v>
      </c>
      <c r="D5971" s="31">
        <f t="shared" si="182"/>
        <v>5.1584024344379142E-2</v>
      </c>
      <c r="F5971" s="2" t="s">
        <v>822</v>
      </c>
      <c r="G5971" s="23" t="s">
        <v>902</v>
      </c>
      <c r="H5971" s="2" t="s">
        <v>822</v>
      </c>
      <c r="J5971" s="31">
        <v>57.436000800000002</v>
      </c>
      <c r="K5971" s="31">
        <v>-11.8319998</v>
      </c>
      <c r="L5971" s="31"/>
      <c r="M5971" s="31" t="s">
        <v>854</v>
      </c>
      <c r="N5971" s="6" t="s">
        <v>856</v>
      </c>
    </row>
    <row r="5972" spans="1:14" ht="15" customHeight="1" x14ac:dyDescent="0.2">
      <c r="A5972" s="31">
        <v>0.26304703995734141</v>
      </c>
      <c r="B5972" s="31"/>
      <c r="C5972" s="2" t="s">
        <v>855</v>
      </c>
      <c r="D5972" s="31">
        <f t="shared" si="182"/>
        <v>5.1557219831638919E-2</v>
      </c>
      <c r="F5972" s="2" t="s">
        <v>822</v>
      </c>
      <c r="G5972" s="23" t="s">
        <v>902</v>
      </c>
      <c r="H5972" s="2" t="s">
        <v>822</v>
      </c>
      <c r="J5972" s="31">
        <v>62.990001700000001</v>
      </c>
      <c r="K5972" s="31">
        <v>7.0571599000000003</v>
      </c>
      <c r="L5972" s="31"/>
      <c r="M5972" s="31" t="s">
        <v>854</v>
      </c>
      <c r="N5972" s="6" t="s">
        <v>856</v>
      </c>
    </row>
    <row r="5973" spans="1:14" ht="15" customHeight="1" x14ac:dyDescent="0.2">
      <c r="A5973" s="31">
        <v>0.26296631060389691</v>
      </c>
      <c r="B5973" s="31"/>
      <c r="C5973" s="2" t="s">
        <v>855</v>
      </c>
      <c r="D5973" s="31">
        <f t="shared" si="182"/>
        <v>5.1541396878363795E-2</v>
      </c>
      <c r="F5973" s="2" t="s">
        <v>822</v>
      </c>
      <c r="G5973" s="23" t="s">
        <v>902</v>
      </c>
      <c r="H5973" s="2" t="s">
        <v>822</v>
      </c>
      <c r="J5973" s="31">
        <v>51.742500300000003</v>
      </c>
      <c r="K5973" s="31">
        <v>-31.511699700000001</v>
      </c>
      <c r="L5973" s="31"/>
      <c r="M5973" s="31" t="s">
        <v>854</v>
      </c>
      <c r="N5973" s="6" t="s">
        <v>856</v>
      </c>
    </row>
    <row r="5974" spans="1:14" ht="15" customHeight="1" x14ac:dyDescent="0.2">
      <c r="A5974" s="31">
        <v>0.26209991618814699</v>
      </c>
      <c r="B5974" s="31"/>
      <c r="C5974" s="2" t="s">
        <v>855</v>
      </c>
      <c r="D5974" s="31">
        <f t="shared" si="182"/>
        <v>5.1371583572876814E-2</v>
      </c>
      <c r="F5974" s="2" t="s">
        <v>822</v>
      </c>
      <c r="G5974" s="23" t="s">
        <v>902</v>
      </c>
      <c r="H5974" s="2" t="s">
        <v>822</v>
      </c>
      <c r="J5974" s="31">
        <v>58.771999399999999</v>
      </c>
      <c r="K5974" s="31">
        <v>-13.8360004</v>
      </c>
      <c r="L5974" s="31"/>
      <c r="M5974" s="31" t="s">
        <v>854</v>
      </c>
      <c r="N5974" s="6" t="s">
        <v>856</v>
      </c>
    </row>
    <row r="5975" spans="1:14" ht="15" customHeight="1" x14ac:dyDescent="0.2">
      <c r="A5975" s="31">
        <v>0.26163610849847629</v>
      </c>
      <c r="B5975" s="31"/>
      <c r="C5975" s="2" t="s">
        <v>855</v>
      </c>
      <c r="D5975" s="31">
        <f t="shared" si="182"/>
        <v>5.1280677265701353E-2</v>
      </c>
      <c r="F5975" s="2" t="s">
        <v>822</v>
      </c>
      <c r="G5975" s="23" t="s">
        <v>902</v>
      </c>
      <c r="H5975" s="2" t="s">
        <v>822</v>
      </c>
      <c r="J5975" s="31">
        <v>52.091999100000002</v>
      </c>
      <c r="K5975" s="31">
        <v>-42.560001399999997</v>
      </c>
      <c r="L5975" s="31"/>
      <c r="M5975" s="31" t="s">
        <v>854</v>
      </c>
      <c r="N5975" s="6" t="s">
        <v>856</v>
      </c>
    </row>
    <row r="5976" spans="1:14" ht="15" customHeight="1" x14ac:dyDescent="0.2">
      <c r="A5976" s="31">
        <v>0.26153053423583578</v>
      </c>
      <c r="B5976" s="31"/>
      <c r="C5976" s="2" t="s">
        <v>855</v>
      </c>
      <c r="D5976" s="31">
        <f t="shared" si="182"/>
        <v>5.1259984710223812E-2</v>
      </c>
      <c r="F5976" s="2" t="s">
        <v>822</v>
      </c>
      <c r="G5976" s="23" t="s">
        <v>902</v>
      </c>
      <c r="H5976" s="2" t="s">
        <v>822</v>
      </c>
      <c r="J5976" s="31">
        <v>52.759998299999999</v>
      </c>
      <c r="K5976" s="31">
        <v>-21.851999299999999</v>
      </c>
      <c r="L5976" s="31"/>
      <c r="M5976" s="31" t="s">
        <v>854</v>
      </c>
      <c r="N5976" s="6" t="s">
        <v>856</v>
      </c>
    </row>
    <row r="5977" spans="1:14" ht="15" customHeight="1" x14ac:dyDescent="0.2">
      <c r="A5977" s="31">
        <v>0.26132124862087219</v>
      </c>
      <c r="B5977" s="31"/>
      <c r="C5977" s="2" t="s">
        <v>855</v>
      </c>
      <c r="D5977" s="31">
        <f t="shared" si="182"/>
        <v>5.1218964729690952E-2</v>
      </c>
      <c r="F5977" s="2" t="s">
        <v>822</v>
      </c>
      <c r="G5977" s="23" t="s">
        <v>902</v>
      </c>
      <c r="H5977" s="2" t="s">
        <v>822</v>
      </c>
      <c r="J5977" s="31">
        <v>56.768001599999998</v>
      </c>
      <c r="K5977" s="31">
        <v>-27.195999100000002</v>
      </c>
      <c r="L5977" s="31"/>
      <c r="M5977" s="31" t="s">
        <v>854</v>
      </c>
      <c r="N5977" s="6" t="s">
        <v>856</v>
      </c>
    </row>
    <row r="5978" spans="1:14" ht="15" customHeight="1" x14ac:dyDescent="0.2">
      <c r="A5978" s="31">
        <v>0.26113821889282879</v>
      </c>
      <c r="B5978" s="31"/>
      <c r="C5978" s="2" t="s">
        <v>855</v>
      </c>
      <c r="D5978" s="31">
        <f t="shared" si="182"/>
        <v>5.1183090902994444E-2</v>
      </c>
      <c r="F5978" s="2" t="s">
        <v>822</v>
      </c>
      <c r="G5978" s="23" t="s">
        <v>902</v>
      </c>
      <c r="H5978" s="2" t="s">
        <v>822</v>
      </c>
      <c r="J5978" s="31">
        <v>62.111999500000003</v>
      </c>
      <c r="K5978" s="31">
        <v>-18.511999100000001</v>
      </c>
      <c r="L5978" s="31"/>
      <c r="M5978" s="31" t="s">
        <v>854</v>
      </c>
      <c r="N5978" s="6" t="s">
        <v>856</v>
      </c>
    </row>
    <row r="5979" spans="1:14" ht="15" customHeight="1" x14ac:dyDescent="0.2">
      <c r="A5979" s="31">
        <v>0.26099619563582532</v>
      </c>
      <c r="B5979" s="31"/>
      <c r="C5979" s="2" t="s">
        <v>855</v>
      </c>
      <c r="D5979" s="31">
        <f t="shared" si="182"/>
        <v>5.1155254344621766E-2</v>
      </c>
      <c r="F5979" s="2" t="s">
        <v>822</v>
      </c>
      <c r="G5979" s="23" t="s">
        <v>902</v>
      </c>
      <c r="H5979" s="2" t="s">
        <v>822</v>
      </c>
      <c r="J5979" s="31">
        <v>60.776001000000001</v>
      </c>
      <c r="K5979" s="31">
        <v>-30.5359993</v>
      </c>
      <c r="L5979" s="31"/>
      <c r="M5979" s="31" t="s">
        <v>854</v>
      </c>
      <c r="N5979" s="6" t="s">
        <v>856</v>
      </c>
    </row>
    <row r="5980" spans="1:14" ht="15" customHeight="1" x14ac:dyDescent="0.2">
      <c r="A5980" s="31">
        <v>0.2609459732891905</v>
      </c>
      <c r="B5980" s="31"/>
      <c r="C5980" s="2" t="s">
        <v>855</v>
      </c>
      <c r="D5980" s="31">
        <f t="shared" si="182"/>
        <v>5.1145410764681341E-2</v>
      </c>
      <c r="F5980" s="2" t="s">
        <v>822</v>
      </c>
      <c r="G5980" s="23" t="s">
        <v>902</v>
      </c>
      <c r="H5980" s="2" t="s">
        <v>822</v>
      </c>
      <c r="J5980" s="31">
        <v>64.131202700000003</v>
      </c>
      <c r="K5980" s="31">
        <v>-21.957099899999999</v>
      </c>
      <c r="L5980" s="31"/>
      <c r="M5980" s="31" t="s">
        <v>854</v>
      </c>
      <c r="N5980" s="6" t="s">
        <v>856</v>
      </c>
    </row>
    <row r="5981" spans="1:14" ht="15" customHeight="1" x14ac:dyDescent="0.2">
      <c r="A5981" s="31">
        <v>0.26089164453939401</v>
      </c>
      <c r="B5981" s="31"/>
      <c r="C5981" s="2" t="s">
        <v>855</v>
      </c>
      <c r="D5981" s="31">
        <f t="shared" si="182"/>
        <v>5.113476232972123E-2</v>
      </c>
      <c r="F5981" s="2" t="s">
        <v>822</v>
      </c>
      <c r="G5981" s="23" t="s">
        <v>902</v>
      </c>
      <c r="H5981" s="2" t="s">
        <v>822</v>
      </c>
      <c r="J5981" s="31">
        <v>62.674598699999997</v>
      </c>
      <c r="K5981" s="31">
        <v>-23.187999699999999</v>
      </c>
      <c r="L5981" s="31"/>
      <c r="M5981" s="31" t="s">
        <v>854</v>
      </c>
      <c r="N5981" s="6" t="s">
        <v>856</v>
      </c>
    </row>
    <row r="5982" spans="1:14" ht="15" customHeight="1" x14ac:dyDescent="0.2">
      <c r="A5982" s="31">
        <v>0.26075723075905061</v>
      </c>
      <c r="B5982" s="31"/>
      <c r="C5982" s="2" t="s">
        <v>855</v>
      </c>
      <c r="D5982" s="31">
        <f t="shared" si="182"/>
        <v>5.110841722877392E-2</v>
      </c>
      <c r="F5982" s="2" t="s">
        <v>822</v>
      </c>
      <c r="G5982" s="23" t="s">
        <v>902</v>
      </c>
      <c r="H5982" s="2" t="s">
        <v>822</v>
      </c>
      <c r="J5982" s="31">
        <v>51.8683014</v>
      </c>
      <c r="K5982" s="31">
        <v>-31.153200099999999</v>
      </c>
      <c r="L5982" s="31"/>
      <c r="M5982" s="31" t="s">
        <v>854</v>
      </c>
      <c r="N5982" s="6" t="s">
        <v>856</v>
      </c>
    </row>
    <row r="5983" spans="1:14" ht="15" customHeight="1" x14ac:dyDescent="0.2">
      <c r="A5983" s="31">
        <v>0.2604743761874711</v>
      </c>
      <c r="B5983" s="31"/>
      <c r="C5983" s="2" t="s">
        <v>855</v>
      </c>
      <c r="D5983" s="31">
        <f t="shared" si="182"/>
        <v>5.1052977732744337E-2</v>
      </c>
      <c r="F5983" s="2" t="s">
        <v>822</v>
      </c>
      <c r="G5983" s="23" t="s">
        <v>902</v>
      </c>
      <c r="H5983" s="2" t="s">
        <v>822</v>
      </c>
      <c r="J5983" s="31">
        <v>62.779998800000001</v>
      </c>
      <c r="K5983" s="31">
        <v>-15.8400002</v>
      </c>
      <c r="L5983" s="31"/>
      <c r="M5983" s="31" t="s">
        <v>854</v>
      </c>
      <c r="N5983" s="6" t="s">
        <v>856</v>
      </c>
    </row>
    <row r="5984" spans="1:14" ht="15" customHeight="1" x14ac:dyDescent="0.2">
      <c r="A5984" s="31">
        <v>0.26030821010718191</v>
      </c>
      <c r="B5984" s="31"/>
      <c r="C5984" s="2" t="s">
        <v>855</v>
      </c>
      <c r="D5984" s="31">
        <f t="shared" si="182"/>
        <v>5.1020409181007656E-2</v>
      </c>
      <c r="F5984" s="2" t="s">
        <v>822</v>
      </c>
      <c r="G5984" s="23" t="s">
        <v>902</v>
      </c>
      <c r="H5984" s="2" t="s">
        <v>822</v>
      </c>
      <c r="J5984" s="31">
        <v>58.771999399999999</v>
      </c>
      <c r="K5984" s="31">
        <v>-17.8439999</v>
      </c>
      <c r="L5984" s="31"/>
      <c r="M5984" s="31" t="s">
        <v>854</v>
      </c>
      <c r="N5984" s="6" t="s">
        <v>856</v>
      </c>
    </row>
    <row r="5985" spans="1:14" ht="15" customHeight="1" x14ac:dyDescent="0.2">
      <c r="A5985" s="31">
        <v>0.26028938744608598</v>
      </c>
      <c r="B5985" s="31"/>
      <c r="C5985" s="2" t="s">
        <v>855</v>
      </c>
      <c r="D5985" s="31">
        <f t="shared" ref="D5985:D6007" si="183" xml:space="preserve"> A5985 * 0.196</f>
        <v>5.1016719939432853E-2</v>
      </c>
      <c r="F5985" s="2" t="s">
        <v>822</v>
      </c>
      <c r="G5985" s="23" t="s">
        <v>902</v>
      </c>
      <c r="H5985" s="2" t="s">
        <v>822</v>
      </c>
      <c r="J5985" s="31">
        <v>59.4396019</v>
      </c>
      <c r="K5985" s="31">
        <v>-1.8127</v>
      </c>
      <c r="L5985" s="31"/>
      <c r="M5985" s="31" t="s">
        <v>854</v>
      </c>
      <c r="N5985" s="6" t="s">
        <v>856</v>
      </c>
    </row>
    <row r="5986" spans="1:14" ht="15" customHeight="1" x14ac:dyDescent="0.2">
      <c r="A5986" s="31">
        <v>0.26028155010171772</v>
      </c>
      <c r="B5986" s="31"/>
      <c r="C5986" s="2" t="s">
        <v>855</v>
      </c>
      <c r="D5986" s="31">
        <f t="shared" si="183"/>
        <v>5.1015183819936673E-2</v>
      </c>
      <c r="F5986" s="2" t="s">
        <v>822</v>
      </c>
      <c r="G5986" s="23" t="s">
        <v>902</v>
      </c>
      <c r="H5986" s="2" t="s">
        <v>822</v>
      </c>
      <c r="J5986" s="31">
        <v>60.277900700000004</v>
      </c>
      <c r="K5986" s="31">
        <v>-2.7664198999999998</v>
      </c>
      <c r="L5986" s="31"/>
      <c r="M5986" s="31" t="s">
        <v>854</v>
      </c>
      <c r="N5986" s="6" t="s">
        <v>856</v>
      </c>
    </row>
    <row r="5987" spans="1:14" ht="15" customHeight="1" x14ac:dyDescent="0.2">
      <c r="A5987" s="31">
        <v>0.26017876253022298</v>
      </c>
      <c r="B5987" s="31"/>
      <c r="C5987" s="2" t="s">
        <v>855</v>
      </c>
      <c r="D5987" s="31">
        <f t="shared" si="183"/>
        <v>5.0995037455923709E-2</v>
      </c>
      <c r="F5987" s="2" t="s">
        <v>822</v>
      </c>
      <c r="G5987" s="23" t="s">
        <v>902</v>
      </c>
      <c r="H5987" s="2" t="s">
        <v>822</v>
      </c>
      <c r="J5987" s="31">
        <v>59.463600200000002</v>
      </c>
      <c r="K5987" s="31">
        <v>-4.2061601</v>
      </c>
      <c r="L5987" s="31"/>
      <c r="M5987" s="31" t="s">
        <v>854</v>
      </c>
      <c r="N5987" s="6" t="s">
        <v>856</v>
      </c>
    </row>
    <row r="5988" spans="1:14" ht="15" customHeight="1" x14ac:dyDescent="0.2">
      <c r="A5988" s="31">
        <v>0.25997904476812922</v>
      </c>
      <c r="B5988" s="31"/>
      <c r="C5988" s="2" t="s">
        <v>855</v>
      </c>
      <c r="D5988" s="31">
        <f t="shared" si="183"/>
        <v>5.0955892774553327E-2</v>
      </c>
      <c r="F5988" s="2" t="s">
        <v>822</v>
      </c>
      <c r="G5988" s="23" t="s">
        <v>902</v>
      </c>
      <c r="H5988" s="2" t="s">
        <v>822</v>
      </c>
      <c r="J5988" s="31">
        <v>57.127201100000001</v>
      </c>
      <c r="K5988" s="31">
        <v>5.7115798</v>
      </c>
      <c r="L5988" s="31"/>
      <c r="M5988" s="31" t="s">
        <v>854</v>
      </c>
      <c r="N5988" s="6" t="s">
        <v>856</v>
      </c>
    </row>
    <row r="5989" spans="1:14" ht="15" customHeight="1" x14ac:dyDescent="0.2">
      <c r="A5989" s="31">
        <v>0.25984013883433688</v>
      </c>
      <c r="B5989" s="31"/>
      <c r="C5989" s="2" t="s">
        <v>855</v>
      </c>
      <c r="D5989" s="31">
        <f t="shared" si="183"/>
        <v>5.0928667211530027E-2</v>
      </c>
      <c r="F5989" s="2" t="s">
        <v>822</v>
      </c>
      <c r="G5989" s="23" t="s">
        <v>902</v>
      </c>
      <c r="H5989" s="2" t="s">
        <v>822</v>
      </c>
      <c r="J5989" s="31">
        <v>50.972698200000004</v>
      </c>
      <c r="K5989" s="31">
        <v>-33.176299999999998</v>
      </c>
      <c r="L5989" s="31"/>
      <c r="M5989" s="31" t="s">
        <v>854</v>
      </c>
      <c r="N5989" s="6" t="s">
        <v>856</v>
      </c>
    </row>
    <row r="5990" spans="1:14" ht="15" customHeight="1" x14ac:dyDescent="0.2">
      <c r="A5990" s="31">
        <v>0.25974451744793431</v>
      </c>
      <c r="B5990" s="31"/>
      <c r="C5990" s="2" t="s">
        <v>855</v>
      </c>
      <c r="D5990" s="31">
        <f t="shared" si="183"/>
        <v>5.0909925419795124E-2</v>
      </c>
      <c r="F5990" s="2" t="s">
        <v>822</v>
      </c>
      <c r="G5990" s="23" t="s">
        <v>902</v>
      </c>
      <c r="H5990" s="2" t="s">
        <v>822</v>
      </c>
      <c r="J5990" s="31">
        <v>61.444000199999998</v>
      </c>
      <c r="K5990" s="31">
        <v>-11.1639996</v>
      </c>
      <c r="L5990" s="31"/>
      <c r="M5990" s="31" t="s">
        <v>854</v>
      </c>
      <c r="N5990" s="6" t="s">
        <v>856</v>
      </c>
    </row>
    <row r="5991" spans="1:14" ht="15" customHeight="1" x14ac:dyDescent="0.2">
      <c r="A5991" s="31">
        <v>0.25931052190760451</v>
      </c>
      <c r="B5991" s="31"/>
      <c r="C5991" s="2" t="s">
        <v>855</v>
      </c>
      <c r="D5991" s="31">
        <f t="shared" si="183"/>
        <v>5.0824862293890487E-2</v>
      </c>
      <c r="F5991" s="2" t="s">
        <v>822</v>
      </c>
      <c r="G5991" s="23" t="s">
        <v>902</v>
      </c>
      <c r="H5991" s="2" t="s">
        <v>822</v>
      </c>
      <c r="J5991" s="31">
        <v>63.216999100000002</v>
      </c>
      <c r="K5991" s="31">
        <v>5.1099901000000001</v>
      </c>
      <c r="L5991" s="31"/>
      <c r="M5991" s="31" t="s">
        <v>854</v>
      </c>
      <c r="N5991" s="6" t="s">
        <v>856</v>
      </c>
    </row>
    <row r="5992" spans="1:14" ht="15" customHeight="1" x14ac:dyDescent="0.2">
      <c r="A5992" s="31">
        <v>0.25921010063450722</v>
      </c>
      <c r="B5992" s="31"/>
      <c r="C5992" s="2" t="s">
        <v>855</v>
      </c>
      <c r="D5992" s="31">
        <f t="shared" si="183"/>
        <v>5.0805179724363415E-2</v>
      </c>
      <c r="F5992" s="2" t="s">
        <v>822</v>
      </c>
      <c r="G5992" s="23" t="s">
        <v>902</v>
      </c>
      <c r="H5992" s="2" t="s">
        <v>822</v>
      </c>
      <c r="J5992" s="31">
        <v>61.444000199999998</v>
      </c>
      <c r="K5992" s="31">
        <v>-25.1919994</v>
      </c>
      <c r="L5992" s="31"/>
      <c r="M5992" s="31" t="s">
        <v>854</v>
      </c>
      <c r="N5992" s="6" t="s">
        <v>856</v>
      </c>
    </row>
    <row r="5993" spans="1:14" ht="15" customHeight="1" x14ac:dyDescent="0.2">
      <c r="A5993" s="31">
        <v>0.25904062966107722</v>
      </c>
      <c r="B5993" s="31"/>
      <c r="C5993" s="2" t="s">
        <v>855</v>
      </c>
      <c r="D5993" s="31">
        <f t="shared" si="183"/>
        <v>5.0771963413571139E-2</v>
      </c>
      <c r="F5993" s="2" t="s">
        <v>822</v>
      </c>
      <c r="G5993" s="23" t="s">
        <v>902</v>
      </c>
      <c r="H5993" s="2" t="s">
        <v>822</v>
      </c>
      <c r="J5993" s="31">
        <v>50.521999399999999</v>
      </c>
      <c r="K5993" s="31">
        <v>-27.388500199999999</v>
      </c>
      <c r="L5993" s="31"/>
      <c r="M5993" s="31" t="s">
        <v>854</v>
      </c>
      <c r="N5993" s="6" t="s">
        <v>856</v>
      </c>
    </row>
    <row r="5994" spans="1:14" ht="15" customHeight="1" x14ac:dyDescent="0.2">
      <c r="A5994" s="31">
        <v>0.25885523215022671</v>
      </c>
      <c r="B5994" s="31"/>
      <c r="C5994" s="2" t="s">
        <v>855</v>
      </c>
      <c r="D5994" s="31">
        <f t="shared" si="183"/>
        <v>5.0735625501444434E-2</v>
      </c>
      <c r="F5994" s="2" t="s">
        <v>822</v>
      </c>
      <c r="G5994" s="23" t="s">
        <v>902</v>
      </c>
      <c r="H5994" s="2" t="s">
        <v>822</v>
      </c>
      <c r="J5994" s="31">
        <v>50.924800900000001</v>
      </c>
      <c r="K5994" s="31">
        <v>-39.9020996</v>
      </c>
      <c r="L5994" s="31"/>
      <c r="M5994" s="31" t="s">
        <v>854</v>
      </c>
      <c r="N5994" s="6" t="s">
        <v>856</v>
      </c>
    </row>
    <row r="5995" spans="1:14" ht="15" customHeight="1" x14ac:dyDescent="0.2">
      <c r="A5995" s="31">
        <v>0.25862873688897808</v>
      </c>
      <c r="B5995" s="31"/>
      <c r="C5995" s="2" t="s">
        <v>855</v>
      </c>
      <c r="D5995" s="31">
        <f t="shared" si="183"/>
        <v>5.0691232430239708E-2</v>
      </c>
      <c r="F5995" s="2" t="s">
        <v>822</v>
      </c>
      <c r="G5995" s="23" t="s">
        <v>902</v>
      </c>
      <c r="H5995" s="2" t="s">
        <v>822</v>
      </c>
      <c r="J5995" s="31">
        <v>64.750701899999996</v>
      </c>
      <c r="K5995" s="31">
        <v>-23.2726994</v>
      </c>
      <c r="L5995" s="31"/>
      <c r="M5995" s="31" t="s">
        <v>854</v>
      </c>
      <c r="N5995" s="6" t="s">
        <v>856</v>
      </c>
    </row>
    <row r="5996" spans="1:14" ht="15" customHeight="1" x14ac:dyDescent="0.2">
      <c r="A5996" s="31">
        <v>0.25854419653269689</v>
      </c>
      <c r="B5996" s="31"/>
      <c r="C5996" s="2" t="s">
        <v>855</v>
      </c>
      <c r="D5996" s="31">
        <f t="shared" si="183"/>
        <v>5.0674662520408593E-2</v>
      </c>
      <c r="F5996" s="2" t="s">
        <v>822</v>
      </c>
      <c r="G5996" s="23" t="s">
        <v>902</v>
      </c>
      <c r="H5996" s="2" t="s">
        <v>822</v>
      </c>
      <c r="J5996" s="31">
        <v>61.444000199999998</v>
      </c>
      <c r="K5996" s="31">
        <v>-21.184000000000001</v>
      </c>
      <c r="L5996" s="31"/>
      <c r="M5996" s="31" t="s">
        <v>854</v>
      </c>
      <c r="N5996" s="6" t="s">
        <v>856</v>
      </c>
    </row>
    <row r="5997" spans="1:14" ht="15" customHeight="1" x14ac:dyDescent="0.2">
      <c r="A5997" s="31">
        <v>0.25845339315712179</v>
      </c>
      <c r="B5997" s="31"/>
      <c r="C5997" s="2" t="s">
        <v>855</v>
      </c>
      <c r="D5997" s="31">
        <f t="shared" si="183"/>
        <v>5.0656865058795873E-2</v>
      </c>
      <c r="F5997" s="2" t="s">
        <v>822</v>
      </c>
      <c r="G5997" s="23" t="s">
        <v>902</v>
      </c>
      <c r="H5997" s="2" t="s">
        <v>822</v>
      </c>
      <c r="J5997" s="31">
        <v>57.436000800000002</v>
      </c>
      <c r="K5997" s="31">
        <v>-15.8400002</v>
      </c>
      <c r="L5997" s="31"/>
      <c r="M5997" s="31" t="s">
        <v>854</v>
      </c>
      <c r="N5997" s="6" t="s">
        <v>856</v>
      </c>
    </row>
    <row r="5998" spans="1:14" ht="15" customHeight="1" x14ac:dyDescent="0.2">
      <c r="A5998" s="31">
        <v>0.25826230963103541</v>
      </c>
      <c r="B5998" s="31"/>
      <c r="C5998" s="2" t="s">
        <v>855</v>
      </c>
      <c r="D5998" s="31">
        <f t="shared" si="183"/>
        <v>5.0619412687682941E-2</v>
      </c>
      <c r="F5998" s="2" t="s">
        <v>822</v>
      </c>
      <c r="G5998" s="23" t="s">
        <v>902</v>
      </c>
      <c r="H5998" s="2" t="s">
        <v>822</v>
      </c>
      <c r="J5998" s="31">
        <v>51.261398300000003</v>
      </c>
      <c r="K5998" s="31">
        <v>-36.512699099999999</v>
      </c>
      <c r="L5998" s="31"/>
      <c r="M5998" s="31" t="s">
        <v>854</v>
      </c>
      <c r="N5998" s="6" t="s">
        <v>856</v>
      </c>
    </row>
    <row r="5999" spans="1:14" ht="15" customHeight="1" x14ac:dyDescent="0.2">
      <c r="A5999" s="31">
        <v>0.25798725745556939</v>
      </c>
      <c r="B5999" s="31"/>
      <c r="C5999" s="2" t="s">
        <v>855</v>
      </c>
      <c r="D5999" s="31">
        <f t="shared" si="183"/>
        <v>5.05655024612916E-2</v>
      </c>
      <c r="F5999" s="2" t="s">
        <v>822</v>
      </c>
      <c r="G5999" s="23" t="s">
        <v>902</v>
      </c>
      <c r="H5999" s="2" t="s">
        <v>822</v>
      </c>
      <c r="J5999" s="31">
        <v>57.436000800000002</v>
      </c>
      <c r="K5999" s="31">
        <v>-28.531999599999999</v>
      </c>
      <c r="L5999" s="31"/>
      <c r="M5999" s="31" t="s">
        <v>854</v>
      </c>
      <c r="N5999" s="6" t="s">
        <v>856</v>
      </c>
    </row>
    <row r="6000" spans="1:14" ht="15" customHeight="1" x14ac:dyDescent="0.2">
      <c r="A6000" s="31">
        <v>0.257986863015151</v>
      </c>
      <c r="B6000" s="31"/>
      <c r="C6000" s="2" t="s">
        <v>855</v>
      </c>
      <c r="D6000" s="31">
        <f t="shared" si="183"/>
        <v>5.0565425150969595E-2</v>
      </c>
      <c r="F6000" s="2" t="s">
        <v>822</v>
      </c>
      <c r="G6000" s="23" t="s">
        <v>902</v>
      </c>
      <c r="H6000" s="2" t="s">
        <v>822</v>
      </c>
      <c r="J6000" s="31">
        <v>58.758701299999998</v>
      </c>
      <c r="K6000" s="31">
        <v>-2.4771800000000002</v>
      </c>
      <c r="L6000" s="31"/>
      <c r="M6000" s="31" t="s">
        <v>854</v>
      </c>
      <c r="N6000" s="6" t="s">
        <v>856</v>
      </c>
    </row>
    <row r="6001" spans="1:14" ht="15" customHeight="1" x14ac:dyDescent="0.2">
      <c r="A6001" s="31">
        <v>0.25788407962192178</v>
      </c>
      <c r="B6001" s="31"/>
      <c r="C6001" s="2" t="s">
        <v>855</v>
      </c>
      <c r="D6001" s="31">
        <f t="shared" si="183"/>
        <v>5.0545279605896672E-2</v>
      </c>
      <c r="F6001" s="2" t="s">
        <v>822</v>
      </c>
      <c r="G6001" s="23" t="s">
        <v>902</v>
      </c>
      <c r="H6001" s="2" t="s">
        <v>822</v>
      </c>
      <c r="J6001" s="31">
        <v>61.797199200000001</v>
      </c>
      <c r="K6001" s="31">
        <v>-8.8751897999999994</v>
      </c>
      <c r="L6001" s="31"/>
      <c r="M6001" s="31" t="s">
        <v>854</v>
      </c>
      <c r="N6001" s="6" t="s">
        <v>856</v>
      </c>
    </row>
    <row r="6002" spans="1:14" ht="15" customHeight="1" x14ac:dyDescent="0.2">
      <c r="A6002" s="31">
        <v>0.25779437777968778</v>
      </c>
      <c r="B6002" s="31"/>
      <c r="C6002" s="2" t="s">
        <v>855</v>
      </c>
      <c r="D6002" s="31">
        <f t="shared" si="183"/>
        <v>5.0527698044818804E-2</v>
      </c>
      <c r="F6002" s="2" t="s">
        <v>822</v>
      </c>
      <c r="G6002" s="23" t="s">
        <v>902</v>
      </c>
      <c r="H6002" s="2" t="s">
        <v>822</v>
      </c>
      <c r="J6002" s="31">
        <v>64.872001600000004</v>
      </c>
      <c r="K6002" s="31">
        <v>-27.054099999999998</v>
      </c>
      <c r="L6002" s="31"/>
      <c r="M6002" s="31" t="s">
        <v>854</v>
      </c>
      <c r="N6002" s="6" t="s">
        <v>856</v>
      </c>
    </row>
    <row r="6003" spans="1:14" ht="15" customHeight="1" x14ac:dyDescent="0.2">
      <c r="A6003" s="31">
        <v>0.25765048864507561</v>
      </c>
      <c r="B6003" s="31"/>
      <c r="C6003" s="2" t="s">
        <v>855</v>
      </c>
      <c r="D6003" s="31">
        <f t="shared" si="183"/>
        <v>5.049949577443482E-2</v>
      </c>
      <c r="F6003" s="2" t="s">
        <v>822</v>
      </c>
      <c r="G6003" s="23" t="s">
        <v>902</v>
      </c>
      <c r="H6003" s="2" t="s">
        <v>822</v>
      </c>
      <c r="J6003" s="31">
        <v>59.439998600000003</v>
      </c>
      <c r="K6003" s="31">
        <v>3.2178399999999998</v>
      </c>
      <c r="L6003" s="31"/>
      <c r="M6003" s="31" t="s">
        <v>854</v>
      </c>
      <c r="N6003" s="6" t="s">
        <v>856</v>
      </c>
    </row>
    <row r="6004" spans="1:14" ht="15" customHeight="1" x14ac:dyDescent="0.2">
      <c r="A6004" s="31">
        <v>0.25739085855880739</v>
      </c>
      <c r="B6004" s="31"/>
      <c r="C6004" s="2" t="s">
        <v>855</v>
      </c>
      <c r="D6004" s="31">
        <f t="shared" si="183"/>
        <v>5.0448608277526251E-2</v>
      </c>
      <c r="F6004" s="2" t="s">
        <v>822</v>
      </c>
      <c r="G6004" s="23" t="s">
        <v>902</v>
      </c>
      <c r="H6004" s="2" t="s">
        <v>822</v>
      </c>
      <c r="J6004" s="31">
        <v>63.392299700000002</v>
      </c>
      <c r="K6004" s="31">
        <v>-17.8062</v>
      </c>
      <c r="L6004" s="31"/>
      <c r="M6004" s="31" t="s">
        <v>854</v>
      </c>
      <c r="N6004" s="6" t="s">
        <v>856</v>
      </c>
    </row>
    <row r="6005" spans="1:14" ht="15" customHeight="1" x14ac:dyDescent="0.2">
      <c r="A6005" s="31">
        <v>0.25716073590679339</v>
      </c>
      <c r="B6005" s="31"/>
      <c r="C6005" s="2" t="s">
        <v>855</v>
      </c>
      <c r="D6005" s="31">
        <f t="shared" si="183"/>
        <v>5.040350423773151E-2</v>
      </c>
      <c r="F6005" s="2" t="s">
        <v>822</v>
      </c>
      <c r="G6005" s="23" t="s">
        <v>902</v>
      </c>
      <c r="H6005" s="2" t="s">
        <v>822</v>
      </c>
      <c r="J6005" s="31">
        <v>63.448001900000001</v>
      </c>
      <c r="K6005" s="31">
        <v>-29.200000800000002</v>
      </c>
      <c r="L6005" s="31"/>
      <c r="M6005" s="31" t="s">
        <v>854</v>
      </c>
      <c r="N6005" s="6" t="s">
        <v>856</v>
      </c>
    </row>
    <row r="6006" spans="1:14" ht="15" customHeight="1" x14ac:dyDescent="0.2">
      <c r="A6006" s="31">
        <v>0.25701840040517782</v>
      </c>
      <c r="B6006" s="31"/>
      <c r="C6006" s="2" t="s">
        <v>855</v>
      </c>
      <c r="D6006" s="31">
        <f t="shared" si="183"/>
        <v>5.0375606479414851E-2</v>
      </c>
      <c r="F6006" s="2" t="s">
        <v>822</v>
      </c>
      <c r="G6006" s="23" t="s">
        <v>902</v>
      </c>
      <c r="H6006" s="2" t="s">
        <v>822</v>
      </c>
      <c r="J6006" s="31">
        <v>55.4319992</v>
      </c>
      <c r="K6006" s="31">
        <v>-35.212001800000003</v>
      </c>
      <c r="L6006" s="31"/>
      <c r="M6006" s="31" t="s">
        <v>854</v>
      </c>
      <c r="N6006" s="6" t="s">
        <v>856</v>
      </c>
    </row>
    <row r="6007" spans="1:14" ht="15" customHeight="1" x14ac:dyDescent="0.2">
      <c r="A6007" s="31">
        <v>0.25694607017624521</v>
      </c>
      <c r="B6007" s="31"/>
      <c r="C6007" s="2" t="s">
        <v>855</v>
      </c>
      <c r="D6007" s="31">
        <f t="shared" si="183"/>
        <v>5.0361429754544065E-2</v>
      </c>
      <c r="F6007" s="2" t="s">
        <v>822</v>
      </c>
      <c r="G6007" s="23" t="s">
        <v>902</v>
      </c>
      <c r="H6007" s="2" t="s">
        <v>822</v>
      </c>
      <c r="J6007" s="31">
        <v>52.707000700000002</v>
      </c>
      <c r="K6007" s="31">
        <v>-33.8921013</v>
      </c>
      <c r="L6007" s="31"/>
      <c r="M6007" s="31" t="s">
        <v>854</v>
      </c>
      <c r="N6007" s="6" t="s">
        <v>856</v>
      </c>
    </row>
    <row r="6008" spans="1:14" ht="15" customHeight="1" x14ac:dyDescent="0.2">
      <c r="A6008" s="22">
        <v>5.0351948594369755E-2</v>
      </c>
      <c r="B6008" s="22"/>
      <c r="C6008" s="2" t="s">
        <v>891</v>
      </c>
      <c r="D6008" s="2">
        <f>A6008</f>
        <v>5.0351948594369755E-2</v>
      </c>
      <c r="F6008" s="2">
        <v>2023</v>
      </c>
      <c r="G6008" s="23" t="s">
        <v>902</v>
      </c>
      <c r="H6008" s="2" t="s">
        <v>771</v>
      </c>
      <c r="I6008" s="23" t="s">
        <v>189</v>
      </c>
      <c r="J6008" s="23">
        <v>58077390</v>
      </c>
      <c r="K6008" s="23">
        <v>11813531</v>
      </c>
      <c r="L6008" s="23" t="s">
        <v>819</v>
      </c>
      <c r="M6008" s="2" t="s">
        <v>825</v>
      </c>
      <c r="N6008" s="6" t="s">
        <v>828</v>
      </c>
    </row>
    <row r="6009" spans="1:14" ht="15" customHeight="1" x14ac:dyDescent="0.2">
      <c r="A6009" s="31">
        <v>0.25679072221399829</v>
      </c>
      <c r="B6009" s="31"/>
      <c r="C6009" s="2" t="s">
        <v>855</v>
      </c>
      <c r="D6009" s="31">
        <f t="shared" ref="D6009:D6040" si="184" xml:space="preserve"> A6009 * 0.196</f>
        <v>5.0330981553943666E-2</v>
      </c>
      <c r="F6009" s="2" t="s">
        <v>822</v>
      </c>
      <c r="G6009" s="23" t="s">
        <v>902</v>
      </c>
      <c r="H6009" s="2" t="s">
        <v>822</v>
      </c>
      <c r="J6009" s="31">
        <v>65.129798899999997</v>
      </c>
      <c r="K6009" s="31">
        <v>21.9577007</v>
      </c>
      <c r="L6009" s="31"/>
      <c r="M6009" s="31" t="s">
        <v>854</v>
      </c>
      <c r="N6009" s="6" t="s">
        <v>856</v>
      </c>
    </row>
    <row r="6010" spans="1:14" ht="15" customHeight="1" x14ac:dyDescent="0.2">
      <c r="A6010" s="31">
        <v>0.25675427366847492</v>
      </c>
      <c r="B6010" s="31"/>
      <c r="C6010" s="2" t="s">
        <v>855</v>
      </c>
      <c r="D6010" s="31">
        <f t="shared" si="184"/>
        <v>5.0323837639021089E-2</v>
      </c>
      <c r="F6010" s="2" t="s">
        <v>822</v>
      </c>
      <c r="G6010" s="23" t="s">
        <v>902</v>
      </c>
      <c r="H6010" s="2" t="s">
        <v>822</v>
      </c>
      <c r="J6010" s="31">
        <v>59.439998600000003</v>
      </c>
      <c r="K6010" s="31">
        <v>0.86</v>
      </c>
      <c r="L6010" s="31"/>
      <c r="M6010" s="31" t="s">
        <v>854</v>
      </c>
      <c r="N6010" s="6" t="s">
        <v>856</v>
      </c>
    </row>
    <row r="6011" spans="1:14" ht="15" customHeight="1" x14ac:dyDescent="0.2">
      <c r="A6011" s="31">
        <v>0.25667751560348612</v>
      </c>
      <c r="B6011" s="31"/>
      <c r="C6011" s="2" t="s">
        <v>855</v>
      </c>
      <c r="D6011" s="31">
        <f t="shared" si="184"/>
        <v>5.0308793058283278E-2</v>
      </c>
      <c r="F6011" s="2" t="s">
        <v>822</v>
      </c>
      <c r="G6011" s="23" t="s">
        <v>902</v>
      </c>
      <c r="H6011" s="2" t="s">
        <v>822</v>
      </c>
      <c r="J6011" s="31">
        <v>51.424098999999998</v>
      </c>
      <c r="K6011" s="31">
        <v>-31.237899800000001</v>
      </c>
      <c r="L6011" s="31"/>
      <c r="M6011" s="31" t="s">
        <v>854</v>
      </c>
      <c r="N6011" s="6" t="s">
        <v>856</v>
      </c>
    </row>
    <row r="6012" spans="1:14" ht="15" customHeight="1" x14ac:dyDescent="0.2">
      <c r="A6012" s="31">
        <v>0.25654376055037681</v>
      </c>
      <c r="B6012" s="31"/>
      <c r="C6012" s="2" t="s">
        <v>855</v>
      </c>
      <c r="D6012" s="31">
        <f t="shared" si="184"/>
        <v>5.0282577067873854E-2</v>
      </c>
      <c r="F6012" s="2" t="s">
        <v>822</v>
      </c>
      <c r="G6012" s="23" t="s">
        <v>902</v>
      </c>
      <c r="H6012" s="2" t="s">
        <v>822</v>
      </c>
      <c r="J6012" s="31">
        <v>57.441501600000002</v>
      </c>
      <c r="K6012" s="31">
        <v>-13.829799700000001</v>
      </c>
      <c r="L6012" s="31"/>
      <c r="M6012" s="31" t="s">
        <v>854</v>
      </c>
      <c r="N6012" s="6" t="s">
        <v>856</v>
      </c>
    </row>
    <row r="6013" spans="1:14" ht="15" customHeight="1" x14ac:dyDescent="0.2">
      <c r="A6013" s="31">
        <v>0.25653738317650759</v>
      </c>
      <c r="B6013" s="31"/>
      <c r="C6013" s="2" t="s">
        <v>855</v>
      </c>
      <c r="D6013" s="31">
        <f t="shared" si="184"/>
        <v>5.0281327102595488E-2</v>
      </c>
      <c r="F6013" s="2" t="s">
        <v>822</v>
      </c>
      <c r="G6013" s="23" t="s">
        <v>902</v>
      </c>
      <c r="H6013" s="2" t="s">
        <v>822</v>
      </c>
      <c r="J6013" s="31">
        <v>60.776001000000001</v>
      </c>
      <c r="K6013" s="31">
        <v>-27.864000300000001</v>
      </c>
      <c r="L6013" s="31"/>
      <c r="M6013" s="31" t="s">
        <v>854</v>
      </c>
      <c r="N6013" s="6" t="s">
        <v>856</v>
      </c>
    </row>
    <row r="6014" spans="1:14" ht="15" customHeight="1" x14ac:dyDescent="0.2">
      <c r="A6014" s="31">
        <v>0.25644007357365178</v>
      </c>
      <c r="B6014" s="31"/>
      <c r="C6014" s="2" t="s">
        <v>855</v>
      </c>
      <c r="D6014" s="31">
        <f t="shared" si="184"/>
        <v>5.0262254420435755E-2</v>
      </c>
      <c r="F6014" s="2" t="s">
        <v>822</v>
      </c>
      <c r="G6014" s="23" t="s">
        <v>902</v>
      </c>
      <c r="H6014" s="2" t="s">
        <v>822</v>
      </c>
      <c r="J6014" s="31">
        <v>59.838600200000002</v>
      </c>
      <c r="K6014" s="31">
        <v>-4.2061601</v>
      </c>
      <c r="L6014" s="31"/>
      <c r="M6014" s="31" t="s">
        <v>854</v>
      </c>
      <c r="N6014" s="6" t="s">
        <v>856</v>
      </c>
    </row>
    <row r="6015" spans="1:14" ht="15" customHeight="1" x14ac:dyDescent="0.2">
      <c r="A6015" s="31">
        <v>0.25621761340682547</v>
      </c>
      <c r="B6015" s="31"/>
      <c r="C6015" s="2" t="s">
        <v>855</v>
      </c>
      <c r="D6015" s="31">
        <f t="shared" si="184"/>
        <v>5.0218652227737796E-2</v>
      </c>
      <c r="F6015" s="2" t="s">
        <v>822</v>
      </c>
      <c r="G6015" s="23" t="s">
        <v>902</v>
      </c>
      <c r="H6015" s="2" t="s">
        <v>822</v>
      </c>
      <c r="J6015" s="31">
        <v>55.4319992</v>
      </c>
      <c r="K6015" s="31">
        <v>-22.520000499999998</v>
      </c>
      <c r="L6015" s="31"/>
      <c r="M6015" s="31" t="s">
        <v>854</v>
      </c>
      <c r="N6015" s="6" t="s">
        <v>856</v>
      </c>
    </row>
    <row r="6016" spans="1:14" ht="15" customHeight="1" x14ac:dyDescent="0.2">
      <c r="A6016" s="31">
        <v>0.25611413626277879</v>
      </c>
      <c r="B6016" s="31"/>
      <c r="C6016" s="2" t="s">
        <v>855</v>
      </c>
      <c r="D6016" s="31">
        <f t="shared" si="184"/>
        <v>5.0198370707504644E-2</v>
      </c>
      <c r="F6016" s="2" t="s">
        <v>822</v>
      </c>
      <c r="G6016" s="23" t="s">
        <v>902</v>
      </c>
      <c r="H6016" s="2" t="s">
        <v>822</v>
      </c>
      <c r="J6016" s="31">
        <v>54.504398299999998</v>
      </c>
      <c r="K6016" s="31">
        <v>-12.620100000000001</v>
      </c>
      <c r="L6016" s="31"/>
      <c r="M6016" s="31" t="s">
        <v>854</v>
      </c>
      <c r="N6016" s="6" t="s">
        <v>856</v>
      </c>
    </row>
    <row r="6017" spans="1:14" ht="15" customHeight="1" x14ac:dyDescent="0.2">
      <c r="A6017" s="31">
        <v>0.25611386954802817</v>
      </c>
      <c r="B6017" s="31"/>
      <c r="C6017" s="2" t="s">
        <v>855</v>
      </c>
      <c r="D6017" s="31">
        <f t="shared" si="184"/>
        <v>5.0198318431413522E-2</v>
      </c>
      <c r="F6017" s="2" t="s">
        <v>822</v>
      </c>
      <c r="G6017" s="23" t="s">
        <v>902</v>
      </c>
      <c r="H6017" s="2" t="s">
        <v>822</v>
      </c>
      <c r="J6017" s="31">
        <v>60.776001000000001</v>
      </c>
      <c r="K6017" s="31">
        <v>-11.8319998</v>
      </c>
      <c r="L6017" s="31"/>
      <c r="M6017" s="31" t="s">
        <v>854</v>
      </c>
      <c r="N6017" s="6" t="s">
        <v>856</v>
      </c>
    </row>
    <row r="6018" spans="1:14" ht="15" customHeight="1" x14ac:dyDescent="0.2">
      <c r="A6018" s="31">
        <v>0.25609726279925471</v>
      </c>
      <c r="B6018" s="31"/>
      <c r="C6018" s="2" t="s">
        <v>855</v>
      </c>
      <c r="D6018" s="31">
        <f t="shared" si="184"/>
        <v>5.0195063508653923E-2</v>
      </c>
      <c r="F6018" s="2" t="s">
        <v>822</v>
      </c>
      <c r="G6018" s="23" t="s">
        <v>902</v>
      </c>
      <c r="H6018" s="2" t="s">
        <v>822</v>
      </c>
      <c r="J6018" s="31">
        <v>54.763999900000002</v>
      </c>
      <c r="K6018" s="31">
        <v>-33.875999499999999</v>
      </c>
      <c r="L6018" s="31"/>
      <c r="M6018" s="31" t="s">
        <v>854</v>
      </c>
      <c r="N6018" s="6" t="s">
        <v>856</v>
      </c>
    </row>
    <row r="6019" spans="1:14" ht="15" customHeight="1" x14ac:dyDescent="0.2">
      <c r="A6019" s="31">
        <v>0.25608777993816367</v>
      </c>
      <c r="B6019" s="31"/>
      <c r="C6019" s="2" t="s">
        <v>855</v>
      </c>
      <c r="D6019" s="31">
        <f t="shared" si="184"/>
        <v>5.0193204867880079E-2</v>
      </c>
      <c r="F6019" s="2" t="s">
        <v>822</v>
      </c>
      <c r="G6019" s="23" t="s">
        <v>902</v>
      </c>
      <c r="H6019" s="2" t="s">
        <v>822</v>
      </c>
      <c r="J6019" s="31">
        <v>64.783996599999995</v>
      </c>
      <c r="K6019" s="31">
        <v>-25.1919994</v>
      </c>
      <c r="L6019" s="31"/>
      <c r="M6019" s="31" t="s">
        <v>854</v>
      </c>
      <c r="N6019" s="6" t="s">
        <v>856</v>
      </c>
    </row>
    <row r="6020" spans="1:14" ht="15" customHeight="1" x14ac:dyDescent="0.2">
      <c r="A6020" s="31">
        <v>0.25586769826389277</v>
      </c>
      <c r="B6020" s="31"/>
      <c r="C6020" s="2" t="s">
        <v>855</v>
      </c>
      <c r="D6020" s="31">
        <f t="shared" si="184"/>
        <v>5.0150068859722986E-2</v>
      </c>
      <c r="F6020" s="2" t="s">
        <v>822</v>
      </c>
      <c r="G6020" s="23" t="s">
        <v>902</v>
      </c>
      <c r="H6020" s="2" t="s">
        <v>822</v>
      </c>
      <c r="J6020" s="31">
        <v>58.1040001</v>
      </c>
      <c r="K6020" s="31">
        <v>-30.8700008</v>
      </c>
      <c r="L6020" s="31"/>
      <c r="M6020" s="31" t="s">
        <v>854</v>
      </c>
      <c r="N6020" s="6" t="s">
        <v>856</v>
      </c>
    </row>
    <row r="6021" spans="1:14" ht="15" customHeight="1" x14ac:dyDescent="0.2">
      <c r="A6021" s="31">
        <v>0.25580475095282917</v>
      </c>
      <c r="B6021" s="31"/>
      <c r="C6021" s="2" t="s">
        <v>855</v>
      </c>
      <c r="D6021" s="31">
        <f t="shared" si="184"/>
        <v>5.0137731186754519E-2</v>
      </c>
      <c r="F6021" s="2" t="s">
        <v>822</v>
      </c>
      <c r="G6021" s="23" t="s">
        <v>902</v>
      </c>
      <c r="H6021" s="2" t="s">
        <v>822</v>
      </c>
      <c r="J6021" s="31">
        <v>63.008598300000003</v>
      </c>
      <c r="K6021" s="31">
        <v>-22.520000499999998</v>
      </c>
      <c r="L6021" s="31"/>
      <c r="M6021" s="31" t="s">
        <v>854</v>
      </c>
      <c r="N6021" s="6" t="s">
        <v>856</v>
      </c>
    </row>
    <row r="6022" spans="1:14" ht="15" customHeight="1" x14ac:dyDescent="0.2">
      <c r="A6022" s="31">
        <v>0.25519006241402559</v>
      </c>
      <c r="B6022" s="31"/>
      <c r="C6022" s="2" t="s">
        <v>855</v>
      </c>
      <c r="D6022" s="31">
        <f t="shared" si="184"/>
        <v>5.0017252233149019E-2</v>
      </c>
      <c r="F6022" s="2" t="s">
        <v>822</v>
      </c>
      <c r="G6022" s="23" t="s">
        <v>902</v>
      </c>
      <c r="H6022" s="2" t="s">
        <v>822</v>
      </c>
      <c r="J6022" s="31">
        <v>55.584598499999998</v>
      </c>
      <c r="K6022" s="31">
        <v>3.9268401000000002</v>
      </c>
      <c r="L6022" s="31"/>
      <c r="M6022" s="31" t="s">
        <v>854</v>
      </c>
      <c r="N6022" s="6" t="s">
        <v>856</v>
      </c>
    </row>
    <row r="6023" spans="1:14" ht="15" customHeight="1" x14ac:dyDescent="0.2">
      <c r="A6023" s="31">
        <v>0.2551895788202575</v>
      </c>
      <c r="B6023" s="31"/>
      <c r="C6023" s="2" t="s">
        <v>855</v>
      </c>
      <c r="D6023" s="31">
        <f t="shared" si="184"/>
        <v>5.0017157448770472E-2</v>
      </c>
      <c r="F6023" s="2" t="s">
        <v>822</v>
      </c>
      <c r="G6023" s="23" t="s">
        <v>902</v>
      </c>
      <c r="H6023" s="2" t="s">
        <v>822</v>
      </c>
      <c r="J6023" s="31">
        <v>59.439998600000003</v>
      </c>
      <c r="K6023" s="31">
        <v>-16.507999399999999</v>
      </c>
      <c r="L6023" s="31"/>
      <c r="M6023" s="31" t="s">
        <v>854</v>
      </c>
      <c r="N6023" s="6" t="s">
        <v>856</v>
      </c>
    </row>
    <row r="6024" spans="1:14" ht="15" customHeight="1" x14ac:dyDescent="0.2">
      <c r="A6024" s="31">
        <v>0.25510775249066192</v>
      </c>
      <c r="B6024" s="31"/>
      <c r="C6024" s="2" t="s">
        <v>855</v>
      </c>
      <c r="D6024" s="31">
        <f t="shared" si="184"/>
        <v>5.0001119488169737E-2</v>
      </c>
      <c r="F6024" s="2" t="s">
        <v>822</v>
      </c>
      <c r="G6024" s="23" t="s">
        <v>902</v>
      </c>
      <c r="H6024" s="2" t="s">
        <v>822</v>
      </c>
      <c r="J6024" s="31">
        <v>60.776001000000001</v>
      </c>
      <c r="K6024" s="31">
        <v>-22.520000499999998</v>
      </c>
      <c r="L6024" s="31"/>
      <c r="M6024" s="31" t="s">
        <v>854</v>
      </c>
      <c r="N6024" s="6" t="s">
        <v>856</v>
      </c>
    </row>
    <row r="6025" spans="1:14" ht="15" customHeight="1" x14ac:dyDescent="0.2">
      <c r="A6025" s="31">
        <v>0.25507328655426298</v>
      </c>
      <c r="B6025" s="31"/>
      <c r="C6025" s="2" t="s">
        <v>855</v>
      </c>
      <c r="D6025" s="31">
        <f t="shared" si="184"/>
        <v>4.9994364164635548E-2</v>
      </c>
      <c r="F6025" s="2" t="s">
        <v>822</v>
      </c>
      <c r="G6025" s="23" t="s">
        <v>902</v>
      </c>
      <c r="H6025" s="2" t="s">
        <v>822</v>
      </c>
      <c r="J6025" s="31">
        <v>55.445400200000002</v>
      </c>
      <c r="K6025" s="31">
        <v>-10.516900100000001</v>
      </c>
      <c r="L6025" s="31"/>
      <c r="M6025" s="31" t="s">
        <v>854</v>
      </c>
      <c r="N6025" s="6" t="s">
        <v>856</v>
      </c>
    </row>
    <row r="6026" spans="1:14" ht="15" customHeight="1" x14ac:dyDescent="0.2">
      <c r="A6026" s="31">
        <v>0.25497522536725359</v>
      </c>
      <c r="B6026" s="31"/>
      <c r="C6026" s="2" t="s">
        <v>855</v>
      </c>
      <c r="D6026" s="31">
        <f t="shared" si="184"/>
        <v>4.9975144171981706E-2</v>
      </c>
      <c r="F6026" s="2" t="s">
        <v>822</v>
      </c>
      <c r="G6026" s="23" t="s">
        <v>902</v>
      </c>
      <c r="H6026" s="2" t="s">
        <v>822</v>
      </c>
      <c r="J6026" s="31">
        <v>63.008598300000003</v>
      </c>
      <c r="K6026" s="31">
        <v>-16.927200299999999</v>
      </c>
      <c r="L6026" s="31"/>
      <c r="M6026" s="31" t="s">
        <v>854</v>
      </c>
      <c r="N6026" s="6" t="s">
        <v>856</v>
      </c>
    </row>
    <row r="6027" spans="1:14" ht="15" customHeight="1" x14ac:dyDescent="0.2">
      <c r="A6027" s="31">
        <v>0.2546128067786087</v>
      </c>
      <c r="B6027" s="31"/>
      <c r="C6027" s="2" t="s">
        <v>855</v>
      </c>
      <c r="D6027" s="31">
        <f t="shared" si="184"/>
        <v>4.9904110128607307E-2</v>
      </c>
      <c r="F6027" s="2" t="s">
        <v>822</v>
      </c>
      <c r="G6027" s="23" t="s">
        <v>902</v>
      </c>
      <c r="H6027" s="2" t="s">
        <v>822</v>
      </c>
      <c r="J6027" s="31">
        <v>64.115997300000004</v>
      </c>
      <c r="K6027" s="31">
        <v>7.54</v>
      </c>
      <c r="L6027" s="31"/>
      <c r="M6027" s="31" t="s">
        <v>854</v>
      </c>
      <c r="N6027" s="6" t="s">
        <v>856</v>
      </c>
    </row>
    <row r="6028" spans="1:14" ht="15" customHeight="1" x14ac:dyDescent="0.2">
      <c r="A6028" s="31">
        <v>0.25410322119480899</v>
      </c>
      <c r="B6028" s="31"/>
      <c r="C6028" s="2" t="s">
        <v>855</v>
      </c>
      <c r="D6028" s="31">
        <f t="shared" si="184"/>
        <v>4.9804231354182563E-2</v>
      </c>
      <c r="F6028" s="2" t="s">
        <v>822</v>
      </c>
      <c r="G6028" s="23" t="s">
        <v>902</v>
      </c>
      <c r="H6028" s="2" t="s">
        <v>822</v>
      </c>
      <c r="J6028" s="31">
        <v>59.439998600000003</v>
      </c>
      <c r="K6028" s="31">
        <v>-18.511999100000001</v>
      </c>
      <c r="L6028" s="31"/>
      <c r="M6028" s="31" t="s">
        <v>854</v>
      </c>
      <c r="N6028" s="6" t="s">
        <v>856</v>
      </c>
    </row>
    <row r="6029" spans="1:14" ht="15" customHeight="1" x14ac:dyDescent="0.2">
      <c r="A6029" s="31">
        <v>0.25383389803492262</v>
      </c>
      <c r="B6029" s="31"/>
      <c r="C6029" s="2" t="s">
        <v>855</v>
      </c>
      <c r="D6029" s="31">
        <f t="shared" si="184"/>
        <v>4.9751444014844833E-2</v>
      </c>
      <c r="F6029" s="2" t="s">
        <v>822</v>
      </c>
      <c r="G6029" s="23" t="s">
        <v>902</v>
      </c>
      <c r="H6029" s="2" t="s">
        <v>822</v>
      </c>
      <c r="J6029" s="31">
        <v>54.820499400000003</v>
      </c>
      <c r="K6029" s="31">
        <v>-14.2999001</v>
      </c>
      <c r="L6029" s="31"/>
      <c r="M6029" s="31" t="s">
        <v>854</v>
      </c>
      <c r="N6029" s="6" t="s">
        <v>856</v>
      </c>
    </row>
    <row r="6030" spans="1:14" ht="15" customHeight="1" x14ac:dyDescent="0.2">
      <c r="A6030" s="31">
        <v>0.25381337558109213</v>
      </c>
      <c r="B6030" s="31"/>
      <c r="C6030" s="2" t="s">
        <v>855</v>
      </c>
      <c r="D6030" s="31">
        <f t="shared" si="184"/>
        <v>4.9747421613894061E-2</v>
      </c>
      <c r="F6030" s="2" t="s">
        <v>822</v>
      </c>
      <c r="G6030" s="23" t="s">
        <v>902</v>
      </c>
      <c r="H6030" s="2" t="s">
        <v>822</v>
      </c>
      <c r="J6030" s="31">
        <v>60.764800999999999</v>
      </c>
      <c r="K6030" s="31">
        <v>-6.4770197999999999</v>
      </c>
      <c r="L6030" s="31"/>
      <c r="M6030" s="31" t="s">
        <v>854</v>
      </c>
      <c r="N6030" s="6" t="s">
        <v>856</v>
      </c>
    </row>
    <row r="6031" spans="1:14" ht="15" customHeight="1" x14ac:dyDescent="0.2">
      <c r="A6031" s="31">
        <v>0.25379669164990482</v>
      </c>
      <c r="B6031" s="31"/>
      <c r="C6031" s="2" t="s">
        <v>855</v>
      </c>
      <c r="D6031" s="31">
        <f t="shared" si="184"/>
        <v>4.9744151563381349E-2</v>
      </c>
      <c r="F6031" s="2" t="s">
        <v>822</v>
      </c>
      <c r="G6031" s="23" t="s">
        <v>902</v>
      </c>
      <c r="H6031" s="2" t="s">
        <v>822</v>
      </c>
      <c r="J6031" s="31">
        <v>53.428001399999999</v>
      </c>
      <c r="K6031" s="31">
        <v>-29.867999999999999</v>
      </c>
      <c r="L6031" s="31"/>
      <c r="M6031" s="31" t="s">
        <v>854</v>
      </c>
      <c r="N6031" s="6" t="s">
        <v>856</v>
      </c>
    </row>
    <row r="6032" spans="1:14" ht="15" customHeight="1" x14ac:dyDescent="0.2">
      <c r="A6032" s="31">
        <v>0.25364437936240392</v>
      </c>
      <c r="B6032" s="31"/>
      <c r="C6032" s="2" t="s">
        <v>855</v>
      </c>
      <c r="D6032" s="31">
        <f t="shared" si="184"/>
        <v>4.9714298355031168E-2</v>
      </c>
      <c r="F6032" s="2" t="s">
        <v>822</v>
      </c>
      <c r="G6032" s="23" t="s">
        <v>902</v>
      </c>
      <c r="H6032" s="2" t="s">
        <v>822</v>
      </c>
      <c r="J6032" s="31">
        <v>58.771999399999999</v>
      </c>
      <c r="K6032" s="31">
        <v>2.1960001</v>
      </c>
      <c r="L6032" s="31"/>
      <c r="M6032" s="31" t="s">
        <v>854</v>
      </c>
      <c r="N6032" s="6" t="s">
        <v>856</v>
      </c>
    </row>
    <row r="6033" spans="1:14" ht="15" customHeight="1" x14ac:dyDescent="0.2">
      <c r="A6033" s="31">
        <v>0.25360734379731098</v>
      </c>
      <c r="B6033" s="31"/>
      <c r="C6033" s="2" t="s">
        <v>855</v>
      </c>
      <c r="D6033" s="31">
        <f t="shared" si="184"/>
        <v>4.9707039384272955E-2</v>
      </c>
      <c r="F6033" s="2" t="s">
        <v>822</v>
      </c>
      <c r="G6033" s="23" t="s">
        <v>902</v>
      </c>
      <c r="H6033" s="2" t="s">
        <v>822</v>
      </c>
      <c r="J6033" s="31">
        <v>56.099998499999998</v>
      </c>
      <c r="K6033" s="31">
        <v>-25.860000599999999</v>
      </c>
      <c r="L6033" s="31"/>
      <c r="M6033" s="31" t="s">
        <v>854</v>
      </c>
      <c r="N6033" s="6" t="s">
        <v>856</v>
      </c>
    </row>
    <row r="6034" spans="1:14" ht="15" customHeight="1" x14ac:dyDescent="0.2">
      <c r="A6034" s="31">
        <v>0.25344687241553537</v>
      </c>
      <c r="B6034" s="31"/>
      <c r="C6034" s="2" t="s">
        <v>855</v>
      </c>
      <c r="D6034" s="31">
        <f t="shared" si="184"/>
        <v>4.9675586993444938E-2</v>
      </c>
      <c r="F6034" s="2" t="s">
        <v>822</v>
      </c>
      <c r="G6034" s="23" t="s">
        <v>902</v>
      </c>
      <c r="H6034" s="2" t="s">
        <v>822</v>
      </c>
      <c r="J6034" s="31">
        <v>60.776001000000001</v>
      </c>
      <c r="K6034" s="31">
        <v>-21.851999299999999</v>
      </c>
      <c r="L6034" s="31"/>
      <c r="M6034" s="31" t="s">
        <v>854</v>
      </c>
      <c r="N6034" s="6" t="s">
        <v>856</v>
      </c>
    </row>
    <row r="6035" spans="1:14" ht="15" customHeight="1" x14ac:dyDescent="0.2">
      <c r="A6035" s="31">
        <v>0.25338859054628382</v>
      </c>
      <c r="B6035" s="31"/>
      <c r="C6035" s="2" t="s">
        <v>855</v>
      </c>
      <c r="D6035" s="31">
        <f t="shared" si="184"/>
        <v>4.9664163747071631E-2</v>
      </c>
      <c r="F6035" s="2" t="s">
        <v>822</v>
      </c>
      <c r="G6035" s="23" t="s">
        <v>902</v>
      </c>
      <c r="H6035" s="2" t="s">
        <v>822</v>
      </c>
      <c r="J6035" s="31">
        <v>51.423999799999997</v>
      </c>
      <c r="K6035" s="31">
        <v>-39.888000499999997</v>
      </c>
      <c r="L6035" s="31"/>
      <c r="M6035" s="31" t="s">
        <v>854</v>
      </c>
      <c r="N6035" s="6" t="s">
        <v>856</v>
      </c>
    </row>
    <row r="6036" spans="1:14" ht="15" customHeight="1" x14ac:dyDescent="0.2">
      <c r="A6036" s="31">
        <v>0.25336445701448929</v>
      </c>
      <c r="B6036" s="31"/>
      <c r="C6036" s="2" t="s">
        <v>855</v>
      </c>
      <c r="D6036" s="31">
        <f t="shared" si="184"/>
        <v>4.9659433574839901E-2</v>
      </c>
      <c r="F6036" s="2" t="s">
        <v>822</v>
      </c>
      <c r="G6036" s="23" t="s">
        <v>902</v>
      </c>
      <c r="H6036" s="2" t="s">
        <v>822</v>
      </c>
      <c r="J6036" s="31">
        <v>57.711601299999998</v>
      </c>
      <c r="K6036" s="31">
        <v>-7.7511600999999999</v>
      </c>
      <c r="L6036" s="31"/>
      <c r="M6036" s="31" t="s">
        <v>854</v>
      </c>
      <c r="N6036" s="6" t="s">
        <v>856</v>
      </c>
    </row>
    <row r="6037" spans="1:14" ht="15" customHeight="1" x14ac:dyDescent="0.2">
      <c r="A6037" s="31">
        <v>0.25322823639344799</v>
      </c>
      <c r="B6037" s="31"/>
      <c r="C6037" s="2" t="s">
        <v>855</v>
      </c>
      <c r="D6037" s="31">
        <f t="shared" si="184"/>
        <v>4.9632734333115811E-2</v>
      </c>
      <c r="F6037" s="2" t="s">
        <v>822</v>
      </c>
      <c r="G6037" s="23" t="s">
        <v>902</v>
      </c>
      <c r="H6037" s="2" t="s">
        <v>822</v>
      </c>
      <c r="J6037" s="31">
        <v>60.1792984</v>
      </c>
      <c r="K6037" s="31">
        <v>0.192</v>
      </c>
      <c r="L6037" s="31"/>
      <c r="M6037" s="31" t="s">
        <v>854</v>
      </c>
      <c r="N6037" s="6" t="s">
        <v>856</v>
      </c>
    </row>
    <row r="6038" spans="1:14" ht="15" customHeight="1" x14ac:dyDescent="0.2">
      <c r="A6038" s="31">
        <v>0.25318145606479192</v>
      </c>
      <c r="B6038" s="31"/>
      <c r="C6038" s="2" t="s">
        <v>855</v>
      </c>
      <c r="D6038" s="31">
        <f t="shared" si="184"/>
        <v>4.962356538869922E-2</v>
      </c>
      <c r="F6038" s="2" t="s">
        <v>822</v>
      </c>
      <c r="G6038" s="23" t="s">
        <v>902</v>
      </c>
      <c r="H6038" s="2" t="s">
        <v>822</v>
      </c>
      <c r="J6038" s="31">
        <v>55.418300600000002</v>
      </c>
      <c r="K6038" s="31">
        <v>1.75929</v>
      </c>
      <c r="L6038" s="31"/>
      <c r="M6038" s="31" t="s">
        <v>854</v>
      </c>
      <c r="N6038" s="6" t="s">
        <v>856</v>
      </c>
    </row>
    <row r="6039" spans="1:14" ht="15" customHeight="1" x14ac:dyDescent="0.2">
      <c r="A6039" s="31">
        <v>0.25294055159699702</v>
      </c>
      <c r="B6039" s="31"/>
      <c r="C6039" s="2" t="s">
        <v>855</v>
      </c>
      <c r="D6039" s="31">
        <f t="shared" si="184"/>
        <v>4.9576348113011419E-2</v>
      </c>
      <c r="F6039" s="2" t="s">
        <v>822</v>
      </c>
      <c r="G6039" s="23" t="s">
        <v>902</v>
      </c>
      <c r="H6039" s="2" t="s">
        <v>822</v>
      </c>
      <c r="J6039" s="31">
        <v>64.783996599999995</v>
      </c>
      <c r="K6039" s="31">
        <v>-25.860000599999999</v>
      </c>
      <c r="L6039" s="31"/>
      <c r="M6039" s="31" t="s">
        <v>854</v>
      </c>
      <c r="N6039" s="6" t="s">
        <v>856</v>
      </c>
    </row>
    <row r="6040" spans="1:14" ht="15" customHeight="1" x14ac:dyDescent="0.2">
      <c r="A6040" s="31">
        <v>0.25272112159308552</v>
      </c>
      <c r="B6040" s="31"/>
      <c r="C6040" s="2" t="s">
        <v>855</v>
      </c>
      <c r="D6040" s="31">
        <f t="shared" si="184"/>
        <v>4.9533339832244762E-2</v>
      </c>
      <c r="F6040" s="2" t="s">
        <v>822</v>
      </c>
      <c r="G6040" s="23" t="s">
        <v>902</v>
      </c>
      <c r="H6040" s="2" t="s">
        <v>822</v>
      </c>
      <c r="J6040" s="31">
        <v>59.463600200000002</v>
      </c>
      <c r="K6040" s="31">
        <v>-6.4879999000000002</v>
      </c>
      <c r="L6040" s="31"/>
      <c r="M6040" s="31" t="s">
        <v>854</v>
      </c>
      <c r="N6040" s="6" t="s">
        <v>856</v>
      </c>
    </row>
    <row r="6041" spans="1:14" ht="15" customHeight="1" x14ac:dyDescent="0.2">
      <c r="A6041" s="31">
        <v>0.25267435521243159</v>
      </c>
      <c r="B6041" s="31"/>
      <c r="C6041" s="2" t="s">
        <v>855</v>
      </c>
      <c r="D6041" s="31">
        <f t="shared" ref="D6041:D6072" si="185" xml:space="preserve"> A6041 * 0.196</f>
        <v>4.9524173621636594E-2</v>
      </c>
      <c r="F6041" s="2" t="s">
        <v>822</v>
      </c>
      <c r="G6041" s="23" t="s">
        <v>902</v>
      </c>
      <c r="H6041" s="2" t="s">
        <v>822</v>
      </c>
      <c r="J6041" s="31">
        <v>67.262603799999994</v>
      </c>
      <c r="K6041" s="31">
        <v>13.4778004</v>
      </c>
      <c r="L6041" s="31"/>
      <c r="M6041" s="31" t="s">
        <v>854</v>
      </c>
      <c r="N6041" s="6" t="s">
        <v>856</v>
      </c>
    </row>
    <row r="6042" spans="1:14" ht="15" customHeight="1" x14ac:dyDescent="0.2">
      <c r="A6042" s="31">
        <v>0.25264836271970492</v>
      </c>
      <c r="B6042" s="31"/>
      <c r="C6042" s="2" t="s">
        <v>855</v>
      </c>
      <c r="D6042" s="31">
        <f t="shared" si="185"/>
        <v>4.951907909306217E-2</v>
      </c>
      <c r="F6042" s="2" t="s">
        <v>822</v>
      </c>
      <c r="G6042" s="23" t="s">
        <v>902</v>
      </c>
      <c r="H6042" s="2" t="s">
        <v>822</v>
      </c>
      <c r="J6042" s="31">
        <v>60.1725998</v>
      </c>
      <c r="K6042" s="31">
        <v>-4.4840001999999997</v>
      </c>
      <c r="L6042" s="31"/>
      <c r="M6042" s="31" t="s">
        <v>854</v>
      </c>
      <c r="N6042" s="6" t="s">
        <v>856</v>
      </c>
    </row>
    <row r="6043" spans="1:14" ht="15" customHeight="1" x14ac:dyDescent="0.2">
      <c r="A6043" s="31">
        <v>0.25254382583610319</v>
      </c>
      <c r="B6043" s="31"/>
      <c r="C6043" s="2" t="s">
        <v>855</v>
      </c>
      <c r="D6043" s="31">
        <f t="shared" si="185"/>
        <v>4.9498589863876223E-2</v>
      </c>
      <c r="F6043" s="2" t="s">
        <v>822</v>
      </c>
      <c r="G6043" s="23" t="s">
        <v>902</v>
      </c>
      <c r="H6043" s="2" t="s">
        <v>822</v>
      </c>
      <c r="J6043" s="31">
        <v>60.774299599999999</v>
      </c>
      <c r="K6043" s="31">
        <v>2.8680899000000002</v>
      </c>
      <c r="L6043" s="31"/>
      <c r="M6043" s="31" t="s">
        <v>854</v>
      </c>
      <c r="N6043" s="6" t="s">
        <v>856</v>
      </c>
    </row>
    <row r="6044" spans="1:14" ht="15" customHeight="1" x14ac:dyDescent="0.2">
      <c r="A6044" s="31">
        <v>0.25245979997819989</v>
      </c>
      <c r="B6044" s="31"/>
      <c r="C6044" s="2" t="s">
        <v>855</v>
      </c>
      <c r="D6044" s="31">
        <f t="shared" si="185"/>
        <v>4.9482120795727183E-2</v>
      </c>
      <c r="F6044" s="2" t="s">
        <v>822</v>
      </c>
      <c r="G6044" s="23" t="s">
        <v>902</v>
      </c>
      <c r="H6044" s="2" t="s">
        <v>822</v>
      </c>
      <c r="J6044" s="31">
        <v>56.099998499999998</v>
      </c>
      <c r="K6044" s="31">
        <v>-23.856000900000002</v>
      </c>
      <c r="L6044" s="31"/>
      <c r="M6044" s="31" t="s">
        <v>854</v>
      </c>
      <c r="N6044" s="6" t="s">
        <v>856</v>
      </c>
    </row>
    <row r="6045" spans="1:14" ht="15" customHeight="1" x14ac:dyDescent="0.2">
      <c r="A6045" s="31">
        <v>0.25227043857831538</v>
      </c>
      <c r="B6045" s="31"/>
      <c r="C6045" s="2" t="s">
        <v>855</v>
      </c>
      <c r="D6045" s="31">
        <f t="shared" si="185"/>
        <v>4.9445005961349819E-2</v>
      </c>
      <c r="F6045" s="2" t="s">
        <v>822</v>
      </c>
      <c r="G6045" s="23" t="s">
        <v>902</v>
      </c>
      <c r="H6045" s="2" t="s">
        <v>822</v>
      </c>
      <c r="J6045" s="31">
        <v>64.092597999999995</v>
      </c>
      <c r="K6045" s="31">
        <v>-13.8360004</v>
      </c>
      <c r="L6045" s="31"/>
      <c r="M6045" s="31" t="s">
        <v>854</v>
      </c>
      <c r="N6045" s="6" t="s">
        <v>856</v>
      </c>
    </row>
    <row r="6046" spans="1:14" ht="15" customHeight="1" x14ac:dyDescent="0.2">
      <c r="A6046" s="31">
        <v>0.25190266671525291</v>
      </c>
      <c r="B6046" s="31"/>
      <c r="C6046" s="2" t="s">
        <v>855</v>
      </c>
      <c r="D6046" s="31">
        <f t="shared" si="185"/>
        <v>4.9372922676189569E-2</v>
      </c>
      <c r="F6046" s="2" t="s">
        <v>822</v>
      </c>
      <c r="G6046" s="23" t="s">
        <v>902</v>
      </c>
      <c r="H6046" s="2" t="s">
        <v>822</v>
      </c>
      <c r="J6046" s="31">
        <v>60.108001700000003</v>
      </c>
      <c r="K6046" s="31">
        <v>-13.1680002</v>
      </c>
      <c r="L6046" s="31"/>
      <c r="M6046" s="31" t="s">
        <v>854</v>
      </c>
      <c r="N6046" s="6" t="s">
        <v>856</v>
      </c>
    </row>
    <row r="6047" spans="1:14" ht="15" customHeight="1" x14ac:dyDescent="0.2">
      <c r="A6047" s="31">
        <v>0.25188054650950442</v>
      </c>
      <c r="B6047" s="31"/>
      <c r="C6047" s="2" t="s">
        <v>855</v>
      </c>
      <c r="D6047" s="31">
        <f t="shared" si="185"/>
        <v>4.9368587115862866E-2</v>
      </c>
      <c r="F6047" s="2" t="s">
        <v>822</v>
      </c>
      <c r="G6047" s="23" t="s">
        <v>902</v>
      </c>
      <c r="H6047" s="2" t="s">
        <v>822</v>
      </c>
      <c r="J6047" s="31">
        <v>57.750301399999998</v>
      </c>
      <c r="K6047" s="31">
        <v>5.1044698000000004</v>
      </c>
      <c r="L6047" s="31"/>
      <c r="M6047" s="31" t="s">
        <v>854</v>
      </c>
      <c r="N6047" s="6" t="s">
        <v>856</v>
      </c>
    </row>
    <row r="6048" spans="1:14" ht="15" customHeight="1" x14ac:dyDescent="0.2">
      <c r="A6048" s="31">
        <v>0.25178364801192649</v>
      </c>
      <c r="B6048" s="31"/>
      <c r="C6048" s="2" t="s">
        <v>855</v>
      </c>
      <c r="D6048" s="31">
        <f t="shared" si="185"/>
        <v>4.9349595010337595E-2</v>
      </c>
      <c r="F6048" s="2" t="s">
        <v>822</v>
      </c>
      <c r="G6048" s="23" t="s">
        <v>902</v>
      </c>
      <c r="H6048" s="2" t="s">
        <v>822</v>
      </c>
      <c r="J6048" s="31">
        <v>54.763999900000002</v>
      </c>
      <c r="K6048" s="31">
        <v>-31.204000499999999</v>
      </c>
      <c r="L6048" s="31"/>
      <c r="M6048" s="31" t="s">
        <v>854</v>
      </c>
      <c r="N6048" s="6" t="s">
        <v>856</v>
      </c>
    </row>
    <row r="6049" spans="1:14" ht="15" customHeight="1" x14ac:dyDescent="0.2">
      <c r="A6049" s="31">
        <v>0.25176413751978233</v>
      </c>
      <c r="B6049" s="31"/>
      <c r="C6049" s="2" t="s">
        <v>855</v>
      </c>
      <c r="D6049" s="31">
        <f t="shared" si="185"/>
        <v>4.9345770953877335E-2</v>
      </c>
      <c r="F6049" s="2" t="s">
        <v>822</v>
      </c>
      <c r="G6049" s="23" t="s">
        <v>902</v>
      </c>
      <c r="H6049" s="2" t="s">
        <v>822</v>
      </c>
      <c r="J6049" s="31">
        <v>51.423999799999997</v>
      </c>
      <c r="K6049" s="31">
        <v>-35.212001800000003</v>
      </c>
      <c r="L6049" s="31"/>
      <c r="M6049" s="31" t="s">
        <v>854</v>
      </c>
      <c r="N6049" s="6" t="s">
        <v>856</v>
      </c>
    </row>
    <row r="6050" spans="1:14" ht="15" customHeight="1" x14ac:dyDescent="0.2">
      <c r="A6050" s="31">
        <v>0.25151065647539289</v>
      </c>
      <c r="B6050" s="31"/>
      <c r="C6050" s="2" t="s">
        <v>855</v>
      </c>
      <c r="D6050" s="31">
        <f t="shared" si="185"/>
        <v>4.9296088669177007E-2</v>
      </c>
      <c r="F6050" s="2" t="s">
        <v>822</v>
      </c>
      <c r="G6050" s="23" t="s">
        <v>902</v>
      </c>
      <c r="H6050" s="2" t="s">
        <v>822</v>
      </c>
      <c r="J6050" s="31">
        <v>57.436000800000002</v>
      </c>
      <c r="K6050" s="31">
        <v>-22.520000499999998</v>
      </c>
      <c r="L6050" s="31"/>
      <c r="M6050" s="31" t="s">
        <v>854</v>
      </c>
      <c r="N6050" s="6" t="s">
        <v>856</v>
      </c>
    </row>
    <row r="6051" spans="1:14" ht="15" customHeight="1" x14ac:dyDescent="0.2">
      <c r="A6051" s="31">
        <v>0.250963543880798</v>
      </c>
      <c r="B6051" s="31"/>
      <c r="C6051" s="2" t="s">
        <v>855</v>
      </c>
      <c r="D6051" s="31">
        <f t="shared" si="185"/>
        <v>4.9188854600636413E-2</v>
      </c>
      <c r="F6051" s="2" t="s">
        <v>822</v>
      </c>
      <c r="G6051" s="23" t="s">
        <v>902</v>
      </c>
      <c r="H6051" s="2" t="s">
        <v>822</v>
      </c>
      <c r="J6051" s="31">
        <v>61.777999899999998</v>
      </c>
      <c r="K6051" s="31">
        <v>-19.847999600000001</v>
      </c>
      <c r="L6051" s="31"/>
      <c r="M6051" s="31" t="s">
        <v>854</v>
      </c>
      <c r="N6051" s="6" t="s">
        <v>856</v>
      </c>
    </row>
    <row r="6052" spans="1:14" ht="15" customHeight="1" x14ac:dyDescent="0.2">
      <c r="A6052" s="31">
        <v>0.25089027261119562</v>
      </c>
      <c r="B6052" s="31"/>
      <c r="C6052" s="2" t="s">
        <v>855</v>
      </c>
      <c r="D6052" s="31">
        <f t="shared" si="185"/>
        <v>4.9174493431794343E-2</v>
      </c>
      <c r="F6052" s="2" t="s">
        <v>822</v>
      </c>
      <c r="G6052" s="23" t="s">
        <v>902</v>
      </c>
      <c r="H6052" s="2" t="s">
        <v>822</v>
      </c>
      <c r="J6052" s="31">
        <v>59.439998600000003</v>
      </c>
      <c r="K6052" s="31">
        <v>-11.8319998</v>
      </c>
      <c r="L6052" s="31"/>
      <c r="M6052" s="31" t="s">
        <v>854</v>
      </c>
      <c r="N6052" s="6" t="s">
        <v>856</v>
      </c>
    </row>
    <row r="6053" spans="1:14" ht="15" customHeight="1" x14ac:dyDescent="0.2">
      <c r="A6053" s="31">
        <v>0.25088059484495417</v>
      </c>
      <c r="B6053" s="31"/>
      <c r="C6053" s="2" t="s">
        <v>855</v>
      </c>
      <c r="D6053" s="31">
        <f t="shared" si="185"/>
        <v>4.9172596589611019E-2</v>
      </c>
      <c r="F6053" s="2" t="s">
        <v>822</v>
      </c>
      <c r="G6053" s="23" t="s">
        <v>902</v>
      </c>
      <c r="H6053" s="2" t="s">
        <v>822</v>
      </c>
      <c r="J6053" s="31">
        <v>62.779998800000001</v>
      </c>
      <c r="K6053" s="31">
        <v>-27.195999100000002</v>
      </c>
      <c r="L6053" s="31"/>
      <c r="M6053" s="31" t="s">
        <v>854</v>
      </c>
      <c r="N6053" s="6" t="s">
        <v>856</v>
      </c>
    </row>
    <row r="6054" spans="1:14" ht="15" customHeight="1" x14ac:dyDescent="0.2">
      <c r="A6054" s="31">
        <v>0.25080142265510857</v>
      </c>
      <c r="B6054" s="31"/>
      <c r="C6054" s="2" t="s">
        <v>855</v>
      </c>
      <c r="D6054" s="31">
        <f t="shared" si="185"/>
        <v>4.9157078840401283E-2</v>
      </c>
      <c r="F6054" s="2" t="s">
        <v>822</v>
      </c>
      <c r="G6054" s="23" t="s">
        <v>902</v>
      </c>
      <c r="H6054" s="2" t="s">
        <v>822</v>
      </c>
      <c r="J6054" s="31">
        <v>60.776001000000001</v>
      </c>
      <c r="K6054" s="31">
        <v>-17.176000599999998</v>
      </c>
      <c r="L6054" s="31"/>
      <c r="M6054" s="31" t="s">
        <v>854</v>
      </c>
      <c r="N6054" s="6" t="s">
        <v>856</v>
      </c>
    </row>
    <row r="6055" spans="1:14" ht="15" customHeight="1" x14ac:dyDescent="0.2">
      <c r="A6055" s="31">
        <v>0.25065406348092067</v>
      </c>
      <c r="B6055" s="31"/>
      <c r="C6055" s="2" t="s">
        <v>855</v>
      </c>
      <c r="D6055" s="31">
        <f t="shared" si="185"/>
        <v>4.9128196442260456E-2</v>
      </c>
      <c r="F6055" s="2" t="s">
        <v>822</v>
      </c>
      <c r="G6055" s="23" t="s">
        <v>902</v>
      </c>
      <c r="H6055" s="2" t="s">
        <v>822</v>
      </c>
      <c r="J6055" s="31">
        <v>44.070201900000001</v>
      </c>
      <c r="K6055" s="31">
        <v>-27.176200900000001</v>
      </c>
      <c r="L6055" s="31"/>
      <c r="M6055" s="31" t="s">
        <v>854</v>
      </c>
      <c r="N6055" s="6" t="s">
        <v>856</v>
      </c>
    </row>
    <row r="6056" spans="1:14" ht="15" customHeight="1" x14ac:dyDescent="0.2">
      <c r="A6056" s="31">
        <v>0.25045958930622331</v>
      </c>
      <c r="B6056" s="31"/>
      <c r="C6056" s="2" t="s">
        <v>855</v>
      </c>
      <c r="D6056" s="31">
        <f t="shared" si="185"/>
        <v>4.9090079504019772E-2</v>
      </c>
      <c r="F6056" s="2" t="s">
        <v>822</v>
      </c>
      <c r="G6056" s="23" t="s">
        <v>902</v>
      </c>
      <c r="H6056" s="2" t="s">
        <v>822</v>
      </c>
      <c r="J6056" s="31">
        <v>60.107601199999998</v>
      </c>
      <c r="K6056" s="31">
        <v>-7.1557101999999997</v>
      </c>
      <c r="L6056" s="31"/>
      <c r="M6056" s="31" t="s">
        <v>854</v>
      </c>
      <c r="N6056" s="6" t="s">
        <v>856</v>
      </c>
    </row>
    <row r="6057" spans="1:14" ht="15" customHeight="1" x14ac:dyDescent="0.2">
      <c r="A6057" s="31">
        <v>0.25041570466706542</v>
      </c>
      <c r="B6057" s="31"/>
      <c r="C6057" s="2" t="s">
        <v>855</v>
      </c>
      <c r="D6057" s="31">
        <f t="shared" si="185"/>
        <v>4.9081478114744823E-2</v>
      </c>
      <c r="F6057" s="2" t="s">
        <v>822</v>
      </c>
      <c r="G6057" s="23" t="s">
        <v>902</v>
      </c>
      <c r="H6057" s="2" t="s">
        <v>822</v>
      </c>
      <c r="J6057" s="31">
        <v>58.420600899999997</v>
      </c>
      <c r="K6057" s="31">
        <v>-7.8239998999999996</v>
      </c>
      <c r="L6057" s="31"/>
      <c r="M6057" s="31" t="s">
        <v>854</v>
      </c>
      <c r="N6057" s="6" t="s">
        <v>856</v>
      </c>
    </row>
    <row r="6058" spans="1:14" ht="15" customHeight="1" x14ac:dyDescent="0.2">
      <c r="A6058" s="31">
        <v>0.24996696526354439</v>
      </c>
      <c r="B6058" s="31"/>
      <c r="C6058" s="2" t="s">
        <v>855</v>
      </c>
      <c r="D6058" s="31">
        <f t="shared" si="185"/>
        <v>4.8993525191654702E-2</v>
      </c>
      <c r="F6058" s="2" t="s">
        <v>822</v>
      </c>
      <c r="G6058" s="23" t="s">
        <v>902</v>
      </c>
      <c r="H6058" s="2" t="s">
        <v>822</v>
      </c>
      <c r="J6058" s="31">
        <v>57.634300199999998</v>
      </c>
      <c r="K6058" s="31">
        <v>2.8605499000000001</v>
      </c>
      <c r="L6058" s="31"/>
      <c r="M6058" s="31" t="s">
        <v>854</v>
      </c>
      <c r="N6058" s="6" t="s">
        <v>856</v>
      </c>
    </row>
    <row r="6059" spans="1:14" ht="15" customHeight="1" x14ac:dyDescent="0.2">
      <c r="A6059" s="31">
        <v>0.24986232715615719</v>
      </c>
      <c r="B6059" s="31"/>
      <c r="C6059" s="2" t="s">
        <v>855</v>
      </c>
      <c r="D6059" s="31">
        <f t="shared" si="185"/>
        <v>4.8973016122606815E-2</v>
      </c>
      <c r="F6059" s="2" t="s">
        <v>822</v>
      </c>
      <c r="G6059" s="23" t="s">
        <v>902</v>
      </c>
      <c r="H6059" s="2" t="s">
        <v>822</v>
      </c>
      <c r="J6059" s="31">
        <v>59.120899199999997</v>
      </c>
      <c r="K6059" s="31">
        <v>-2.7298800999999999</v>
      </c>
      <c r="L6059" s="31"/>
      <c r="M6059" s="31" t="s">
        <v>854</v>
      </c>
      <c r="N6059" s="6" t="s">
        <v>856</v>
      </c>
    </row>
    <row r="6060" spans="1:14" ht="15" customHeight="1" x14ac:dyDescent="0.2">
      <c r="A6060" s="31">
        <v>0.2498510344435865</v>
      </c>
      <c r="B6060" s="31"/>
      <c r="C6060" s="2" t="s">
        <v>855</v>
      </c>
      <c r="D6060" s="31">
        <f t="shared" si="185"/>
        <v>4.8970802750942954E-2</v>
      </c>
      <c r="F6060" s="2" t="s">
        <v>822</v>
      </c>
      <c r="G6060" s="23" t="s">
        <v>902</v>
      </c>
      <c r="H6060" s="2" t="s">
        <v>822</v>
      </c>
      <c r="J6060" s="31">
        <v>51.006999999999998</v>
      </c>
      <c r="K6060" s="31">
        <v>-38.580501599999998</v>
      </c>
      <c r="L6060" s="31"/>
      <c r="M6060" s="31" t="s">
        <v>854</v>
      </c>
      <c r="N6060" s="6" t="s">
        <v>856</v>
      </c>
    </row>
    <row r="6061" spans="1:14" ht="15" customHeight="1" x14ac:dyDescent="0.2">
      <c r="A6061" s="31">
        <v>0.24973806575065879</v>
      </c>
      <c r="B6061" s="31"/>
      <c r="C6061" s="2" t="s">
        <v>855</v>
      </c>
      <c r="D6061" s="31">
        <f t="shared" si="185"/>
        <v>4.8948660887129125E-2</v>
      </c>
      <c r="F6061" s="2" t="s">
        <v>822</v>
      </c>
      <c r="G6061" s="23" t="s">
        <v>902</v>
      </c>
      <c r="H6061" s="2" t="s">
        <v>822</v>
      </c>
      <c r="J6061" s="31">
        <v>51.8390007</v>
      </c>
      <c r="K6061" s="31">
        <v>-35.683700600000002</v>
      </c>
      <c r="L6061" s="31"/>
      <c r="M6061" s="31" t="s">
        <v>854</v>
      </c>
      <c r="N6061" s="6" t="s">
        <v>856</v>
      </c>
    </row>
    <row r="6062" spans="1:14" ht="15" customHeight="1" x14ac:dyDescent="0.2">
      <c r="A6062" s="31">
        <v>0.2497012120293326</v>
      </c>
      <c r="B6062" s="31"/>
      <c r="C6062" s="2" t="s">
        <v>855</v>
      </c>
      <c r="D6062" s="31">
        <f t="shared" si="185"/>
        <v>4.8941437557749191E-2</v>
      </c>
      <c r="F6062" s="2" t="s">
        <v>822</v>
      </c>
      <c r="G6062" s="23" t="s">
        <v>902</v>
      </c>
      <c r="H6062" s="2" t="s">
        <v>822</v>
      </c>
      <c r="J6062" s="31">
        <v>61.444000199999998</v>
      </c>
      <c r="K6062" s="31">
        <v>-15.171999899999999</v>
      </c>
      <c r="L6062" s="31"/>
      <c r="M6062" s="31" t="s">
        <v>854</v>
      </c>
      <c r="N6062" s="6" t="s">
        <v>856</v>
      </c>
    </row>
    <row r="6063" spans="1:14" ht="15" customHeight="1" x14ac:dyDescent="0.2">
      <c r="A6063" s="31">
        <v>0.24968959132237711</v>
      </c>
      <c r="B6063" s="31"/>
      <c r="C6063" s="2" t="s">
        <v>855</v>
      </c>
      <c r="D6063" s="31">
        <f t="shared" si="185"/>
        <v>4.8939159899185916E-2</v>
      </c>
      <c r="F6063" s="2" t="s">
        <v>822</v>
      </c>
      <c r="G6063" s="23" t="s">
        <v>902</v>
      </c>
      <c r="H6063" s="2" t="s">
        <v>822</v>
      </c>
      <c r="J6063" s="31">
        <v>67.465202300000001</v>
      </c>
      <c r="K6063" s="31">
        <v>14.178600299999999</v>
      </c>
      <c r="L6063" s="31"/>
      <c r="M6063" s="31" t="s">
        <v>854</v>
      </c>
      <c r="N6063" s="6" t="s">
        <v>856</v>
      </c>
    </row>
    <row r="6064" spans="1:14" ht="15" customHeight="1" x14ac:dyDescent="0.2">
      <c r="A6064" s="31">
        <v>0.24965887501389461</v>
      </c>
      <c r="B6064" s="31"/>
      <c r="C6064" s="2" t="s">
        <v>855</v>
      </c>
      <c r="D6064" s="31">
        <f t="shared" si="185"/>
        <v>4.8933139502723343E-2</v>
      </c>
      <c r="F6064" s="2" t="s">
        <v>822</v>
      </c>
      <c r="G6064" s="23" t="s">
        <v>902</v>
      </c>
      <c r="H6064" s="2" t="s">
        <v>822</v>
      </c>
      <c r="J6064" s="31">
        <v>38.799499500000003</v>
      </c>
      <c r="K6064" s="31">
        <v>-31.8327007</v>
      </c>
      <c r="L6064" s="31"/>
      <c r="M6064" s="31" t="s">
        <v>854</v>
      </c>
      <c r="N6064" s="6" t="s">
        <v>856</v>
      </c>
    </row>
    <row r="6065" spans="1:14" ht="15" customHeight="1" x14ac:dyDescent="0.2">
      <c r="A6065" s="31">
        <v>0.2496284183803221</v>
      </c>
      <c r="B6065" s="31"/>
      <c r="C6065" s="2" t="s">
        <v>855</v>
      </c>
      <c r="D6065" s="31">
        <f t="shared" si="185"/>
        <v>4.8927170002543131E-2</v>
      </c>
      <c r="F6065" s="2" t="s">
        <v>822</v>
      </c>
      <c r="G6065" s="23" t="s">
        <v>902</v>
      </c>
      <c r="H6065" s="2" t="s">
        <v>822</v>
      </c>
      <c r="J6065" s="31">
        <v>58.1040001</v>
      </c>
      <c r="K6065" s="31">
        <v>-27.195999100000002</v>
      </c>
      <c r="L6065" s="31"/>
      <c r="M6065" s="31" t="s">
        <v>854</v>
      </c>
      <c r="N6065" s="6" t="s">
        <v>856</v>
      </c>
    </row>
    <row r="6066" spans="1:14" ht="15" customHeight="1" x14ac:dyDescent="0.2">
      <c r="A6066" s="31">
        <v>0.2495839041826656</v>
      </c>
      <c r="B6066" s="31"/>
      <c r="C6066" s="2" t="s">
        <v>855</v>
      </c>
      <c r="D6066" s="31">
        <f t="shared" si="185"/>
        <v>4.8918445219802459E-2</v>
      </c>
      <c r="F6066" s="2" t="s">
        <v>822</v>
      </c>
      <c r="G6066" s="23" t="s">
        <v>902</v>
      </c>
      <c r="H6066" s="2" t="s">
        <v>822</v>
      </c>
      <c r="J6066" s="31">
        <v>63.808101700000002</v>
      </c>
      <c r="K6066" s="31">
        <v>-20.657699600000001</v>
      </c>
      <c r="L6066" s="31"/>
      <c r="M6066" s="31" t="s">
        <v>854</v>
      </c>
      <c r="N6066" s="6" t="s">
        <v>856</v>
      </c>
    </row>
    <row r="6067" spans="1:14" ht="15" customHeight="1" x14ac:dyDescent="0.2">
      <c r="A6067" s="31">
        <v>0.24933297946207869</v>
      </c>
      <c r="B6067" s="31"/>
      <c r="C6067" s="2" t="s">
        <v>855</v>
      </c>
      <c r="D6067" s="31">
        <f t="shared" si="185"/>
        <v>4.8869263974567423E-2</v>
      </c>
      <c r="F6067" s="2" t="s">
        <v>822</v>
      </c>
      <c r="G6067" s="23" t="s">
        <v>902</v>
      </c>
      <c r="H6067" s="2" t="s">
        <v>822</v>
      </c>
      <c r="J6067" s="31">
        <v>54.763999900000002</v>
      </c>
      <c r="K6067" s="31">
        <v>-30.5359993</v>
      </c>
      <c r="L6067" s="31"/>
      <c r="M6067" s="31" t="s">
        <v>854</v>
      </c>
      <c r="N6067" s="6" t="s">
        <v>856</v>
      </c>
    </row>
    <row r="6068" spans="1:14" ht="15" customHeight="1" x14ac:dyDescent="0.2">
      <c r="A6068" s="31">
        <v>0.24918474920026989</v>
      </c>
      <c r="B6068" s="31"/>
      <c r="C6068" s="2" t="s">
        <v>855</v>
      </c>
      <c r="D6068" s="31">
        <f t="shared" si="185"/>
        <v>4.88402108432529E-2</v>
      </c>
      <c r="F6068" s="2" t="s">
        <v>822</v>
      </c>
      <c r="G6068" s="23" t="s">
        <v>902</v>
      </c>
      <c r="H6068" s="2" t="s">
        <v>822</v>
      </c>
      <c r="J6068" s="31">
        <v>61.444000199999998</v>
      </c>
      <c r="K6068" s="31">
        <v>-27.864000300000001</v>
      </c>
      <c r="L6068" s="31"/>
      <c r="M6068" s="31" t="s">
        <v>854</v>
      </c>
      <c r="N6068" s="6" t="s">
        <v>856</v>
      </c>
    </row>
    <row r="6069" spans="1:14" ht="15" customHeight="1" x14ac:dyDescent="0.2">
      <c r="A6069" s="31">
        <v>0.24888742453816901</v>
      </c>
      <c r="B6069" s="31"/>
      <c r="C6069" s="2" t="s">
        <v>855</v>
      </c>
      <c r="D6069" s="31">
        <f t="shared" si="185"/>
        <v>4.8781935209481125E-2</v>
      </c>
      <c r="F6069" s="2" t="s">
        <v>822</v>
      </c>
      <c r="G6069" s="23" t="s">
        <v>902</v>
      </c>
      <c r="H6069" s="2" t="s">
        <v>822</v>
      </c>
      <c r="J6069" s="31">
        <v>54.096000699999998</v>
      </c>
      <c r="K6069" s="31">
        <v>-22.520000499999998</v>
      </c>
      <c r="L6069" s="31"/>
      <c r="M6069" s="31" t="s">
        <v>854</v>
      </c>
      <c r="N6069" s="6" t="s">
        <v>856</v>
      </c>
    </row>
    <row r="6070" spans="1:14" ht="15" customHeight="1" x14ac:dyDescent="0.2">
      <c r="A6070" s="31">
        <v>0.2485605113315488</v>
      </c>
      <c r="B6070" s="31"/>
      <c r="C6070" s="2" t="s">
        <v>855</v>
      </c>
      <c r="D6070" s="31">
        <f t="shared" si="185"/>
        <v>4.8717860220983566E-2</v>
      </c>
      <c r="F6070" s="2" t="s">
        <v>822</v>
      </c>
      <c r="G6070" s="23" t="s">
        <v>902</v>
      </c>
      <c r="H6070" s="2" t="s">
        <v>822</v>
      </c>
      <c r="J6070" s="31">
        <v>60.899600999999997</v>
      </c>
      <c r="K6070" s="31">
        <v>-1.1671499999999999</v>
      </c>
      <c r="L6070" s="31"/>
      <c r="M6070" s="31" t="s">
        <v>854</v>
      </c>
      <c r="N6070" s="6" t="s">
        <v>856</v>
      </c>
    </row>
    <row r="6071" spans="1:14" ht="15" customHeight="1" x14ac:dyDescent="0.2">
      <c r="A6071" s="31">
        <v>0.24854358810397481</v>
      </c>
      <c r="B6071" s="31"/>
      <c r="C6071" s="2" t="s">
        <v>855</v>
      </c>
      <c r="D6071" s="31">
        <f t="shared" si="185"/>
        <v>4.8714543268379068E-2</v>
      </c>
      <c r="F6071" s="2" t="s">
        <v>822</v>
      </c>
      <c r="G6071" s="23" t="s">
        <v>902</v>
      </c>
      <c r="H6071" s="2" t="s">
        <v>822</v>
      </c>
      <c r="J6071" s="31">
        <v>50.7168007</v>
      </c>
      <c r="K6071" s="31">
        <v>-37.876098599999999</v>
      </c>
      <c r="L6071" s="31"/>
      <c r="M6071" s="31" t="s">
        <v>854</v>
      </c>
      <c r="N6071" s="6" t="s">
        <v>856</v>
      </c>
    </row>
    <row r="6072" spans="1:14" ht="15" customHeight="1" x14ac:dyDescent="0.2">
      <c r="A6072" s="31">
        <v>0.24829335436558081</v>
      </c>
      <c r="B6072" s="31"/>
      <c r="C6072" s="2" t="s">
        <v>855</v>
      </c>
      <c r="D6072" s="31">
        <f t="shared" si="185"/>
        <v>4.8665497455653843E-2</v>
      </c>
      <c r="F6072" s="2" t="s">
        <v>822</v>
      </c>
      <c r="G6072" s="23" t="s">
        <v>902</v>
      </c>
      <c r="H6072" s="2" t="s">
        <v>822</v>
      </c>
      <c r="J6072" s="31">
        <v>59.439998600000003</v>
      </c>
      <c r="K6072" s="31">
        <v>-8.4919995999999998</v>
      </c>
      <c r="L6072" s="31"/>
      <c r="M6072" s="31" t="s">
        <v>854</v>
      </c>
      <c r="N6072" s="6" t="s">
        <v>856</v>
      </c>
    </row>
    <row r="6073" spans="1:14" ht="15" customHeight="1" x14ac:dyDescent="0.2">
      <c r="A6073" s="31">
        <v>0.24827801357820101</v>
      </c>
      <c r="B6073" s="31"/>
      <c r="C6073" s="2" t="s">
        <v>855</v>
      </c>
      <c r="D6073" s="31">
        <f t="shared" ref="D6073:D6104" si="186" xml:space="preserve"> A6073 * 0.196</f>
        <v>4.8662490661327398E-2</v>
      </c>
      <c r="F6073" s="2" t="s">
        <v>822</v>
      </c>
      <c r="G6073" s="23" t="s">
        <v>902</v>
      </c>
      <c r="H6073" s="2" t="s">
        <v>822</v>
      </c>
      <c r="J6073" s="31">
        <v>58.1040001</v>
      </c>
      <c r="K6073" s="31">
        <v>-23.187999699999999</v>
      </c>
      <c r="L6073" s="31"/>
      <c r="M6073" s="31" t="s">
        <v>854</v>
      </c>
      <c r="N6073" s="6" t="s">
        <v>856</v>
      </c>
    </row>
    <row r="6074" spans="1:14" ht="15" customHeight="1" x14ac:dyDescent="0.2">
      <c r="A6074" s="31">
        <v>0.24808399608773779</v>
      </c>
      <c r="B6074" s="31"/>
      <c r="C6074" s="2" t="s">
        <v>855</v>
      </c>
      <c r="D6074" s="31">
        <f t="shared" si="186"/>
        <v>4.8624463233196608E-2</v>
      </c>
      <c r="F6074" s="2" t="s">
        <v>822</v>
      </c>
      <c r="G6074" s="23" t="s">
        <v>902</v>
      </c>
      <c r="H6074" s="2" t="s">
        <v>822</v>
      </c>
      <c r="J6074" s="31">
        <v>64.356903099999997</v>
      </c>
      <c r="K6074" s="31">
        <v>5.9532198999999997</v>
      </c>
      <c r="L6074" s="31"/>
      <c r="M6074" s="31" t="s">
        <v>854</v>
      </c>
      <c r="N6074" s="6" t="s">
        <v>856</v>
      </c>
    </row>
    <row r="6075" spans="1:14" ht="15" customHeight="1" x14ac:dyDescent="0.2">
      <c r="A6075" s="31">
        <v>0.2475818841478083</v>
      </c>
      <c r="B6075" s="31"/>
      <c r="C6075" s="2" t="s">
        <v>855</v>
      </c>
      <c r="D6075" s="31">
        <f t="shared" si="186"/>
        <v>4.8526049292970427E-2</v>
      </c>
      <c r="F6075" s="2" t="s">
        <v>822</v>
      </c>
      <c r="G6075" s="23" t="s">
        <v>902</v>
      </c>
      <c r="H6075" s="2" t="s">
        <v>822</v>
      </c>
      <c r="J6075" s="31">
        <v>57.436000800000002</v>
      </c>
      <c r="K6075" s="31">
        <v>-19.847999600000001</v>
      </c>
      <c r="L6075" s="31"/>
      <c r="M6075" s="31" t="s">
        <v>854</v>
      </c>
      <c r="N6075" s="6" t="s">
        <v>856</v>
      </c>
    </row>
    <row r="6076" spans="1:14" ht="15" customHeight="1" x14ac:dyDescent="0.2">
      <c r="A6076" s="31">
        <v>0.24756216621105109</v>
      </c>
      <c r="B6076" s="31"/>
      <c r="C6076" s="2" t="s">
        <v>855</v>
      </c>
      <c r="D6076" s="31">
        <f t="shared" si="186"/>
        <v>4.8522184577366019E-2</v>
      </c>
      <c r="F6076" s="2" t="s">
        <v>822</v>
      </c>
      <c r="G6076" s="23" t="s">
        <v>902</v>
      </c>
      <c r="H6076" s="2" t="s">
        <v>822</v>
      </c>
      <c r="J6076" s="31">
        <v>56.424900100000002</v>
      </c>
      <c r="K6076" s="31">
        <v>-14.1487999</v>
      </c>
      <c r="L6076" s="31"/>
      <c r="M6076" s="31" t="s">
        <v>854</v>
      </c>
      <c r="N6076" s="6" t="s">
        <v>856</v>
      </c>
    </row>
    <row r="6077" spans="1:14" ht="15" customHeight="1" x14ac:dyDescent="0.2">
      <c r="A6077" s="31">
        <v>0.2475610524534673</v>
      </c>
      <c r="B6077" s="31"/>
      <c r="C6077" s="2" t="s">
        <v>855</v>
      </c>
      <c r="D6077" s="31">
        <f t="shared" si="186"/>
        <v>4.852196628087959E-2</v>
      </c>
      <c r="F6077" s="2" t="s">
        <v>822</v>
      </c>
      <c r="G6077" s="23" t="s">
        <v>902</v>
      </c>
      <c r="H6077" s="2" t="s">
        <v>822</v>
      </c>
      <c r="J6077" s="31">
        <v>61.444000199999998</v>
      </c>
      <c r="K6077" s="31">
        <v>-22.520000499999998</v>
      </c>
      <c r="L6077" s="31"/>
      <c r="M6077" s="31" t="s">
        <v>854</v>
      </c>
      <c r="N6077" s="6" t="s">
        <v>856</v>
      </c>
    </row>
    <row r="6078" spans="1:14" ht="15" customHeight="1" x14ac:dyDescent="0.2">
      <c r="A6078" s="31">
        <v>0.2474779008925698</v>
      </c>
      <c r="B6078" s="31"/>
      <c r="C6078" s="2" t="s">
        <v>855</v>
      </c>
      <c r="D6078" s="31">
        <f t="shared" si="186"/>
        <v>4.8505668574943685E-2</v>
      </c>
      <c r="F6078" s="2" t="s">
        <v>822</v>
      </c>
      <c r="G6078" s="23" t="s">
        <v>902</v>
      </c>
      <c r="H6078" s="2" t="s">
        <v>822</v>
      </c>
      <c r="J6078" s="31">
        <v>60.776001000000001</v>
      </c>
      <c r="K6078" s="31">
        <v>-10.4960003</v>
      </c>
      <c r="L6078" s="31"/>
      <c r="M6078" s="31" t="s">
        <v>854</v>
      </c>
      <c r="N6078" s="6" t="s">
        <v>856</v>
      </c>
    </row>
    <row r="6079" spans="1:14" ht="15" customHeight="1" x14ac:dyDescent="0.2">
      <c r="A6079" s="31">
        <v>0.24734249274517719</v>
      </c>
      <c r="B6079" s="31"/>
      <c r="C6079" s="2" t="s">
        <v>855</v>
      </c>
      <c r="D6079" s="31">
        <f t="shared" si="186"/>
        <v>4.8479128578054732E-2</v>
      </c>
      <c r="F6079" s="2" t="s">
        <v>822</v>
      </c>
      <c r="G6079" s="23" t="s">
        <v>902</v>
      </c>
      <c r="H6079" s="2" t="s">
        <v>822</v>
      </c>
      <c r="J6079" s="31">
        <v>54.096000699999998</v>
      </c>
      <c r="K6079" s="31">
        <v>-28.531999599999999</v>
      </c>
      <c r="L6079" s="31"/>
      <c r="M6079" s="31" t="s">
        <v>854</v>
      </c>
      <c r="N6079" s="6" t="s">
        <v>856</v>
      </c>
    </row>
    <row r="6080" spans="1:14" ht="15" customHeight="1" x14ac:dyDescent="0.2">
      <c r="A6080" s="31">
        <v>0.2472554205005412</v>
      </c>
      <c r="B6080" s="31"/>
      <c r="C6080" s="2" t="s">
        <v>855</v>
      </c>
      <c r="D6080" s="31">
        <f t="shared" si="186"/>
        <v>4.8462062418106078E-2</v>
      </c>
      <c r="F6080" s="2" t="s">
        <v>822</v>
      </c>
      <c r="G6080" s="23" t="s">
        <v>902</v>
      </c>
      <c r="H6080" s="2" t="s">
        <v>822</v>
      </c>
      <c r="J6080" s="31">
        <v>59.439998600000003</v>
      </c>
      <c r="K6080" s="31">
        <v>-13.8360004</v>
      </c>
      <c r="L6080" s="31"/>
      <c r="M6080" s="31" t="s">
        <v>854</v>
      </c>
      <c r="N6080" s="6" t="s">
        <v>856</v>
      </c>
    </row>
    <row r="6081" spans="1:14" ht="15" customHeight="1" x14ac:dyDescent="0.2">
      <c r="A6081" s="31">
        <v>0.2470811617808169</v>
      </c>
      <c r="B6081" s="31"/>
      <c r="C6081" s="2" t="s">
        <v>855</v>
      </c>
      <c r="D6081" s="31">
        <f t="shared" si="186"/>
        <v>4.8427907709040117E-2</v>
      </c>
      <c r="F6081" s="2" t="s">
        <v>822</v>
      </c>
      <c r="G6081" s="23" t="s">
        <v>902</v>
      </c>
      <c r="H6081" s="2" t="s">
        <v>822</v>
      </c>
      <c r="J6081" s="31">
        <v>58.771999399999999</v>
      </c>
      <c r="K6081" s="31">
        <v>-28.531999599999999</v>
      </c>
      <c r="L6081" s="31"/>
      <c r="M6081" s="31" t="s">
        <v>854</v>
      </c>
      <c r="N6081" s="6" t="s">
        <v>856</v>
      </c>
    </row>
    <row r="6082" spans="1:14" ht="15" customHeight="1" x14ac:dyDescent="0.2">
      <c r="A6082" s="31">
        <v>0.2469074793932666</v>
      </c>
      <c r="B6082" s="31"/>
      <c r="C6082" s="2" t="s">
        <v>855</v>
      </c>
      <c r="D6082" s="31">
        <f t="shared" si="186"/>
        <v>4.8393865961080258E-2</v>
      </c>
      <c r="F6082" s="2" t="s">
        <v>822</v>
      </c>
      <c r="G6082" s="23" t="s">
        <v>902</v>
      </c>
      <c r="H6082" s="2" t="s">
        <v>822</v>
      </c>
      <c r="J6082" s="31">
        <v>58.106601699999999</v>
      </c>
      <c r="K6082" s="31">
        <v>-14.5045004</v>
      </c>
      <c r="L6082" s="31"/>
      <c r="M6082" s="31" t="s">
        <v>854</v>
      </c>
      <c r="N6082" s="6" t="s">
        <v>856</v>
      </c>
    </row>
    <row r="6083" spans="1:14" ht="15" customHeight="1" x14ac:dyDescent="0.2">
      <c r="A6083" s="31">
        <v>0.24678564657228391</v>
      </c>
      <c r="B6083" s="31"/>
      <c r="C6083" s="2" t="s">
        <v>855</v>
      </c>
      <c r="D6083" s="31">
        <f t="shared" si="186"/>
        <v>4.8369986728167648E-2</v>
      </c>
      <c r="F6083" s="2" t="s">
        <v>822</v>
      </c>
      <c r="G6083" s="23" t="s">
        <v>902</v>
      </c>
      <c r="H6083" s="2" t="s">
        <v>822</v>
      </c>
      <c r="J6083" s="31">
        <v>50.772998800000003</v>
      </c>
      <c r="K6083" s="31">
        <v>-42.558399199999997</v>
      </c>
      <c r="L6083" s="31"/>
      <c r="M6083" s="31" t="s">
        <v>854</v>
      </c>
      <c r="N6083" s="6" t="s">
        <v>856</v>
      </c>
    </row>
    <row r="6084" spans="1:14" ht="15" customHeight="1" x14ac:dyDescent="0.2">
      <c r="A6084" s="31">
        <v>0.24666269004256089</v>
      </c>
      <c r="B6084" s="31"/>
      <c r="C6084" s="2" t="s">
        <v>855</v>
      </c>
      <c r="D6084" s="31">
        <f t="shared" si="186"/>
        <v>4.8345887248341934E-2</v>
      </c>
      <c r="F6084" s="2" t="s">
        <v>822</v>
      </c>
      <c r="G6084" s="23" t="s">
        <v>902</v>
      </c>
      <c r="H6084" s="2" t="s">
        <v>822</v>
      </c>
      <c r="J6084" s="31">
        <v>51.423999799999997</v>
      </c>
      <c r="K6084" s="31">
        <v>-40.555999800000002</v>
      </c>
      <c r="L6084" s="31"/>
      <c r="M6084" s="31" t="s">
        <v>854</v>
      </c>
      <c r="N6084" s="6" t="s">
        <v>856</v>
      </c>
    </row>
    <row r="6085" spans="1:14" ht="15" customHeight="1" x14ac:dyDescent="0.2">
      <c r="A6085" s="31">
        <v>0.2464709014551523</v>
      </c>
      <c r="B6085" s="31"/>
      <c r="C6085" s="2" t="s">
        <v>855</v>
      </c>
      <c r="D6085" s="31">
        <f t="shared" si="186"/>
        <v>4.8308296685209855E-2</v>
      </c>
      <c r="F6085" s="2" t="s">
        <v>822</v>
      </c>
      <c r="G6085" s="23" t="s">
        <v>902</v>
      </c>
      <c r="H6085" s="2" t="s">
        <v>822</v>
      </c>
      <c r="J6085" s="31">
        <v>60.108001700000003</v>
      </c>
      <c r="K6085" s="31">
        <v>-22.520000499999998</v>
      </c>
      <c r="L6085" s="31"/>
      <c r="M6085" s="31" t="s">
        <v>854</v>
      </c>
      <c r="N6085" s="6" t="s">
        <v>856</v>
      </c>
    </row>
    <row r="6086" spans="1:14" ht="15" customHeight="1" x14ac:dyDescent="0.2">
      <c r="A6086" s="31">
        <v>0.24634405401509249</v>
      </c>
      <c r="B6086" s="31"/>
      <c r="C6086" s="2" t="s">
        <v>855</v>
      </c>
      <c r="D6086" s="31">
        <f t="shared" si="186"/>
        <v>4.8283434586958128E-2</v>
      </c>
      <c r="F6086" s="2" t="s">
        <v>822</v>
      </c>
      <c r="G6086" s="23" t="s">
        <v>902</v>
      </c>
      <c r="H6086" s="2" t="s">
        <v>822</v>
      </c>
      <c r="J6086" s="31">
        <v>58.1040001</v>
      </c>
      <c r="K6086" s="31">
        <v>-24.5240002</v>
      </c>
      <c r="L6086" s="31"/>
      <c r="M6086" s="31" t="s">
        <v>854</v>
      </c>
      <c r="N6086" s="6" t="s">
        <v>856</v>
      </c>
    </row>
    <row r="6087" spans="1:14" ht="15" customHeight="1" x14ac:dyDescent="0.2">
      <c r="A6087" s="31">
        <v>0.2459962139174792</v>
      </c>
      <c r="B6087" s="31"/>
      <c r="C6087" s="2" t="s">
        <v>855</v>
      </c>
      <c r="D6087" s="31">
        <f t="shared" si="186"/>
        <v>4.8215257927825925E-2</v>
      </c>
      <c r="F6087" s="2" t="s">
        <v>822</v>
      </c>
      <c r="G6087" s="23" t="s">
        <v>902</v>
      </c>
      <c r="H6087" s="2" t="s">
        <v>822</v>
      </c>
      <c r="J6087" s="31">
        <v>61.964199100000002</v>
      </c>
      <c r="K6087" s="31">
        <v>3.2178900000000001</v>
      </c>
      <c r="L6087" s="31"/>
      <c r="M6087" s="31" t="s">
        <v>854</v>
      </c>
      <c r="N6087" s="6" t="s">
        <v>856</v>
      </c>
    </row>
    <row r="6088" spans="1:14" ht="15" customHeight="1" x14ac:dyDescent="0.2">
      <c r="A6088" s="31">
        <v>0.24546742545730241</v>
      </c>
      <c r="B6088" s="31"/>
      <c r="C6088" s="2" t="s">
        <v>855</v>
      </c>
      <c r="D6088" s="31">
        <f t="shared" si="186"/>
        <v>4.8111615389631275E-2</v>
      </c>
      <c r="F6088" s="2" t="s">
        <v>822</v>
      </c>
      <c r="G6088" s="23" t="s">
        <v>902</v>
      </c>
      <c r="H6088" s="2" t="s">
        <v>822</v>
      </c>
      <c r="J6088" s="31">
        <v>64.579299899999995</v>
      </c>
      <c r="K6088" s="31">
        <v>6.3876200000000001</v>
      </c>
      <c r="L6088" s="31"/>
      <c r="M6088" s="31" t="s">
        <v>854</v>
      </c>
      <c r="N6088" s="6" t="s">
        <v>856</v>
      </c>
    </row>
    <row r="6089" spans="1:14" ht="15" customHeight="1" x14ac:dyDescent="0.2">
      <c r="A6089" s="31">
        <v>0.24542259744602979</v>
      </c>
      <c r="B6089" s="31"/>
      <c r="C6089" s="2" t="s">
        <v>855</v>
      </c>
      <c r="D6089" s="31">
        <f t="shared" si="186"/>
        <v>4.8102829099421839E-2</v>
      </c>
      <c r="F6089" s="2" t="s">
        <v>822</v>
      </c>
      <c r="G6089" s="23" t="s">
        <v>902</v>
      </c>
      <c r="H6089" s="2" t="s">
        <v>822</v>
      </c>
      <c r="J6089" s="31">
        <v>54.096000699999998</v>
      </c>
      <c r="K6089" s="31">
        <v>-25.1919994</v>
      </c>
      <c r="L6089" s="31"/>
      <c r="M6089" s="31" t="s">
        <v>854</v>
      </c>
      <c r="N6089" s="6" t="s">
        <v>856</v>
      </c>
    </row>
    <row r="6090" spans="1:14" ht="15" customHeight="1" x14ac:dyDescent="0.2">
      <c r="A6090" s="31">
        <v>0.2453741858076377</v>
      </c>
      <c r="B6090" s="31"/>
      <c r="C6090" s="2" t="s">
        <v>855</v>
      </c>
      <c r="D6090" s="31">
        <f t="shared" si="186"/>
        <v>4.8093340418296993E-2</v>
      </c>
      <c r="F6090" s="2" t="s">
        <v>822</v>
      </c>
      <c r="G6090" s="23" t="s">
        <v>902</v>
      </c>
      <c r="H6090" s="2" t="s">
        <v>822</v>
      </c>
      <c r="J6090" s="31">
        <v>58.1040001</v>
      </c>
      <c r="K6090" s="31">
        <v>-33.875999499999999</v>
      </c>
      <c r="L6090" s="31"/>
      <c r="M6090" s="31" t="s">
        <v>854</v>
      </c>
      <c r="N6090" s="6" t="s">
        <v>856</v>
      </c>
    </row>
    <row r="6091" spans="1:14" ht="15" customHeight="1" x14ac:dyDescent="0.2">
      <c r="A6091" s="31">
        <v>0.24534291006834061</v>
      </c>
      <c r="B6091" s="31"/>
      <c r="C6091" s="2" t="s">
        <v>855</v>
      </c>
      <c r="D6091" s="31">
        <f t="shared" si="186"/>
        <v>4.8087210373394758E-2</v>
      </c>
      <c r="F6091" s="2" t="s">
        <v>822</v>
      </c>
      <c r="G6091" s="23" t="s">
        <v>902</v>
      </c>
      <c r="H6091" s="2" t="s">
        <v>822</v>
      </c>
      <c r="J6091" s="31">
        <v>61.294300100000001</v>
      </c>
      <c r="K6091" s="31">
        <v>2.0399498999999999</v>
      </c>
      <c r="L6091" s="31"/>
      <c r="M6091" s="31" t="s">
        <v>854</v>
      </c>
      <c r="N6091" s="6" t="s">
        <v>856</v>
      </c>
    </row>
    <row r="6092" spans="1:14" ht="15" customHeight="1" x14ac:dyDescent="0.2">
      <c r="A6092" s="31">
        <v>0.24530616488101009</v>
      </c>
      <c r="B6092" s="31"/>
      <c r="C6092" s="2" t="s">
        <v>855</v>
      </c>
      <c r="D6092" s="31">
        <f t="shared" si="186"/>
        <v>4.8080008316677983E-2</v>
      </c>
      <c r="F6092" s="2" t="s">
        <v>822</v>
      </c>
      <c r="G6092" s="23" t="s">
        <v>902</v>
      </c>
      <c r="H6092" s="2" t="s">
        <v>822</v>
      </c>
      <c r="J6092" s="31">
        <v>59.463600200000002</v>
      </c>
      <c r="K6092" s="31">
        <v>-5.9581599000000001</v>
      </c>
      <c r="L6092" s="31"/>
      <c r="M6092" s="31" t="s">
        <v>854</v>
      </c>
      <c r="N6092" s="6" t="s">
        <v>856</v>
      </c>
    </row>
    <row r="6093" spans="1:14" ht="15" customHeight="1" x14ac:dyDescent="0.2">
      <c r="A6093" s="31">
        <v>0.2452820062603549</v>
      </c>
      <c r="B6093" s="31"/>
      <c r="C6093" s="2" t="s">
        <v>855</v>
      </c>
      <c r="D6093" s="31">
        <f t="shared" si="186"/>
        <v>4.8075273227029564E-2</v>
      </c>
      <c r="F6093" s="2" t="s">
        <v>822</v>
      </c>
      <c r="G6093" s="23" t="s">
        <v>902</v>
      </c>
      <c r="H6093" s="2" t="s">
        <v>822</v>
      </c>
      <c r="J6093" s="31">
        <v>47.416000400000001</v>
      </c>
      <c r="K6093" s="31">
        <v>-13.8360004</v>
      </c>
      <c r="L6093" s="31"/>
      <c r="M6093" s="31" t="s">
        <v>854</v>
      </c>
      <c r="N6093" s="6" t="s">
        <v>856</v>
      </c>
    </row>
    <row r="6094" spans="1:14" ht="15" customHeight="1" x14ac:dyDescent="0.2">
      <c r="A6094" s="31">
        <v>0.24525527854431831</v>
      </c>
      <c r="B6094" s="31"/>
      <c r="C6094" s="2" t="s">
        <v>855</v>
      </c>
      <c r="D6094" s="31">
        <f t="shared" si="186"/>
        <v>4.8070034594686388E-2</v>
      </c>
      <c r="F6094" s="2" t="s">
        <v>822</v>
      </c>
      <c r="G6094" s="23" t="s">
        <v>902</v>
      </c>
      <c r="H6094" s="2" t="s">
        <v>822</v>
      </c>
      <c r="J6094" s="31">
        <v>63.715900400000002</v>
      </c>
      <c r="K6094" s="31">
        <v>8.9309902000000001</v>
      </c>
      <c r="L6094" s="31"/>
      <c r="M6094" s="31" t="s">
        <v>854</v>
      </c>
      <c r="N6094" s="6" t="s">
        <v>856</v>
      </c>
    </row>
    <row r="6095" spans="1:14" ht="15" customHeight="1" x14ac:dyDescent="0.2">
      <c r="A6095" s="31">
        <v>0.2450166047542652</v>
      </c>
      <c r="B6095" s="31"/>
      <c r="C6095" s="2" t="s">
        <v>855</v>
      </c>
      <c r="D6095" s="31">
        <f t="shared" si="186"/>
        <v>4.8023254531835979E-2</v>
      </c>
      <c r="F6095" s="2" t="s">
        <v>822</v>
      </c>
      <c r="G6095" s="23" t="s">
        <v>902</v>
      </c>
      <c r="H6095" s="2" t="s">
        <v>822</v>
      </c>
      <c r="J6095" s="31">
        <v>54.097801199999999</v>
      </c>
      <c r="K6095" s="31">
        <v>-37.1814003</v>
      </c>
      <c r="L6095" s="31"/>
      <c r="M6095" s="31" t="s">
        <v>854</v>
      </c>
      <c r="N6095" s="6" t="s">
        <v>856</v>
      </c>
    </row>
    <row r="6096" spans="1:14" ht="15" customHeight="1" x14ac:dyDescent="0.2">
      <c r="A6096" s="31">
        <v>0.24498445469904501</v>
      </c>
      <c r="B6096" s="31"/>
      <c r="C6096" s="2" t="s">
        <v>855</v>
      </c>
      <c r="D6096" s="31">
        <f t="shared" si="186"/>
        <v>4.8016953121012826E-2</v>
      </c>
      <c r="F6096" s="2" t="s">
        <v>822</v>
      </c>
      <c r="G6096" s="23" t="s">
        <v>902</v>
      </c>
      <c r="H6096" s="2" t="s">
        <v>822</v>
      </c>
      <c r="J6096" s="31">
        <v>59.129398299999998</v>
      </c>
      <c r="K6096" s="31">
        <v>5.3659100999999998</v>
      </c>
      <c r="L6096" s="31"/>
      <c r="M6096" s="31" t="s">
        <v>854</v>
      </c>
      <c r="N6096" s="6" t="s">
        <v>856</v>
      </c>
    </row>
    <row r="6097" spans="1:14" ht="15" customHeight="1" x14ac:dyDescent="0.2">
      <c r="A6097" s="31">
        <v>0.244923050761473</v>
      </c>
      <c r="B6097" s="31"/>
      <c r="C6097" s="2" t="s">
        <v>855</v>
      </c>
      <c r="D6097" s="31">
        <f t="shared" si="186"/>
        <v>4.8004917949248709E-2</v>
      </c>
      <c r="F6097" s="2" t="s">
        <v>822</v>
      </c>
      <c r="G6097" s="23" t="s">
        <v>902</v>
      </c>
      <c r="H6097" s="2" t="s">
        <v>822</v>
      </c>
      <c r="J6097" s="31">
        <v>60.776001000000001</v>
      </c>
      <c r="K6097" s="31">
        <v>-16.507999399999999</v>
      </c>
      <c r="L6097" s="31"/>
      <c r="M6097" s="31" t="s">
        <v>854</v>
      </c>
      <c r="N6097" s="6" t="s">
        <v>856</v>
      </c>
    </row>
    <row r="6098" spans="1:14" ht="15" customHeight="1" x14ac:dyDescent="0.2">
      <c r="A6098" s="31">
        <v>0.2447074393515497</v>
      </c>
      <c r="B6098" s="31"/>
      <c r="C6098" s="2" t="s">
        <v>855</v>
      </c>
      <c r="D6098" s="31">
        <f t="shared" si="186"/>
        <v>4.7962658112903747E-2</v>
      </c>
      <c r="F6098" s="2" t="s">
        <v>822</v>
      </c>
      <c r="G6098" s="23" t="s">
        <v>902</v>
      </c>
      <c r="H6098" s="2" t="s">
        <v>822</v>
      </c>
      <c r="J6098" s="31">
        <v>52.758899700000001</v>
      </c>
      <c r="K6098" s="31">
        <v>-34.546699500000003</v>
      </c>
      <c r="L6098" s="31"/>
      <c r="M6098" s="31" t="s">
        <v>854</v>
      </c>
      <c r="N6098" s="6" t="s">
        <v>856</v>
      </c>
    </row>
    <row r="6099" spans="1:14" ht="15" customHeight="1" x14ac:dyDescent="0.2">
      <c r="A6099" s="31">
        <v>0.24433883768393111</v>
      </c>
      <c r="B6099" s="31"/>
      <c r="C6099" s="2" t="s">
        <v>855</v>
      </c>
      <c r="D6099" s="31">
        <f t="shared" si="186"/>
        <v>4.7890412186050502E-2</v>
      </c>
      <c r="F6099" s="2" t="s">
        <v>822</v>
      </c>
      <c r="G6099" s="23" t="s">
        <v>902</v>
      </c>
      <c r="H6099" s="2" t="s">
        <v>822</v>
      </c>
      <c r="J6099" s="31">
        <v>57.654998800000001</v>
      </c>
      <c r="K6099" s="31">
        <v>-9.2036200000000008</v>
      </c>
      <c r="L6099" s="31"/>
      <c r="M6099" s="31" t="s">
        <v>854</v>
      </c>
      <c r="N6099" s="6" t="s">
        <v>856</v>
      </c>
    </row>
    <row r="6100" spans="1:14" ht="15" customHeight="1" x14ac:dyDescent="0.2">
      <c r="A6100" s="31">
        <v>0.24422287840765511</v>
      </c>
      <c r="B6100" s="31"/>
      <c r="C6100" s="2" t="s">
        <v>855</v>
      </c>
      <c r="D6100" s="31">
        <f t="shared" si="186"/>
        <v>4.7867684167900403E-2</v>
      </c>
      <c r="F6100" s="2" t="s">
        <v>822</v>
      </c>
      <c r="G6100" s="23" t="s">
        <v>902</v>
      </c>
      <c r="H6100" s="2" t="s">
        <v>822</v>
      </c>
      <c r="J6100" s="31">
        <v>59.016799900000002</v>
      </c>
      <c r="K6100" s="31">
        <v>-2.3124498999999998</v>
      </c>
      <c r="L6100" s="31"/>
      <c r="M6100" s="31" t="s">
        <v>854</v>
      </c>
      <c r="N6100" s="6" t="s">
        <v>856</v>
      </c>
    </row>
    <row r="6101" spans="1:14" ht="15" customHeight="1" x14ac:dyDescent="0.2">
      <c r="A6101" s="31">
        <v>0.24420084370950829</v>
      </c>
      <c r="B6101" s="31"/>
      <c r="C6101" s="2" t="s">
        <v>855</v>
      </c>
      <c r="D6101" s="31">
        <f t="shared" si="186"/>
        <v>4.7863365367063627E-2</v>
      </c>
      <c r="F6101" s="2" t="s">
        <v>822</v>
      </c>
      <c r="G6101" s="23" t="s">
        <v>902</v>
      </c>
      <c r="H6101" s="2" t="s">
        <v>822</v>
      </c>
      <c r="J6101" s="31">
        <v>61.441898299999998</v>
      </c>
      <c r="K6101" s="31">
        <v>-6.3207697999999999</v>
      </c>
      <c r="L6101" s="31"/>
      <c r="M6101" s="31" t="s">
        <v>854</v>
      </c>
      <c r="N6101" s="6" t="s">
        <v>856</v>
      </c>
    </row>
    <row r="6102" spans="1:14" ht="15" customHeight="1" x14ac:dyDescent="0.2">
      <c r="A6102" s="31">
        <v>0.24419478074242931</v>
      </c>
      <c r="B6102" s="31"/>
      <c r="C6102" s="2" t="s">
        <v>855</v>
      </c>
      <c r="D6102" s="31">
        <f t="shared" si="186"/>
        <v>4.786217702551615E-2</v>
      </c>
      <c r="F6102" s="2" t="s">
        <v>822</v>
      </c>
      <c r="G6102" s="23" t="s">
        <v>902</v>
      </c>
      <c r="H6102" s="2" t="s">
        <v>822</v>
      </c>
      <c r="J6102" s="31">
        <v>60.108001700000003</v>
      </c>
      <c r="K6102" s="31">
        <v>-7.8239998999999996</v>
      </c>
      <c r="L6102" s="31"/>
      <c r="M6102" s="31" t="s">
        <v>854</v>
      </c>
      <c r="N6102" s="6" t="s">
        <v>856</v>
      </c>
    </row>
    <row r="6103" spans="1:14" ht="15" customHeight="1" x14ac:dyDescent="0.2">
      <c r="A6103" s="31">
        <v>0.2441680974974699</v>
      </c>
      <c r="B6103" s="31"/>
      <c r="C6103" s="2" t="s">
        <v>855</v>
      </c>
      <c r="D6103" s="31">
        <f t="shared" si="186"/>
        <v>4.7856947109504104E-2</v>
      </c>
      <c r="F6103" s="2" t="s">
        <v>822</v>
      </c>
      <c r="G6103" s="23" t="s">
        <v>902</v>
      </c>
      <c r="H6103" s="2" t="s">
        <v>822</v>
      </c>
      <c r="J6103" s="31">
        <v>57.002601599999998</v>
      </c>
      <c r="K6103" s="31">
        <v>6.3878398000000001</v>
      </c>
      <c r="L6103" s="31"/>
      <c r="M6103" s="31" t="s">
        <v>854</v>
      </c>
      <c r="N6103" s="6" t="s">
        <v>856</v>
      </c>
    </row>
    <row r="6104" spans="1:14" ht="15" customHeight="1" x14ac:dyDescent="0.2">
      <c r="A6104" s="31">
        <v>0.24377791460100909</v>
      </c>
      <c r="B6104" s="31"/>
      <c r="C6104" s="2" t="s">
        <v>855</v>
      </c>
      <c r="D6104" s="31">
        <f t="shared" si="186"/>
        <v>4.7780471261797783E-2</v>
      </c>
      <c r="F6104" s="2" t="s">
        <v>822</v>
      </c>
      <c r="G6104" s="23" t="s">
        <v>902</v>
      </c>
      <c r="H6104" s="2" t="s">
        <v>822</v>
      </c>
      <c r="J6104" s="31">
        <v>60.881599399999999</v>
      </c>
      <c r="K6104" s="31">
        <v>-2.48</v>
      </c>
      <c r="L6104" s="31"/>
      <c r="M6104" s="31" t="s">
        <v>854</v>
      </c>
      <c r="N6104" s="6" t="s">
        <v>856</v>
      </c>
    </row>
    <row r="6105" spans="1:14" ht="15" customHeight="1" x14ac:dyDescent="0.2">
      <c r="A6105" s="31">
        <v>0.24374915204678169</v>
      </c>
      <c r="B6105" s="31"/>
      <c r="C6105" s="2" t="s">
        <v>855</v>
      </c>
      <c r="D6105" s="31">
        <f t="shared" ref="D6105:D6136" si="187" xml:space="preserve"> A6105 * 0.196</f>
        <v>4.777483380116921E-2</v>
      </c>
      <c r="F6105" s="2" t="s">
        <v>822</v>
      </c>
      <c r="G6105" s="23" t="s">
        <v>902</v>
      </c>
      <c r="H6105" s="2" t="s">
        <v>822</v>
      </c>
      <c r="J6105" s="31">
        <v>64.802902200000005</v>
      </c>
      <c r="K6105" s="31">
        <v>-26.513999900000002</v>
      </c>
      <c r="L6105" s="31"/>
      <c r="M6105" s="31" t="s">
        <v>854</v>
      </c>
      <c r="N6105" s="6" t="s">
        <v>856</v>
      </c>
    </row>
    <row r="6106" spans="1:14" ht="15" customHeight="1" x14ac:dyDescent="0.2">
      <c r="A6106" s="31">
        <v>0.2434366583503644</v>
      </c>
      <c r="B6106" s="31"/>
      <c r="C6106" s="2" t="s">
        <v>855</v>
      </c>
      <c r="D6106" s="31">
        <f t="shared" si="187"/>
        <v>4.7713585036671426E-2</v>
      </c>
      <c r="F6106" s="2" t="s">
        <v>822</v>
      </c>
      <c r="G6106" s="23" t="s">
        <v>902</v>
      </c>
      <c r="H6106" s="2" t="s">
        <v>822</v>
      </c>
      <c r="J6106" s="31">
        <v>56.768001599999998</v>
      </c>
      <c r="K6106" s="31">
        <v>-21.184000000000001</v>
      </c>
      <c r="L6106" s="31"/>
      <c r="M6106" s="31" t="s">
        <v>854</v>
      </c>
      <c r="N6106" s="6" t="s">
        <v>856</v>
      </c>
    </row>
    <row r="6107" spans="1:14" ht="15" customHeight="1" x14ac:dyDescent="0.2">
      <c r="A6107" s="31">
        <v>0.24300559084651549</v>
      </c>
      <c r="B6107" s="31"/>
      <c r="C6107" s="2" t="s">
        <v>855</v>
      </c>
      <c r="D6107" s="31">
        <f t="shared" si="187"/>
        <v>4.7629095805917038E-2</v>
      </c>
      <c r="F6107" s="2" t="s">
        <v>822</v>
      </c>
      <c r="G6107" s="23" t="s">
        <v>902</v>
      </c>
      <c r="H6107" s="2" t="s">
        <v>822</v>
      </c>
      <c r="J6107" s="31">
        <v>59.439998600000003</v>
      </c>
      <c r="K6107" s="31">
        <v>-1.03616</v>
      </c>
      <c r="L6107" s="31"/>
      <c r="M6107" s="31" t="s">
        <v>854</v>
      </c>
      <c r="N6107" s="6" t="s">
        <v>856</v>
      </c>
    </row>
    <row r="6108" spans="1:14" ht="15" customHeight="1" x14ac:dyDescent="0.2">
      <c r="A6108" s="31">
        <v>0.24296983339477191</v>
      </c>
      <c r="B6108" s="31"/>
      <c r="C6108" s="2" t="s">
        <v>855</v>
      </c>
      <c r="D6108" s="31">
        <f t="shared" si="187"/>
        <v>4.7622087345375298E-2</v>
      </c>
      <c r="F6108" s="2" t="s">
        <v>822</v>
      </c>
      <c r="G6108" s="23" t="s">
        <v>902</v>
      </c>
      <c r="H6108" s="2" t="s">
        <v>822</v>
      </c>
      <c r="J6108" s="31">
        <v>56.099998499999998</v>
      </c>
      <c r="K6108" s="31">
        <v>-33.875999499999999</v>
      </c>
      <c r="L6108" s="31"/>
      <c r="M6108" s="31" t="s">
        <v>854</v>
      </c>
      <c r="N6108" s="6" t="s">
        <v>856</v>
      </c>
    </row>
    <row r="6109" spans="1:14" ht="15" customHeight="1" x14ac:dyDescent="0.2">
      <c r="A6109" s="31">
        <v>0.24285370241777851</v>
      </c>
      <c r="B6109" s="31"/>
      <c r="C6109" s="2" t="s">
        <v>855</v>
      </c>
      <c r="D6109" s="31">
        <f t="shared" si="187"/>
        <v>4.7599325673884592E-2</v>
      </c>
      <c r="F6109" s="2" t="s">
        <v>822</v>
      </c>
      <c r="G6109" s="23" t="s">
        <v>902</v>
      </c>
      <c r="H6109" s="2" t="s">
        <v>822</v>
      </c>
      <c r="J6109" s="31">
        <v>56.080898300000001</v>
      </c>
      <c r="K6109" s="31">
        <v>-9.9203901000000005</v>
      </c>
      <c r="L6109" s="31"/>
      <c r="M6109" s="31" t="s">
        <v>854</v>
      </c>
      <c r="N6109" s="6" t="s">
        <v>856</v>
      </c>
    </row>
    <row r="6110" spans="1:14" ht="15" customHeight="1" x14ac:dyDescent="0.2">
      <c r="A6110" s="31">
        <v>0.2427953555413197</v>
      </c>
      <c r="B6110" s="31"/>
      <c r="C6110" s="2" t="s">
        <v>855</v>
      </c>
      <c r="D6110" s="31">
        <f t="shared" si="187"/>
        <v>4.7587889686098665E-2</v>
      </c>
      <c r="F6110" s="2" t="s">
        <v>822</v>
      </c>
      <c r="G6110" s="23" t="s">
        <v>902</v>
      </c>
      <c r="H6110" s="2" t="s">
        <v>822</v>
      </c>
      <c r="J6110" s="31">
        <v>63.448001900000001</v>
      </c>
      <c r="K6110" s="31">
        <v>-28.531999599999999</v>
      </c>
      <c r="L6110" s="31"/>
      <c r="M6110" s="31" t="s">
        <v>854</v>
      </c>
      <c r="N6110" s="6" t="s">
        <v>856</v>
      </c>
    </row>
    <row r="6111" spans="1:14" ht="15" customHeight="1" x14ac:dyDescent="0.2">
      <c r="A6111" s="31">
        <v>0.24252449585008151</v>
      </c>
      <c r="B6111" s="31"/>
      <c r="C6111" s="2" t="s">
        <v>855</v>
      </c>
      <c r="D6111" s="31">
        <f t="shared" si="187"/>
        <v>4.7534801186615981E-2</v>
      </c>
      <c r="F6111" s="2" t="s">
        <v>822</v>
      </c>
      <c r="G6111" s="23" t="s">
        <v>902</v>
      </c>
      <c r="H6111" s="2" t="s">
        <v>822</v>
      </c>
      <c r="J6111" s="31">
        <v>58.771999399999999</v>
      </c>
      <c r="K6111" s="31">
        <v>-15.171999899999999</v>
      </c>
      <c r="L6111" s="31"/>
      <c r="M6111" s="31" t="s">
        <v>854</v>
      </c>
      <c r="N6111" s="6" t="s">
        <v>856</v>
      </c>
    </row>
    <row r="6112" spans="1:14" ht="15" customHeight="1" x14ac:dyDescent="0.2">
      <c r="A6112" s="31">
        <v>0.242461300015023</v>
      </c>
      <c r="B6112" s="31"/>
      <c r="C6112" s="2" t="s">
        <v>855</v>
      </c>
      <c r="D6112" s="31">
        <f t="shared" si="187"/>
        <v>4.7522414802944508E-2</v>
      </c>
      <c r="F6112" s="2" t="s">
        <v>822</v>
      </c>
      <c r="G6112" s="23" t="s">
        <v>902</v>
      </c>
      <c r="H6112" s="2" t="s">
        <v>822</v>
      </c>
      <c r="J6112" s="31">
        <v>52.473201799999998</v>
      </c>
      <c r="K6112" s="31">
        <v>-33.053001399999999</v>
      </c>
      <c r="L6112" s="31"/>
      <c r="M6112" s="31" t="s">
        <v>854</v>
      </c>
      <c r="N6112" s="6" t="s">
        <v>856</v>
      </c>
    </row>
    <row r="6113" spans="1:14" ht="15" customHeight="1" x14ac:dyDescent="0.2">
      <c r="A6113" s="31">
        <v>0.242446725978439</v>
      </c>
      <c r="B6113" s="31"/>
      <c r="C6113" s="2" t="s">
        <v>855</v>
      </c>
      <c r="D6113" s="31">
        <f t="shared" si="187"/>
        <v>4.7519558291774046E-2</v>
      </c>
      <c r="F6113" s="2" t="s">
        <v>822</v>
      </c>
      <c r="G6113" s="23" t="s">
        <v>902</v>
      </c>
      <c r="H6113" s="2" t="s">
        <v>822</v>
      </c>
      <c r="J6113" s="31">
        <v>62.111999500000003</v>
      </c>
      <c r="K6113" s="31">
        <v>-21.184000000000001</v>
      </c>
      <c r="L6113" s="31"/>
      <c r="M6113" s="31" t="s">
        <v>854</v>
      </c>
      <c r="N6113" s="6" t="s">
        <v>856</v>
      </c>
    </row>
    <row r="6114" spans="1:14" ht="15" customHeight="1" x14ac:dyDescent="0.2">
      <c r="A6114" s="31">
        <v>0.24230391084208369</v>
      </c>
      <c r="B6114" s="31"/>
      <c r="C6114" s="2" t="s">
        <v>855</v>
      </c>
      <c r="D6114" s="31">
        <f t="shared" si="187"/>
        <v>4.7491566525048406E-2</v>
      </c>
      <c r="F6114" s="2" t="s">
        <v>822</v>
      </c>
      <c r="G6114" s="23" t="s">
        <v>902</v>
      </c>
      <c r="H6114" s="2" t="s">
        <v>822</v>
      </c>
      <c r="J6114" s="31">
        <v>58.771999399999999</v>
      </c>
      <c r="K6114" s="31">
        <v>2.8640001000000002</v>
      </c>
      <c r="L6114" s="31"/>
      <c r="M6114" s="31" t="s">
        <v>854</v>
      </c>
      <c r="N6114" s="6" t="s">
        <v>856</v>
      </c>
    </row>
    <row r="6115" spans="1:14" ht="15" customHeight="1" x14ac:dyDescent="0.2">
      <c r="A6115" s="31">
        <v>0.24202190950342459</v>
      </c>
      <c r="B6115" s="31"/>
      <c r="C6115" s="2" t="s">
        <v>855</v>
      </c>
      <c r="D6115" s="31">
        <f t="shared" si="187"/>
        <v>4.7436294262671222E-2</v>
      </c>
      <c r="F6115" s="2" t="s">
        <v>822</v>
      </c>
      <c r="G6115" s="23" t="s">
        <v>902</v>
      </c>
      <c r="H6115" s="2" t="s">
        <v>822</v>
      </c>
      <c r="J6115" s="31">
        <v>50.349899299999997</v>
      </c>
      <c r="K6115" s="31">
        <v>-26.998800299999999</v>
      </c>
      <c r="L6115" s="31"/>
      <c r="M6115" s="31" t="s">
        <v>854</v>
      </c>
      <c r="N6115" s="6" t="s">
        <v>856</v>
      </c>
    </row>
    <row r="6116" spans="1:14" ht="15" customHeight="1" x14ac:dyDescent="0.2">
      <c r="A6116" s="31">
        <v>0.24189449387047049</v>
      </c>
      <c r="B6116" s="31"/>
      <c r="C6116" s="2" t="s">
        <v>855</v>
      </c>
      <c r="D6116" s="31">
        <f t="shared" si="187"/>
        <v>4.7411320798612218E-2</v>
      </c>
      <c r="F6116" s="2" t="s">
        <v>822</v>
      </c>
      <c r="G6116" s="23" t="s">
        <v>902</v>
      </c>
      <c r="H6116" s="2" t="s">
        <v>822</v>
      </c>
      <c r="J6116" s="31">
        <v>58.1040001</v>
      </c>
      <c r="K6116" s="31">
        <v>-25.860000599999999</v>
      </c>
      <c r="L6116" s="31"/>
      <c r="M6116" s="31" t="s">
        <v>854</v>
      </c>
      <c r="N6116" s="6" t="s">
        <v>856</v>
      </c>
    </row>
    <row r="6117" spans="1:14" ht="15" customHeight="1" x14ac:dyDescent="0.2">
      <c r="A6117" s="31">
        <v>0.24173622502233541</v>
      </c>
      <c r="B6117" s="31"/>
      <c r="C6117" s="2" t="s">
        <v>855</v>
      </c>
      <c r="D6117" s="31">
        <f t="shared" si="187"/>
        <v>4.7380300104377743E-2</v>
      </c>
      <c r="F6117" s="2" t="s">
        <v>822</v>
      </c>
      <c r="G6117" s="23" t="s">
        <v>902</v>
      </c>
      <c r="H6117" s="2" t="s">
        <v>822</v>
      </c>
      <c r="J6117" s="31">
        <v>55.4319992</v>
      </c>
      <c r="K6117" s="31">
        <v>-29.200000800000002</v>
      </c>
      <c r="L6117" s="31"/>
      <c r="M6117" s="31" t="s">
        <v>854</v>
      </c>
      <c r="N6117" s="6" t="s">
        <v>856</v>
      </c>
    </row>
    <row r="6118" spans="1:14" ht="15" customHeight="1" x14ac:dyDescent="0.2">
      <c r="A6118" s="31">
        <v>0.24165617557437269</v>
      </c>
      <c r="B6118" s="31"/>
      <c r="C6118" s="2" t="s">
        <v>855</v>
      </c>
      <c r="D6118" s="31">
        <f t="shared" si="187"/>
        <v>4.736461041257705E-2</v>
      </c>
      <c r="F6118" s="2" t="s">
        <v>822</v>
      </c>
      <c r="G6118" s="23" t="s">
        <v>902</v>
      </c>
      <c r="H6118" s="2" t="s">
        <v>822</v>
      </c>
      <c r="J6118" s="31">
        <v>62.779998800000001</v>
      </c>
      <c r="K6118" s="31">
        <v>-25.1919994</v>
      </c>
      <c r="L6118" s="31"/>
      <c r="M6118" s="31" t="s">
        <v>854</v>
      </c>
      <c r="N6118" s="6" t="s">
        <v>856</v>
      </c>
    </row>
    <row r="6119" spans="1:14" ht="15" customHeight="1" x14ac:dyDescent="0.2">
      <c r="A6119" s="31">
        <v>0.2415026265193779</v>
      </c>
      <c r="B6119" s="31"/>
      <c r="C6119" s="2" t="s">
        <v>855</v>
      </c>
      <c r="D6119" s="31">
        <f t="shared" si="187"/>
        <v>4.7334514797798072E-2</v>
      </c>
      <c r="F6119" s="2" t="s">
        <v>822</v>
      </c>
      <c r="G6119" s="23" t="s">
        <v>902</v>
      </c>
      <c r="H6119" s="2" t="s">
        <v>822</v>
      </c>
      <c r="J6119" s="31">
        <v>53.428001399999999</v>
      </c>
      <c r="K6119" s="31">
        <v>-35.212001800000003</v>
      </c>
      <c r="L6119" s="31"/>
      <c r="M6119" s="31" t="s">
        <v>854</v>
      </c>
      <c r="N6119" s="6" t="s">
        <v>856</v>
      </c>
    </row>
    <row r="6120" spans="1:14" ht="15" customHeight="1" x14ac:dyDescent="0.2">
      <c r="A6120" s="31">
        <v>0.24146354752391799</v>
      </c>
      <c r="B6120" s="31"/>
      <c r="C6120" s="2" t="s">
        <v>855</v>
      </c>
      <c r="D6120" s="31">
        <f t="shared" si="187"/>
        <v>4.7326855314687929E-2</v>
      </c>
      <c r="F6120" s="2" t="s">
        <v>822</v>
      </c>
      <c r="G6120" s="23" t="s">
        <v>902</v>
      </c>
      <c r="H6120" s="2" t="s">
        <v>822</v>
      </c>
      <c r="J6120" s="31">
        <v>55.4319992</v>
      </c>
      <c r="K6120" s="31">
        <v>-34.543998700000003</v>
      </c>
      <c r="L6120" s="31"/>
      <c r="M6120" s="31" t="s">
        <v>854</v>
      </c>
      <c r="N6120" s="6" t="s">
        <v>856</v>
      </c>
    </row>
    <row r="6121" spans="1:14" ht="15" customHeight="1" x14ac:dyDescent="0.2">
      <c r="A6121" s="31">
        <v>0.24123101179295209</v>
      </c>
      <c r="B6121" s="31"/>
      <c r="C6121" s="2" t="s">
        <v>855</v>
      </c>
      <c r="D6121" s="31">
        <f t="shared" si="187"/>
        <v>4.7281278311418609E-2</v>
      </c>
      <c r="F6121" s="2" t="s">
        <v>822</v>
      </c>
      <c r="G6121" s="23" t="s">
        <v>902</v>
      </c>
      <c r="H6121" s="2" t="s">
        <v>822</v>
      </c>
      <c r="J6121" s="31">
        <v>61.444000199999998</v>
      </c>
      <c r="K6121" s="31">
        <v>-14.5039997</v>
      </c>
      <c r="L6121" s="31"/>
      <c r="M6121" s="31" t="s">
        <v>854</v>
      </c>
      <c r="N6121" s="6" t="s">
        <v>856</v>
      </c>
    </row>
    <row r="6122" spans="1:14" ht="15" customHeight="1" x14ac:dyDescent="0.2">
      <c r="A6122" s="31">
        <v>0.24119576963405989</v>
      </c>
      <c r="B6122" s="31"/>
      <c r="C6122" s="2" t="s">
        <v>855</v>
      </c>
      <c r="D6122" s="31">
        <f t="shared" si="187"/>
        <v>4.7274370848275737E-2</v>
      </c>
      <c r="F6122" s="2" t="s">
        <v>822</v>
      </c>
      <c r="G6122" s="23" t="s">
        <v>902</v>
      </c>
      <c r="H6122" s="2" t="s">
        <v>822</v>
      </c>
      <c r="J6122" s="31">
        <v>52.098598500000001</v>
      </c>
      <c r="K6122" s="31">
        <v>-32.531501800000001</v>
      </c>
      <c r="L6122" s="31"/>
      <c r="M6122" s="31" t="s">
        <v>854</v>
      </c>
      <c r="N6122" s="6" t="s">
        <v>856</v>
      </c>
    </row>
    <row r="6123" spans="1:14" ht="15" customHeight="1" x14ac:dyDescent="0.2">
      <c r="A6123" s="31">
        <v>0.24104088711199201</v>
      </c>
      <c r="B6123" s="31"/>
      <c r="C6123" s="2" t="s">
        <v>855</v>
      </c>
      <c r="D6123" s="31">
        <f t="shared" si="187"/>
        <v>4.7244013873950434E-2</v>
      </c>
      <c r="F6123" s="2" t="s">
        <v>822</v>
      </c>
      <c r="G6123" s="23" t="s">
        <v>902</v>
      </c>
      <c r="H6123" s="2" t="s">
        <v>822</v>
      </c>
      <c r="J6123" s="31">
        <v>60.737098699999997</v>
      </c>
      <c r="K6123" s="31">
        <v>-7.8782101000000004</v>
      </c>
      <c r="L6123" s="31"/>
      <c r="M6123" s="31" t="s">
        <v>854</v>
      </c>
      <c r="N6123" s="6" t="s">
        <v>856</v>
      </c>
    </row>
    <row r="6124" spans="1:14" ht="15" customHeight="1" x14ac:dyDescent="0.2">
      <c r="A6124" s="31">
        <v>0.240959007112201</v>
      </c>
      <c r="B6124" s="31"/>
      <c r="C6124" s="2" t="s">
        <v>855</v>
      </c>
      <c r="D6124" s="31">
        <f t="shared" si="187"/>
        <v>4.7227965393991399E-2</v>
      </c>
      <c r="F6124" s="2" t="s">
        <v>822</v>
      </c>
      <c r="G6124" s="23" t="s">
        <v>902</v>
      </c>
      <c r="H6124" s="2" t="s">
        <v>822</v>
      </c>
      <c r="J6124" s="31">
        <v>61.444000199999998</v>
      </c>
      <c r="K6124" s="31">
        <v>-27.195999100000002</v>
      </c>
      <c r="L6124" s="31"/>
      <c r="M6124" s="31" t="s">
        <v>854</v>
      </c>
      <c r="N6124" s="6" t="s">
        <v>856</v>
      </c>
    </row>
    <row r="6125" spans="1:14" ht="15" customHeight="1" x14ac:dyDescent="0.2">
      <c r="A6125" s="31">
        <v>0.2407030630468133</v>
      </c>
      <c r="B6125" s="31"/>
      <c r="C6125" s="2" t="s">
        <v>855</v>
      </c>
      <c r="D6125" s="31">
        <f t="shared" si="187"/>
        <v>4.7177800357175406E-2</v>
      </c>
      <c r="F6125" s="2" t="s">
        <v>822</v>
      </c>
      <c r="G6125" s="23" t="s">
        <v>902</v>
      </c>
      <c r="H6125" s="2" t="s">
        <v>822</v>
      </c>
      <c r="J6125" s="31">
        <v>60.776001000000001</v>
      </c>
      <c r="K6125" s="31">
        <v>-26.527999900000001</v>
      </c>
      <c r="L6125" s="31"/>
      <c r="M6125" s="31" t="s">
        <v>854</v>
      </c>
      <c r="N6125" s="6" t="s">
        <v>856</v>
      </c>
    </row>
    <row r="6126" spans="1:14" ht="15" customHeight="1" x14ac:dyDescent="0.2">
      <c r="A6126" s="31">
        <v>0.24020547188299191</v>
      </c>
      <c r="B6126" s="31"/>
      <c r="C6126" s="2" t="s">
        <v>855</v>
      </c>
      <c r="D6126" s="31">
        <f t="shared" si="187"/>
        <v>4.7080272489066419E-2</v>
      </c>
      <c r="F6126" s="2" t="s">
        <v>822</v>
      </c>
      <c r="G6126" s="23" t="s">
        <v>902</v>
      </c>
      <c r="H6126" s="2" t="s">
        <v>822</v>
      </c>
      <c r="J6126" s="31">
        <v>54.763999900000002</v>
      </c>
      <c r="K6126" s="31">
        <v>-35.880001100000001</v>
      </c>
      <c r="L6126" s="31"/>
      <c r="M6126" s="31" t="s">
        <v>854</v>
      </c>
      <c r="N6126" s="6" t="s">
        <v>856</v>
      </c>
    </row>
    <row r="6127" spans="1:14" ht="15" customHeight="1" x14ac:dyDescent="0.2">
      <c r="A6127" s="31">
        <v>0.24011681805589591</v>
      </c>
      <c r="B6127" s="31"/>
      <c r="C6127" s="2" t="s">
        <v>855</v>
      </c>
      <c r="D6127" s="31">
        <f t="shared" si="187"/>
        <v>4.70628963389556E-2</v>
      </c>
      <c r="F6127" s="2" t="s">
        <v>822</v>
      </c>
      <c r="G6127" s="23" t="s">
        <v>902</v>
      </c>
      <c r="H6127" s="2" t="s">
        <v>822</v>
      </c>
      <c r="J6127" s="31">
        <v>60.903400400000002</v>
      </c>
      <c r="K6127" s="31">
        <v>-0.47814800000000002</v>
      </c>
      <c r="L6127" s="31"/>
      <c r="M6127" s="31" t="s">
        <v>854</v>
      </c>
      <c r="N6127" s="6" t="s">
        <v>856</v>
      </c>
    </row>
    <row r="6128" spans="1:14" ht="15" customHeight="1" x14ac:dyDescent="0.2">
      <c r="A6128" s="31">
        <v>0.2400972902166697</v>
      </c>
      <c r="B6128" s="31"/>
      <c r="C6128" s="2" t="s">
        <v>855</v>
      </c>
      <c r="D6128" s="31">
        <f t="shared" si="187"/>
        <v>4.7059068882467261E-2</v>
      </c>
      <c r="F6128" s="2" t="s">
        <v>822</v>
      </c>
      <c r="G6128" s="23" t="s">
        <v>902</v>
      </c>
      <c r="H6128" s="2" t="s">
        <v>822</v>
      </c>
      <c r="J6128" s="31">
        <v>53.428001399999999</v>
      </c>
      <c r="K6128" s="31">
        <v>-27.195999100000002</v>
      </c>
      <c r="L6128" s="31"/>
      <c r="M6128" s="31" t="s">
        <v>854</v>
      </c>
      <c r="N6128" s="6" t="s">
        <v>856</v>
      </c>
    </row>
    <row r="6129" spans="1:14" ht="15" customHeight="1" x14ac:dyDescent="0.2">
      <c r="A6129" s="31">
        <v>0.23987514277787439</v>
      </c>
      <c r="B6129" s="31"/>
      <c r="C6129" s="2" t="s">
        <v>855</v>
      </c>
      <c r="D6129" s="31">
        <f t="shared" si="187"/>
        <v>4.701552798446338E-2</v>
      </c>
      <c r="F6129" s="2" t="s">
        <v>822</v>
      </c>
      <c r="G6129" s="23" t="s">
        <v>902</v>
      </c>
      <c r="H6129" s="2" t="s">
        <v>822</v>
      </c>
      <c r="J6129" s="31">
        <v>56.768001599999998</v>
      </c>
      <c r="K6129" s="31">
        <v>-31.8719997</v>
      </c>
      <c r="L6129" s="31"/>
      <c r="M6129" s="31" t="s">
        <v>854</v>
      </c>
      <c r="N6129" s="6" t="s">
        <v>856</v>
      </c>
    </row>
    <row r="6130" spans="1:14" ht="15" customHeight="1" x14ac:dyDescent="0.2">
      <c r="A6130" s="31">
        <v>0.2398294955916197</v>
      </c>
      <c r="B6130" s="31"/>
      <c r="C6130" s="2" t="s">
        <v>855</v>
      </c>
      <c r="D6130" s="31">
        <f t="shared" si="187"/>
        <v>4.7006581135957466E-2</v>
      </c>
      <c r="F6130" s="2" t="s">
        <v>822</v>
      </c>
      <c r="G6130" s="23" t="s">
        <v>902</v>
      </c>
      <c r="H6130" s="2" t="s">
        <v>822</v>
      </c>
      <c r="J6130" s="31">
        <v>58.771999399999999</v>
      </c>
      <c r="K6130" s="31">
        <v>-7.8239998999999996</v>
      </c>
      <c r="L6130" s="31"/>
      <c r="M6130" s="31" t="s">
        <v>854</v>
      </c>
      <c r="N6130" s="6" t="s">
        <v>856</v>
      </c>
    </row>
    <row r="6131" spans="1:14" ht="15" customHeight="1" x14ac:dyDescent="0.2">
      <c r="A6131" s="31">
        <v>0.23976120000070669</v>
      </c>
      <c r="B6131" s="31"/>
      <c r="C6131" s="2" t="s">
        <v>855</v>
      </c>
      <c r="D6131" s="31">
        <f t="shared" si="187"/>
        <v>4.6993195200138511E-2</v>
      </c>
      <c r="F6131" s="2" t="s">
        <v>822</v>
      </c>
      <c r="G6131" s="23" t="s">
        <v>902</v>
      </c>
      <c r="H6131" s="2" t="s">
        <v>822</v>
      </c>
      <c r="J6131" s="31">
        <v>59.439998600000003</v>
      </c>
      <c r="K6131" s="31">
        <v>-29.200000800000002</v>
      </c>
      <c r="L6131" s="31"/>
      <c r="M6131" s="31" t="s">
        <v>854</v>
      </c>
      <c r="N6131" s="6" t="s">
        <v>856</v>
      </c>
    </row>
    <row r="6132" spans="1:14" ht="15" customHeight="1" x14ac:dyDescent="0.2">
      <c r="A6132" s="31">
        <v>0.23961366183299551</v>
      </c>
      <c r="B6132" s="31"/>
      <c r="C6132" s="2" t="s">
        <v>855</v>
      </c>
      <c r="D6132" s="31">
        <f t="shared" si="187"/>
        <v>4.6964277719267124E-2</v>
      </c>
      <c r="F6132" s="2" t="s">
        <v>822</v>
      </c>
      <c r="G6132" s="23" t="s">
        <v>902</v>
      </c>
      <c r="H6132" s="2" t="s">
        <v>822</v>
      </c>
      <c r="J6132" s="31">
        <v>58.771999399999999</v>
      </c>
      <c r="K6132" s="31">
        <v>-9.8280001000000006</v>
      </c>
      <c r="L6132" s="31"/>
      <c r="M6132" s="31" t="s">
        <v>854</v>
      </c>
      <c r="N6132" s="6" t="s">
        <v>856</v>
      </c>
    </row>
    <row r="6133" spans="1:14" ht="15" customHeight="1" x14ac:dyDescent="0.2">
      <c r="A6133" s="31">
        <v>0.23931237615348169</v>
      </c>
      <c r="B6133" s="31"/>
      <c r="C6133" s="2" t="s">
        <v>855</v>
      </c>
      <c r="D6133" s="31">
        <f t="shared" si="187"/>
        <v>4.6905225726082411E-2</v>
      </c>
      <c r="F6133" s="2" t="s">
        <v>822</v>
      </c>
      <c r="G6133" s="23" t="s">
        <v>902</v>
      </c>
      <c r="H6133" s="2" t="s">
        <v>822</v>
      </c>
      <c r="J6133" s="31">
        <v>54.763999900000002</v>
      </c>
      <c r="K6133" s="31">
        <v>-35.212001800000003</v>
      </c>
      <c r="L6133" s="31"/>
      <c r="M6133" s="31" t="s">
        <v>854</v>
      </c>
      <c r="N6133" s="6" t="s">
        <v>856</v>
      </c>
    </row>
    <row r="6134" spans="1:14" ht="15" customHeight="1" x14ac:dyDescent="0.2">
      <c r="A6134" s="31">
        <v>0.2392822957128577</v>
      </c>
      <c r="B6134" s="31"/>
      <c r="C6134" s="2" t="s">
        <v>855</v>
      </c>
      <c r="D6134" s="31">
        <f t="shared" si="187"/>
        <v>4.6899329959720112E-2</v>
      </c>
      <c r="F6134" s="2" t="s">
        <v>822</v>
      </c>
      <c r="G6134" s="23" t="s">
        <v>902</v>
      </c>
      <c r="H6134" s="2" t="s">
        <v>822</v>
      </c>
      <c r="J6134" s="31">
        <v>54.763999900000002</v>
      </c>
      <c r="K6134" s="31">
        <v>-15.8400002</v>
      </c>
      <c r="L6134" s="31"/>
      <c r="M6134" s="31" t="s">
        <v>854</v>
      </c>
      <c r="N6134" s="6" t="s">
        <v>856</v>
      </c>
    </row>
    <row r="6135" spans="1:14" ht="15" customHeight="1" x14ac:dyDescent="0.2">
      <c r="A6135" s="31">
        <v>0.23922968283663579</v>
      </c>
      <c r="B6135" s="31"/>
      <c r="C6135" s="2" t="s">
        <v>855</v>
      </c>
      <c r="D6135" s="31">
        <f t="shared" si="187"/>
        <v>4.6889017835980616E-2</v>
      </c>
      <c r="F6135" s="2" t="s">
        <v>822</v>
      </c>
      <c r="G6135" s="23" t="s">
        <v>902</v>
      </c>
      <c r="H6135" s="2" t="s">
        <v>822</v>
      </c>
      <c r="J6135" s="31">
        <v>62.111999500000003</v>
      </c>
      <c r="K6135" s="31">
        <v>-22.520000499999998</v>
      </c>
      <c r="L6135" s="31"/>
      <c r="M6135" s="31" t="s">
        <v>854</v>
      </c>
      <c r="N6135" s="6" t="s">
        <v>856</v>
      </c>
    </row>
    <row r="6136" spans="1:14" ht="15" customHeight="1" x14ac:dyDescent="0.2">
      <c r="A6136" s="31">
        <v>0.23919273464009799</v>
      </c>
      <c r="B6136" s="31"/>
      <c r="C6136" s="2" t="s">
        <v>855</v>
      </c>
      <c r="D6136" s="31">
        <f t="shared" si="187"/>
        <v>4.688177598945921E-2</v>
      </c>
      <c r="F6136" s="2" t="s">
        <v>822</v>
      </c>
      <c r="G6136" s="23" t="s">
        <v>902</v>
      </c>
      <c r="H6136" s="2" t="s">
        <v>822</v>
      </c>
      <c r="J6136" s="31">
        <v>56.099998499999998</v>
      </c>
      <c r="K6136" s="31">
        <v>-31.8719997</v>
      </c>
      <c r="L6136" s="31"/>
      <c r="M6136" s="31" t="s">
        <v>854</v>
      </c>
      <c r="N6136" s="6" t="s">
        <v>856</v>
      </c>
    </row>
    <row r="6137" spans="1:14" ht="15" customHeight="1" x14ac:dyDescent="0.2">
      <c r="A6137" s="31">
        <v>0.23891737797343529</v>
      </c>
      <c r="B6137" s="31"/>
      <c r="C6137" s="2" t="s">
        <v>855</v>
      </c>
      <c r="D6137" s="31">
        <f t="shared" ref="D6137:D6168" si="188" xml:space="preserve"> A6137 * 0.196</f>
        <v>4.682780608279332E-2</v>
      </c>
      <c r="F6137" s="2" t="s">
        <v>822</v>
      </c>
      <c r="G6137" s="23" t="s">
        <v>902</v>
      </c>
      <c r="H6137" s="2" t="s">
        <v>822</v>
      </c>
      <c r="J6137" s="31">
        <v>57.436000800000002</v>
      </c>
      <c r="K6137" s="31">
        <v>-25.860000599999999</v>
      </c>
      <c r="L6137" s="31"/>
      <c r="M6137" s="31" t="s">
        <v>854</v>
      </c>
      <c r="N6137" s="6" t="s">
        <v>856</v>
      </c>
    </row>
    <row r="6138" spans="1:14" ht="15" customHeight="1" x14ac:dyDescent="0.2">
      <c r="A6138" s="31">
        <v>0.23877695567897211</v>
      </c>
      <c r="B6138" s="31"/>
      <c r="C6138" s="2" t="s">
        <v>855</v>
      </c>
      <c r="D6138" s="31">
        <f t="shared" si="188"/>
        <v>4.6800283313078533E-2</v>
      </c>
      <c r="F6138" s="2" t="s">
        <v>822</v>
      </c>
      <c r="G6138" s="23" t="s">
        <v>902</v>
      </c>
      <c r="H6138" s="2" t="s">
        <v>822</v>
      </c>
      <c r="J6138" s="31">
        <v>58.1040001</v>
      </c>
      <c r="K6138" s="31">
        <v>-12.5</v>
      </c>
      <c r="L6138" s="31"/>
      <c r="M6138" s="31" t="s">
        <v>854</v>
      </c>
      <c r="N6138" s="6" t="s">
        <v>856</v>
      </c>
    </row>
    <row r="6139" spans="1:14" ht="15" customHeight="1" x14ac:dyDescent="0.2">
      <c r="A6139" s="31">
        <v>0.23869125934720681</v>
      </c>
      <c r="B6139" s="31"/>
      <c r="C6139" s="2" t="s">
        <v>855</v>
      </c>
      <c r="D6139" s="31">
        <f t="shared" si="188"/>
        <v>4.6783486832052537E-2</v>
      </c>
      <c r="F6139" s="2" t="s">
        <v>822</v>
      </c>
      <c r="G6139" s="23" t="s">
        <v>902</v>
      </c>
      <c r="H6139" s="2" t="s">
        <v>822</v>
      </c>
      <c r="J6139" s="31">
        <v>58.771999399999999</v>
      </c>
      <c r="K6139" s="31">
        <v>-7.04216</v>
      </c>
      <c r="L6139" s="31"/>
      <c r="M6139" s="31" t="s">
        <v>854</v>
      </c>
      <c r="N6139" s="6" t="s">
        <v>856</v>
      </c>
    </row>
    <row r="6140" spans="1:14" ht="15" customHeight="1" x14ac:dyDescent="0.2">
      <c r="A6140" s="31">
        <v>0.2385770358485346</v>
      </c>
      <c r="B6140" s="31"/>
      <c r="C6140" s="2" t="s">
        <v>855</v>
      </c>
      <c r="D6140" s="31">
        <f t="shared" si="188"/>
        <v>4.6761099026312786E-2</v>
      </c>
      <c r="F6140" s="2" t="s">
        <v>822</v>
      </c>
      <c r="G6140" s="23" t="s">
        <v>902</v>
      </c>
      <c r="H6140" s="2" t="s">
        <v>822</v>
      </c>
      <c r="J6140" s="31">
        <v>60.776001000000001</v>
      </c>
      <c r="K6140" s="31">
        <v>-24.5240002</v>
      </c>
      <c r="L6140" s="31"/>
      <c r="M6140" s="31" t="s">
        <v>854</v>
      </c>
      <c r="N6140" s="6" t="s">
        <v>856</v>
      </c>
    </row>
    <row r="6141" spans="1:14" ht="15" customHeight="1" x14ac:dyDescent="0.2">
      <c r="A6141" s="31">
        <v>0.23841789718490911</v>
      </c>
      <c r="B6141" s="31"/>
      <c r="C6141" s="2" t="s">
        <v>855</v>
      </c>
      <c r="D6141" s="31">
        <f t="shared" si="188"/>
        <v>4.6729907848242186E-2</v>
      </c>
      <c r="F6141" s="2" t="s">
        <v>822</v>
      </c>
      <c r="G6141" s="23" t="s">
        <v>902</v>
      </c>
      <c r="H6141" s="2" t="s">
        <v>822</v>
      </c>
      <c r="J6141" s="31">
        <v>56.7389984</v>
      </c>
      <c r="K6141" s="31">
        <v>-10.001199700000001</v>
      </c>
      <c r="L6141" s="31"/>
      <c r="M6141" s="31" t="s">
        <v>854</v>
      </c>
      <c r="N6141" s="6" t="s">
        <v>856</v>
      </c>
    </row>
    <row r="6142" spans="1:14" ht="15" customHeight="1" x14ac:dyDescent="0.2">
      <c r="A6142" s="31">
        <v>0.2378696690863516</v>
      </c>
      <c r="B6142" s="31"/>
      <c r="C6142" s="2" t="s">
        <v>855</v>
      </c>
      <c r="D6142" s="31">
        <f t="shared" si="188"/>
        <v>4.6622455140924918E-2</v>
      </c>
      <c r="F6142" s="2" t="s">
        <v>822</v>
      </c>
      <c r="G6142" s="23" t="s">
        <v>902</v>
      </c>
      <c r="H6142" s="2" t="s">
        <v>822</v>
      </c>
      <c r="J6142" s="31">
        <v>64.605598400000005</v>
      </c>
      <c r="K6142" s="31">
        <v>-21.512300499999998</v>
      </c>
      <c r="L6142" s="31"/>
      <c r="M6142" s="31" t="s">
        <v>854</v>
      </c>
      <c r="N6142" s="6" t="s">
        <v>856</v>
      </c>
    </row>
    <row r="6143" spans="1:14" ht="15" customHeight="1" x14ac:dyDescent="0.2">
      <c r="A6143" s="31">
        <v>0.23766143214364549</v>
      </c>
      <c r="B6143" s="31"/>
      <c r="C6143" s="2" t="s">
        <v>855</v>
      </c>
      <c r="D6143" s="31">
        <f t="shared" si="188"/>
        <v>4.6581640700154518E-2</v>
      </c>
      <c r="F6143" s="2" t="s">
        <v>822</v>
      </c>
      <c r="G6143" s="23" t="s">
        <v>902</v>
      </c>
      <c r="H6143" s="2" t="s">
        <v>822</v>
      </c>
      <c r="J6143" s="31">
        <v>53.428001399999999</v>
      </c>
      <c r="K6143" s="31">
        <v>-29.200000800000002</v>
      </c>
      <c r="L6143" s="31"/>
      <c r="M6143" s="31" t="s">
        <v>854</v>
      </c>
      <c r="N6143" s="6" t="s">
        <v>856</v>
      </c>
    </row>
    <row r="6144" spans="1:14" ht="15" customHeight="1" x14ac:dyDescent="0.2">
      <c r="A6144" s="31">
        <v>0.2374573174755901</v>
      </c>
      <c r="B6144" s="31"/>
      <c r="C6144" s="2" t="s">
        <v>855</v>
      </c>
      <c r="D6144" s="31">
        <f t="shared" si="188"/>
        <v>4.6541634225215664E-2</v>
      </c>
      <c r="F6144" s="2" t="s">
        <v>822</v>
      </c>
      <c r="G6144" s="23" t="s">
        <v>902</v>
      </c>
      <c r="H6144" s="2" t="s">
        <v>822</v>
      </c>
      <c r="J6144" s="31">
        <v>70.795997600000007</v>
      </c>
      <c r="K6144" s="31">
        <v>17.5599995</v>
      </c>
      <c r="L6144" s="31"/>
      <c r="M6144" s="31" t="s">
        <v>854</v>
      </c>
      <c r="N6144" s="6" t="s">
        <v>856</v>
      </c>
    </row>
    <row r="6145" spans="1:14" ht="15" customHeight="1" x14ac:dyDescent="0.2">
      <c r="A6145" s="31">
        <v>0.23741305907889179</v>
      </c>
      <c r="B6145" s="31"/>
      <c r="C6145" s="2" t="s">
        <v>855</v>
      </c>
      <c r="D6145" s="31">
        <f t="shared" si="188"/>
        <v>4.6532959579462796E-2</v>
      </c>
      <c r="F6145" s="2" t="s">
        <v>822</v>
      </c>
      <c r="G6145" s="23" t="s">
        <v>902</v>
      </c>
      <c r="H6145" s="2" t="s">
        <v>822</v>
      </c>
      <c r="J6145" s="31">
        <v>59.4314003</v>
      </c>
      <c r="K6145" s="31">
        <v>0.192</v>
      </c>
      <c r="L6145" s="31"/>
      <c r="M6145" s="31" t="s">
        <v>854</v>
      </c>
      <c r="N6145" s="6" t="s">
        <v>856</v>
      </c>
    </row>
    <row r="6146" spans="1:14" ht="15" customHeight="1" x14ac:dyDescent="0.2">
      <c r="A6146" s="31">
        <v>0.23732782406378411</v>
      </c>
      <c r="B6146" s="31"/>
      <c r="C6146" s="2" t="s">
        <v>855</v>
      </c>
      <c r="D6146" s="31">
        <f t="shared" si="188"/>
        <v>4.6516253516501689E-2</v>
      </c>
      <c r="F6146" s="2" t="s">
        <v>822</v>
      </c>
      <c r="G6146" s="23" t="s">
        <v>902</v>
      </c>
      <c r="H6146" s="2" t="s">
        <v>822</v>
      </c>
      <c r="J6146" s="31">
        <v>51.639400500000001</v>
      </c>
      <c r="K6146" s="31">
        <v>-34.411800399999997</v>
      </c>
      <c r="L6146" s="31"/>
      <c r="M6146" s="31" t="s">
        <v>854</v>
      </c>
      <c r="N6146" s="6" t="s">
        <v>856</v>
      </c>
    </row>
    <row r="6147" spans="1:14" ht="15" customHeight="1" x14ac:dyDescent="0.2">
      <c r="A6147" s="31">
        <v>0.23719861992690119</v>
      </c>
      <c r="B6147" s="31"/>
      <c r="C6147" s="2" t="s">
        <v>855</v>
      </c>
      <c r="D6147" s="31">
        <f t="shared" si="188"/>
        <v>4.6490929505672636E-2</v>
      </c>
      <c r="F6147" s="2" t="s">
        <v>822</v>
      </c>
      <c r="G6147" s="23" t="s">
        <v>902</v>
      </c>
      <c r="H6147" s="2" t="s">
        <v>822</v>
      </c>
      <c r="J6147" s="31">
        <v>62.108398399999999</v>
      </c>
      <c r="K6147" s="31">
        <v>-6.4471102</v>
      </c>
      <c r="L6147" s="31"/>
      <c r="M6147" s="31" t="s">
        <v>854</v>
      </c>
      <c r="N6147" s="6" t="s">
        <v>856</v>
      </c>
    </row>
    <row r="6148" spans="1:14" ht="15" customHeight="1" x14ac:dyDescent="0.2">
      <c r="A6148" s="31">
        <v>0.2370960081584261</v>
      </c>
      <c r="B6148" s="31"/>
      <c r="C6148" s="2" t="s">
        <v>855</v>
      </c>
      <c r="D6148" s="31">
        <f t="shared" si="188"/>
        <v>4.6470817599051521E-2</v>
      </c>
      <c r="F6148" s="2" t="s">
        <v>822</v>
      </c>
      <c r="G6148" s="23" t="s">
        <v>902</v>
      </c>
      <c r="H6148" s="2" t="s">
        <v>822</v>
      </c>
      <c r="J6148" s="31">
        <v>52.091999100000002</v>
      </c>
      <c r="K6148" s="31">
        <v>-25.1919994</v>
      </c>
      <c r="L6148" s="31"/>
      <c r="M6148" s="31" t="s">
        <v>854</v>
      </c>
      <c r="N6148" s="6" t="s">
        <v>856</v>
      </c>
    </row>
    <row r="6149" spans="1:14" ht="15" customHeight="1" x14ac:dyDescent="0.2">
      <c r="A6149" s="31">
        <v>0.23671732073277649</v>
      </c>
      <c r="B6149" s="31"/>
      <c r="C6149" s="2" t="s">
        <v>855</v>
      </c>
      <c r="D6149" s="31">
        <f t="shared" si="188"/>
        <v>4.6396594863624192E-2</v>
      </c>
      <c r="F6149" s="2" t="s">
        <v>822</v>
      </c>
      <c r="G6149" s="23" t="s">
        <v>902</v>
      </c>
      <c r="H6149" s="2" t="s">
        <v>822</v>
      </c>
      <c r="J6149" s="31">
        <v>62.970500899999998</v>
      </c>
      <c r="K6149" s="31">
        <v>3.49614</v>
      </c>
      <c r="L6149" s="31"/>
      <c r="M6149" s="31" t="s">
        <v>854</v>
      </c>
      <c r="N6149" s="6" t="s">
        <v>856</v>
      </c>
    </row>
    <row r="6150" spans="1:14" ht="15" customHeight="1" x14ac:dyDescent="0.2">
      <c r="A6150" s="31">
        <v>0.23634668572677831</v>
      </c>
      <c r="B6150" s="31"/>
      <c r="C6150" s="2" t="s">
        <v>855</v>
      </c>
      <c r="D6150" s="31">
        <f t="shared" si="188"/>
        <v>4.6323950402448549E-2</v>
      </c>
      <c r="F6150" s="2" t="s">
        <v>822</v>
      </c>
      <c r="G6150" s="23" t="s">
        <v>902</v>
      </c>
      <c r="H6150" s="2" t="s">
        <v>822</v>
      </c>
      <c r="J6150" s="31">
        <v>65.469596899999999</v>
      </c>
      <c r="K6150" s="31">
        <v>-25.1919994</v>
      </c>
      <c r="L6150" s="31"/>
      <c r="M6150" s="31" t="s">
        <v>854</v>
      </c>
      <c r="N6150" s="6" t="s">
        <v>856</v>
      </c>
    </row>
    <row r="6151" spans="1:14" ht="15" customHeight="1" x14ac:dyDescent="0.2">
      <c r="A6151" s="31">
        <v>0.23581033319063241</v>
      </c>
      <c r="B6151" s="31"/>
      <c r="C6151" s="2" t="s">
        <v>855</v>
      </c>
      <c r="D6151" s="31">
        <f t="shared" si="188"/>
        <v>4.6218825305363954E-2</v>
      </c>
      <c r="F6151" s="2" t="s">
        <v>822</v>
      </c>
      <c r="G6151" s="23" t="s">
        <v>902</v>
      </c>
      <c r="H6151" s="2" t="s">
        <v>822</v>
      </c>
      <c r="J6151" s="31">
        <v>59.439998600000003</v>
      </c>
      <c r="K6151" s="31">
        <v>-13.1680002</v>
      </c>
      <c r="L6151" s="31"/>
      <c r="M6151" s="31" t="s">
        <v>854</v>
      </c>
      <c r="N6151" s="6" t="s">
        <v>856</v>
      </c>
    </row>
    <row r="6152" spans="1:14" ht="15" customHeight="1" x14ac:dyDescent="0.2">
      <c r="A6152" s="31">
        <v>0.23560680206363929</v>
      </c>
      <c r="B6152" s="31"/>
      <c r="C6152" s="2" t="s">
        <v>855</v>
      </c>
      <c r="D6152" s="31">
        <f t="shared" si="188"/>
        <v>4.6178933204473305E-2</v>
      </c>
      <c r="F6152" s="2" t="s">
        <v>822</v>
      </c>
      <c r="G6152" s="23" t="s">
        <v>902</v>
      </c>
      <c r="H6152" s="2" t="s">
        <v>822</v>
      </c>
      <c r="J6152" s="31">
        <v>51.873298599999998</v>
      </c>
      <c r="K6152" s="31">
        <v>-29.403099099999999</v>
      </c>
      <c r="L6152" s="31"/>
      <c r="M6152" s="31" t="s">
        <v>854</v>
      </c>
      <c r="N6152" s="6" t="s">
        <v>856</v>
      </c>
    </row>
    <row r="6153" spans="1:14" ht="15" customHeight="1" x14ac:dyDescent="0.2">
      <c r="A6153" s="31">
        <v>0.23531990595534899</v>
      </c>
      <c r="B6153" s="31"/>
      <c r="C6153" s="2" t="s">
        <v>855</v>
      </c>
      <c r="D6153" s="31">
        <f t="shared" si="188"/>
        <v>4.6122701567248403E-2</v>
      </c>
      <c r="F6153" s="2" t="s">
        <v>822</v>
      </c>
      <c r="G6153" s="23" t="s">
        <v>902</v>
      </c>
      <c r="H6153" s="2" t="s">
        <v>822</v>
      </c>
      <c r="J6153" s="31">
        <v>56.768001599999998</v>
      </c>
      <c r="K6153" s="31">
        <v>-25.1919994</v>
      </c>
      <c r="L6153" s="31"/>
      <c r="M6153" s="31" t="s">
        <v>854</v>
      </c>
      <c r="N6153" s="6" t="s">
        <v>856</v>
      </c>
    </row>
    <row r="6154" spans="1:14" ht="15" customHeight="1" x14ac:dyDescent="0.2">
      <c r="A6154" s="31">
        <v>0.23522524868740419</v>
      </c>
      <c r="B6154" s="31"/>
      <c r="C6154" s="2" t="s">
        <v>855</v>
      </c>
      <c r="D6154" s="31">
        <f t="shared" si="188"/>
        <v>4.6104148742731221E-2</v>
      </c>
      <c r="F6154" s="2" t="s">
        <v>822</v>
      </c>
      <c r="G6154" s="23" t="s">
        <v>902</v>
      </c>
      <c r="H6154" s="2" t="s">
        <v>822</v>
      </c>
      <c r="J6154" s="31">
        <v>54.703098300000001</v>
      </c>
      <c r="K6154" s="31">
        <v>-12.528699899999999</v>
      </c>
      <c r="L6154" s="31"/>
      <c r="M6154" s="31" t="s">
        <v>854</v>
      </c>
      <c r="N6154" s="6" t="s">
        <v>856</v>
      </c>
    </row>
    <row r="6155" spans="1:14" ht="15" customHeight="1" x14ac:dyDescent="0.2">
      <c r="A6155" s="31">
        <v>0.23518665035637859</v>
      </c>
      <c r="B6155" s="31"/>
      <c r="C6155" s="2" t="s">
        <v>855</v>
      </c>
      <c r="D6155" s="31">
        <f t="shared" si="188"/>
        <v>4.6096583469850204E-2</v>
      </c>
      <c r="F6155" s="2" t="s">
        <v>822</v>
      </c>
      <c r="G6155" s="23" t="s">
        <v>902</v>
      </c>
      <c r="H6155" s="2" t="s">
        <v>822</v>
      </c>
      <c r="J6155" s="31">
        <v>60.920501700000003</v>
      </c>
      <c r="K6155" s="31">
        <v>0.18673799999999999</v>
      </c>
      <c r="L6155" s="31"/>
      <c r="M6155" s="31" t="s">
        <v>854</v>
      </c>
      <c r="N6155" s="6" t="s">
        <v>856</v>
      </c>
    </row>
    <row r="6156" spans="1:14" ht="15" customHeight="1" x14ac:dyDescent="0.2">
      <c r="A6156" s="31">
        <v>0.23486749280721081</v>
      </c>
      <c r="B6156" s="31"/>
      <c r="C6156" s="2" t="s">
        <v>855</v>
      </c>
      <c r="D6156" s="31">
        <f t="shared" si="188"/>
        <v>4.603402859021332E-2</v>
      </c>
      <c r="F6156" s="2" t="s">
        <v>822</v>
      </c>
      <c r="G6156" s="23" t="s">
        <v>902</v>
      </c>
      <c r="H6156" s="2" t="s">
        <v>822</v>
      </c>
      <c r="J6156" s="31">
        <v>58.1040001</v>
      </c>
      <c r="K6156" s="31">
        <v>-19.847999600000001</v>
      </c>
      <c r="L6156" s="31"/>
      <c r="M6156" s="31" t="s">
        <v>854</v>
      </c>
      <c r="N6156" s="6" t="s">
        <v>856</v>
      </c>
    </row>
    <row r="6157" spans="1:14" ht="15" customHeight="1" x14ac:dyDescent="0.2">
      <c r="A6157" s="31">
        <v>0.2344541740750288</v>
      </c>
      <c r="B6157" s="31"/>
      <c r="C6157" s="2" t="s">
        <v>855</v>
      </c>
      <c r="D6157" s="31">
        <f t="shared" si="188"/>
        <v>4.5953018118705648E-2</v>
      </c>
      <c r="F6157" s="2" t="s">
        <v>822</v>
      </c>
      <c r="G6157" s="23" t="s">
        <v>902</v>
      </c>
      <c r="H6157" s="2" t="s">
        <v>822</v>
      </c>
      <c r="J6157" s="31">
        <v>55.8008995</v>
      </c>
      <c r="K6157" s="31">
        <v>-12.1050997</v>
      </c>
      <c r="L6157" s="31"/>
      <c r="M6157" s="31" t="s">
        <v>854</v>
      </c>
      <c r="N6157" s="6" t="s">
        <v>856</v>
      </c>
    </row>
    <row r="6158" spans="1:14" ht="15" customHeight="1" x14ac:dyDescent="0.2">
      <c r="A6158" s="31">
        <v>0.23443653443947349</v>
      </c>
      <c r="B6158" s="31"/>
      <c r="C6158" s="2" t="s">
        <v>855</v>
      </c>
      <c r="D6158" s="31">
        <f t="shared" si="188"/>
        <v>4.5949560750136807E-2</v>
      </c>
      <c r="F6158" s="2" t="s">
        <v>822</v>
      </c>
      <c r="G6158" s="23" t="s">
        <v>902</v>
      </c>
      <c r="H6158" s="2" t="s">
        <v>822</v>
      </c>
      <c r="J6158" s="31">
        <v>55.432300599999998</v>
      </c>
      <c r="K6158" s="31">
        <v>-33.876300800000003</v>
      </c>
      <c r="L6158" s="31"/>
      <c r="M6158" s="31" t="s">
        <v>854</v>
      </c>
      <c r="N6158" s="6" t="s">
        <v>856</v>
      </c>
    </row>
    <row r="6159" spans="1:14" ht="15" customHeight="1" x14ac:dyDescent="0.2">
      <c r="A6159" s="31">
        <v>0.23433222173919449</v>
      </c>
      <c r="B6159" s="31"/>
      <c r="C6159" s="2" t="s">
        <v>855</v>
      </c>
      <c r="D6159" s="31">
        <f t="shared" si="188"/>
        <v>4.5929115460882124E-2</v>
      </c>
      <c r="F6159" s="2" t="s">
        <v>822</v>
      </c>
      <c r="G6159" s="23" t="s">
        <v>902</v>
      </c>
      <c r="H6159" s="2" t="s">
        <v>822</v>
      </c>
      <c r="J6159" s="31">
        <v>58.771999399999999</v>
      </c>
      <c r="K6159" s="31">
        <v>-29.867999999999999</v>
      </c>
      <c r="L6159" s="31"/>
      <c r="M6159" s="31" t="s">
        <v>854</v>
      </c>
      <c r="N6159" s="6" t="s">
        <v>856</v>
      </c>
    </row>
    <row r="6160" spans="1:14" ht="15" customHeight="1" x14ac:dyDescent="0.2">
      <c r="A6160" s="31">
        <v>0.23428096436996229</v>
      </c>
      <c r="B6160" s="31"/>
      <c r="C6160" s="2" t="s">
        <v>855</v>
      </c>
      <c r="D6160" s="31">
        <f t="shared" si="188"/>
        <v>4.5919069016512611E-2</v>
      </c>
      <c r="F6160" s="2" t="s">
        <v>822</v>
      </c>
      <c r="G6160" s="23" t="s">
        <v>902</v>
      </c>
      <c r="H6160" s="2" t="s">
        <v>822</v>
      </c>
      <c r="J6160" s="31">
        <v>59.439998600000003</v>
      </c>
      <c r="K6160" s="31">
        <v>-32.540000900000003</v>
      </c>
      <c r="L6160" s="31"/>
      <c r="M6160" s="31" t="s">
        <v>854</v>
      </c>
      <c r="N6160" s="6" t="s">
        <v>856</v>
      </c>
    </row>
    <row r="6161" spans="1:14" ht="15" customHeight="1" x14ac:dyDescent="0.2">
      <c r="A6161" s="31">
        <v>0.23409674810371051</v>
      </c>
      <c r="B6161" s="31"/>
      <c r="C6161" s="2" t="s">
        <v>855</v>
      </c>
      <c r="D6161" s="31">
        <f t="shared" si="188"/>
        <v>4.5882962628327258E-2</v>
      </c>
      <c r="F6161" s="2" t="s">
        <v>822</v>
      </c>
      <c r="G6161" s="23" t="s">
        <v>902</v>
      </c>
      <c r="H6161" s="2" t="s">
        <v>822</v>
      </c>
      <c r="J6161" s="31">
        <v>54.7715988</v>
      </c>
      <c r="K6161" s="31">
        <v>-23.855499300000002</v>
      </c>
      <c r="L6161" s="31"/>
      <c r="M6161" s="31" t="s">
        <v>854</v>
      </c>
      <c r="N6161" s="6" t="s">
        <v>856</v>
      </c>
    </row>
    <row r="6162" spans="1:14" ht="15" customHeight="1" x14ac:dyDescent="0.2">
      <c r="A6162" s="31">
        <v>0.23376881224170529</v>
      </c>
      <c r="B6162" s="31"/>
      <c r="C6162" s="2" t="s">
        <v>855</v>
      </c>
      <c r="D6162" s="31">
        <f t="shared" si="188"/>
        <v>4.5818687199374236E-2</v>
      </c>
      <c r="F6162" s="2" t="s">
        <v>822</v>
      </c>
      <c r="G6162" s="23" t="s">
        <v>902</v>
      </c>
      <c r="H6162" s="2" t="s">
        <v>822</v>
      </c>
      <c r="J6162" s="31">
        <v>62.779998800000001</v>
      </c>
      <c r="K6162" s="31">
        <v>-13.8360004</v>
      </c>
      <c r="L6162" s="31"/>
      <c r="M6162" s="31" t="s">
        <v>854</v>
      </c>
      <c r="N6162" s="6" t="s">
        <v>856</v>
      </c>
    </row>
    <row r="6163" spans="1:14" ht="15" customHeight="1" x14ac:dyDescent="0.2">
      <c r="A6163" s="31">
        <v>0.23353141709208</v>
      </c>
      <c r="B6163" s="31"/>
      <c r="C6163" s="2" t="s">
        <v>855</v>
      </c>
      <c r="D6163" s="31">
        <f t="shared" si="188"/>
        <v>4.5772157750047684E-2</v>
      </c>
      <c r="F6163" s="2" t="s">
        <v>822</v>
      </c>
      <c r="G6163" s="23" t="s">
        <v>902</v>
      </c>
      <c r="H6163" s="2" t="s">
        <v>822</v>
      </c>
      <c r="J6163" s="31">
        <v>54.096000699999998</v>
      </c>
      <c r="K6163" s="31">
        <v>-41.891998299999997</v>
      </c>
      <c r="L6163" s="31"/>
      <c r="M6163" s="31" t="s">
        <v>854</v>
      </c>
      <c r="N6163" s="6" t="s">
        <v>856</v>
      </c>
    </row>
    <row r="6164" spans="1:14" ht="15" customHeight="1" x14ac:dyDescent="0.2">
      <c r="A6164" s="31">
        <v>0.23347982741409501</v>
      </c>
      <c r="B6164" s="31"/>
      <c r="C6164" s="2" t="s">
        <v>855</v>
      </c>
      <c r="D6164" s="31">
        <f t="shared" si="188"/>
        <v>4.5762046173162624E-2</v>
      </c>
      <c r="F6164" s="2" t="s">
        <v>822</v>
      </c>
      <c r="G6164" s="23" t="s">
        <v>902</v>
      </c>
      <c r="H6164" s="2" t="s">
        <v>822</v>
      </c>
      <c r="J6164" s="31">
        <v>54.763999900000002</v>
      </c>
      <c r="K6164" s="31">
        <v>-28.531999599999999</v>
      </c>
      <c r="L6164" s="31"/>
      <c r="M6164" s="31" t="s">
        <v>854</v>
      </c>
      <c r="N6164" s="6" t="s">
        <v>856</v>
      </c>
    </row>
    <row r="6165" spans="1:14" ht="15" customHeight="1" x14ac:dyDescent="0.2">
      <c r="A6165" s="31">
        <v>0.23339261839168499</v>
      </c>
      <c r="B6165" s="31"/>
      <c r="C6165" s="2" t="s">
        <v>855</v>
      </c>
      <c r="D6165" s="31">
        <f t="shared" si="188"/>
        <v>4.5744953204770261E-2</v>
      </c>
      <c r="F6165" s="2" t="s">
        <v>822</v>
      </c>
      <c r="G6165" s="23" t="s">
        <v>902</v>
      </c>
      <c r="H6165" s="2" t="s">
        <v>822</v>
      </c>
      <c r="J6165" s="31">
        <v>64.152397199999996</v>
      </c>
      <c r="K6165" s="31">
        <v>5.4971299</v>
      </c>
      <c r="L6165" s="31"/>
      <c r="M6165" s="31" t="s">
        <v>854</v>
      </c>
      <c r="N6165" s="6" t="s">
        <v>856</v>
      </c>
    </row>
    <row r="6166" spans="1:14" ht="15" customHeight="1" x14ac:dyDescent="0.2">
      <c r="A6166" s="31">
        <v>0.2332364081581596</v>
      </c>
      <c r="B6166" s="31"/>
      <c r="C6166" s="2" t="s">
        <v>855</v>
      </c>
      <c r="D6166" s="31">
        <f t="shared" si="188"/>
        <v>4.5714335998999281E-2</v>
      </c>
      <c r="F6166" s="2" t="s">
        <v>822</v>
      </c>
      <c r="G6166" s="23" t="s">
        <v>902</v>
      </c>
      <c r="H6166" s="2" t="s">
        <v>822</v>
      </c>
      <c r="J6166" s="31">
        <v>63.629600500000002</v>
      </c>
      <c r="K6166" s="31">
        <v>9.2192202000000005</v>
      </c>
      <c r="L6166" s="31"/>
      <c r="M6166" s="31" t="s">
        <v>854</v>
      </c>
      <c r="N6166" s="6" t="s">
        <v>856</v>
      </c>
    </row>
    <row r="6167" spans="1:14" ht="15" customHeight="1" x14ac:dyDescent="0.2">
      <c r="A6167" s="31">
        <v>0.23307220371429541</v>
      </c>
      <c r="B6167" s="31"/>
      <c r="C6167" s="2" t="s">
        <v>855</v>
      </c>
      <c r="D6167" s="31">
        <f t="shared" si="188"/>
        <v>4.5682151928001902E-2</v>
      </c>
      <c r="F6167" s="2" t="s">
        <v>822</v>
      </c>
      <c r="G6167" s="23" t="s">
        <v>902</v>
      </c>
      <c r="H6167" s="2" t="s">
        <v>822</v>
      </c>
      <c r="J6167" s="31">
        <v>58.771999399999999</v>
      </c>
      <c r="K6167" s="31">
        <v>-20.516000699999999</v>
      </c>
      <c r="L6167" s="31"/>
      <c r="M6167" s="31" t="s">
        <v>854</v>
      </c>
      <c r="N6167" s="6" t="s">
        <v>856</v>
      </c>
    </row>
    <row r="6168" spans="1:14" ht="15" customHeight="1" x14ac:dyDescent="0.2">
      <c r="A6168" s="31">
        <v>0.2329138742292152</v>
      </c>
      <c r="B6168" s="31"/>
      <c r="C6168" s="2" t="s">
        <v>855</v>
      </c>
      <c r="D6168" s="31">
        <f t="shared" si="188"/>
        <v>4.5651119348926184E-2</v>
      </c>
      <c r="F6168" s="2" t="s">
        <v>822</v>
      </c>
      <c r="G6168" s="23" t="s">
        <v>902</v>
      </c>
      <c r="H6168" s="2" t="s">
        <v>822</v>
      </c>
      <c r="J6168" s="31">
        <v>60.108001700000003</v>
      </c>
      <c r="K6168" s="31">
        <v>-31.8719997</v>
      </c>
      <c r="L6168" s="31"/>
      <c r="M6168" s="31" t="s">
        <v>854</v>
      </c>
      <c r="N6168" s="6" t="s">
        <v>856</v>
      </c>
    </row>
    <row r="6169" spans="1:14" ht="15" customHeight="1" x14ac:dyDescent="0.2">
      <c r="A6169" s="31">
        <v>0.23270187028949671</v>
      </c>
      <c r="B6169" s="31"/>
      <c r="C6169" s="2" t="s">
        <v>855</v>
      </c>
      <c r="D6169" s="31">
        <f t="shared" ref="D6169:D6200" si="189" xml:space="preserve"> A6169 * 0.196</f>
        <v>4.560956657674136E-2</v>
      </c>
      <c r="F6169" s="2" t="s">
        <v>822</v>
      </c>
      <c r="G6169" s="23" t="s">
        <v>902</v>
      </c>
      <c r="H6169" s="2" t="s">
        <v>822</v>
      </c>
      <c r="J6169" s="31">
        <v>52.091999100000002</v>
      </c>
      <c r="K6169" s="31">
        <v>-38.551998099999999</v>
      </c>
      <c r="L6169" s="31"/>
      <c r="M6169" s="31" t="s">
        <v>854</v>
      </c>
      <c r="N6169" s="6" t="s">
        <v>856</v>
      </c>
    </row>
    <row r="6170" spans="1:14" ht="15" customHeight="1" x14ac:dyDescent="0.2">
      <c r="A6170" s="31">
        <v>0.23226774474203221</v>
      </c>
      <c r="B6170" s="31"/>
      <c r="C6170" s="2" t="s">
        <v>855</v>
      </c>
      <c r="D6170" s="31">
        <f t="shared" si="189"/>
        <v>4.5524477969438315E-2</v>
      </c>
      <c r="F6170" s="2" t="s">
        <v>822</v>
      </c>
      <c r="G6170" s="23" t="s">
        <v>902</v>
      </c>
      <c r="H6170" s="2" t="s">
        <v>822</v>
      </c>
      <c r="J6170" s="31">
        <v>52.091999100000002</v>
      </c>
      <c r="K6170" s="31">
        <v>-31.8719997</v>
      </c>
      <c r="L6170" s="31"/>
      <c r="M6170" s="31" t="s">
        <v>854</v>
      </c>
      <c r="N6170" s="6" t="s">
        <v>856</v>
      </c>
    </row>
    <row r="6171" spans="1:14" ht="15" customHeight="1" x14ac:dyDescent="0.2">
      <c r="A6171" s="31">
        <v>0.23219790178857741</v>
      </c>
      <c r="B6171" s="31"/>
      <c r="C6171" s="2" t="s">
        <v>855</v>
      </c>
      <c r="D6171" s="31">
        <f t="shared" si="189"/>
        <v>4.5510788750561172E-2</v>
      </c>
      <c r="F6171" s="2" t="s">
        <v>822</v>
      </c>
      <c r="G6171" s="23" t="s">
        <v>902</v>
      </c>
      <c r="H6171" s="2" t="s">
        <v>822</v>
      </c>
      <c r="J6171" s="31">
        <v>53.428001399999999</v>
      </c>
      <c r="K6171" s="31">
        <v>-42.560001399999997</v>
      </c>
      <c r="L6171" s="31"/>
      <c r="M6171" s="31" t="s">
        <v>854</v>
      </c>
      <c r="N6171" s="6" t="s">
        <v>856</v>
      </c>
    </row>
    <row r="6172" spans="1:14" ht="15" customHeight="1" x14ac:dyDescent="0.2">
      <c r="A6172" s="31">
        <v>0.23206121653866069</v>
      </c>
      <c r="B6172" s="31"/>
      <c r="C6172" s="2" t="s">
        <v>855</v>
      </c>
      <c r="D6172" s="31">
        <f t="shared" si="189"/>
        <v>4.5483998441577494E-2</v>
      </c>
      <c r="F6172" s="2" t="s">
        <v>822</v>
      </c>
      <c r="G6172" s="23" t="s">
        <v>902</v>
      </c>
      <c r="H6172" s="2" t="s">
        <v>822</v>
      </c>
      <c r="J6172" s="31">
        <v>59.463600200000002</v>
      </c>
      <c r="K6172" s="31">
        <v>-5.6241598000000002</v>
      </c>
      <c r="L6172" s="31"/>
      <c r="M6172" s="31" t="s">
        <v>854</v>
      </c>
      <c r="N6172" s="6" t="s">
        <v>856</v>
      </c>
    </row>
    <row r="6173" spans="1:14" ht="15" customHeight="1" x14ac:dyDescent="0.2">
      <c r="A6173" s="31">
        <v>0.2319065373985513</v>
      </c>
      <c r="B6173" s="31"/>
      <c r="C6173" s="2" t="s">
        <v>855</v>
      </c>
      <c r="D6173" s="31">
        <f t="shared" si="189"/>
        <v>4.5453681330116055E-2</v>
      </c>
      <c r="F6173" s="2" t="s">
        <v>822</v>
      </c>
      <c r="G6173" s="23" t="s">
        <v>902</v>
      </c>
      <c r="H6173" s="2" t="s">
        <v>822</v>
      </c>
      <c r="J6173" s="31">
        <v>62.271301299999998</v>
      </c>
      <c r="K6173" s="31">
        <v>2.8483901</v>
      </c>
      <c r="L6173" s="31"/>
      <c r="M6173" s="31" t="s">
        <v>854</v>
      </c>
      <c r="N6173" s="6" t="s">
        <v>856</v>
      </c>
    </row>
    <row r="6174" spans="1:14" ht="15" customHeight="1" x14ac:dyDescent="0.2">
      <c r="A6174" s="31">
        <v>0.23186173101722521</v>
      </c>
      <c r="B6174" s="31"/>
      <c r="C6174" s="2" t="s">
        <v>855</v>
      </c>
      <c r="D6174" s="31">
        <f t="shared" si="189"/>
        <v>4.5444899279376144E-2</v>
      </c>
      <c r="F6174" s="2" t="s">
        <v>822</v>
      </c>
      <c r="G6174" s="23" t="s">
        <v>902</v>
      </c>
      <c r="H6174" s="2" t="s">
        <v>822</v>
      </c>
      <c r="J6174" s="31">
        <v>58.1040001</v>
      </c>
      <c r="K6174" s="31">
        <v>-21.184000000000001</v>
      </c>
      <c r="L6174" s="31"/>
      <c r="M6174" s="31" t="s">
        <v>854</v>
      </c>
      <c r="N6174" s="6" t="s">
        <v>856</v>
      </c>
    </row>
    <row r="6175" spans="1:14" ht="15" customHeight="1" x14ac:dyDescent="0.2">
      <c r="A6175" s="31">
        <v>0.23165210006639739</v>
      </c>
      <c r="B6175" s="31"/>
      <c r="C6175" s="2" t="s">
        <v>855</v>
      </c>
      <c r="D6175" s="31">
        <f t="shared" si="189"/>
        <v>4.5403811613013892E-2</v>
      </c>
      <c r="F6175" s="2" t="s">
        <v>822</v>
      </c>
      <c r="G6175" s="23" t="s">
        <v>902</v>
      </c>
      <c r="H6175" s="2" t="s">
        <v>822</v>
      </c>
      <c r="J6175" s="31">
        <v>58.771999399999999</v>
      </c>
      <c r="K6175" s="31">
        <v>-18.511999100000001</v>
      </c>
      <c r="L6175" s="31"/>
      <c r="M6175" s="31" t="s">
        <v>854</v>
      </c>
      <c r="N6175" s="6" t="s">
        <v>856</v>
      </c>
    </row>
    <row r="6176" spans="1:14" ht="15" customHeight="1" x14ac:dyDescent="0.2">
      <c r="A6176" s="31">
        <v>0.23159693536184789</v>
      </c>
      <c r="B6176" s="31"/>
      <c r="C6176" s="2" t="s">
        <v>855</v>
      </c>
      <c r="D6176" s="31">
        <f t="shared" si="189"/>
        <v>4.5392999330922189E-2</v>
      </c>
      <c r="F6176" s="2" t="s">
        <v>822</v>
      </c>
      <c r="G6176" s="23" t="s">
        <v>902</v>
      </c>
      <c r="H6176" s="2" t="s">
        <v>822</v>
      </c>
      <c r="J6176" s="31">
        <v>59.463600200000002</v>
      </c>
      <c r="K6176" s="31">
        <v>-5.1520000000000001</v>
      </c>
      <c r="L6176" s="31"/>
      <c r="M6176" s="31" t="s">
        <v>854</v>
      </c>
      <c r="N6176" s="6" t="s">
        <v>856</v>
      </c>
    </row>
    <row r="6177" spans="1:14" ht="15" customHeight="1" x14ac:dyDescent="0.2">
      <c r="A6177" s="31">
        <v>0.23141103421571149</v>
      </c>
      <c r="B6177" s="31"/>
      <c r="C6177" s="2" t="s">
        <v>855</v>
      </c>
      <c r="D6177" s="31">
        <f t="shared" si="189"/>
        <v>4.5356562706279455E-2</v>
      </c>
      <c r="F6177" s="2" t="s">
        <v>822</v>
      </c>
      <c r="G6177" s="23" t="s">
        <v>902</v>
      </c>
      <c r="H6177" s="2" t="s">
        <v>822</v>
      </c>
      <c r="J6177" s="31">
        <v>58.1040001</v>
      </c>
      <c r="K6177" s="31">
        <v>-15.171999899999999</v>
      </c>
      <c r="L6177" s="31"/>
      <c r="M6177" s="31" t="s">
        <v>854</v>
      </c>
      <c r="N6177" s="6" t="s">
        <v>856</v>
      </c>
    </row>
    <row r="6178" spans="1:14" ht="15" customHeight="1" x14ac:dyDescent="0.2">
      <c r="A6178" s="31">
        <v>0.2313538431717716</v>
      </c>
      <c r="B6178" s="31"/>
      <c r="C6178" s="2" t="s">
        <v>855</v>
      </c>
      <c r="D6178" s="31">
        <f t="shared" si="189"/>
        <v>4.5345353261667234E-2</v>
      </c>
      <c r="F6178" s="2" t="s">
        <v>822</v>
      </c>
      <c r="G6178" s="23" t="s">
        <v>902</v>
      </c>
      <c r="H6178" s="2" t="s">
        <v>822</v>
      </c>
      <c r="J6178" s="31">
        <v>51.770198800000003</v>
      </c>
      <c r="K6178" s="31">
        <v>-34.857200599999999</v>
      </c>
      <c r="L6178" s="31"/>
      <c r="M6178" s="31" t="s">
        <v>854</v>
      </c>
      <c r="N6178" s="6" t="s">
        <v>856</v>
      </c>
    </row>
    <row r="6179" spans="1:14" ht="15" customHeight="1" x14ac:dyDescent="0.2">
      <c r="A6179" s="31">
        <v>0.2312064026737862</v>
      </c>
      <c r="B6179" s="31"/>
      <c r="C6179" s="2" t="s">
        <v>855</v>
      </c>
      <c r="D6179" s="31">
        <f t="shared" si="189"/>
        <v>4.5316454924062097E-2</v>
      </c>
      <c r="F6179" s="2" t="s">
        <v>822</v>
      </c>
      <c r="G6179" s="23" t="s">
        <v>902</v>
      </c>
      <c r="H6179" s="2" t="s">
        <v>822</v>
      </c>
      <c r="J6179" s="31">
        <v>66.726898199999994</v>
      </c>
      <c r="K6179" s="31">
        <v>8.8207102000000006</v>
      </c>
      <c r="L6179" s="31"/>
      <c r="M6179" s="31" t="s">
        <v>854</v>
      </c>
      <c r="N6179" s="6" t="s">
        <v>856</v>
      </c>
    </row>
    <row r="6180" spans="1:14" ht="15" customHeight="1" x14ac:dyDescent="0.2">
      <c r="A6180" s="31">
        <v>0.23113554732628819</v>
      </c>
      <c r="B6180" s="31"/>
      <c r="C6180" s="2" t="s">
        <v>855</v>
      </c>
      <c r="D6180" s="31">
        <f t="shared" si="189"/>
        <v>4.5302567275952485E-2</v>
      </c>
      <c r="F6180" s="2" t="s">
        <v>822</v>
      </c>
      <c r="G6180" s="23" t="s">
        <v>902</v>
      </c>
      <c r="H6180" s="2" t="s">
        <v>822</v>
      </c>
      <c r="J6180" s="31">
        <v>61.444000199999998</v>
      </c>
      <c r="K6180" s="31">
        <v>-24.5240002</v>
      </c>
      <c r="L6180" s="31"/>
      <c r="M6180" s="31" t="s">
        <v>854</v>
      </c>
      <c r="N6180" s="6" t="s">
        <v>856</v>
      </c>
    </row>
    <row r="6181" spans="1:14" ht="15" customHeight="1" x14ac:dyDescent="0.2">
      <c r="A6181" s="31">
        <v>0.2303648158929027</v>
      </c>
      <c r="B6181" s="31"/>
      <c r="C6181" s="2" t="s">
        <v>855</v>
      </c>
      <c r="D6181" s="31">
        <f t="shared" si="189"/>
        <v>4.5151503915008932E-2</v>
      </c>
      <c r="F6181" s="2" t="s">
        <v>822</v>
      </c>
      <c r="G6181" s="23" t="s">
        <v>902</v>
      </c>
      <c r="H6181" s="2" t="s">
        <v>822</v>
      </c>
      <c r="J6181" s="31">
        <v>60.1725998</v>
      </c>
      <c r="K6181" s="31">
        <v>3.5518401000000002</v>
      </c>
      <c r="L6181" s="31"/>
      <c r="M6181" s="31" t="s">
        <v>854</v>
      </c>
      <c r="N6181" s="6" t="s">
        <v>856</v>
      </c>
    </row>
    <row r="6182" spans="1:14" ht="15" customHeight="1" x14ac:dyDescent="0.2">
      <c r="A6182" s="31">
        <v>0.23022345014190049</v>
      </c>
      <c r="B6182" s="31"/>
      <c r="C6182" s="2" t="s">
        <v>855</v>
      </c>
      <c r="D6182" s="31">
        <f t="shared" si="189"/>
        <v>4.5123796227812499E-2</v>
      </c>
      <c r="F6182" s="2" t="s">
        <v>822</v>
      </c>
      <c r="G6182" s="23" t="s">
        <v>902</v>
      </c>
      <c r="H6182" s="2" t="s">
        <v>822</v>
      </c>
      <c r="J6182" s="31">
        <v>48.083999599999999</v>
      </c>
      <c r="K6182" s="31">
        <v>-31.204000499999999</v>
      </c>
      <c r="L6182" s="31"/>
      <c r="M6182" s="31" t="s">
        <v>854</v>
      </c>
      <c r="N6182" s="6" t="s">
        <v>856</v>
      </c>
    </row>
    <row r="6183" spans="1:14" ht="15" customHeight="1" x14ac:dyDescent="0.2">
      <c r="A6183" s="31">
        <v>0.2301061055557565</v>
      </c>
      <c r="B6183" s="31"/>
      <c r="C6183" s="2" t="s">
        <v>855</v>
      </c>
      <c r="D6183" s="31">
        <f t="shared" si="189"/>
        <v>4.5100796688928274E-2</v>
      </c>
      <c r="F6183" s="2" t="s">
        <v>822</v>
      </c>
      <c r="G6183" s="23" t="s">
        <v>902</v>
      </c>
      <c r="H6183" s="2" t="s">
        <v>822</v>
      </c>
      <c r="J6183" s="31">
        <v>61.444000199999998</v>
      </c>
      <c r="K6183" s="31">
        <v>-5.8200002</v>
      </c>
      <c r="L6183" s="31"/>
      <c r="M6183" s="31" t="s">
        <v>854</v>
      </c>
      <c r="N6183" s="6" t="s">
        <v>856</v>
      </c>
    </row>
    <row r="6184" spans="1:14" ht="15" customHeight="1" x14ac:dyDescent="0.2">
      <c r="A6184" s="31">
        <v>0.23005011122171909</v>
      </c>
      <c r="B6184" s="31"/>
      <c r="C6184" s="2" t="s">
        <v>855</v>
      </c>
      <c r="D6184" s="31">
        <f t="shared" si="189"/>
        <v>4.508982179945694E-2</v>
      </c>
      <c r="F6184" s="2" t="s">
        <v>822</v>
      </c>
      <c r="G6184" s="23" t="s">
        <v>902</v>
      </c>
      <c r="H6184" s="2" t="s">
        <v>822</v>
      </c>
      <c r="J6184" s="31">
        <v>56.768001599999998</v>
      </c>
      <c r="K6184" s="31">
        <v>-31.204000499999999</v>
      </c>
      <c r="L6184" s="31"/>
      <c r="M6184" s="31" t="s">
        <v>854</v>
      </c>
      <c r="N6184" s="6" t="s">
        <v>856</v>
      </c>
    </row>
    <row r="6185" spans="1:14" ht="15" customHeight="1" x14ac:dyDescent="0.2">
      <c r="A6185" s="31">
        <v>0.22996890857954291</v>
      </c>
      <c r="B6185" s="31"/>
      <c r="C6185" s="2" t="s">
        <v>855</v>
      </c>
      <c r="D6185" s="31">
        <f t="shared" si="189"/>
        <v>4.5073906081590412E-2</v>
      </c>
      <c r="F6185" s="2" t="s">
        <v>822</v>
      </c>
      <c r="G6185" s="23" t="s">
        <v>902</v>
      </c>
      <c r="H6185" s="2" t="s">
        <v>822</v>
      </c>
      <c r="J6185" s="31">
        <v>53.428001399999999</v>
      </c>
      <c r="K6185" s="31">
        <v>-25.860000599999999</v>
      </c>
      <c r="L6185" s="31"/>
      <c r="M6185" s="31" t="s">
        <v>854</v>
      </c>
      <c r="N6185" s="6" t="s">
        <v>856</v>
      </c>
    </row>
    <row r="6186" spans="1:14" ht="15" customHeight="1" x14ac:dyDescent="0.2">
      <c r="A6186" s="31">
        <v>0.22968524343606361</v>
      </c>
      <c r="B6186" s="31"/>
      <c r="C6186" s="2" t="s">
        <v>855</v>
      </c>
      <c r="D6186" s="31">
        <f t="shared" si="189"/>
        <v>4.5018307713468472E-2</v>
      </c>
      <c r="F6186" s="2" t="s">
        <v>822</v>
      </c>
      <c r="G6186" s="23" t="s">
        <v>902</v>
      </c>
      <c r="H6186" s="2" t="s">
        <v>822</v>
      </c>
      <c r="J6186" s="31">
        <v>51.423999799999997</v>
      </c>
      <c r="K6186" s="31">
        <v>-39.220001199999999</v>
      </c>
      <c r="L6186" s="31"/>
      <c r="M6186" s="31" t="s">
        <v>854</v>
      </c>
      <c r="N6186" s="6" t="s">
        <v>856</v>
      </c>
    </row>
    <row r="6187" spans="1:14" ht="15" customHeight="1" x14ac:dyDescent="0.2">
      <c r="A6187" s="31">
        <v>0.22943874473330761</v>
      </c>
      <c r="B6187" s="31"/>
      <c r="C6187" s="2" t="s">
        <v>855</v>
      </c>
      <c r="D6187" s="31">
        <f t="shared" si="189"/>
        <v>4.4969993967728293E-2</v>
      </c>
      <c r="F6187" s="2" t="s">
        <v>822</v>
      </c>
      <c r="G6187" s="23" t="s">
        <v>902</v>
      </c>
      <c r="H6187" s="2" t="s">
        <v>822</v>
      </c>
      <c r="J6187" s="31">
        <v>64.039802600000002</v>
      </c>
      <c r="K6187" s="31">
        <v>-15.1702995</v>
      </c>
      <c r="L6187" s="31"/>
      <c r="M6187" s="31" t="s">
        <v>854</v>
      </c>
      <c r="N6187" s="6" t="s">
        <v>856</v>
      </c>
    </row>
    <row r="6188" spans="1:14" ht="15" customHeight="1" x14ac:dyDescent="0.2">
      <c r="A6188" s="31">
        <v>0.22943551488267461</v>
      </c>
      <c r="B6188" s="31"/>
      <c r="C6188" s="2" t="s">
        <v>855</v>
      </c>
      <c r="D6188" s="31">
        <f t="shared" si="189"/>
        <v>4.4969360917004222E-2</v>
      </c>
      <c r="F6188" s="2" t="s">
        <v>822</v>
      </c>
      <c r="G6188" s="23" t="s">
        <v>902</v>
      </c>
      <c r="H6188" s="2" t="s">
        <v>822</v>
      </c>
      <c r="J6188" s="31">
        <v>63.411201499999997</v>
      </c>
      <c r="K6188" s="31">
        <v>-13.1520996</v>
      </c>
      <c r="L6188" s="31"/>
      <c r="M6188" s="31" t="s">
        <v>854</v>
      </c>
      <c r="N6188" s="6" t="s">
        <v>856</v>
      </c>
    </row>
    <row r="6189" spans="1:14" ht="15" customHeight="1" x14ac:dyDescent="0.2">
      <c r="A6189" s="31">
        <v>0.22943439227862139</v>
      </c>
      <c r="B6189" s="31"/>
      <c r="C6189" s="2" t="s">
        <v>855</v>
      </c>
      <c r="D6189" s="31">
        <f t="shared" si="189"/>
        <v>4.4969140886609797E-2</v>
      </c>
      <c r="F6189" s="2" t="s">
        <v>822</v>
      </c>
      <c r="G6189" s="23" t="s">
        <v>902</v>
      </c>
      <c r="H6189" s="2" t="s">
        <v>822</v>
      </c>
      <c r="J6189" s="31">
        <v>54.096000699999998</v>
      </c>
      <c r="K6189" s="31">
        <v>-32.540000900000003</v>
      </c>
      <c r="L6189" s="31"/>
      <c r="M6189" s="31" t="s">
        <v>854</v>
      </c>
      <c r="N6189" s="6" t="s">
        <v>856</v>
      </c>
    </row>
    <row r="6190" spans="1:14" ht="15" customHeight="1" x14ac:dyDescent="0.2">
      <c r="A6190" s="31">
        <v>0.22913828209439779</v>
      </c>
      <c r="B6190" s="31"/>
      <c r="C6190" s="2" t="s">
        <v>855</v>
      </c>
      <c r="D6190" s="31">
        <f t="shared" si="189"/>
        <v>4.4911103290501971E-2</v>
      </c>
      <c r="F6190" s="2" t="s">
        <v>822</v>
      </c>
      <c r="G6190" s="23" t="s">
        <v>902</v>
      </c>
      <c r="H6190" s="2" t="s">
        <v>822</v>
      </c>
      <c r="J6190" s="31">
        <v>61.444000199999998</v>
      </c>
      <c r="K6190" s="31">
        <v>0.192</v>
      </c>
      <c r="L6190" s="31"/>
      <c r="M6190" s="31" t="s">
        <v>854</v>
      </c>
      <c r="N6190" s="6" t="s">
        <v>856</v>
      </c>
    </row>
    <row r="6191" spans="1:14" ht="15" customHeight="1" x14ac:dyDescent="0.2">
      <c r="A6191" s="31">
        <v>0.22907099684452781</v>
      </c>
      <c r="B6191" s="31"/>
      <c r="C6191" s="2" t="s">
        <v>855</v>
      </c>
      <c r="D6191" s="31">
        <f t="shared" si="189"/>
        <v>4.4897915381527452E-2</v>
      </c>
      <c r="F6191" s="2" t="s">
        <v>822</v>
      </c>
      <c r="G6191" s="23" t="s">
        <v>902</v>
      </c>
      <c r="H6191" s="2" t="s">
        <v>822</v>
      </c>
      <c r="J6191" s="31">
        <v>60.550098400000003</v>
      </c>
      <c r="K6191" s="31">
        <v>-1.7582099</v>
      </c>
      <c r="L6191" s="31"/>
      <c r="M6191" s="31" t="s">
        <v>854</v>
      </c>
      <c r="N6191" s="6" t="s">
        <v>856</v>
      </c>
    </row>
    <row r="6192" spans="1:14" ht="15" customHeight="1" x14ac:dyDescent="0.2">
      <c r="A6192" s="31">
        <v>0.2289558189911291</v>
      </c>
      <c r="B6192" s="31"/>
      <c r="C6192" s="2" t="s">
        <v>855</v>
      </c>
      <c r="D6192" s="31">
        <f t="shared" si="189"/>
        <v>4.4875340522261303E-2</v>
      </c>
      <c r="F6192" s="2" t="s">
        <v>822</v>
      </c>
      <c r="G6192" s="23" t="s">
        <v>902</v>
      </c>
      <c r="H6192" s="2" t="s">
        <v>822</v>
      </c>
      <c r="J6192" s="31">
        <v>65.161102299999996</v>
      </c>
      <c r="K6192" s="31">
        <v>-26.917900100000001</v>
      </c>
      <c r="L6192" s="31"/>
      <c r="M6192" s="31" t="s">
        <v>854</v>
      </c>
      <c r="N6192" s="6" t="s">
        <v>856</v>
      </c>
    </row>
    <row r="6193" spans="1:14" ht="15" customHeight="1" x14ac:dyDescent="0.2">
      <c r="A6193" s="31">
        <v>0.22880060631382701</v>
      </c>
      <c r="B6193" s="31"/>
      <c r="C6193" s="2" t="s">
        <v>855</v>
      </c>
      <c r="D6193" s="31">
        <f t="shared" si="189"/>
        <v>4.4844918837510094E-2</v>
      </c>
      <c r="F6193" s="2" t="s">
        <v>822</v>
      </c>
      <c r="G6193" s="23" t="s">
        <v>902</v>
      </c>
      <c r="H6193" s="2" t="s">
        <v>822</v>
      </c>
      <c r="J6193" s="31">
        <v>62.674598699999997</v>
      </c>
      <c r="K6193" s="31">
        <v>-19.847999600000001</v>
      </c>
      <c r="L6193" s="31"/>
      <c r="M6193" s="31" t="s">
        <v>854</v>
      </c>
      <c r="N6193" s="6" t="s">
        <v>856</v>
      </c>
    </row>
    <row r="6194" spans="1:14" ht="15" customHeight="1" x14ac:dyDescent="0.2">
      <c r="A6194" s="31">
        <v>0.22866924213232381</v>
      </c>
      <c r="B6194" s="31"/>
      <c r="C6194" s="2" t="s">
        <v>855</v>
      </c>
      <c r="D6194" s="31">
        <f t="shared" si="189"/>
        <v>4.4819171457935472E-2</v>
      </c>
      <c r="F6194" s="2" t="s">
        <v>822</v>
      </c>
      <c r="G6194" s="23" t="s">
        <v>902</v>
      </c>
      <c r="H6194" s="2" t="s">
        <v>822</v>
      </c>
      <c r="J6194" s="31">
        <v>54.096000699999998</v>
      </c>
      <c r="K6194" s="31">
        <v>-37.884200999999997</v>
      </c>
      <c r="L6194" s="31"/>
      <c r="M6194" s="31" t="s">
        <v>854</v>
      </c>
      <c r="N6194" s="6" t="s">
        <v>856</v>
      </c>
    </row>
    <row r="6195" spans="1:14" ht="15" customHeight="1" x14ac:dyDescent="0.2">
      <c r="A6195" s="31">
        <v>0.22860734752714729</v>
      </c>
      <c r="B6195" s="31"/>
      <c r="C6195" s="2" t="s">
        <v>855</v>
      </c>
      <c r="D6195" s="31">
        <f t="shared" si="189"/>
        <v>4.480704011532087E-2</v>
      </c>
      <c r="F6195" s="2" t="s">
        <v>822</v>
      </c>
      <c r="G6195" s="23" t="s">
        <v>902</v>
      </c>
      <c r="H6195" s="2" t="s">
        <v>822</v>
      </c>
      <c r="J6195" s="31">
        <v>63.383598300000003</v>
      </c>
      <c r="K6195" s="31">
        <v>-24.3512001</v>
      </c>
      <c r="L6195" s="31"/>
      <c r="M6195" s="31" t="s">
        <v>854</v>
      </c>
      <c r="N6195" s="6" t="s">
        <v>856</v>
      </c>
    </row>
    <row r="6196" spans="1:14" ht="15" customHeight="1" x14ac:dyDescent="0.2">
      <c r="A6196" s="31">
        <v>0.22853536468094959</v>
      </c>
      <c r="B6196" s="31"/>
      <c r="C6196" s="2" t="s">
        <v>855</v>
      </c>
      <c r="D6196" s="31">
        <f t="shared" si="189"/>
        <v>4.4792931477466123E-2</v>
      </c>
      <c r="F6196" s="2" t="s">
        <v>822</v>
      </c>
      <c r="G6196" s="23" t="s">
        <v>902</v>
      </c>
      <c r="H6196" s="2" t="s">
        <v>822</v>
      </c>
      <c r="J6196" s="31">
        <v>65.452003500000004</v>
      </c>
      <c r="K6196" s="31">
        <v>-29.867999999999999</v>
      </c>
      <c r="L6196" s="31"/>
      <c r="M6196" s="31" t="s">
        <v>854</v>
      </c>
      <c r="N6196" s="6" t="s">
        <v>856</v>
      </c>
    </row>
    <row r="6197" spans="1:14" ht="15" customHeight="1" x14ac:dyDescent="0.2">
      <c r="A6197" s="31">
        <v>0.22849845688155709</v>
      </c>
      <c r="B6197" s="31"/>
      <c r="C6197" s="2" t="s">
        <v>855</v>
      </c>
      <c r="D6197" s="31">
        <f t="shared" si="189"/>
        <v>4.478569754878519E-2</v>
      </c>
      <c r="F6197" s="2" t="s">
        <v>822</v>
      </c>
      <c r="G6197" s="23" t="s">
        <v>902</v>
      </c>
      <c r="H6197" s="2" t="s">
        <v>822</v>
      </c>
      <c r="J6197" s="31">
        <v>59.439998600000003</v>
      </c>
      <c r="K6197" s="31">
        <v>-11.1639996</v>
      </c>
      <c r="L6197" s="31"/>
      <c r="M6197" s="31" t="s">
        <v>854</v>
      </c>
      <c r="N6197" s="6" t="s">
        <v>856</v>
      </c>
    </row>
    <row r="6198" spans="1:14" ht="15" customHeight="1" x14ac:dyDescent="0.2">
      <c r="A6198" s="31">
        <v>0.22828930236343159</v>
      </c>
      <c r="B6198" s="31"/>
      <c r="C6198" s="2" t="s">
        <v>855</v>
      </c>
      <c r="D6198" s="31">
        <f t="shared" si="189"/>
        <v>4.4744703263232592E-2</v>
      </c>
      <c r="F6198" s="2" t="s">
        <v>822</v>
      </c>
      <c r="G6198" s="23" t="s">
        <v>902</v>
      </c>
      <c r="H6198" s="2" t="s">
        <v>822</v>
      </c>
      <c r="J6198" s="31">
        <v>63.735298200000003</v>
      </c>
      <c r="K6198" s="31">
        <v>9.3056201999999999</v>
      </c>
      <c r="L6198" s="31"/>
      <c r="M6198" s="31" t="s">
        <v>854</v>
      </c>
      <c r="N6198" s="6" t="s">
        <v>856</v>
      </c>
    </row>
    <row r="6199" spans="1:14" ht="15" customHeight="1" x14ac:dyDescent="0.2">
      <c r="A6199" s="31">
        <v>0.22824101442678579</v>
      </c>
      <c r="B6199" s="31"/>
      <c r="C6199" s="2" t="s">
        <v>855</v>
      </c>
      <c r="D6199" s="31">
        <f t="shared" si="189"/>
        <v>4.4735238827650015E-2</v>
      </c>
      <c r="F6199" s="2" t="s">
        <v>822</v>
      </c>
      <c r="G6199" s="23" t="s">
        <v>902</v>
      </c>
      <c r="H6199" s="2" t="s">
        <v>822</v>
      </c>
      <c r="J6199" s="31">
        <v>64.783996599999995</v>
      </c>
      <c r="K6199" s="31">
        <v>5.5359997999999999</v>
      </c>
      <c r="L6199" s="31"/>
      <c r="M6199" s="31" t="s">
        <v>854</v>
      </c>
      <c r="N6199" s="6" t="s">
        <v>856</v>
      </c>
    </row>
    <row r="6200" spans="1:14" ht="15" customHeight="1" x14ac:dyDescent="0.2">
      <c r="A6200" s="31">
        <v>0.2282041158279447</v>
      </c>
      <c r="B6200" s="31"/>
      <c r="C6200" s="2" t="s">
        <v>855</v>
      </c>
      <c r="D6200" s="31">
        <f t="shared" si="189"/>
        <v>4.4728006702277161E-2</v>
      </c>
      <c r="F6200" s="2" t="s">
        <v>822</v>
      </c>
      <c r="G6200" s="23" t="s">
        <v>902</v>
      </c>
      <c r="H6200" s="2" t="s">
        <v>822</v>
      </c>
      <c r="J6200" s="31">
        <v>54.763999900000002</v>
      </c>
      <c r="K6200" s="31">
        <v>-32.540000900000003</v>
      </c>
      <c r="L6200" s="31"/>
      <c r="M6200" s="31" t="s">
        <v>854</v>
      </c>
      <c r="N6200" s="6" t="s">
        <v>856</v>
      </c>
    </row>
    <row r="6201" spans="1:14" ht="15" customHeight="1" x14ac:dyDescent="0.2">
      <c r="A6201" s="31">
        <v>0.22812735681818791</v>
      </c>
      <c r="B6201" s="31"/>
      <c r="C6201" s="2" t="s">
        <v>855</v>
      </c>
      <c r="D6201" s="31">
        <f t="shared" ref="D6201:D6206" si="190" xml:space="preserve"> A6201 * 0.196</f>
        <v>4.4712961936364835E-2</v>
      </c>
      <c r="F6201" s="2" t="s">
        <v>822</v>
      </c>
      <c r="G6201" s="23" t="s">
        <v>902</v>
      </c>
      <c r="H6201" s="2" t="s">
        <v>822</v>
      </c>
      <c r="J6201" s="31">
        <v>63.370498699999999</v>
      </c>
      <c r="K6201" s="31">
        <v>6.7839197999999996</v>
      </c>
      <c r="L6201" s="31"/>
      <c r="M6201" s="31" t="s">
        <v>854</v>
      </c>
      <c r="N6201" s="6" t="s">
        <v>856</v>
      </c>
    </row>
    <row r="6202" spans="1:14" ht="15" customHeight="1" x14ac:dyDescent="0.2">
      <c r="A6202" s="31">
        <v>0.22804188204734049</v>
      </c>
      <c r="B6202" s="31"/>
      <c r="C6202" s="2" t="s">
        <v>855</v>
      </c>
      <c r="D6202" s="31">
        <f t="shared" si="190"/>
        <v>4.4696208881278739E-2</v>
      </c>
      <c r="F6202" s="2" t="s">
        <v>822</v>
      </c>
      <c r="G6202" s="23" t="s">
        <v>902</v>
      </c>
      <c r="H6202" s="2" t="s">
        <v>822</v>
      </c>
      <c r="J6202" s="31">
        <v>68.130203199999997</v>
      </c>
      <c r="K6202" s="31">
        <v>9.5398197000000007</v>
      </c>
      <c r="L6202" s="31"/>
      <c r="M6202" s="31" t="s">
        <v>854</v>
      </c>
      <c r="N6202" s="6" t="s">
        <v>856</v>
      </c>
    </row>
    <row r="6203" spans="1:14" ht="15" customHeight="1" x14ac:dyDescent="0.2">
      <c r="A6203" s="31">
        <v>0.22796563339259379</v>
      </c>
      <c r="B6203" s="31"/>
      <c r="C6203" s="2" t="s">
        <v>855</v>
      </c>
      <c r="D6203" s="31">
        <f t="shared" si="190"/>
        <v>4.4681264144948385E-2</v>
      </c>
      <c r="F6203" s="2" t="s">
        <v>822</v>
      </c>
      <c r="G6203" s="23" t="s">
        <v>902</v>
      </c>
      <c r="H6203" s="2" t="s">
        <v>822</v>
      </c>
      <c r="J6203" s="31">
        <v>60.108001700000003</v>
      </c>
      <c r="K6203" s="31">
        <v>-11.8319998</v>
      </c>
      <c r="L6203" s="31"/>
      <c r="M6203" s="31" t="s">
        <v>854</v>
      </c>
      <c r="N6203" s="6" t="s">
        <v>856</v>
      </c>
    </row>
    <row r="6204" spans="1:14" ht="15" customHeight="1" x14ac:dyDescent="0.2">
      <c r="A6204" s="31">
        <v>0.22781881793971201</v>
      </c>
      <c r="B6204" s="31"/>
      <c r="C6204" s="2" t="s">
        <v>855</v>
      </c>
      <c r="D6204" s="31">
        <f t="shared" si="190"/>
        <v>4.4652488316183556E-2</v>
      </c>
      <c r="F6204" s="2" t="s">
        <v>822</v>
      </c>
      <c r="G6204" s="23" t="s">
        <v>902</v>
      </c>
      <c r="H6204" s="2" t="s">
        <v>822</v>
      </c>
      <c r="J6204" s="31">
        <v>52.736198399999999</v>
      </c>
      <c r="K6204" s="31">
        <v>-33.688499499999999</v>
      </c>
      <c r="L6204" s="31"/>
      <c r="M6204" s="31" t="s">
        <v>854</v>
      </c>
      <c r="N6204" s="6" t="s">
        <v>856</v>
      </c>
    </row>
    <row r="6205" spans="1:14" ht="15" customHeight="1" x14ac:dyDescent="0.2">
      <c r="A6205" s="31">
        <v>0.22781176848604559</v>
      </c>
      <c r="B6205" s="31"/>
      <c r="C6205" s="2" t="s">
        <v>855</v>
      </c>
      <c r="D6205" s="31">
        <f t="shared" si="190"/>
        <v>4.4651106623264936E-2</v>
      </c>
      <c r="F6205" s="2" t="s">
        <v>822</v>
      </c>
      <c r="G6205" s="23" t="s">
        <v>902</v>
      </c>
      <c r="H6205" s="2" t="s">
        <v>822</v>
      </c>
      <c r="J6205" s="31">
        <v>64.731002799999999</v>
      </c>
      <c r="K6205" s="31">
        <v>-27.2814999</v>
      </c>
      <c r="L6205" s="31"/>
      <c r="M6205" s="31" t="s">
        <v>854</v>
      </c>
      <c r="N6205" s="6" t="s">
        <v>856</v>
      </c>
    </row>
    <row r="6206" spans="1:14" ht="15" customHeight="1" x14ac:dyDescent="0.2">
      <c r="A6206" s="31">
        <v>0.22709143545801819</v>
      </c>
      <c r="B6206" s="31"/>
      <c r="C6206" s="2" t="s">
        <v>855</v>
      </c>
      <c r="D6206" s="31">
        <f t="shared" si="190"/>
        <v>4.4509921349771567E-2</v>
      </c>
      <c r="F6206" s="2" t="s">
        <v>822</v>
      </c>
      <c r="G6206" s="23" t="s">
        <v>902</v>
      </c>
      <c r="H6206" s="2" t="s">
        <v>822</v>
      </c>
      <c r="J6206" s="31">
        <v>59.439998600000003</v>
      </c>
      <c r="K6206" s="31">
        <v>-17.8439999</v>
      </c>
      <c r="L6206" s="31"/>
      <c r="M6206" s="31" t="s">
        <v>854</v>
      </c>
      <c r="N6206" s="6" t="s">
        <v>856</v>
      </c>
    </row>
    <row r="6207" spans="1:14" ht="15" customHeight="1" x14ac:dyDescent="0.2">
      <c r="A6207" s="22">
        <v>4.4483136151657873E-2</v>
      </c>
      <c r="B6207" s="22"/>
      <c r="C6207" s="2" t="s">
        <v>891</v>
      </c>
      <c r="D6207" s="2">
        <f>A6207</f>
        <v>4.4483136151657873E-2</v>
      </c>
      <c r="F6207" s="2">
        <v>2023</v>
      </c>
      <c r="G6207" s="23" t="s">
        <v>902</v>
      </c>
      <c r="H6207" s="2" t="s">
        <v>772</v>
      </c>
      <c r="I6207" s="14" t="s">
        <v>191</v>
      </c>
      <c r="J6207" s="23" t="s">
        <v>273</v>
      </c>
      <c r="K6207" s="23" t="s">
        <v>478</v>
      </c>
      <c r="L6207" s="23" t="s">
        <v>820</v>
      </c>
      <c r="M6207" s="2" t="s">
        <v>825</v>
      </c>
      <c r="N6207" s="6" t="s">
        <v>828</v>
      </c>
    </row>
    <row r="6208" spans="1:14" ht="15" customHeight="1" x14ac:dyDescent="0.2">
      <c r="A6208" s="31">
        <v>0.22690641458370009</v>
      </c>
      <c r="B6208" s="31"/>
      <c r="C6208" s="2" t="s">
        <v>855</v>
      </c>
      <c r="D6208" s="31">
        <f t="shared" ref="D6208:D6271" si="191" xml:space="preserve"> A6208 * 0.196</f>
        <v>4.4473657258405221E-2</v>
      </c>
      <c r="F6208" s="2" t="s">
        <v>822</v>
      </c>
      <c r="G6208" s="23" t="s">
        <v>902</v>
      </c>
      <c r="H6208" s="2" t="s">
        <v>822</v>
      </c>
      <c r="J6208" s="31">
        <v>56.522598299999999</v>
      </c>
      <c r="K6208" s="31">
        <v>4.3069701</v>
      </c>
      <c r="L6208" s="31"/>
      <c r="M6208" s="31" t="s">
        <v>854</v>
      </c>
      <c r="N6208" s="6" t="s">
        <v>856</v>
      </c>
    </row>
    <row r="6209" spans="1:14" ht="15" customHeight="1" x14ac:dyDescent="0.2">
      <c r="A6209" s="31">
        <v>0.2266720367225849</v>
      </c>
      <c r="B6209" s="31"/>
      <c r="C6209" s="2" t="s">
        <v>855</v>
      </c>
      <c r="D6209" s="31">
        <f t="shared" si="191"/>
        <v>4.4427719197626642E-2</v>
      </c>
      <c r="F6209" s="2" t="s">
        <v>822</v>
      </c>
      <c r="G6209" s="23" t="s">
        <v>902</v>
      </c>
      <c r="H6209" s="2" t="s">
        <v>822</v>
      </c>
      <c r="J6209" s="31">
        <v>60.108001700000003</v>
      </c>
      <c r="K6209" s="35">
        <v>0.86</v>
      </c>
      <c r="L6209" s="31"/>
      <c r="M6209" s="31" t="s">
        <v>854</v>
      </c>
      <c r="N6209" s="6" t="s">
        <v>856</v>
      </c>
    </row>
    <row r="6210" spans="1:14" ht="15" customHeight="1" x14ac:dyDescent="0.2">
      <c r="A6210" s="31">
        <v>0.22654349329684181</v>
      </c>
      <c r="B6210" s="31"/>
      <c r="C6210" s="2" t="s">
        <v>855</v>
      </c>
      <c r="D6210" s="31">
        <f t="shared" si="191"/>
        <v>4.4402524686181E-2</v>
      </c>
      <c r="F6210" s="2" t="s">
        <v>822</v>
      </c>
      <c r="G6210" s="23" t="s">
        <v>902</v>
      </c>
      <c r="H6210" s="2" t="s">
        <v>822</v>
      </c>
      <c r="J6210" s="31">
        <v>60.108001700000003</v>
      </c>
      <c r="K6210" s="31">
        <v>-16.507999399999999</v>
      </c>
      <c r="L6210" s="31"/>
      <c r="M6210" s="31" t="s">
        <v>854</v>
      </c>
      <c r="N6210" s="6" t="s">
        <v>856</v>
      </c>
    </row>
    <row r="6211" spans="1:14" ht="15" customHeight="1" x14ac:dyDescent="0.2">
      <c r="A6211" s="31">
        <v>0.22643618033126081</v>
      </c>
      <c r="B6211" s="31"/>
      <c r="C6211" s="2" t="s">
        <v>855</v>
      </c>
      <c r="D6211" s="31">
        <f t="shared" si="191"/>
        <v>4.4381491344927124E-2</v>
      </c>
      <c r="F6211" s="2" t="s">
        <v>822</v>
      </c>
      <c r="G6211" s="23" t="s">
        <v>902</v>
      </c>
      <c r="H6211" s="2" t="s">
        <v>822</v>
      </c>
      <c r="J6211" s="31">
        <v>55.436599700000002</v>
      </c>
      <c r="K6211" s="31">
        <v>-26.5428009</v>
      </c>
      <c r="L6211" s="31"/>
      <c r="M6211" s="31" t="s">
        <v>854</v>
      </c>
      <c r="N6211" s="6" t="s">
        <v>856</v>
      </c>
    </row>
    <row r="6212" spans="1:14" ht="15" customHeight="1" x14ac:dyDescent="0.2">
      <c r="A6212" s="31">
        <v>0.22617090997579831</v>
      </c>
      <c r="B6212" s="31"/>
      <c r="C6212" s="2" t="s">
        <v>855</v>
      </c>
      <c r="D6212" s="31">
        <f t="shared" si="191"/>
        <v>4.4329498355256472E-2</v>
      </c>
      <c r="F6212" s="2" t="s">
        <v>822</v>
      </c>
      <c r="G6212" s="23" t="s">
        <v>902</v>
      </c>
      <c r="H6212" s="2" t="s">
        <v>822</v>
      </c>
      <c r="J6212" s="31">
        <v>56.316101099999997</v>
      </c>
      <c r="K6212" s="31">
        <v>-13.0952997</v>
      </c>
      <c r="L6212" s="31"/>
      <c r="M6212" s="31" t="s">
        <v>854</v>
      </c>
      <c r="N6212" s="6" t="s">
        <v>856</v>
      </c>
    </row>
    <row r="6213" spans="1:14" ht="15" customHeight="1" x14ac:dyDescent="0.2">
      <c r="A6213" s="31">
        <v>0.2258449559983694</v>
      </c>
      <c r="B6213" s="31"/>
      <c r="C6213" s="2" t="s">
        <v>855</v>
      </c>
      <c r="D6213" s="31">
        <f t="shared" si="191"/>
        <v>4.4265611375680407E-2</v>
      </c>
      <c r="F6213" s="2" t="s">
        <v>822</v>
      </c>
      <c r="G6213" s="23" t="s">
        <v>902</v>
      </c>
      <c r="H6213" s="2" t="s">
        <v>822</v>
      </c>
      <c r="J6213" s="31">
        <v>56.099998499999998</v>
      </c>
      <c r="K6213" s="31">
        <v>-34.543998700000003</v>
      </c>
      <c r="L6213" s="31"/>
      <c r="M6213" s="31" t="s">
        <v>854</v>
      </c>
      <c r="N6213" s="6" t="s">
        <v>856</v>
      </c>
    </row>
    <row r="6214" spans="1:14" ht="15" customHeight="1" x14ac:dyDescent="0.2">
      <c r="A6214" s="31">
        <v>0.22558790747827659</v>
      </c>
      <c r="B6214" s="31"/>
      <c r="C6214" s="2" t="s">
        <v>855</v>
      </c>
      <c r="D6214" s="31">
        <f t="shared" si="191"/>
        <v>4.4215229865742216E-2</v>
      </c>
      <c r="F6214" s="2" t="s">
        <v>822</v>
      </c>
      <c r="G6214" s="23" t="s">
        <v>902</v>
      </c>
      <c r="H6214" s="2" t="s">
        <v>822</v>
      </c>
      <c r="J6214" s="31">
        <v>60.881599399999999</v>
      </c>
      <c r="K6214" s="31">
        <v>-3.1480000000000001</v>
      </c>
      <c r="L6214" s="31"/>
      <c r="M6214" s="31" t="s">
        <v>854</v>
      </c>
      <c r="N6214" s="6" t="s">
        <v>856</v>
      </c>
    </row>
    <row r="6215" spans="1:14" ht="15" customHeight="1" x14ac:dyDescent="0.2">
      <c r="A6215" s="31">
        <v>0.22553667587244669</v>
      </c>
      <c r="B6215" s="31"/>
      <c r="C6215" s="2" t="s">
        <v>855</v>
      </c>
      <c r="D6215" s="31">
        <f t="shared" si="191"/>
        <v>4.4205188470999551E-2</v>
      </c>
      <c r="F6215" s="2" t="s">
        <v>822</v>
      </c>
      <c r="G6215" s="23" t="s">
        <v>902</v>
      </c>
      <c r="H6215" s="2" t="s">
        <v>822</v>
      </c>
      <c r="J6215" s="31">
        <v>61.766498599999998</v>
      </c>
      <c r="K6215" s="31">
        <v>4.5397100000000004</v>
      </c>
      <c r="L6215" s="31"/>
      <c r="M6215" s="31" t="s">
        <v>854</v>
      </c>
      <c r="N6215" s="6" t="s">
        <v>856</v>
      </c>
    </row>
    <row r="6216" spans="1:14" ht="15" customHeight="1" x14ac:dyDescent="0.2">
      <c r="A6216" s="31">
        <v>0.225341104453462</v>
      </c>
      <c r="B6216" s="31"/>
      <c r="C6216" s="2" t="s">
        <v>855</v>
      </c>
      <c r="D6216" s="31">
        <f t="shared" si="191"/>
        <v>4.4166856472878553E-2</v>
      </c>
      <c r="F6216" s="2" t="s">
        <v>822</v>
      </c>
      <c r="G6216" s="23" t="s">
        <v>902</v>
      </c>
      <c r="H6216" s="2" t="s">
        <v>822</v>
      </c>
      <c r="J6216" s="31">
        <v>63.764099100000003</v>
      </c>
      <c r="K6216" s="31">
        <v>-9.6683903000000004</v>
      </c>
      <c r="L6216" s="31"/>
      <c r="M6216" s="31" t="s">
        <v>854</v>
      </c>
      <c r="N6216" s="6" t="s">
        <v>856</v>
      </c>
    </row>
    <row r="6217" spans="1:14" ht="15" customHeight="1" x14ac:dyDescent="0.2">
      <c r="A6217" s="31">
        <v>0.22520553595323389</v>
      </c>
      <c r="B6217" s="31"/>
      <c r="C6217" s="2" t="s">
        <v>855</v>
      </c>
      <c r="D6217" s="31">
        <f t="shared" si="191"/>
        <v>4.4140285046833844E-2</v>
      </c>
      <c r="F6217" s="2" t="s">
        <v>822</v>
      </c>
      <c r="G6217" s="23" t="s">
        <v>902</v>
      </c>
      <c r="H6217" s="2" t="s">
        <v>822</v>
      </c>
      <c r="J6217" s="31">
        <v>68.802902200000005</v>
      </c>
      <c r="K6217" s="31">
        <v>14.192299800000001</v>
      </c>
      <c r="L6217" s="31"/>
      <c r="M6217" s="31" t="s">
        <v>854</v>
      </c>
      <c r="N6217" s="6" t="s">
        <v>856</v>
      </c>
    </row>
    <row r="6218" spans="1:14" ht="15" customHeight="1" x14ac:dyDescent="0.2">
      <c r="A6218" s="31">
        <v>0.22517063414155869</v>
      </c>
      <c r="B6218" s="31"/>
      <c r="C6218" s="2" t="s">
        <v>855</v>
      </c>
      <c r="D6218" s="31">
        <f t="shared" si="191"/>
        <v>4.4133444291745504E-2</v>
      </c>
      <c r="F6218" s="2" t="s">
        <v>822</v>
      </c>
      <c r="G6218" s="23" t="s">
        <v>902</v>
      </c>
      <c r="H6218" s="2" t="s">
        <v>822</v>
      </c>
      <c r="J6218" s="31">
        <v>51.480499299999998</v>
      </c>
      <c r="K6218" s="31">
        <v>-37.010398899999998</v>
      </c>
      <c r="L6218" s="31"/>
      <c r="M6218" s="31" t="s">
        <v>854</v>
      </c>
      <c r="N6218" s="6" t="s">
        <v>856</v>
      </c>
    </row>
    <row r="6219" spans="1:14" ht="15" customHeight="1" x14ac:dyDescent="0.2">
      <c r="A6219" s="31">
        <v>0.22502109266699011</v>
      </c>
      <c r="B6219" s="31"/>
      <c r="C6219" s="2" t="s">
        <v>855</v>
      </c>
      <c r="D6219" s="31">
        <f t="shared" si="191"/>
        <v>4.4104134162730062E-2</v>
      </c>
      <c r="F6219" s="2" t="s">
        <v>822</v>
      </c>
      <c r="G6219" s="23" t="s">
        <v>902</v>
      </c>
      <c r="H6219" s="2" t="s">
        <v>822</v>
      </c>
      <c r="J6219" s="31">
        <v>61.444000199999998</v>
      </c>
      <c r="K6219" s="31">
        <v>-23.187999699999999</v>
      </c>
      <c r="L6219" s="31"/>
      <c r="M6219" s="31" t="s">
        <v>854</v>
      </c>
      <c r="N6219" s="6" t="s">
        <v>856</v>
      </c>
    </row>
    <row r="6220" spans="1:14" ht="15" customHeight="1" x14ac:dyDescent="0.2">
      <c r="A6220" s="31">
        <v>0.22472120873509571</v>
      </c>
      <c r="B6220" s="31"/>
      <c r="C6220" s="2" t="s">
        <v>855</v>
      </c>
      <c r="D6220" s="31">
        <f t="shared" si="191"/>
        <v>4.4045356912078761E-2</v>
      </c>
      <c r="F6220" s="2" t="s">
        <v>822</v>
      </c>
      <c r="G6220" s="23" t="s">
        <v>902</v>
      </c>
      <c r="H6220" s="2" t="s">
        <v>822</v>
      </c>
      <c r="J6220" s="31">
        <v>57.037601500000001</v>
      </c>
      <c r="K6220" s="31">
        <v>9.6178702999999999</v>
      </c>
      <c r="L6220" s="31"/>
      <c r="M6220" s="31" t="s">
        <v>854</v>
      </c>
      <c r="N6220" s="6" t="s">
        <v>856</v>
      </c>
    </row>
    <row r="6221" spans="1:14" ht="15" customHeight="1" x14ac:dyDescent="0.2">
      <c r="A6221" s="31">
        <v>0.22463103536410239</v>
      </c>
      <c r="B6221" s="31"/>
      <c r="C6221" s="2" t="s">
        <v>855</v>
      </c>
      <c r="D6221" s="31">
        <f t="shared" si="191"/>
        <v>4.4027682931364068E-2</v>
      </c>
      <c r="F6221" s="2" t="s">
        <v>822</v>
      </c>
      <c r="G6221" s="23" t="s">
        <v>902</v>
      </c>
      <c r="H6221" s="2" t="s">
        <v>822</v>
      </c>
      <c r="J6221" s="31">
        <v>61.444000199999998</v>
      </c>
      <c r="K6221" s="31">
        <v>-26.527999900000001</v>
      </c>
      <c r="L6221" s="31"/>
      <c r="M6221" s="31" t="s">
        <v>854</v>
      </c>
      <c r="N6221" s="6" t="s">
        <v>856</v>
      </c>
    </row>
    <row r="6222" spans="1:14" ht="15" customHeight="1" x14ac:dyDescent="0.2">
      <c r="A6222" s="31">
        <v>0.22433435511436189</v>
      </c>
      <c r="B6222" s="31"/>
      <c r="C6222" s="2" t="s">
        <v>855</v>
      </c>
      <c r="D6222" s="31">
        <f t="shared" si="191"/>
        <v>4.3969533602414936E-2</v>
      </c>
      <c r="F6222" s="2" t="s">
        <v>822</v>
      </c>
      <c r="G6222" s="23" t="s">
        <v>902</v>
      </c>
      <c r="H6222" s="2" t="s">
        <v>822</v>
      </c>
      <c r="J6222" s="31">
        <v>58.771999399999999</v>
      </c>
      <c r="K6222" s="31">
        <v>-25.860000599999999</v>
      </c>
      <c r="L6222" s="31"/>
      <c r="M6222" s="31" t="s">
        <v>854</v>
      </c>
      <c r="N6222" s="6" t="s">
        <v>856</v>
      </c>
    </row>
    <row r="6223" spans="1:14" ht="15" customHeight="1" x14ac:dyDescent="0.2">
      <c r="A6223" s="31">
        <v>0.22423326947819899</v>
      </c>
      <c r="B6223" s="31"/>
      <c r="C6223" s="2" t="s">
        <v>855</v>
      </c>
      <c r="D6223" s="31">
        <f t="shared" si="191"/>
        <v>4.3949720817727002E-2</v>
      </c>
      <c r="F6223" s="2" t="s">
        <v>822</v>
      </c>
      <c r="G6223" s="23" t="s">
        <v>902</v>
      </c>
      <c r="H6223" s="2" t="s">
        <v>822</v>
      </c>
      <c r="J6223" s="31">
        <v>60.938400299999998</v>
      </c>
      <c r="K6223" s="31">
        <v>0.85418899999999998</v>
      </c>
      <c r="L6223" s="31"/>
      <c r="M6223" s="31" t="s">
        <v>854</v>
      </c>
      <c r="N6223" s="6" t="s">
        <v>856</v>
      </c>
    </row>
    <row r="6224" spans="1:14" ht="15" customHeight="1" x14ac:dyDescent="0.2">
      <c r="A6224" s="31">
        <v>0.22421576475522809</v>
      </c>
      <c r="B6224" s="31"/>
      <c r="C6224" s="2" t="s">
        <v>855</v>
      </c>
      <c r="D6224" s="31">
        <f t="shared" si="191"/>
        <v>4.3946289892024704E-2</v>
      </c>
      <c r="F6224" s="2" t="s">
        <v>822</v>
      </c>
      <c r="G6224" s="23" t="s">
        <v>902</v>
      </c>
      <c r="H6224" s="2" t="s">
        <v>822</v>
      </c>
      <c r="J6224" s="31">
        <v>54.096000699999998</v>
      </c>
      <c r="K6224" s="31">
        <v>-35.212001800000003</v>
      </c>
      <c r="L6224" s="31"/>
      <c r="M6224" s="31" t="s">
        <v>854</v>
      </c>
      <c r="N6224" s="6" t="s">
        <v>856</v>
      </c>
    </row>
    <row r="6225" spans="1:14" ht="15" customHeight="1" x14ac:dyDescent="0.2">
      <c r="A6225" s="31">
        <v>0.2240732017382692</v>
      </c>
      <c r="B6225" s="31"/>
      <c r="C6225" s="2" t="s">
        <v>855</v>
      </c>
      <c r="D6225" s="31">
        <f t="shared" si="191"/>
        <v>4.3918347540700765E-2</v>
      </c>
      <c r="F6225" s="2" t="s">
        <v>822</v>
      </c>
      <c r="G6225" s="23" t="s">
        <v>902</v>
      </c>
      <c r="H6225" s="2" t="s">
        <v>822</v>
      </c>
      <c r="J6225" s="31">
        <v>58.1040001</v>
      </c>
      <c r="K6225" s="31">
        <v>-20.516000699999999</v>
      </c>
      <c r="L6225" s="31"/>
      <c r="M6225" s="31" t="s">
        <v>854</v>
      </c>
      <c r="N6225" s="6" t="s">
        <v>856</v>
      </c>
    </row>
    <row r="6226" spans="1:14" ht="15" customHeight="1" x14ac:dyDescent="0.2">
      <c r="A6226" s="31">
        <v>0.22368848996457641</v>
      </c>
      <c r="B6226" s="31"/>
      <c r="C6226" s="2" t="s">
        <v>855</v>
      </c>
      <c r="D6226" s="31">
        <f t="shared" si="191"/>
        <v>4.3842944033056976E-2</v>
      </c>
      <c r="F6226" s="2" t="s">
        <v>822</v>
      </c>
      <c r="G6226" s="23" t="s">
        <v>902</v>
      </c>
      <c r="H6226" s="2" t="s">
        <v>822</v>
      </c>
      <c r="J6226" s="31">
        <v>52.124099700000002</v>
      </c>
      <c r="K6226" s="31">
        <v>-35.9048996</v>
      </c>
      <c r="L6226" s="31"/>
      <c r="M6226" s="31" t="s">
        <v>854</v>
      </c>
      <c r="N6226" s="6" t="s">
        <v>856</v>
      </c>
    </row>
    <row r="6227" spans="1:14" ht="15" customHeight="1" x14ac:dyDescent="0.2">
      <c r="A6227" s="31">
        <v>0.22294776203646041</v>
      </c>
      <c r="B6227" s="31"/>
      <c r="C6227" s="2" t="s">
        <v>855</v>
      </c>
      <c r="D6227" s="31">
        <f t="shared" si="191"/>
        <v>4.3697761359146242E-2</v>
      </c>
      <c r="F6227" s="2" t="s">
        <v>822</v>
      </c>
      <c r="G6227" s="23" t="s">
        <v>902</v>
      </c>
      <c r="H6227" s="2" t="s">
        <v>822</v>
      </c>
      <c r="J6227" s="31">
        <v>58.771999399999999</v>
      </c>
      <c r="K6227" s="31">
        <v>-33.208000200000001</v>
      </c>
      <c r="L6227" s="31"/>
      <c r="M6227" s="31" t="s">
        <v>854</v>
      </c>
      <c r="N6227" s="6" t="s">
        <v>856</v>
      </c>
    </row>
    <row r="6228" spans="1:14" ht="15" customHeight="1" x14ac:dyDescent="0.2">
      <c r="A6228" s="31">
        <v>0.22267540444628281</v>
      </c>
      <c r="B6228" s="31"/>
      <c r="C6228" s="2" t="s">
        <v>855</v>
      </c>
      <c r="D6228" s="31">
        <f t="shared" si="191"/>
        <v>4.3644379271471433E-2</v>
      </c>
      <c r="F6228" s="2" t="s">
        <v>822</v>
      </c>
      <c r="G6228" s="23" t="s">
        <v>902</v>
      </c>
      <c r="H6228" s="2" t="s">
        <v>822</v>
      </c>
      <c r="J6228" s="31">
        <v>62.779998800000001</v>
      </c>
      <c r="K6228" s="31">
        <v>-15.171999899999999</v>
      </c>
      <c r="L6228" s="31"/>
      <c r="M6228" s="31" t="s">
        <v>854</v>
      </c>
      <c r="N6228" s="6" t="s">
        <v>856</v>
      </c>
    </row>
    <row r="6229" spans="1:14" ht="15" customHeight="1" x14ac:dyDescent="0.2">
      <c r="A6229" s="31">
        <v>0.2226117162274362</v>
      </c>
      <c r="B6229" s="31"/>
      <c r="C6229" s="2" t="s">
        <v>855</v>
      </c>
      <c r="D6229" s="31">
        <f t="shared" si="191"/>
        <v>4.3631896380577496E-2</v>
      </c>
      <c r="F6229" s="2" t="s">
        <v>822</v>
      </c>
      <c r="G6229" s="23" t="s">
        <v>902</v>
      </c>
      <c r="H6229" s="2" t="s">
        <v>822</v>
      </c>
      <c r="J6229" s="31">
        <v>55.934501599999997</v>
      </c>
      <c r="K6229" s="31">
        <v>-12.5719995</v>
      </c>
      <c r="L6229" s="31"/>
      <c r="M6229" s="31" t="s">
        <v>854</v>
      </c>
      <c r="N6229" s="6" t="s">
        <v>856</v>
      </c>
    </row>
    <row r="6230" spans="1:14" ht="15" customHeight="1" x14ac:dyDescent="0.2">
      <c r="A6230" s="31">
        <v>0.22238385566705429</v>
      </c>
      <c r="B6230" s="31"/>
      <c r="C6230" s="2" t="s">
        <v>855</v>
      </c>
      <c r="D6230" s="31">
        <f t="shared" si="191"/>
        <v>4.358723571074264E-2</v>
      </c>
      <c r="F6230" s="2" t="s">
        <v>822</v>
      </c>
      <c r="G6230" s="23" t="s">
        <v>902</v>
      </c>
      <c r="H6230" s="2" t="s">
        <v>822</v>
      </c>
      <c r="J6230" s="31">
        <v>53.428001399999999</v>
      </c>
      <c r="K6230" s="31">
        <v>-33.208000200000001</v>
      </c>
      <c r="L6230" s="31"/>
      <c r="M6230" s="31" t="s">
        <v>854</v>
      </c>
      <c r="N6230" s="6" t="s">
        <v>856</v>
      </c>
    </row>
    <row r="6231" spans="1:14" ht="15" customHeight="1" x14ac:dyDescent="0.2">
      <c r="A6231" s="31">
        <v>0.22235543243997369</v>
      </c>
      <c r="B6231" s="31"/>
      <c r="C6231" s="2" t="s">
        <v>855</v>
      </c>
      <c r="D6231" s="31">
        <f t="shared" si="191"/>
        <v>4.3581664758234842E-2</v>
      </c>
      <c r="F6231" s="2" t="s">
        <v>822</v>
      </c>
      <c r="G6231" s="23" t="s">
        <v>902</v>
      </c>
      <c r="H6231" s="2" t="s">
        <v>822</v>
      </c>
      <c r="J6231" s="31">
        <v>58.771999399999999</v>
      </c>
      <c r="K6231" s="31">
        <v>-31.204000499999999</v>
      </c>
      <c r="L6231" s="31"/>
      <c r="M6231" s="31" t="s">
        <v>854</v>
      </c>
      <c r="N6231" s="6" t="s">
        <v>856</v>
      </c>
    </row>
    <row r="6232" spans="1:14" ht="15" customHeight="1" x14ac:dyDescent="0.2">
      <c r="A6232" s="31">
        <v>0.22188100954639281</v>
      </c>
      <c r="B6232" s="31"/>
      <c r="C6232" s="2" t="s">
        <v>855</v>
      </c>
      <c r="D6232" s="31">
        <f t="shared" si="191"/>
        <v>4.3488677871092993E-2</v>
      </c>
      <c r="F6232" s="2" t="s">
        <v>822</v>
      </c>
      <c r="G6232" s="23" t="s">
        <v>902</v>
      </c>
      <c r="H6232" s="2" t="s">
        <v>822</v>
      </c>
      <c r="J6232" s="31">
        <v>64.092597999999995</v>
      </c>
      <c r="K6232" s="31">
        <v>-13.3822002</v>
      </c>
      <c r="L6232" s="31"/>
      <c r="M6232" s="31" t="s">
        <v>854</v>
      </c>
      <c r="N6232" s="6" t="s">
        <v>856</v>
      </c>
    </row>
    <row r="6233" spans="1:14" ht="15" customHeight="1" x14ac:dyDescent="0.2">
      <c r="A6233" s="31">
        <v>0.22177977808137461</v>
      </c>
      <c r="B6233" s="31"/>
      <c r="C6233" s="2" t="s">
        <v>855</v>
      </c>
      <c r="D6233" s="31">
        <f t="shared" si="191"/>
        <v>4.3468836503949428E-2</v>
      </c>
      <c r="F6233" s="2" t="s">
        <v>822</v>
      </c>
      <c r="G6233" s="23" t="s">
        <v>902</v>
      </c>
      <c r="H6233" s="2" t="s">
        <v>822</v>
      </c>
      <c r="J6233" s="31">
        <v>59.439998600000003</v>
      </c>
      <c r="K6233" s="31">
        <v>2.8640001000000002</v>
      </c>
      <c r="L6233" s="31"/>
      <c r="M6233" s="31" t="s">
        <v>854</v>
      </c>
      <c r="N6233" s="6" t="s">
        <v>856</v>
      </c>
    </row>
    <row r="6234" spans="1:14" ht="15" customHeight="1" x14ac:dyDescent="0.2">
      <c r="A6234" s="31">
        <v>0.2213391507746241</v>
      </c>
      <c r="B6234" s="31"/>
      <c r="C6234" s="2" t="s">
        <v>855</v>
      </c>
      <c r="D6234" s="31">
        <f t="shared" si="191"/>
        <v>4.3382473551826325E-2</v>
      </c>
      <c r="F6234" s="2" t="s">
        <v>822</v>
      </c>
      <c r="G6234" s="23" t="s">
        <v>902</v>
      </c>
      <c r="H6234" s="2" t="s">
        <v>822</v>
      </c>
      <c r="J6234" s="31">
        <v>64.851600599999998</v>
      </c>
      <c r="K6234" s="31">
        <v>-21.950099900000001</v>
      </c>
      <c r="L6234" s="31"/>
      <c r="M6234" s="31" t="s">
        <v>854</v>
      </c>
      <c r="N6234" s="6" t="s">
        <v>856</v>
      </c>
    </row>
    <row r="6235" spans="1:14" ht="15" customHeight="1" x14ac:dyDescent="0.2">
      <c r="A6235" s="31">
        <v>0.2212772918151551</v>
      </c>
      <c r="B6235" s="31"/>
      <c r="C6235" s="2" t="s">
        <v>855</v>
      </c>
      <c r="D6235" s="31">
        <f t="shared" si="191"/>
        <v>4.3370349195770402E-2</v>
      </c>
      <c r="F6235" s="2" t="s">
        <v>822</v>
      </c>
      <c r="G6235" s="23" t="s">
        <v>902</v>
      </c>
      <c r="H6235" s="2" t="s">
        <v>822</v>
      </c>
      <c r="J6235" s="31">
        <v>59.711498300000002</v>
      </c>
      <c r="K6235" s="31">
        <v>0.192</v>
      </c>
      <c r="L6235" s="31"/>
      <c r="M6235" s="31" t="s">
        <v>854</v>
      </c>
      <c r="N6235" s="6" t="s">
        <v>856</v>
      </c>
    </row>
    <row r="6236" spans="1:14" ht="15" customHeight="1" x14ac:dyDescent="0.2">
      <c r="A6236" s="31">
        <v>0.2211830547419037</v>
      </c>
      <c r="B6236" s="31"/>
      <c r="C6236" s="2" t="s">
        <v>855</v>
      </c>
      <c r="D6236" s="31">
        <f t="shared" si="191"/>
        <v>4.3351878729413124E-2</v>
      </c>
      <c r="F6236" s="2" t="s">
        <v>822</v>
      </c>
      <c r="G6236" s="23" t="s">
        <v>902</v>
      </c>
      <c r="H6236" s="2" t="s">
        <v>822</v>
      </c>
      <c r="J6236" s="31">
        <v>62.779998800000001</v>
      </c>
      <c r="K6236" s="31">
        <v>-25.860000599999999</v>
      </c>
      <c r="L6236" s="31"/>
      <c r="M6236" s="31" t="s">
        <v>854</v>
      </c>
      <c r="N6236" s="6" t="s">
        <v>856</v>
      </c>
    </row>
    <row r="6237" spans="1:14" ht="15" customHeight="1" x14ac:dyDescent="0.2">
      <c r="A6237" s="31">
        <v>0.22115616183822259</v>
      </c>
      <c r="B6237" s="31"/>
      <c r="C6237" s="2" t="s">
        <v>855</v>
      </c>
      <c r="D6237" s="31">
        <f t="shared" si="191"/>
        <v>4.3346607720291627E-2</v>
      </c>
      <c r="F6237" s="2" t="s">
        <v>822</v>
      </c>
      <c r="G6237" s="23" t="s">
        <v>902</v>
      </c>
      <c r="H6237" s="2" t="s">
        <v>822</v>
      </c>
      <c r="J6237" s="31">
        <v>65.118598899999995</v>
      </c>
      <c r="K6237" s="31">
        <v>21.9004002</v>
      </c>
      <c r="L6237" s="31"/>
      <c r="M6237" s="31" t="s">
        <v>854</v>
      </c>
      <c r="N6237" s="6" t="s">
        <v>856</v>
      </c>
    </row>
    <row r="6238" spans="1:14" ht="15" customHeight="1" x14ac:dyDescent="0.2">
      <c r="A6238" s="31">
        <v>0.22058012624160631</v>
      </c>
      <c r="B6238" s="31"/>
      <c r="C6238" s="2" t="s">
        <v>855</v>
      </c>
      <c r="D6238" s="31">
        <f t="shared" si="191"/>
        <v>4.3233704743354841E-2</v>
      </c>
      <c r="F6238" s="2" t="s">
        <v>822</v>
      </c>
      <c r="G6238" s="23" t="s">
        <v>902</v>
      </c>
      <c r="H6238" s="2" t="s">
        <v>822</v>
      </c>
      <c r="J6238" s="31">
        <v>53.428001399999999</v>
      </c>
      <c r="K6238" s="31">
        <v>-40.555999800000002</v>
      </c>
      <c r="L6238" s="31"/>
      <c r="M6238" s="31" t="s">
        <v>854</v>
      </c>
      <c r="N6238" s="6" t="s">
        <v>856</v>
      </c>
    </row>
    <row r="6239" spans="1:14" ht="15" customHeight="1" x14ac:dyDescent="0.2">
      <c r="A6239" s="31">
        <v>0.22046619499954159</v>
      </c>
      <c r="B6239" s="31"/>
      <c r="C6239" s="2" t="s">
        <v>855</v>
      </c>
      <c r="D6239" s="31">
        <f t="shared" si="191"/>
        <v>4.3211374219910156E-2</v>
      </c>
      <c r="F6239" s="2" t="s">
        <v>822</v>
      </c>
      <c r="G6239" s="23" t="s">
        <v>902</v>
      </c>
      <c r="H6239" s="2" t="s">
        <v>822</v>
      </c>
      <c r="J6239" s="31">
        <v>62.779998800000001</v>
      </c>
      <c r="K6239" s="31">
        <v>-11.8319998</v>
      </c>
      <c r="L6239" s="31"/>
      <c r="M6239" s="31" t="s">
        <v>854</v>
      </c>
      <c r="N6239" s="6" t="s">
        <v>856</v>
      </c>
    </row>
    <row r="6240" spans="1:14" ht="15" customHeight="1" x14ac:dyDescent="0.2">
      <c r="A6240" s="31">
        <v>0.22042945889170029</v>
      </c>
      <c r="B6240" s="31"/>
      <c r="C6240" s="2" t="s">
        <v>855</v>
      </c>
      <c r="D6240" s="31">
        <f t="shared" si="191"/>
        <v>4.3204173942773261E-2</v>
      </c>
      <c r="F6240" s="2" t="s">
        <v>822</v>
      </c>
      <c r="G6240" s="23" t="s">
        <v>902</v>
      </c>
      <c r="H6240" s="2" t="s">
        <v>822</v>
      </c>
      <c r="J6240" s="31">
        <v>65.469596899999999</v>
      </c>
      <c r="K6240" s="31">
        <v>-24.685400000000001</v>
      </c>
      <c r="L6240" s="31"/>
      <c r="M6240" s="31" t="s">
        <v>854</v>
      </c>
      <c r="N6240" s="6" t="s">
        <v>856</v>
      </c>
    </row>
    <row r="6241" spans="1:14" ht="15" customHeight="1" x14ac:dyDescent="0.2">
      <c r="A6241" s="31">
        <v>0.22025137852507451</v>
      </c>
      <c r="B6241" s="31"/>
      <c r="C6241" s="2" t="s">
        <v>855</v>
      </c>
      <c r="D6241" s="31">
        <f t="shared" si="191"/>
        <v>4.3169270190914606E-2</v>
      </c>
      <c r="F6241" s="2" t="s">
        <v>822</v>
      </c>
      <c r="G6241" s="23" t="s">
        <v>902</v>
      </c>
      <c r="H6241" s="2" t="s">
        <v>822</v>
      </c>
      <c r="J6241" s="31">
        <v>65.132202100000001</v>
      </c>
      <c r="K6241" s="31">
        <v>24.559699999999999</v>
      </c>
      <c r="L6241" s="31"/>
      <c r="M6241" s="31" t="s">
        <v>854</v>
      </c>
      <c r="N6241" s="6" t="s">
        <v>856</v>
      </c>
    </row>
    <row r="6242" spans="1:14" ht="15" customHeight="1" x14ac:dyDescent="0.2">
      <c r="A6242" s="31">
        <v>0.22001498886240631</v>
      </c>
      <c r="B6242" s="31"/>
      <c r="C6242" s="2" t="s">
        <v>855</v>
      </c>
      <c r="D6242" s="31">
        <f t="shared" si="191"/>
        <v>4.3122937817031637E-2</v>
      </c>
      <c r="F6242" s="2" t="s">
        <v>822</v>
      </c>
      <c r="G6242" s="23" t="s">
        <v>902</v>
      </c>
      <c r="H6242" s="2" t="s">
        <v>822</v>
      </c>
      <c r="J6242" s="31">
        <v>52.759998299999999</v>
      </c>
      <c r="K6242" s="31">
        <v>-39.220001199999999</v>
      </c>
      <c r="L6242" s="31"/>
      <c r="M6242" s="31" t="s">
        <v>854</v>
      </c>
      <c r="N6242" s="6" t="s">
        <v>856</v>
      </c>
    </row>
    <row r="6243" spans="1:14" ht="15" customHeight="1" x14ac:dyDescent="0.2">
      <c r="A6243" s="31">
        <v>0.2195188097578043</v>
      </c>
      <c r="B6243" s="31"/>
      <c r="C6243" s="2" t="s">
        <v>855</v>
      </c>
      <c r="D6243" s="31">
        <f t="shared" si="191"/>
        <v>4.3025686712529647E-2</v>
      </c>
      <c r="F6243" s="2" t="s">
        <v>822</v>
      </c>
      <c r="G6243" s="23" t="s">
        <v>902</v>
      </c>
      <c r="H6243" s="2" t="s">
        <v>822</v>
      </c>
      <c r="J6243" s="31">
        <v>56.768001599999998</v>
      </c>
      <c r="K6243" s="31">
        <v>-18.511999100000001</v>
      </c>
      <c r="L6243" s="31"/>
      <c r="M6243" s="31" t="s">
        <v>854</v>
      </c>
      <c r="N6243" s="6" t="s">
        <v>856</v>
      </c>
    </row>
    <row r="6244" spans="1:14" ht="15" customHeight="1" x14ac:dyDescent="0.2">
      <c r="A6244" s="31">
        <v>0.21950219304707361</v>
      </c>
      <c r="B6244" s="31"/>
      <c r="C6244" s="2" t="s">
        <v>855</v>
      </c>
      <c r="D6244" s="31">
        <f t="shared" si="191"/>
        <v>4.3022429837226428E-2</v>
      </c>
      <c r="F6244" s="2" t="s">
        <v>822</v>
      </c>
      <c r="G6244" s="23" t="s">
        <v>902</v>
      </c>
      <c r="H6244" s="2" t="s">
        <v>822</v>
      </c>
      <c r="J6244" s="31">
        <v>63.448001900000001</v>
      </c>
      <c r="K6244" s="31">
        <v>-26.527999900000001</v>
      </c>
      <c r="L6244" s="31"/>
      <c r="M6244" s="31" t="s">
        <v>854</v>
      </c>
      <c r="N6244" s="6" t="s">
        <v>856</v>
      </c>
    </row>
    <row r="6245" spans="1:14" ht="15" customHeight="1" x14ac:dyDescent="0.2">
      <c r="A6245" s="31">
        <v>0.2195012356081022</v>
      </c>
      <c r="B6245" s="31"/>
      <c r="C6245" s="2" t="s">
        <v>855</v>
      </c>
      <c r="D6245" s="31">
        <f t="shared" si="191"/>
        <v>4.3022242179188035E-2</v>
      </c>
      <c r="F6245" s="2" t="s">
        <v>822</v>
      </c>
      <c r="G6245" s="23" t="s">
        <v>902</v>
      </c>
      <c r="H6245" s="2" t="s">
        <v>822</v>
      </c>
      <c r="J6245" s="31">
        <v>53.428001399999999</v>
      </c>
      <c r="K6245" s="31">
        <v>-30.5359993</v>
      </c>
      <c r="L6245" s="31"/>
      <c r="M6245" s="31" t="s">
        <v>854</v>
      </c>
      <c r="N6245" s="6" t="s">
        <v>856</v>
      </c>
    </row>
    <row r="6246" spans="1:14" ht="15" customHeight="1" x14ac:dyDescent="0.2">
      <c r="A6246" s="31">
        <v>0.21946863504640901</v>
      </c>
      <c r="B6246" s="31"/>
      <c r="C6246" s="2" t="s">
        <v>855</v>
      </c>
      <c r="D6246" s="31">
        <f t="shared" si="191"/>
        <v>4.3015852469096165E-2</v>
      </c>
      <c r="F6246" s="2" t="s">
        <v>822</v>
      </c>
      <c r="G6246" s="23" t="s">
        <v>902</v>
      </c>
      <c r="H6246" s="2" t="s">
        <v>822</v>
      </c>
      <c r="J6246" s="31">
        <v>64.115997300000004</v>
      </c>
      <c r="K6246" s="31">
        <v>4.8680000000000003</v>
      </c>
      <c r="L6246" s="31"/>
      <c r="M6246" s="31" t="s">
        <v>854</v>
      </c>
      <c r="N6246" s="6" t="s">
        <v>856</v>
      </c>
    </row>
    <row r="6247" spans="1:14" ht="15" customHeight="1" x14ac:dyDescent="0.2">
      <c r="A6247" s="31">
        <v>0.21945447434006829</v>
      </c>
      <c r="B6247" s="31"/>
      <c r="C6247" s="2" t="s">
        <v>855</v>
      </c>
      <c r="D6247" s="31">
        <f t="shared" si="191"/>
        <v>4.3013076970653388E-2</v>
      </c>
      <c r="F6247" s="2" t="s">
        <v>822</v>
      </c>
      <c r="G6247" s="23" t="s">
        <v>902</v>
      </c>
      <c r="H6247" s="2" t="s">
        <v>822</v>
      </c>
      <c r="J6247" s="31">
        <v>58.1040001</v>
      </c>
      <c r="K6247" s="31">
        <v>-33.208000200000001</v>
      </c>
      <c r="L6247" s="31"/>
      <c r="M6247" s="31" t="s">
        <v>854</v>
      </c>
      <c r="N6247" s="6" t="s">
        <v>856</v>
      </c>
    </row>
    <row r="6248" spans="1:14" ht="15" customHeight="1" x14ac:dyDescent="0.2">
      <c r="A6248" s="31">
        <v>0.21945440689378379</v>
      </c>
      <c r="B6248" s="31"/>
      <c r="C6248" s="2" t="s">
        <v>855</v>
      </c>
      <c r="D6248" s="31">
        <f t="shared" si="191"/>
        <v>4.3013063751181621E-2</v>
      </c>
      <c r="F6248" s="2" t="s">
        <v>822</v>
      </c>
      <c r="G6248" s="23" t="s">
        <v>902</v>
      </c>
      <c r="H6248" s="2" t="s">
        <v>822</v>
      </c>
      <c r="J6248" s="31">
        <v>56.768001599999998</v>
      </c>
      <c r="K6248" s="31">
        <v>-11.8319998</v>
      </c>
      <c r="L6248" s="31"/>
      <c r="M6248" s="31" t="s">
        <v>854</v>
      </c>
      <c r="N6248" s="6" t="s">
        <v>856</v>
      </c>
    </row>
    <row r="6249" spans="1:14" ht="15" customHeight="1" x14ac:dyDescent="0.2">
      <c r="A6249" s="31">
        <v>0.21939770802540151</v>
      </c>
      <c r="B6249" s="31"/>
      <c r="C6249" s="2" t="s">
        <v>855</v>
      </c>
      <c r="D6249" s="31">
        <f t="shared" si="191"/>
        <v>4.3001950772978699E-2</v>
      </c>
      <c r="F6249" s="2" t="s">
        <v>822</v>
      </c>
      <c r="G6249" s="23" t="s">
        <v>902</v>
      </c>
      <c r="H6249" s="2" t="s">
        <v>822</v>
      </c>
      <c r="J6249" s="31">
        <v>62.779998800000001</v>
      </c>
      <c r="K6249" s="31">
        <v>-28.531999599999999</v>
      </c>
      <c r="L6249" s="31"/>
      <c r="M6249" s="31" t="s">
        <v>854</v>
      </c>
      <c r="N6249" s="6" t="s">
        <v>856</v>
      </c>
    </row>
    <row r="6250" spans="1:14" ht="15" customHeight="1" x14ac:dyDescent="0.2">
      <c r="A6250" s="31">
        <v>0.21934664375169069</v>
      </c>
      <c r="B6250" s="31"/>
      <c r="C6250" s="2" t="s">
        <v>855</v>
      </c>
      <c r="D6250" s="31">
        <f t="shared" si="191"/>
        <v>4.299194217533138E-2</v>
      </c>
      <c r="F6250" s="2" t="s">
        <v>822</v>
      </c>
      <c r="G6250" s="23" t="s">
        <v>902</v>
      </c>
      <c r="H6250" s="2" t="s">
        <v>822</v>
      </c>
      <c r="J6250" s="31">
        <v>60.969299300000003</v>
      </c>
      <c r="K6250" s="31">
        <v>2.17258</v>
      </c>
      <c r="L6250" s="31"/>
      <c r="M6250" s="31" t="s">
        <v>854</v>
      </c>
      <c r="N6250" s="6" t="s">
        <v>856</v>
      </c>
    </row>
    <row r="6251" spans="1:14" ht="15" customHeight="1" x14ac:dyDescent="0.2">
      <c r="A6251" s="31">
        <v>0.21911433219060719</v>
      </c>
      <c r="B6251" s="31"/>
      <c r="C6251" s="2" t="s">
        <v>855</v>
      </c>
      <c r="D6251" s="31">
        <f t="shared" si="191"/>
        <v>4.2946409109359013E-2</v>
      </c>
      <c r="F6251" s="2" t="s">
        <v>822</v>
      </c>
      <c r="G6251" s="23" t="s">
        <v>902</v>
      </c>
      <c r="H6251" s="2" t="s">
        <v>822</v>
      </c>
      <c r="J6251" s="31">
        <v>57.436000800000002</v>
      </c>
      <c r="K6251" s="31">
        <v>-36.548000299999998</v>
      </c>
      <c r="L6251" s="31"/>
      <c r="M6251" s="31" t="s">
        <v>854</v>
      </c>
      <c r="N6251" s="6" t="s">
        <v>856</v>
      </c>
    </row>
    <row r="6252" spans="1:14" ht="15" customHeight="1" x14ac:dyDescent="0.2">
      <c r="A6252" s="31">
        <v>0.2190620436229026</v>
      </c>
      <c r="B6252" s="31"/>
      <c r="C6252" s="2" t="s">
        <v>855</v>
      </c>
      <c r="D6252" s="31">
        <f t="shared" si="191"/>
        <v>4.2936160550088913E-2</v>
      </c>
      <c r="F6252" s="2" t="s">
        <v>822</v>
      </c>
      <c r="G6252" s="23" t="s">
        <v>902</v>
      </c>
      <c r="H6252" s="2" t="s">
        <v>822</v>
      </c>
      <c r="J6252" s="31">
        <v>60.776001000000001</v>
      </c>
      <c r="K6252" s="31">
        <v>3.5518401000000002</v>
      </c>
      <c r="L6252" s="31"/>
      <c r="M6252" s="31" t="s">
        <v>854</v>
      </c>
      <c r="N6252" s="6" t="s">
        <v>856</v>
      </c>
    </row>
    <row r="6253" spans="1:14" ht="15" customHeight="1" x14ac:dyDescent="0.2">
      <c r="A6253" s="31">
        <v>0.21888402194629419</v>
      </c>
      <c r="B6253" s="31"/>
      <c r="C6253" s="2" t="s">
        <v>855</v>
      </c>
      <c r="D6253" s="31">
        <f t="shared" si="191"/>
        <v>4.2901268301473665E-2</v>
      </c>
      <c r="F6253" s="2" t="s">
        <v>822</v>
      </c>
      <c r="G6253" s="23" t="s">
        <v>902</v>
      </c>
      <c r="H6253" s="2" t="s">
        <v>822</v>
      </c>
      <c r="J6253" s="31">
        <v>58.1040001</v>
      </c>
      <c r="K6253" s="31">
        <v>-36.548000299999998</v>
      </c>
      <c r="L6253" s="31"/>
      <c r="M6253" s="31" t="s">
        <v>854</v>
      </c>
      <c r="N6253" s="6" t="s">
        <v>856</v>
      </c>
    </row>
    <row r="6254" spans="1:14" ht="15" customHeight="1" x14ac:dyDescent="0.2">
      <c r="A6254" s="31">
        <v>0.2187447051630538</v>
      </c>
      <c r="B6254" s="31"/>
      <c r="C6254" s="2" t="s">
        <v>855</v>
      </c>
      <c r="D6254" s="31">
        <f t="shared" si="191"/>
        <v>4.287396221195855E-2</v>
      </c>
      <c r="F6254" s="2" t="s">
        <v>822</v>
      </c>
      <c r="G6254" s="23" t="s">
        <v>902</v>
      </c>
      <c r="H6254" s="2" t="s">
        <v>822</v>
      </c>
      <c r="J6254" s="31">
        <v>60.108001700000003</v>
      </c>
      <c r="K6254" s="31">
        <v>-20.1819992</v>
      </c>
      <c r="L6254" s="31"/>
      <c r="M6254" s="31" t="s">
        <v>854</v>
      </c>
      <c r="N6254" s="6" t="s">
        <v>856</v>
      </c>
    </row>
    <row r="6255" spans="1:14" ht="15" customHeight="1" x14ac:dyDescent="0.2">
      <c r="A6255" s="31">
        <v>0.21860861396503459</v>
      </c>
      <c r="B6255" s="31"/>
      <c r="C6255" s="2" t="s">
        <v>855</v>
      </c>
      <c r="D6255" s="31">
        <f t="shared" si="191"/>
        <v>4.284728833714678E-2</v>
      </c>
      <c r="F6255" s="2" t="s">
        <v>822</v>
      </c>
      <c r="G6255" s="23" t="s">
        <v>902</v>
      </c>
      <c r="H6255" s="2" t="s">
        <v>822</v>
      </c>
      <c r="J6255" s="31">
        <v>59.439998600000003</v>
      </c>
      <c r="K6255" s="31">
        <v>-28.531999599999999</v>
      </c>
      <c r="L6255" s="31"/>
      <c r="M6255" s="31" t="s">
        <v>854</v>
      </c>
      <c r="N6255" s="6" t="s">
        <v>856</v>
      </c>
    </row>
    <row r="6256" spans="1:14" ht="15" customHeight="1" x14ac:dyDescent="0.2">
      <c r="A6256" s="31">
        <v>0.21858563633781519</v>
      </c>
      <c r="B6256" s="31"/>
      <c r="C6256" s="2" t="s">
        <v>855</v>
      </c>
      <c r="D6256" s="31">
        <f t="shared" si="191"/>
        <v>4.2842784722211778E-2</v>
      </c>
      <c r="F6256" s="2" t="s">
        <v>822</v>
      </c>
      <c r="G6256" s="23" t="s">
        <v>902</v>
      </c>
      <c r="H6256" s="2" t="s">
        <v>822</v>
      </c>
      <c r="J6256" s="31">
        <v>56.099998499999998</v>
      </c>
      <c r="K6256" s="31">
        <v>-17.176000599999998</v>
      </c>
      <c r="L6256" s="31"/>
      <c r="M6256" s="31" t="s">
        <v>854</v>
      </c>
      <c r="N6256" s="6" t="s">
        <v>856</v>
      </c>
    </row>
    <row r="6257" spans="1:14" ht="15" customHeight="1" x14ac:dyDescent="0.2">
      <c r="A6257" s="31">
        <v>0.2184491394568823</v>
      </c>
      <c r="B6257" s="31"/>
      <c r="C6257" s="2" t="s">
        <v>855</v>
      </c>
      <c r="D6257" s="31">
        <f t="shared" si="191"/>
        <v>4.2816031333548929E-2</v>
      </c>
      <c r="F6257" s="2" t="s">
        <v>822</v>
      </c>
      <c r="G6257" s="23" t="s">
        <v>902</v>
      </c>
      <c r="H6257" s="2" t="s">
        <v>822</v>
      </c>
      <c r="J6257" s="31">
        <v>63.383598300000003</v>
      </c>
      <c r="K6257" s="31">
        <v>-14.5039997</v>
      </c>
      <c r="L6257" s="31"/>
      <c r="M6257" s="31" t="s">
        <v>854</v>
      </c>
      <c r="N6257" s="6" t="s">
        <v>856</v>
      </c>
    </row>
    <row r="6258" spans="1:14" ht="15" customHeight="1" x14ac:dyDescent="0.2">
      <c r="A6258" s="31">
        <v>0.21782494466662139</v>
      </c>
      <c r="B6258" s="31"/>
      <c r="C6258" s="2" t="s">
        <v>855</v>
      </c>
      <c r="D6258" s="31">
        <f t="shared" si="191"/>
        <v>4.2693689154657793E-2</v>
      </c>
      <c r="F6258" s="2" t="s">
        <v>822</v>
      </c>
      <c r="G6258" s="23" t="s">
        <v>902</v>
      </c>
      <c r="H6258" s="2" t="s">
        <v>822</v>
      </c>
      <c r="J6258" s="31">
        <v>54.771301299999998</v>
      </c>
      <c r="K6258" s="31">
        <v>-37.209701500000001</v>
      </c>
      <c r="L6258" s="31"/>
      <c r="M6258" s="31" t="s">
        <v>854</v>
      </c>
      <c r="N6258" s="6" t="s">
        <v>856</v>
      </c>
    </row>
    <row r="6259" spans="1:14" ht="15" customHeight="1" x14ac:dyDescent="0.2">
      <c r="A6259" s="31">
        <v>0.2177583624598956</v>
      </c>
      <c r="B6259" s="31"/>
      <c r="C6259" s="2" t="s">
        <v>855</v>
      </c>
      <c r="D6259" s="31">
        <f t="shared" si="191"/>
        <v>4.2680639042139541E-2</v>
      </c>
      <c r="F6259" s="2" t="s">
        <v>822</v>
      </c>
      <c r="G6259" s="23" t="s">
        <v>902</v>
      </c>
      <c r="H6259" s="2" t="s">
        <v>822</v>
      </c>
      <c r="J6259" s="31">
        <v>57.436000800000002</v>
      </c>
      <c r="K6259" s="31">
        <v>-29.867999999999999</v>
      </c>
      <c r="L6259" s="31"/>
      <c r="M6259" s="31" t="s">
        <v>854</v>
      </c>
      <c r="N6259" s="6" t="s">
        <v>856</v>
      </c>
    </row>
    <row r="6260" spans="1:14" ht="15" customHeight="1" x14ac:dyDescent="0.2">
      <c r="A6260" s="31">
        <v>0.21770753709787061</v>
      </c>
      <c r="B6260" s="31"/>
      <c r="C6260" s="2" t="s">
        <v>855</v>
      </c>
      <c r="D6260" s="31">
        <f t="shared" si="191"/>
        <v>4.2670677271182643E-2</v>
      </c>
      <c r="F6260" s="2" t="s">
        <v>822</v>
      </c>
      <c r="G6260" s="23" t="s">
        <v>902</v>
      </c>
      <c r="H6260" s="2" t="s">
        <v>822</v>
      </c>
      <c r="J6260" s="31">
        <v>59.439998600000003</v>
      </c>
      <c r="K6260" s="31">
        <v>-23.187999699999999</v>
      </c>
      <c r="L6260" s="31"/>
      <c r="M6260" s="31" t="s">
        <v>854</v>
      </c>
      <c r="N6260" s="6" t="s">
        <v>856</v>
      </c>
    </row>
    <row r="6261" spans="1:14" ht="15" customHeight="1" x14ac:dyDescent="0.2">
      <c r="A6261" s="31">
        <v>0.21769749115351461</v>
      </c>
      <c r="B6261" s="31"/>
      <c r="C6261" s="2" t="s">
        <v>855</v>
      </c>
      <c r="D6261" s="31">
        <f t="shared" si="191"/>
        <v>4.2668708266088866E-2</v>
      </c>
      <c r="F6261" s="2" t="s">
        <v>822</v>
      </c>
      <c r="G6261" s="23" t="s">
        <v>902</v>
      </c>
      <c r="H6261" s="2" t="s">
        <v>822</v>
      </c>
      <c r="J6261" s="31">
        <v>51.151100200000002</v>
      </c>
      <c r="K6261" s="31">
        <v>-21.640899699999999</v>
      </c>
      <c r="L6261" s="31"/>
      <c r="M6261" s="31" t="s">
        <v>854</v>
      </c>
      <c r="N6261" s="6" t="s">
        <v>856</v>
      </c>
    </row>
    <row r="6262" spans="1:14" ht="15" customHeight="1" x14ac:dyDescent="0.2">
      <c r="A6262" s="31">
        <v>0.21760582252794461</v>
      </c>
      <c r="B6262" s="31"/>
      <c r="C6262" s="2" t="s">
        <v>855</v>
      </c>
      <c r="D6262" s="31">
        <f t="shared" si="191"/>
        <v>4.2650741215477142E-2</v>
      </c>
      <c r="F6262" s="2" t="s">
        <v>822</v>
      </c>
      <c r="G6262" s="23" t="s">
        <v>902</v>
      </c>
      <c r="H6262" s="2" t="s">
        <v>822</v>
      </c>
      <c r="J6262" s="31">
        <v>64.144897499999999</v>
      </c>
      <c r="K6262" s="31">
        <v>-12.448399500000001</v>
      </c>
      <c r="L6262" s="31"/>
      <c r="M6262" s="31" t="s">
        <v>854</v>
      </c>
      <c r="N6262" s="6" t="s">
        <v>856</v>
      </c>
    </row>
    <row r="6263" spans="1:14" ht="15" customHeight="1" x14ac:dyDescent="0.2">
      <c r="A6263" s="31">
        <v>0.21747923714118519</v>
      </c>
      <c r="B6263" s="31"/>
      <c r="C6263" s="2" t="s">
        <v>855</v>
      </c>
      <c r="D6263" s="31">
        <f t="shared" si="191"/>
        <v>4.2625930479672301E-2</v>
      </c>
      <c r="F6263" s="2" t="s">
        <v>822</v>
      </c>
      <c r="G6263" s="23" t="s">
        <v>902</v>
      </c>
      <c r="H6263" s="2" t="s">
        <v>822</v>
      </c>
      <c r="J6263" s="31">
        <v>50.633899700000001</v>
      </c>
      <c r="K6263" s="31">
        <v>-39.2090988</v>
      </c>
      <c r="L6263" s="31"/>
      <c r="M6263" s="31" t="s">
        <v>854</v>
      </c>
      <c r="N6263" s="6" t="s">
        <v>856</v>
      </c>
    </row>
    <row r="6264" spans="1:14" ht="15" customHeight="1" x14ac:dyDescent="0.2">
      <c r="A6264" s="31">
        <v>0.2174697921830521</v>
      </c>
      <c r="B6264" s="31"/>
      <c r="C6264" s="2" t="s">
        <v>855</v>
      </c>
      <c r="D6264" s="31">
        <f t="shared" si="191"/>
        <v>4.2624079267878215E-2</v>
      </c>
      <c r="F6264" s="2" t="s">
        <v>822</v>
      </c>
      <c r="G6264" s="23" t="s">
        <v>902</v>
      </c>
      <c r="H6264" s="2" t="s">
        <v>822</v>
      </c>
      <c r="J6264" s="31">
        <v>62.674598699999997</v>
      </c>
      <c r="K6264" s="31">
        <v>-17.8439999</v>
      </c>
      <c r="L6264" s="31"/>
      <c r="M6264" s="31" t="s">
        <v>854</v>
      </c>
      <c r="N6264" s="6" t="s">
        <v>856</v>
      </c>
    </row>
    <row r="6265" spans="1:14" ht="15" customHeight="1" x14ac:dyDescent="0.2">
      <c r="A6265" s="31">
        <v>0.21735389771881161</v>
      </c>
      <c r="B6265" s="31"/>
      <c r="C6265" s="2" t="s">
        <v>855</v>
      </c>
      <c r="D6265" s="31">
        <f t="shared" si="191"/>
        <v>4.2601363952887078E-2</v>
      </c>
      <c r="F6265" s="2" t="s">
        <v>822</v>
      </c>
      <c r="G6265" s="23" t="s">
        <v>902</v>
      </c>
      <c r="H6265" s="2" t="s">
        <v>822</v>
      </c>
      <c r="J6265" s="31">
        <v>58.208599100000001</v>
      </c>
      <c r="K6265" s="31">
        <v>-8.6837902000000007</v>
      </c>
      <c r="L6265" s="31"/>
      <c r="M6265" s="31" t="s">
        <v>854</v>
      </c>
      <c r="N6265" s="6" t="s">
        <v>856</v>
      </c>
    </row>
    <row r="6266" spans="1:14" ht="15" customHeight="1" x14ac:dyDescent="0.2">
      <c r="A6266" s="31">
        <v>0.2173190787548207</v>
      </c>
      <c r="B6266" s="31"/>
      <c r="C6266" s="2" t="s">
        <v>855</v>
      </c>
      <c r="D6266" s="31">
        <f t="shared" si="191"/>
        <v>4.2594539435944857E-2</v>
      </c>
      <c r="F6266" s="2" t="s">
        <v>822</v>
      </c>
      <c r="G6266" s="23" t="s">
        <v>902</v>
      </c>
      <c r="H6266" s="2" t="s">
        <v>822</v>
      </c>
      <c r="J6266" s="31">
        <v>59.439998600000003</v>
      </c>
      <c r="K6266" s="31">
        <v>-33.875999499999999</v>
      </c>
      <c r="L6266" s="31"/>
      <c r="M6266" s="31" t="s">
        <v>854</v>
      </c>
      <c r="N6266" s="6" t="s">
        <v>856</v>
      </c>
    </row>
    <row r="6267" spans="1:14" ht="15" customHeight="1" x14ac:dyDescent="0.2">
      <c r="A6267" s="31">
        <v>0.2171913038736463</v>
      </c>
      <c r="B6267" s="31"/>
      <c r="C6267" s="2" t="s">
        <v>855</v>
      </c>
      <c r="D6267" s="31">
        <f t="shared" si="191"/>
        <v>4.2569495559234678E-2</v>
      </c>
      <c r="F6267" s="2" t="s">
        <v>822</v>
      </c>
      <c r="G6267" s="23" t="s">
        <v>902</v>
      </c>
      <c r="H6267" s="2" t="s">
        <v>822</v>
      </c>
      <c r="J6267" s="31">
        <v>54.096000699999998</v>
      </c>
      <c r="K6267" s="31">
        <v>-35.880001100000001</v>
      </c>
      <c r="L6267" s="31"/>
      <c r="M6267" s="31" t="s">
        <v>854</v>
      </c>
      <c r="N6267" s="6" t="s">
        <v>856</v>
      </c>
    </row>
    <row r="6268" spans="1:14" ht="15" customHeight="1" x14ac:dyDescent="0.2">
      <c r="A6268" s="31">
        <v>0.21718193657079601</v>
      </c>
      <c r="B6268" s="31"/>
      <c r="C6268" s="2" t="s">
        <v>855</v>
      </c>
      <c r="D6268" s="31">
        <f t="shared" si="191"/>
        <v>4.2567659567876018E-2</v>
      </c>
      <c r="F6268" s="2" t="s">
        <v>822</v>
      </c>
      <c r="G6268" s="23" t="s">
        <v>902</v>
      </c>
      <c r="H6268" s="2" t="s">
        <v>822</v>
      </c>
      <c r="J6268" s="31">
        <v>62.2981987</v>
      </c>
      <c r="K6268" s="31">
        <v>3.2177701000000001</v>
      </c>
      <c r="L6268" s="31"/>
      <c r="M6268" s="31" t="s">
        <v>854</v>
      </c>
      <c r="N6268" s="6" t="s">
        <v>856</v>
      </c>
    </row>
    <row r="6269" spans="1:14" ht="15" customHeight="1" x14ac:dyDescent="0.2">
      <c r="A6269" s="31">
        <v>0.2169242517742424</v>
      </c>
      <c r="B6269" s="31"/>
      <c r="C6269" s="2" t="s">
        <v>855</v>
      </c>
      <c r="D6269" s="31">
        <f t="shared" si="191"/>
        <v>4.251715334775151E-2</v>
      </c>
      <c r="F6269" s="2" t="s">
        <v>822</v>
      </c>
      <c r="G6269" s="23" t="s">
        <v>902</v>
      </c>
      <c r="H6269" s="2" t="s">
        <v>822</v>
      </c>
      <c r="J6269" s="31">
        <v>65.4119034</v>
      </c>
      <c r="K6269" s="31">
        <v>-26.061500500000001</v>
      </c>
      <c r="L6269" s="31"/>
      <c r="M6269" s="31" t="s">
        <v>854</v>
      </c>
      <c r="N6269" s="6" t="s">
        <v>856</v>
      </c>
    </row>
    <row r="6270" spans="1:14" ht="15" customHeight="1" x14ac:dyDescent="0.2">
      <c r="A6270" s="31">
        <v>0.21663198694091881</v>
      </c>
      <c r="B6270" s="31"/>
      <c r="C6270" s="2" t="s">
        <v>855</v>
      </c>
      <c r="D6270" s="31">
        <f t="shared" si="191"/>
        <v>4.2459869440420087E-2</v>
      </c>
      <c r="F6270" s="2" t="s">
        <v>822</v>
      </c>
      <c r="G6270" s="23" t="s">
        <v>902</v>
      </c>
      <c r="H6270" s="2" t="s">
        <v>822</v>
      </c>
      <c r="J6270" s="31">
        <v>53.428001399999999</v>
      </c>
      <c r="K6270" s="31">
        <v>-32.540000900000003</v>
      </c>
      <c r="L6270" s="31"/>
      <c r="M6270" s="31" t="s">
        <v>854</v>
      </c>
      <c r="N6270" s="6" t="s">
        <v>856</v>
      </c>
    </row>
    <row r="6271" spans="1:14" ht="15" customHeight="1" x14ac:dyDescent="0.2">
      <c r="A6271" s="31">
        <v>0.21662622520710109</v>
      </c>
      <c r="B6271" s="31"/>
      <c r="C6271" s="2" t="s">
        <v>855</v>
      </c>
      <c r="D6271" s="31">
        <f t="shared" si="191"/>
        <v>4.2458740140591818E-2</v>
      </c>
      <c r="F6271" s="2" t="s">
        <v>822</v>
      </c>
      <c r="G6271" s="23" t="s">
        <v>902</v>
      </c>
      <c r="H6271" s="2" t="s">
        <v>822</v>
      </c>
      <c r="J6271" s="31">
        <v>50.675399800000001</v>
      </c>
      <c r="K6271" s="31">
        <v>-38.542900099999997</v>
      </c>
      <c r="L6271" s="31"/>
      <c r="M6271" s="31" t="s">
        <v>854</v>
      </c>
      <c r="N6271" s="6" t="s">
        <v>856</v>
      </c>
    </row>
    <row r="6272" spans="1:14" ht="15" customHeight="1" x14ac:dyDescent="0.2">
      <c r="A6272" s="31">
        <v>0.2165926788755555</v>
      </c>
      <c r="B6272" s="31"/>
      <c r="C6272" s="2" t="s">
        <v>855</v>
      </c>
      <c r="D6272" s="31">
        <f t="shared" ref="D6272:D6335" si="192" xml:space="preserve"> A6272 * 0.196</f>
        <v>4.245216505960888E-2</v>
      </c>
      <c r="F6272" s="2" t="s">
        <v>822</v>
      </c>
      <c r="G6272" s="23" t="s">
        <v>902</v>
      </c>
      <c r="H6272" s="2" t="s">
        <v>822</v>
      </c>
      <c r="J6272" s="31">
        <v>62.111999500000003</v>
      </c>
      <c r="K6272" s="31">
        <v>-25.1919994</v>
      </c>
      <c r="L6272" s="31"/>
      <c r="M6272" s="31" t="s">
        <v>854</v>
      </c>
      <c r="N6272" s="6" t="s">
        <v>856</v>
      </c>
    </row>
    <row r="6273" spans="1:14" ht="15" customHeight="1" x14ac:dyDescent="0.2">
      <c r="A6273" s="31">
        <v>0.21658207035742699</v>
      </c>
      <c r="B6273" s="31"/>
      <c r="C6273" s="2" t="s">
        <v>855</v>
      </c>
      <c r="D6273" s="31">
        <f t="shared" si="192"/>
        <v>4.2450085790055693E-2</v>
      </c>
      <c r="F6273" s="2" t="s">
        <v>822</v>
      </c>
      <c r="G6273" s="23" t="s">
        <v>902</v>
      </c>
      <c r="H6273" s="2" t="s">
        <v>822</v>
      </c>
      <c r="J6273" s="31">
        <v>64.115997300000004</v>
      </c>
      <c r="K6273" s="31">
        <v>-29.200000800000002</v>
      </c>
      <c r="L6273" s="31"/>
      <c r="M6273" s="31" t="s">
        <v>854</v>
      </c>
      <c r="N6273" s="6" t="s">
        <v>856</v>
      </c>
    </row>
    <row r="6274" spans="1:14" ht="15" customHeight="1" x14ac:dyDescent="0.2">
      <c r="A6274" s="31">
        <v>0.21652521203511729</v>
      </c>
      <c r="B6274" s="31"/>
      <c r="C6274" s="2" t="s">
        <v>855</v>
      </c>
      <c r="D6274" s="31">
        <f t="shared" si="192"/>
        <v>4.2438941558882989E-2</v>
      </c>
      <c r="F6274" s="2" t="s">
        <v>822</v>
      </c>
      <c r="G6274" s="23" t="s">
        <v>902</v>
      </c>
      <c r="H6274" s="2" t="s">
        <v>822</v>
      </c>
      <c r="J6274" s="31">
        <v>56.768001599999998</v>
      </c>
      <c r="K6274" s="31">
        <v>-33.875999499999999</v>
      </c>
      <c r="L6274" s="31"/>
      <c r="M6274" s="31" t="s">
        <v>854</v>
      </c>
      <c r="N6274" s="6" t="s">
        <v>856</v>
      </c>
    </row>
    <row r="6275" spans="1:14" ht="15" customHeight="1" x14ac:dyDescent="0.2">
      <c r="A6275" s="31">
        <v>0.2164338583576374</v>
      </c>
      <c r="B6275" s="31"/>
      <c r="C6275" s="2" t="s">
        <v>855</v>
      </c>
      <c r="D6275" s="31">
        <f t="shared" si="192"/>
        <v>4.2421036238096933E-2</v>
      </c>
      <c r="F6275" s="2" t="s">
        <v>822</v>
      </c>
      <c r="G6275" s="23" t="s">
        <v>902</v>
      </c>
      <c r="H6275" s="2" t="s">
        <v>822</v>
      </c>
      <c r="J6275" s="31">
        <v>56.099998499999998</v>
      </c>
      <c r="K6275" s="31">
        <v>-31.204000499999999</v>
      </c>
      <c r="L6275" s="31"/>
      <c r="M6275" s="31" t="s">
        <v>854</v>
      </c>
      <c r="N6275" s="6" t="s">
        <v>856</v>
      </c>
    </row>
    <row r="6276" spans="1:14" ht="15" customHeight="1" x14ac:dyDescent="0.2">
      <c r="A6276" s="31">
        <v>0.21635176872768161</v>
      </c>
      <c r="B6276" s="31"/>
      <c r="C6276" s="2" t="s">
        <v>855</v>
      </c>
      <c r="D6276" s="31">
        <f t="shared" si="192"/>
        <v>4.2404946670625596E-2</v>
      </c>
      <c r="F6276" s="2" t="s">
        <v>822</v>
      </c>
      <c r="G6276" s="23" t="s">
        <v>902</v>
      </c>
      <c r="H6276" s="2" t="s">
        <v>822</v>
      </c>
      <c r="J6276" s="31">
        <v>65.143798799999999</v>
      </c>
      <c r="K6276" s="31">
        <v>7.7904901999999998</v>
      </c>
      <c r="L6276" s="31"/>
      <c r="M6276" s="31" t="s">
        <v>854</v>
      </c>
      <c r="N6276" s="6" t="s">
        <v>856</v>
      </c>
    </row>
    <row r="6277" spans="1:14" ht="15" customHeight="1" x14ac:dyDescent="0.2">
      <c r="A6277" s="31">
        <v>0.21625264740858341</v>
      </c>
      <c r="B6277" s="31"/>
      <c r="C6277" s="2" t="s">
        <v>855</v>
      </c>
      <c r="D6277" s="31">
        <f t="shared" si="192"/>
        <v>4.2385518892082349E-2</v>
      </c>
      <c r="F6277" s="2" t="s">
        <v>822</v>
      </c>
      <c r="G6277" s="23" t="s">
        <v>902</v>
      </c>
      <c r="H6277" s="2" t="s">
        <v>822</v>
      </c>
      <c r="J6277" s="31">
        <v>53.428001399999999</v>
      </c>
      <c r="K6277" s="31">
        <v>-39.888000499999997</v>
      </c>
      <c r="L6277" s="31"/>
      <c r="M6277" s="31" t="s">
        <v>854</v>
      </c>
      <c r="N6277" s="6" t="s">
        <v>856</v>
      </c>
    </row>
    <row r="6278" spans="1:14" ht="15" customHeight="1" x14ac:dyDescent="0.2">
      <c r="A6278" s="31">
        <v>0.21621927934762711</v>
      </c>
      <c r="B6278" s="31"/>
      <c r="C6278" s="2" t="s">
        <v>855</v>
      </c>
      <c r="D6278" s="31">
        <f t="shared" si="192"/>
        <v>4.2378978752134915E-2</v>
      </c>
      <c r="F6278" s="2" t="s">
        <v>822</v>
      </c>
      <c r="G6278" s="23" t="s">
        <v>902</v>
      </c>
      <c r="H6278" s="2" t="s">
        <v>822</v>
      </c>
      <c r="J6278" s="31">
        <v>62.779998800000001</v>
      </c>
      <c r="K6278" s="31">
        <v>-13.1680002</v>
      </c>
      <c r="L6278" s="31"/>
      <c r="M6278" s="31" t="s">
        <v>854</v>
      </c>
      <c r="N6278" s="6" t="s">
        <v>856</v>
      </c>
    </row>
    <row r="6279" spans="1:14" ht="15" customHeight="1" x14ac:dyDescent="0.2">
      <c r="A6279" s="31">
        <v>0.21617828789450119</v>
      </c>
      <c r="B6279" s="31"/>
      <c r="C6279" s="2" t="s">
        <v>855</v>
      </c>
      <c r="D6279" s="31">
        <f t="shared" si="192"/>
        <v>4.2370944427322234E-2</v>
      </c>
      <c r="F6279" s="2" t="s">
        <v>822</v>
      </c>
      <c r="G6279" s="23" t="s">
        <v>902</v>
      </c>
      <c r="H6279" s="2" t="s">
        <v>822</v>
      </c>
      <c r="J6279" s="31">
        <v>63.715301500000002</v>
      </c>
      <c r="K6279" s="31">
        <v>-24.335699099999999</v>
      </c>
      <c r="L6279" s="31"/>
      <c r="M6279" s="31" t="s">
        <v>854</v>
      </c>
      <c r="N6279" s="6" t="s">
        <v>856</v>
      </c>
    </row>
    <row r="6280" spans="1:14" ht="15" customHeight="1" x14ac:dyDescent="0.2">
      <c r="A6280" s="31">
        <v>0.21597638793902121</v>
      </c>
      <c r="B6280" s="31"/>
      <c r="C6280" s="2" t="s">
        <v>855</v>
      </c>
      <c r="D6280" s="31">
        <f t="shared" si="192"/>
        <v>4.2331372036048157E-2</v>
      </c>
      <c r="F6280" s="2" t="s">
        <v>822</v>
      </c>
      <c r="G6280" s="23" t="s">
        <v>902</v>
      </c>
      <c r="H6280" s="2" t="s">
        <v>822</v>
      </c>
      <c r="J6280" s="31">
        <v>66.080802899999995</v>
      </c>
      <c r="K6280" s="31">
        <v>-29.856899299999998</v>
      </c>
      <c r="L6280" s="31"/>
      <c r="M6280" s="31" t="s">
        <v>854</v>
      </c>
      <c r="N6280" s="6" t="s">
        <v>856</v>
      </c>
    </row>
    <row r="6281" spans="1:14" ht="15" customHeight="1" x14ac:dyDescent="0.2">
      <c r="A6281" s="31">
        <v>0.21587976781655449</v>
      </c>
      <c r="B6281" s="31"/>
      <c r="C6281" s="2" t="s">
        <v>855</v>
      </c>
      <c r="D6281" s="31">
        <f t="shared" si="192"/>
        <v>4.2312434492044679E-2</v>
      </c>
      <c r="F6281" s="2" t="s">
        <v>822</v>
      </c>
      <c r="G6281" s="23" t="s">
        <v>902</v>
      </c>
      <c r="H6281" s="2" t="s">
        <v>822</v>
      </c>
      <c r="J6281" s="31">
        <v>58.771999399999999</v>
      </c>
      <c r="K6281" s="31">
        <v>-17.176000599999998</v>
      </c>
      <c r="L6281" s="31"/>
      <c r="M6281" s="31" t="s">
        <v>854</v>
      </c>
      <c r="N6281" s="6" t="s">
        <v>856</v>
      </c>
    </row>
    <row r="6282" spans="1:14" ht="15" customHeight="1" x14ac:dyDescent="0.2">
      <c r="A6282" s="31">
        <v>0.21582880985365649</v>
      </c>
      <c r="B6282" s="31"/>
      <c r="C6282" s="2" t="s">
        <v>855</v>
      </c>
      <c r="D6282" s="31">
        <f t="shared" si="192"/>
        <v>4.2302446731316674E-2</v>
      </c>
      <c r="F6282" s="2" t="s">
        <v>822</v>
      </c>
      <c r="G6282" s="23" t="s">
        <v>902</v>
      </c>
      <c r="H6282" s="2" t="s">
        <v>822</v>
      </c>
      <c r="J6282" s="31">
        <v>63.3307991</v>
      </c>
      <c r="K6282" s="31">
        <v>7.3626699000000002</v>
      </c>
      <c r="L6282" s="31"/>
      <c r="M6282" s="31" t="s">
        <v>854</v>
      </c>
      <c r="N6282" s="6" t="s">
        <v>856</v>
      </c>
    </row>
    <row r="6283" spans="1:14" ht="15" customHeight="1" x14ac:dyDescent="0.2">
      <c r="A6283" s="31">
        <v>0.21572785743885731</v>
      </c>
      <c r="B6283" s="31"/>
      <c r="C6283" s="2" t="s">
        <v>855</v>
      </c>
      <c r="D6283" s="31">
        <f t="shared" si="192"/>
        <v>4.2282660058016036E-2</v>
      </c>
      <c r="F6283" s="2" t="s">
        <v>822</v>
      </c>
      <c r="G6283" s="23" t="s">
        <v>902</v>
      </c>
      <c r="H6283" s="2" t="s">
        <v>822</v>
      </c>
      <c r="J6283" s="31">
        <v>64.783996599999995</v>
      </c>
      <c r="K6283" s="31">
        <v>10.2119999</v>
      </c>
      <c r="L6283" s="31"/>
      <c r="M6283" s="31" t="s">
        <v>854</v>
      </c>
      <c r="N6283" s="6" t="s">
        <v>856</v>
      </c>
    </row>
    <row r="6284" spans="1:14" ht="15" customHeight="1" x14ac:dyDescent="0.2">
      <c r="A6284" s="31">
        <v>0.21557425181240189</v>
      </c>
      <c r="B6284" s="31"/>
      <c r="C6284" s="2" t="s">
        <v>855</v>
      </c>
      <c r="D6284" s="31">
        <f t="shared" si="192"/>
        <v>4.2252553355230774E-2</v>
      </c>
      <c r="F6284" s="2" t="s">
        <v>822</v>
      </c>
      <c r="G6284" s="23" t="s">
        <v>902</v>
      </c>
      <c r="H6284" s="2" t="s">
        <v>822</v>
      </c>
      <c r="J6284" s="31">
        <v>60.108001700000003</v>
      </c>
      <c r="K6284" s="31">
        <v>-25.1919994</v>
      </c>
      <c r="L6284" s="31"/>
      <c r="M6284" s="31" t="s">
        <v>854</v>
      </c>
      <c r="N6284" s="6" t="s">
        <v>856</v>
      </c>
    </row>
    <row r="6285" spans="1:14" ht="15" customHeight="1" x14ac:dyDescent="0.2">
      <c r="A6285" s="31">
        <v>0.21502496353900019</v>
      </c>
      <c r="B6285" s="31"/>
      <c r="C6285" s="2" t="s">
        <v>855</v>
      </c>
      <c r="D6285" s="31">
        <f t="shared" si="192"/>
        <v>4.2144892853644041E-2</v>
      </c>
      <c r="F6285" s="2" t="s">
        <v>822</v>
      </c>
      <c r="G6285" s="23" t="s">
        <v>902</v>
      </c>
      <c r="H6285" s="2" t="s">
        <v>822</v>
      </c>
      <c r="J6285" s="31">
        <v>55.463501000000001</v>
      </c>
      <c r="K6285" s="31">
        <v>-11.4850998</v>
      </c>
      <c r="L6285" s="31"/>
      <c r="M6285" s="31" t="s">
        <v>854</v>
      </c>
      <c r="N6285" s="6" t="s">
        <v>856</v>
      </c>
    </row>
    <row r="6286" spans="1:14" ht="15" customHeight="1" x14ac:dyDescent="0.2">
      <c r="A6286" s="31">
        <v>0.2147118363409096</v>
      </c>
      <c r="B6286" s="31"/>
      <c r="C6286" s="2" t="s">
        <v>855</v>
      </c>
      <c r="D6286" s="31">
        <f t="shared" si="192"/>
        <v>4.208351992281828E-2</v>
      </c>
      <c r="F6286" s="2" t="s">
        <v>822</v>
      </c>
      <c r="G6286" s="23" t="s">
        <v>902</v>
      </c>
      <c r="H6286" s="2" t="s">
        <v>822</v>
      </c>
      <c r="J6286" s="31">
        <v>62.111999500000003</v>
      </c>
      <c r="K6286" s="31">
        <v>-23.856000900000002</v>
      </c>
      <c r="L6286" s="31"/>
      <c r="M6286" s="31" t="s">
        <v>854</v>
      </c>
      <c r="N6286" s="6" t="s">
        <v>856</v>
      </c>
    </row>
    <row r="6287" spans="1:14" ht="15" customHeight="1" x14ac:dyDescent="0.2">
      <c r="A6287" s="31">
        <v>0.2146574591829073</v>
      </c>
      <c r="B6287" s="31"/>
      <c r="C6287" s="2" t="s">
        <v>855</v>
      </c>
      <c r="D6287" s="31">
        <f t="shared" si="192"/>
        <v>4.2072861999849831E-2</v>
      </c>
      <c r="F6287" s="2" t="s">
        <v>822</v>
      </c>
      <c r="G6287" s="23" t="s">
        <v>902</v>
      </c>
      <c r="H6287" s="2" t="s">
        <v>822</v>
      </c>
      <c r="J6287" s="31">
        <v>58.1040001</v>
      </c>
      <c r="K6287" s="31">
        <v>-11.8319998</v>
      </c>
      <c r="L6287" s="31"/>
      <c r="M6287" s="31" t="s">
        <v>854</v>
      </c>
      <c r="N6287" s="6" t="s">
        <v>856</v>
      </c>
    </row>
    <row r="6288" spans="1:14" ht="15" customHeight="1" x14ac:dyDescent="0.2">
      <c r="A6288" s="31">
        <v>0.21446060732479619</v>
      </c>
      <c r="B6288" s="31"/>
      <c r="C6288" s="2" t="s">
        <v>855</v>
      </c>
      <c r="D6288" s="31">
        <f t="shared" si="192"/>
        <v>4.2034279035660052E-2</v>
      </c>
      <c r="F6288" s="2" t="s">
        <v>822</v>
      </c>
      <c r="G6288" s="23" t="s">
        <v>902</v>
      </c>
      <c r="H6288" s="2" t="s">
        <v>822</v>
      </c>
      <c r="J6288" s="31">
        <v>52.091999100000002</v>
      </c>
      <c r="K6288" s="31">
        <v>-37.883998900000002</v>
      </c>
      <c r="L6288" s="31"/>
      <c r="M6288" s="31" t="s">
        <v>854</v>
      </c>
      <c r="N6288" s="6" t="s">
        <v>856</v>
      </c>
    </row>
    <row r="6289" spans="1:14" ht="15" customHeight="1" x14ac:dyDescent="0.2">
      <c r="A6289" s="31">
        <v>0.2142734006223202</v>
      </c>
      <c r="B6289" s="31"/>
      <c r="C6289" s="2" t="s">
        <v>855</v>
      </c>
      <c r="D6289" s="31">
        <f t="shared" si="192"/>
        <v>4.1997586521974758E-2</v>
      </c>
      <c r="F6289" s="2" t="s">
        <v>822</v>
      </c>
      <c r="G6289" s="23" t="s">
        <v>902</v>
      </c>
      <c r="H6289" s="2" t="s">
        <v>822</v>
      </c>
      <c r="J6289" s="31">
        <v>51.881900799999997</v>
      </c>
      <c r="K6289" s="31">
        <v>-35.286098500000001</v>
      </c>
      <c r="L6289" s="31"/>
      <c r="M6289" s="31" t="s">
        <v>854</v>
      </c>
      <c r="N6289" s="6" t="s">
        <v>856</v>
      </c>
    </row>
    <row r="6290" spans="1:14" ht="15" customHeight="1" x14ac:dyDescent="0.2">
      <c r="A6290" s="31">
        <v>0.21398961290942739</v>
      </c>
      <c r="B6290" s="31"/>
      <c r="C6290" s="2" t="s">
        <v>855</v>
      </c>
      <c r="D6290" s="31">
        <f t="shared" si="192"/>
        <v>4.1941964130247769E-2</v>
      </c>
      <c r="F6290" s="2" t="s">
        <v>822</v>
      </c>
      <c r="G6290" s="23" t="s">
        <v>902</v>
      </c>
      <c r="H6290" s="2" t="s">
        <v>822</v>
      </c>
      <c r="J6290" s="31">
        <v>51.423999799999997</v>
      </c>
      <c r="K6290" s="31">
        <v>-38.551998099999999</v>
      </c>
      <c r="L6290" s="31"/>
      <c r="M6290" s="31" t="s">
        <v>854</v>
      </c>
      <c r="N6290" s="6" t="s">
        <v>856</v>
      </c>
    </row>
    <row r="6291" spans="1:14" ht="15" customHeight="1" x14ac:dyDescent="0.2">
      <c r="A6291" s="31">
        <v>0.21381249737308661</v>
      </c>
      <c r="B6291" s="31"/>
      <c r="C6291" s="2" t="s">
        <v>855</v>
      </c>
      <c r="D6291" s="31">
        <f t="shared" si="192"/>
        <v>4.1907249485124975E-2</v>
      </c>
      <c r="F6291" s="2" t="s">
        <v>822</v>
      </c>
      <c r="G6291" s="23" t="s">
        <v>902</v>
      </c>
      <c r="H6291" s="2" t="s">
        <v>822</v>
      </c>
      <c r="J6291" s="31">
        <v>60.108001700000003</v>
      </c>
      <c r="K6291" s="31">
        <v>-28.531999599999999</v>
      </c>
      <c r="L6291" s="31"/>
      <c r="M6291" s="31" t="s">
        <v>854</v>
      </c>
      <c r="N6291" s="6" t="s">
        <v>856</v>
      </c>
    </row>
    <row r="6292" spans="1:14" ht="15" customHeight="1" x14ac:dyDescent="0.2">
      <c r="A6292" s="31">
        <v>0.2136820852822264</v>
      </c>
      <c r="B6292" s="31"/>
      <c r="C6292" s="2" t="s">
        <v>855</v>
      </c>
      <c r="D6292" s="31">
        <f t="shared" si="192"/>
        <v>4.1881688715316376E-2</v>
      </c>
      <c r="F6292" s="2" t="s">
        <v>822</v>
      </c>
      <c r="G6292" s="23" t="s">
        <v>902</v>
      </c>
      <c r="H6292" s="2" t="s">
        <v>822</v>
      </c>
      <c r="J6292" s="31">
        <v>58.086601299999998</v>
      </c>
      <c r="K6292" s="31">
        <v>-8.0851603000000001</v>
      </c>
      <c r="L6292" s="31"/>
      <c r="M6292" s="31" t="s">
        <v>854</v>
      </c>
      <c r="N6292" s="6" t="s">
        <v>856</v>
      </c>
    </row>
    <row r="6293" spans="1:14" ht="15" customHeight="1" x14ac:dyDescent="0.2">
      <c r="A6293" s="31">
        <v>0.21365903116331761</v>
      </c>
      <c r="B6293" s="31"/>
      <c r="C6293" s="2" t="s">
        <v>855</v>
      </c>
      <c r="D6293" s="31">
        <f t="shared" si="192"/>
        <v>4.1877170108010252E-2</v>
      </c>
      <c r="F6293" s="2" t="s">
        <v>822</v>
      </c>
      <c r="G6293" s="23" t="s">
        <v>902</v>
      </c>
      <c r="H6293" s="2" t="s">
        <v>822</v>
      </c>
      <c r="J6293" s="31">
        <v>62.111999500000003</v>
      </c>
      <c r="K6293" s="31">
        <v>-17.176000599999998</v>
      </c>
      <c r="L6293" s="31"/>
      <c r="M6293" s="31" t="s">
        <v>854</v>
      </c>
      <c r="N6293" s="6" t="s">
        <v>856</v>
      </c>
    </row>
    <row r="6294" spans="1:14" ht="15" customHeight="1" x14ac:dyDescent="0.2">
      <c r="A6294" s="31">
        <v>0.21365298246999559</v>
      </c>
      <c r="B6294" s="31"/>
      <c r="C6294" s="2" t="s">
        <v>855</v>
      </c>
      <c r="D6294" s="31">
        <f t="shared" si="192"/>
        <v>4.1875984564119138E-2</v>
      </c>
      <c r="F6294" s="2" t="s">
        <v>822</v>
      </c>
      <c r="G6294" s="23" t="s">
        <v>902</v>
      </c>
      <c r="H6294" s="2" t="s">
        <v>822</v>
      </c>
      <c r="J6294" s="31">
        <v>60.776001000000001</v>
      </c>
      <c r="K6294" s="31">
        <v>-23.187999699999999</v>
      </c>
      <c r="L6294" s="31"/>
      <c r="M6294" s="31" t="s">
        <v>854</v>
      </c>
      <c r="N6294" s="6" t="s">
        <v>856</v>
      </c>
    </row>
    <row r="6295" spans="1:14" ht="15" customHeight="1" x14ac:dyDescent="0.2">
      <c r="A6295" s="31">
        <v>0.21335647598550581</v>
      </c>
      <c r="B6295" s="31"/>
      <c r="C6295" s="2" t="s">
        <v>855</v>
      </c>
      <c r="D6295" s="31">
        <f t="shared" si="192"/>
        <v>4.1817869293159136E-2</v>
      </c>
      <c r="F6295" s="2" t="s">
        <v>822</v>
      </c>
      <c r="G6295" s="23" t="s">
        <v>902</v>
      </c>
      <c r="H6295" s="2" t="s">
        <v>822</v>
      </c>
      <c r="J6295" s="31">
        <v>55.4319992</v>
      </c>
      <c r="K6295" s="31">
        <v>-39.220001199999999</v>
      </c>
      <c r="L6295" s="31"/>
      <c r="M6295" s="31" t="s">
        <v>854</v>
      </c>
      <c r="N6295" s="6" t="s">
        <v>856</v>
      </c>
    </row>
    <row r="6296" spans="1:14" ht="15" customHeight="1" x14ac:dyDescent="0.2">
      <c r="A6296" s="31">
        <v>0.21329164181338101</v>
      </c>
      <c r="B6296" s="31"/>
      <c r="C6296" s="2" t="s">
        <v>855</v>
      </c>
      <c r="D6296" s="31">
        <f t="shared" si="192"/>
        <v>4.180516179542268E-2</v>
      </c>
      <c r="F6296" s="2" t="s">
        <v>822</v>
      </c>
      <c r="G6296" s="23" t="s">
        <v>902</v>
      </c>
      <c r="H6296" s="2" t="s">
        <v>822</v>
      </c>
      <c r="J6296" s="31">
        <v>60.108001700000003</v>
      </c>
      <c r="K6296" s="31">
        <v>-12.5</v>
      </c>
      <c r="L6296" s="31"/>
      <c r="M6296" s="31" t="s">
        <v>854</v>
      </c>
      <c r="N6296" s="6" t="s">
        <v>856</v>
      </c>
    </row>
    <row r="6297" spans="1:14" ht="15" customHeight="1" x14ac:dyDescent="0.2">
      <c r="A6297" s="31">
        <v>0.2130285402938511</v>
      </c>
      <c r="B6297" s="31"/>
      <c r="C6297" s="2" t="s">
        <v>855</v>
      </c>
      <c r="D6297" s="31">
        <f t="shared" si="192"/>
        <v>4.1753593897594816E-2</v>
      </c>
      <c r="F6297" s="2" t="s">
        <v>822</v>
      </c>
      <c r="G6297" s="23" t="s">
        <v>902</v>
      </c>
      <c r="H6297" s="2" t="s">
        <v>822</v>
      </c>
      <c r="J6297" s="31">
        <v>62.674598699999997</v>
      </c>
      <c r="K6297" s="31">
        <v>-19.1800003</v>
      </c>
      <c r="L6297" s="31"/>
      <c r="M6297" s="31" t="s">
        <v>854</v>
      </c>
      <c r="N6297" s="6" t="s">
        <v>856</v>
      </c>
    </row>
    <row r="6298" spans="1:14" ht="15" customHeight="1" x14ac:dyDescent="0.2">
      <c r="A6298" s="31">
        <v>0.21300001932679721</v>
      </c>
      <c r="B6298" s="31"/>
      <c r="C6298" s="2" t="s">
        <v>855</v>
      </c>
      <c r="D6298" s="31">
        <f t="shared" si="192"/>
        <v>4.1748003788052254E-2</v>
      </c>
      <c r="F6298" s="2" t="s">
        <v>822</v>
      </c>
      <c r="G6298" s="23" t="s">
        <v>902</v>
      </c>
      <c r="H6298" s="2" t="s">
        <v>822</v>
      </c>
      <c r="J6298" s="31">
        <v>58.1040001</v>
      </c>
      <c r="K6298" s="31">
        <v>-11.1639996</v>
      </c>
      <c r="L6298" s="31"/>
      <c r="M6298" s="31" t="s">
        <v>854</v>
      </c>
      <c r="N6298" s="6" t="s">
        <v>856</v>
      </c>
    </row>
    <row r="6299" spans="1:14" ht="15" customHeight="1" x14ac:dyDescent="0.2">
      <c r="A6299" s="31">
        <v>0.21281760003717781</v>
      </c>
      <c r="B6299" s="31"/>
      <c r="C6299" s="2" t="s">
        <v>855</v>
      </c>
      <c r="D6299" s="31">
        <f t="shared" si="192"/>
        <v>4.1712249607286853E-2</v>
      </c>
      <c r="F6299" s="2" t="s">
        <v>822</v>
      </c>
      <c r="G6299" s="23" t="s">
        <v>902</v>
      </c>
      <c r="H6299" s="2" t="s">
        <v>822</v>
      </c>
      <c r="J6299" s="31">
        <v>60.546001400000002</v>
      </c>
      <c r="K6299" s="31">
        <v>-1.0154799999999999</v>
      </c>
      <c r="L6299" s="31"/>
      <c r="M6299" s="31" t="s">
        <v>854</v>
      </c>
      <c r="N6299" s="6" t="s">
        <v>856</v>
      </c>
    </row>
    <row r="6300" spans="1:14" ht="15" customHeight="1" x14ac:dyDescent="0.2">
      <c r="A6300" s="31">
        <v>0.21280495084983381</v>
      </c>
      <c r="B6300" s="31"/>
      <c r="C6300" s="2" t="s">
        <v>855</v>
      </c>
      <c r="D6300" s="31">
        <f t="shared" si="192"/>
        <v>4.1709770366567429E-2</v>
      </c>
      <c r="F6300" s="2" t="s">
        <v>822</v>
      </c>
      <c r="G6300" s="23" t="s">
        <v>902</v>
      </c>
      <c r="H6300" s="2" t="s">
        <v>822</v>
      </c>
      <c r="J6300" s="31">
        <v>65.135597200000007</v>
      </c>
      <c r="K6300" s="31">
        <v>-24.5240002</v>
      </c>
      <c r="L6300" s="31"/>
      <c r="M6300" s="31" t="s">
        <v>854</v>
      </c>
      <c r="N6300" s="6" t="s">
        <v>856</v>
      </c>
    </row>
    <row r="6301" spans="1:14" ht="15" customHeight="1" x14ac:dyDescent="0.2">
      <c r="A6301" s="31">
        <v>0.21228751458642531</v>
      </c>
      <c r="B6301" s="31"/>
      <c r="C6301" s="2" t="s">
        <v>855</v>
      </c>
      <c r="D6301" s="31">
        <f t="shared" si="192"/>
        <v>4.1608352858939365E-2</v>
      </c>
      <c r="F6301" s="2" t="s">
        <v>822</v>
      </c>
      <c r="G6301" s="23" t="s">
        <v>902</v>
      </c>
      <c r="H6301" s="2" t="s">
        <v>822</v>
      </c>
      <c r="J6301" s="31">
        <v>57.436000800000002</v>
      </c>
      <c r="K6301" s="31">
        <v>-34.543998700000003</v>
      </c>
      <c r="L6301" s="31"/>
      <c r="M6301" s="31" t="s">
        <v>854</v>
      </c>
      <c r="N6301" s="6" t="s">
        <v>856</v>
      </c>
    </row>
    <row r="6302" spans="1:14" ht="15" customHeight="1" x14ac:dyDescent="0.2">
      <c r="A6302" s="31">
        <v>0.21218319372212399</v>
      </c>
      <c r="B6302" s="31"/>
      <c r="C6302" s="2" t="s">
        <v>855</v>
      </c>
      <c r="D6302" s="31">
        <f t="shared" si="192"/>
        <v>4.1587905969536307E-2</v>
      </c>
      <c r="F6302" s="2" t="s">
        <v>822</v>
      </c>
      <c r="G6302" s="23" t="s">
        <v>902</v>
      </c>
      <c r="H6302" s="2" t="s">
        <v>822</v>
      </c>
      <c r="J6302" s="31">
        <v>58.1040001</v>
      </c>
      <c r="K6302" s="31">
        <v>-35.212001800000003</v>
      </c>
      <c r="L6302" s="31"/>
      <c r="M6302" s="31" t="s">
        <v>854</v>
      </c>
      <c r="N6302" s="6" t="s">
        <v>856</v>
      </c>
    </row>
    <row r="6303" spans="1:14" ht="15" customHeight="1" x14ac:dyDescent="0.2">
      <c r="A6303" s="31">
        <v>0.21209936241663169</v>
      </c>
      <c r="B6303" s="31"/>
      <c r="C6303" s="2" t="s">
        <v>855</v>
      </c>
      <c r="D6303" s="31">
        <f t="shared" si="192"/>
        <v>4.1571475033659815E-2</v>
      </c>
      <c r="F6303" s="2" t="s">
        <v>822</v>
      </c>
      <c r="G6303" s="23" t="s">
        <v>902</v>
      </c>
      <c r="H6303" s="2" t="s">
        <v>822</v>
      </c>
      <c r="J6303" s="31">
        <v>59.439998600000003</v>
      </c>
      <c r="K6303" s="31">
        <v>-30.5359993</v>
      </c>
      <c r="L6303" s="31"/>
      <c r="M6303" s="31" t="s">
        <v>854</v>
      </c>
      <c r="N6303" s="6" t="s">
        <v>856</v>
      </c>
    </row>
    <row r="6304" spans="1:14" ht="15" customHeight="1" x14ac:dyDescent="0.2">
      <c r="A6304" s="31">
        <v>0.21189177023716979</v>
      </c>
      <c r="B6304" s="31"/>
      <c r="C6304" s="2" t="s">
        <v>855</v>
      </c>
      <c r="D6304" s="31">
        <f t="shared" si="192"/>
        <v>4.1530786966485281E-2</v>
      </c>
      <c r="F6304" s="2" t="s">
        <v>822</v>
      </c>
      <c r="G6304" s="23" t="s">
        <v>902</v>
      </c>
      <c r="H6304" s="2" t="s">
        <v>822</v>
      </c>
      <c r="J6304" s="31">
        <v>62.111999500000003</v>
      </c>
      <c r="K6304" s="31">
        <v>-11.8319998</v>
      </c>
      <c r="L6304" s="31"/>
      <c r="M6304" s="31" t="s">
        <v>854</v>
      </c>
      <c r="N6304" s="6" t="s">
        <v>856</v>
      </c>
    </row>
    <row r="6305" spans="1:14" ht="15" customHeight="1" x14ac:dyDescent="0.2">
      <c r="A6305" s="31">
        <v>0.211552332512842</v>
      </c>
      <c r="B6305" s="31"/>
      <c r="C6305" s="2" t="s">
        <v>855</v>
      </c>
      <c r="D6305" s="31">
        <f t="shared" si="192"/>
        <v>4.1464257172517033E-2</v>
      </c>
      <c r="F6305" s="2" t="s">
        <v>822</v>
      </c>
      <c r="G6305" s="23" t="s">
        <v>902</v>
      </c>
      <c r="H6305" s="2" t="s">
        <v>822</v>
      </c>
      <c r="J6305" s="31">
        <v>64.426597599999994</v>
      </c>
      <c r="K6305" s="31">
        <v>-13.3822002</v>
      </c>
      <c r="L6305" s="31"/>
      <c r="M6305" s="31" t="s">
        <v>854</v>
      </c>
      <c r="N6305" s="6" t="s">
        <v>856</v>
      </c>
    </row>
    <row r="6306" spans="1:14" ht="15" customHeight="1" x14ac:dyDescent="0.2">
      <c r="A6306" s="31">
        <v>0.21130466637944911</v>
      </c>
      <c r="B6306" s="31"/>
      <c r="C6306" s="2" t="s">
        <v>855</v>
      </c>
      <c r="D6306" s="31">
        <f t="shared" si="192"/>
        <v>4.141571461037203E-2</v>
      </c>
      <c r="F6306" s="2" t="s">
        <v>822</v>
      </c>
      <c r="G6306" s="23" t="s">
        <v>902</v>
      </c>
      <c r="H6306" s="2" t="s">
        <v>822</v>
      </c>
      <c r="J6306" s="31">
        <v>60.776001000000001</v>
      </c>
      <c r="K6306" s="31">
        <v>3.2178399999999998</v>
      </c>
      <c r="L6306" s="31"/>
      <c r="M6306" s="31" t="s">
        <v>854</v>
      </c>
      <c r="N6306" s="6" t="s">
        <v>856</v>
      </c>
    </row>
    <row r="6307" spans="1:14" ht="15" customHeight="1" x14ac:dyDescent="0.2">
      <c r="A6307" s="31">
        <v>0.21075830026087311</v>
      </c>
      <c r="B6307" s="31"/>
      <c r="C6307" s="2" t="s">
        <v>855</v>
      </c>
      <c r="D6307" s="31">
        <f t="shared" si="192"/>
        <v>4.1308626851131132E-2</v>
      </c>
      <c r="F6307" s="2" t="s">
        <v>822</v>
      </c>
      <c r="G6307" s="23" t="s">
        <v>902</v>
      </c>
      <c r="H6307" s="2" t="s">
        <v>822</v>
      </c>
      <c r="J6307" s="31">
        <v>61.444000199999998</v>
      </c>
      <c r="K6307" s="31">
        <v>-10.4960003</v>
      </c>
      <c r="L6307" s="31"/>
      <c r="M6307" s="31" t="s">
        <v>854</v>
      </c>
      <c r="N6307" s="6" t="s">
        <v>856</v>
      </c>
    </row>
    <row r="6308" spans="1:14" ht="15" customHeight="1" x14ac:dyDescent="0.2">
      <c r="A6308" s="31">
        <v>0.21074399158134091</v>
      </c>
      <c r="B6308" s="31"/>
      <c r="C6308" s="2" t="s">
        <v>855</v>
      </c>
      <c r="D6308" s="31">
        <f t="shared" si="192"/>
        <v>4.1305822349942824E-2</v>
      </c>
      <c r="F6308" s="2" t="s">
        <v>822</v>
      </c>
      <c r="G6308" s="23" t="s">
        <v>902</v>
      </c>
      <c r="H6308" s="2" t="s">
        <v>822</v>
      </c>
      <c r="J6308" s="31">
        <v>50.287601500000001</v>
      </c>
      <c r="K6308" s="31">
        <v>4.7836299999999998E-2</v>
      </c>
      <c r="L6308" s="31"/>
      <c r="M6308" s="31" t="s">
        <v>854</v>
      </c>
      <c r="N6308" s="6" t="s">
        <v>856</v>
      </c>
    </row>
    <row r="6309" spans="1:14" ht="15" customHeight="1" x14ac:dyDescent="0.2">
      <c r="A6309" s="31">
        <v>0.21062872942629399</v>
      </c>
      <c r="B6309" s="31"/>
      <c r="C6309" s="2" t="s">
        <v>855</v>
      </c>
      <c r="D6309" s="31">
        <f t="shared" si="192"/>
        <v>4.1283230967553625E-2</v>
      </c>
      <c r="F6309" s="2" t="s">
        <v>822</v>
      </c>
      <c r="G6309" s="23" t="s">
        <v>902</v>
      </c>
      <c r="H6309" s="2" t="s">
        <v>822</v>
      </c>
      <c r="J6309" s="31">
        <v>58.771999399999999</v>
      </c>
      <c r="K6309" s="31">
        <v>-1.03616</v>
      </c>
      <c r="L6309" s="31"/>
      <c r="M6309" s="31" t="s">
        <v>854</v>
      </c>
      <c r="N6309" s="6" t="s">
        <v>856</v>
      </c>
    </row>
    <row r="6310" spans="1:14" ht="15" customHeight="1" x14ac:dyDescent="0.2">
      <c r="A6310" s="31">
        <v>0.21049976341253901</v>
      </c>
      <c r="B6310" s="31"/>
      <c r="C6310" s="2" t="s">
        <v>855</v>
      </c>
      <c r="D6310" s="31">
        <f t="shared" si="192"/>
        <v>4.1257953628857646E-2</v>
      </c>
      <c r="F6310" s="2" t="s">
        <v>822</v>
      </c>
      <c r="G6310" s="23" t="s">
        <v>902</v>
      </c>
      <c r="H6310" s="2" t="s">
        <v>822</v>
      </c>
      <c r="J6310" s="31">
        <v>63.448001900000001</v>
      </c>
      <c r="K6310" s="31">
        <v>-12.5</v>
      </c>
      <c r="L6310" s="31"/>
      <c r="M6310" s="31" t="s">
        <v>854</v>
      </c>
      <c r="N6310" s="6" t="s">
        <v>856</v>
      </c>
    </row>
    <row r="6311" spans="1:14" ht="15" customHeight="1" x14ac:dyDescent="0.2">
      <c r="A6311" s="31">
        <v>0.21045983902263851</v>
      </c>
      <c r="B6311" s="31"/>
      <c r="C6311" s="2" t="s">
        <v>855</v>
      </c>
      <c r="D6311" s="31">
        <f t="shared" si="192"/>
        <v>4.1250128448437152E-2</v>
      </c>
      <c r="F6311" s="2" t="s">
        <v>822</v>
      </c>
      <c r="G6311" s="23" t="s">
        <v>902</v>
      </c>
      <c r="H6311" s="2" t="s">
        <v>822</v>
      </c>
      <c r="J6311" s="31">
        <v>55.4319992</v>
      </c>
      <c r="K6311" s="31">
        <v>-31.8719997</v>
      </c>
      <c r="L6311" s="31"/>
      <c r="M6311" s="31" t="s">
        <v>854</v>
      </c>
      <c r="N6311" s="6" t="s">
        <v>856</v>
      </c>
    </row>
    <row r="6312" spans="1:14" ht="15" customHeight="1" x14ac:dyDescent="0.2">
      <c r="A6312" s="31">
        <v>0.2101013186001113</v>
      </c>
      <c r="B6312" s="31"/>
      <c r="C6312" s="2" t="s">
        <v>855</v>
      </c>
      <c r="D6312" s="31">
        <f t="shared" si="192"/>
        <v>4.1179858445621817E-2</v>
      </c>
      <c r="F6312" s="2" t="s">
        <v>822</v>
      </c>
      <c r="G6312" s="23" t="s">
        <v>902</v>
      </c>
      <c r="H6312" s="2" t="s">
        <v>822</v>
      </c>
      <c r="J6312" s="31">
        <v>63.383598300000003</v>
      </c>
      <c r="K6312" s="31">
        <v>-23.267200500000001</v>
      </c>
      <c r="L6312" s="31"/>
      <c r="M6312" s="31" t="s">
        <v>854</v>
      </c>
      <c r="N6312" s="6" t="s">
        <v>856</v>
      </c>
    </row>
    <row r="6313" spans="1:14" ht="15" customHeight="1" x14ac:dyDescent="0.2">
      <c r="A6313" s="31">
        <v>0.20975089033868149</v>
      </c>
      <c r="B6313" s="31"/>
      <c r="C6313" s="2" t="s">
        <v>855</v>
      </c>
      <c r="D6313" s="31">
        <f t="shared" si="192"/>
        <v>4.1111174506381576E-2</v>
      </c>
      <c r="F6313" s="2" t="s">
        <v>822</v>
      </c>
      <c r="G6313" s="23" t="s">
        <v>902</v>
      </c>
      <c r="H6313" s="2" t="s">
        <v>822</v>
      </c>
      <c r="J6313" s="31">
        <v>59.439998600000003</v>
      </c>
      <c r="K6313" s="31">
        <v>-22.520000499999998</v>
      </c>
      <c r="L6313" s="31"/>
      <c r="M6313" s="31" t="s">
        <v>854</v>
      </c>
      <c r="N6313" s="6" t="s">
        <v>856</v>
      </c>
    </row>
    <row r="6314" spans="1:14" ht="15" customHeight="1" x14ac:dyDescent="0.2">
      <c r="A6314" s="31">
        <v>0.20952804721333029</v>
      </c>
      <c r="B6314" s="31"/>
      <c r="C6314" s="2" t="s">
        <v>855</v>
      </c>
      <c r="D6314" s="31">
        <f t="shared" si="192"/>
        <v>4.1067497253812736E-2</v>
      </c>
      <c r="F6314" s="2" t="s">
        <v>822</v>
      </c>
      <c r="G6314" s="23" t="s">
        <v>902</v>
      </c>
      <c r="H6314" s="2" t="s">
        <v>822</v>
      </c>
      <c r="J6314" s="31">
        <v>59.439998600000003</v>
      </c>
      <c r="K6314" s="31">
        <v>-27.195999100000002</v>
      </c>
      <c r="L6314" s="31"/>
      <c r="M6314" s="31" t="s">
        <v>854</v>
      </c>
      <c r="N6314" s="6" t="s">
        <v>856</v>
      </c>
    </row>
    <row r="6315" spans="1:14" ht="15" customHeight="1" x14ac:dyDescent="0.2">
      <c r="A6315" s="31">
        <v>0.2094927687055905</v>
      </c>
      <c r="B6315" s="31"/>
      <c r="C6315" s="2" t="s">
        <v>855</v>
      </c>
      <c r="D6315" s="31">
        <f t="shared" si="192"/>
        <v>4.1060582666295739E-2</v>
      </c>
      <c r="F6315" s="2" t="s">
        <v>822</v>
      </c>
      <c r="G6315" s="23" t="s">
        <v>902</v>
      </c>
      <c r="H6315" s="2" t="s">
        <v>822</v>
      </c>
      <c r="J6315" s="31">
        <v>51.046699500000003</v>
      </c>
      <c r="K6315" s="31">
        <v>-37.942298899999997</v>
      </c>
      <c r="L6315" s="31"/>
      <c r="M6315" s="31" t="s">
        <v>854</v>
      </c>
      <c r="N6315" s="6" t="s">
        <v>856</v>
      </c>
    </row>
    <row r="6316" spans="1:14" ht="15" customHeight="1" x14ac:dyDescent="0.2">
      <c r="A6316" s="31">
        <v>0.20945306077566289</v>
      </c>
      <c r="B6316" s="31"/>
      <c r="C6316" s="2" t="s">
        <v>855</v>
      </c>
      <c r="D6316" s="31">
        <f t="shared" si="192"/>
        <v>4.1052799912029932E-2</v>
      </c>
      <c r="F6316" s="2" t="s">
        <v>822</v>
      </c>
      <c r="G6316" s="23" t="s">
        <v>902</v>
      </c>
      <c r="H6316" s="2" t="s">
        <v>822</v>
      </c>
      <c r="J6316" s="31">
        <v>64.411003100000002</v>
      </c>
      <c r="K6316" s="31">
        <v>10.637900399999999</v>
      </c>
      <c r="L6316" s="31"/>
      <c r="M6316" s="31" t="s">
        <v>854</v>
      </c>
      <c r="N6316" s="6" t="s">
        <v>856</v>
      </c>
    </row>
    <row r="6317" spans="1:14" ht="15" customHeight="1" x14ac:dyDescent="0.2">
      <c r="A6317" s="31">
        <v>0.20905649323119929</v>
      </c>
      <c r="B6317" s="31"/>
      <c r="C6317" s="2" t="s">
        <v>855</v>
      </c>
      <c r="D6317" s="31">
        <f t="shared" si="192"/>
        <v>4.0975072673315065E-2</v>
      </c>
      <c r="F6317" s="2" t="s">
        <v>822</v>
      </c>
      <c r="G6317" s="23" t="s">
        <v>902</v>
      </c>
      <c r="H6317" s="2" t="s">
        <v>822</v>
      </c>
      <c r="J6317" s="31">
        <v>52.091999100000002</v>
      </c>
      <c r="K6317" s="31">
        <v>-36.548000299999998</v>
      </c>
      <c r="L6317" s="31"/>
      <c r="M6317" s="31" t="s">
        <v>854</v>
      </c>
      <c r="N6317" s="6" t="s">
        <v>856</v>
      </c>
    </row>
    <row r="6318" spans="1:14" ht="15" customHeight="1" x14ac:dyDescent="0.2">
      <c r="A6318" s="31">
        <v>0.20897219596899269</v>
      </c>
      <c r="B6318" s="31"/>
      <c r="C6318" s="2" t="s">
        <v>855</v>
      </c>
      <c r="D6318" s="31">
        <f t="shared" si="192"/>
        <v>4.0958550409922571E-2</v>
      </c>
      <c r="F6318" s="2" t="s">
        <v>822</v>
      </c>
      <c r="G6318" s="23" t="s">
        <v>902</v>
      </c>
      <c r="H6318" s="2" t="s">
        <v>822</v>
      </c>
      <c r="J6318" s="31">
        <v>64.115997300000004</v>
      </c>
      <c r="K6318" s="31">
        <v>-31.204000499999999</v>
      </c>
      <c r="L6318" s="31"/>
      <c r="M6318" s="31" t="s">
        <v>854</v>
      </c>
      <c r="N6318" s="6" t="s">
        <v>856</v>
      </c>
    </row>
    <row r="6319" spans="1:14" ht="15" customHeight="1" x14ac:dyDescent="0.2">
      <c r="A6319" s="31">
        <v>0.20891106319006569</v>
      </c>
      <c r="B6319" s="31"/>
      <c r="C6319" s="2" t="s">
        <v>855</v>
      </c>
      <c r="D6319" s="31">
        <f t="shared" si="192"/>
        <v>4.0946568385252881E-2</v>
      </c>
      <c r="F6319" s="2" t="s">
        <v>822</v>
      </c>
      <c r="G6319" s="23" t="s">
        <v>902</v>
      </c>
      <c r="H6319" s="2" t="s">
        <v>822</v>
      </c>
      <c r="J6319" s="31">
        <v>70.103301999999999</v>
      </c>
      <c r="K6319" s="31">
        <v>16.219999300000001</v>
      </c>
      <c r="L6319" s="31"/>
      <c r="M6319" s="31" t="s">
        <v>854</v>
      </c>
      <c r="N6319" s="6" t="s">
        <v>856</v>
      </c>
    </row>
    <row r="6320" spans="1:14" ht="15" customHeight="1" x14ac:dyDescent="0.2">
      <c r="A6320" s="31">
        <v>0.20873039345172681</v>
      </c>
      <c r="B6320" s="31"/>
      <c r="C6320" s="2" t="s">
        <v>855</v>
      </c>
      <c r="D6320" s="31">
        <f t="shared" si="192"/>
        <v>4.0911157116538456E-2</v>
      </c>
      <c r="F6320" s="2" t="s">
        <v>822</v>
      </c>
      <c r="G6320" s="23" t="s">
        <v>902</v>
      </c>
      <c r="H6320" s="2" t="s">
        <v>822</v>
      </c>
      <c r="J6320" s="31">
        <v>64.055099499999997</v>
      </c>
      <c r="K6320" s="31">
        <v>-13.0608997</v>
      </c>
      <c r="L6320" s="31"/>
      <c r="M6320" s="31" t="s">
        <v>854</v>
      </c>
      <c r="N6320" s="6" t="s">
        <v>856</v>
      </c>
    </row>
    <row r="6321" spans="1:14" ht="15" customHeight="1" x14ac:dyDescent="0.2">
      <c r="A6321" s="31">
        <v>0.2083381212864043</v>
      </c>
      <c r="B6321" s="31"/>
      <c r="C6321" s="2" t="s">
        <v>855</v>
      </c>
      <c r="D6321" s="31">
        <f t="shared" si="192"/>
        <v>4.0834271772135243E-2</v>
      </c>
      <c r="F6321" s="2" t="s">
        <v>822</v>
      </c>
      <c r="G6321" s="23" t="s">
        <v>902</v>
      </c>
      <c r="H6321" s="2" t="s">
        <v>822</v>
      </c>
      <c r="J6321" s="31">
        <v>60.776001000000001</v>
      </c>
      <c r="K6321" s="31">
        <v>-12.5</v>
      </c>
      <c r="L6321" s="31"/>
      <c r="M6321" s="31" t="s">
        <v>854</v>
      </c>
      <c r="N6321" s="6" t="s">
        <v>856</v>
      </c>
    </row>
    <row r="6322" spans="1:14" ht="15" customHeight="1" x14ac:dyDescent="0.2">
      <c r="A6322" s="31">
        <v>0.20831257215904689</v>
      </c>
      <c r="B6322" s="31"/>
      <c r="C6322" s="2" t="s">
        <v>855</v>
      </c>
      <c r="D6322" s="31">
        <f t="shared" si="192"/>
        <v>4.0829264143173193E-2</v>
      </c>
      <c r="F6322" s="2" t="s">
        <v>822</v>
      </c>
      <c r="G6322" s="23" t="s">
        <v>902</v>
      </c>
      <c r="H6322" s="2" t="s">
        <v>822</v>
      </c>
      <c r="J6322" s="31">
        <v>56.768001599999998</v>
      </c>
      <c r="K6322" s="31">
        <v>-30.5359993</v>
      </c>
      <c r="L6322" s="31"/>
      <c r="M6322" s="31" t="s">
        <v>854</v>
      </c>
      <c r="N6322" s="6" t="s">
        <v>856</v>
      </c>
    </row>
    <row r="6323" spans="1:14" ht="15" customHeight="1" x14ac:dyDescent="0.2">
      <c r="A6323" s="31">
        <v>0.20823310632830669</v>
      </c>
      <c r="B6323" s="31"/>
      <c r="C6323" s="2" t="s">
        <v>855</v>
      </c>
      <c r="D6323" s="31">
        <f t="shared" si="192"/>
        <v>4.0813688840348111E-2</v>
      </c>
      <c r="F6323" s="2" t="s">
        <v>822</v>
      </c>
      <c r="G6323" s="23" t="s">
        <v>902</v>
      </c>
      <c r="H6323" s="2" t="s">
        <v>822</v>
      </c>
      <c r="J6323" s="31">
        <v>62.111999500000003</v>
      </c>
      <c r="K6323" s="31">
        <v>0.86</v>
      </c>
      <c r="L6323" s="31"/>
      <c r="M6323" s="31" t="s">
        <v>854</v>
      </c>
      <c r="N6323" s="6" t="s">
        <v>856</v>
      </c>
    </row>
    <row r="6324" spans="1:14" ht="15" customHeight="1" x14ac:dyDescent="0.2">
      <c r="A6324" s="31">
        <v>0.2081891654339319</v>
      </c>
      <c r="B6324" s="31"/>
      <c r="C6324" s="2" t="s">
        <v>855</v>
      </c>
      <c r="D6324" s="31">
        <f t="shared" si="192"/>
        <v>4.0805076425050657E-2</v>
      </c>
      <c r="F6324" s="2" t="s">
        <v>822</v>
      </c>
      <c r="G6324" s="23" t="s">
        <v>902</v>
      </c>
      <c r="H6324" s="2" t="s">
        <v>822</v>
      </c>
      <c r="J6324" s="31">
        <v>56.768001599999998</v>
      </c>
      <c r="K6324" s="31">
        <v>-36.548000299999998</v>
      </c>
      <c r="L6324" s="31"/>
      <c r="M6324" s="31" t="s">
        <v>854</v>
      </c>
      <c r="N6324" s="6" t="s">
        <v>856</v>
      </c>
    </row>
    <row r="6325" spans="1:14" ht="15" customHeight="1" x14ac:dyDescent="0.2">
      <c r="A6325" s="31">
        <v>0.20778559742434541</v>
      </c>
      <c r="B6325" s="31"/>
      <c r="C6325" s="2" t="s">
        <v>855</v>
      </c>
      <c r="D6325" s="31">
        <f t="shared" si="192"/>
        <v>4.07259770951717E-2</v>
      </c>
      <c r="F6325" s="2" t="s">
        <v>822</v>
      </c>
      <c r="G6325" s="23" t="s">
        <v>902</v>
      </c>
      <c r="H6325" s="2" t="s">
        <v>822</v>
      </c>
      <c r="J6325" s="31">
        <v>63.448001900000001</v>
      </c>
      <c r="K6325" s="31">
        <v>-31.8719997</v>
      </c>
      <c r="L6325" s="31"/>
      <c r="M6325" s="31" t="s">
        <v>854</v>
      </c>
      <c r="N6325" s="6" t="s">
        <v>856</v>
      </c>
    </row>
    <row r="6326" spans="1:14" ht="15" customHeight="1" x14ac:dyDescent="0.2">
      <c r="A6326" s="31">
        <v>0.20773464975498759</v>
      </c>
      <c r="B6326" s="31"/>
      <c r="C6326" s="2" t="s">
        <v>855</v>
      </c>
      <c r="D6326" s="31">
        <f t="shared" si="192"/>
        <v>4.0715991351977572E-2</v>
      </c>
      <c r="F6326" s="2" t="s">
        <v>822</v>
      </c>
      <c r="G6326" s="23" t="s">
        <v>902</v>
      </c>
      <c r="H6326" s="2" t="s">
        <v>822</v>
      </c>
      <c r="J6326" s="31">
        <v>59.129600500000002</v>
      </c>
      <c r="K6326" s="31">
        <v>-4.4840001999999997</v>
      </c>
      <c r="L6326" s="31"/>
      <c r="M6326" s="31" t="s">
        <v>854</v>
      </c>
      <c r="N6326" s="6" t="s">
        <v>856</v>
      </c>
    </row>
    <row r="6327" spans="1:14" ht="15" customHeight="1" x14ac:dyDescent="0.2">
      <c r="A6327" s="31">
        <v>0.20769658296942919</v>
      </c>
      <c r="B6327" s="31"/>
      <c r="C6327" s="2" t="s">
        <v>855</v>
      </c>
      <c r="D6327" s="31">
        <f t="shared" si="192"/>
        <v>4.0708530262008123E-2</v>
      </c>
      <c r="F6327" s="2" t="s">
        <v>822</v>
      </c>
      <c r="G6327" s="23" t="s">
        <v>902</v>
      </c>
      <c r="H6327" s="2" t="s">
        <v>822</v>
      </c>
      <c r="J6327" s="31">
        <v>69.723602299999996</v>
      </c>
      <c r="K6327" s="31">
        <v>16.981800100000001</v>
      </c>
      <c r="L6327" s="31"/>
      <c r="M6327" s="31" t="s">
        <v>854</v>
      </c>
      <c r="N6327" s="6" t="s">
        <v>856</v>
      </c>
    </row>
    <row r="6328" spans="1:14" ht="15" customHeight="1" x14ac:dyDescent="0.2">
      <c r="A6328" s="31">
        <v>0.20754303236083541</v>
      </c>
      <c r="B6328" s="31"/>
      <c r="C6328" s="2" t="s">
        <v>855</v>
      </c>
      <c r="D6328" s="31">
        <f t="shared" si="192"/>
        <v>4.0678434342723738E-2</v>
      </c>
      <c r="F6328" s="2" t="s">
        <v>822</v>
      </c>
      <c r="G6328" s="23" t="s">
        <v>902</v>
      </c>
      <c r="H6328" s="2" t="s">
        <v>822</v>
      </c>
      <c r="J6328" s="31">
        <v>49.889701799999997</v>
      </c>
      <c r="K6328" s="31">
        <v>-18.487499199999998</v>
      </c>
      <c r="L6328" s="31"/>
      <c r="M6328" s="31" t="s">
        <v>854</v>
      </c>
      <c r="N6328" s="6" t="s">
        <v>856</v>
      </c>
    </row>
    <row r="6329" spans="1:14" ht="15" customHeight="1" x14ac:dyDescent="0.2">
      <c r="A6329" s="31">
        <v>0.20750445126580139</v>
      </c>
      <c r="B6329" s="31"/>
      <c r="C6329" s="2" t="s">
        <v>855</v>
      </c>
      <c r="D6329" s="31">
        <f t="shared" si="192"/>
        <v>4.067087244809707E-2</v>
      </c>
      <c r="F6329" s="2" t="s">
        <v>822</v>
      </c>
      <c r="G6329" s="23" t="s">
        <v>902</v>
      </c>
      <c r="H6329" s="2" t="s">
        <v>822</v>
      </c>
      <c r="J6329" s="31">
        <v>65.348800699999998</v>
      </c>
      <c r="K6329" s="31">
        <v>-22.576900500000001</v>
      </c>
      <c r="L6329" s="31"/>
      <c r="M6329" s="31" t="s">
        <v>854</v>
      </c>
      <c r="N6329" s="6" t="s">
        <v>856</v>
      </c>
    </row>
    <row r="6330" spans="1:14" ht="15" customHeight="1" x14ac:dyDescent="0.2">
      <c r="A6330" s="31">
        <v>0.20721877637760289</v>
      </c>
      <c r="B6330" s="31"/>
      <c r="C6330" s="2" t="s">
        <v>855</v>
      </c>
      <c r="D6330" s="31">
        <f t="shared" si="192"/>
        <v>4.0614880170010165E-2</v>
      </c>
      <c r="F6330" s="2" t="s">
        <v>822</v>
      </c>
      <c r="G6330" s="23" t="s">
        <v>902</v>
      </c>
      <c r="H6330" s="2" t="s">
        <v>822</v>
      </c>
      <c r="J6330" s="31">
        <v>64.783996599999995</v>
      </c>
      <c r="K6330" s="31">
        <v>8.2080002000000007</v>
      </c>
      <c r="L6330" s="31"/>
      <c r="M6330" s="31" t="s">
        <v>854</v>
      </c>
      <c r="N6330" s="6" t="s">
        <v>856</v>
      </c>
    </row>
    <row r="6331" spans="1:14" ht="15" customHeight="1" x14ac:dyDescent="0.2">
      <c r="A6331" s="31">
        <v>0.2071174157319601</v>
      </c>
      <c r="B6331" s="31"/>
      <c r="C6331" s="2" t="s">
        <v>855</v>
      </c>
      <c r="D6331" s="31">
        <f t="shared" si="192"/>
        <v>4.0595013483464185E-2</v>
      </c>
      <c r="F6331" s="2" t="s">
        <v>822</v>
      </c>
      <c r="G6331" s="23" t="s">
        <v>902</v>
      </c>
      <c r="H6331" s="2" t="s">
        <v>822</v>
      </c>
      <c r="J6331" s="31">
        <v>67.456001299999997</v>
      </c>
      <c r="K6331" s="31">
        <v>10.2119999</v>
      </c>
      <c r="L6331" s="31"/>
      <c r="M6331" s="31" t="s">
        <v>854</v>
      </c>
      <c r="N6331" s="6" t="s">
        <v>856</v>
      </c>
    </row>
    <row r="6332" spans="1:14" ht="15" customHeight="1" x14ac:dyDescent="0.2">
      <c r="A6332" s="31">
        <v>0.20682883178762879</v>
      </c>
      <c r="B6332" s="31"/>
      <c r="C6332" s="2" t="s">
        <v>855</v>
      </c>
      <c r="D6332" s="31">
        <f t="shared" si="192"/>
        <v>4.0538451030375247E-2</v>
      </c>
      <c r="F6332" s="2" t="s">
        <v>822</v>
      </c>
      <c r="G6332" s="23" t="s">
        <v>902</v>
      </c>
      <c r="H6332" s="2" t="s">
        <v>822</v>
      </c>
      <c r="J6332" s="31">
        <v>58.771999399999999</v>
      </c>
      <c r="K6332" s="31">
        <v>-34.543998700000003</v>
      </c>
      <c r="L6332" s="31"/>
      <c r="M6332" s="31" t="s">
        <v>854</v>
      </c>
      <c r="N6332" s="6" t="s">
        <v>856</v>
      </c>
    </row>
    <row r="6333" spans="1:14" ht="15" customHeight="1" x14ac:dyDescent="0.2">
      <c r="A6333" s="31">
        <v>0.20650913737030921</v>
      </c>
      <c r="B6333" s="31"/>
      <c r="C6333" s="2" t="s">
        <v>855</v>
      </c>
      <c r="D6333" s="31">
        <f t="shared" si="192"/>
        <v>4.0475790924580604E-2</v>
      </c>
      <c r="F6333" s="2" t="s">
        <v>822</v>
      </c>
      <c r="G6333" s="23" t="s">
        <v>902</v>
      </c>
      <c r="H6333" s="2" t="s">
        <v>822</v>
      </c>
      <c r="J6333" s="31">
        <v>62.111999500000003</v>
      </c>
      <c r="K6333" s="31">
        <v>-24.5240002</v>
      </c>
      <c r="L6333" s="31"/>
      <c r="M6333" s="31" t="s">
        <v>854</v>
      </c>
      <c r="N6333" s="6" t="s">
        <v>856</v>
      </c>
    </row>
    <row r="6334" spans="1:14" ht="15" customHeight="1" x14ac:dyDescent="0.2">
      <c r="A6334" s="31">
        <v>0.20616933150610661</v>
      </c>
      <c r="B6334" s="31"/>
      <c r="C6334" s="2" t="s">
        <v>855</v>
      </c>
      <c r="D6334" s="31">
        <f t="shared" si="192"/>
        <v>4.0409188975196894E-2</v>
      </c>
      <c r="F6334" s="2" t="s">
        <v>822</v>
      </c>
      <c r="G6334" s="23" t="s">
        <v>902</v>
      </c>
      <c r="H6334" s="2" t="s">
        <v>822</v>
      </c>
      <c r="J6334" s="31">
        <v>52.759998299999999</v>
      </c>
      <c r="K6334" s="31">
        <v>-39.888000499999997</v>
      </c>
      <c r="L6334" s="31"/>
      <c r="M6334" s="31" t="s">
        <v>854</v>
      </c>
      <c r="N6334" s="6" t="s">
        <v>856</v>
      </c>
    </row>
    <row r="6335" spans="1:14" ht="15" customHeight="1" x14ac:dyDescent="0.2">
      <c r="A6335" s="31">
        <v>0.2057574798361072</v>
      </c>
      <c r="B6335" s="31"/>
      <c r="C6335" s="2" t="s">
        <v>855</v>
      </c>
      <c r="D6335" s="31">
        <f t="shared" si="192"/>
        <v>4.0328466047877015E-2</v>
      </c>
      <c r="F6335" s="2" t="s">
        <v>822</v>
      </c>
      <c r="G6335" s="23" t="s">
        <v>902</v>
      </c>
      <c r="H6335" s="2" t="s">
        <v>822</v>
      </c>
      <c r="J6335" s="31">
        <v>67.926696800000002</v>
      </c>
      <c r="K6335" s="31">
        <v>11.5663996</v>
      </c>
      <c r="L6335" s="31"/>
      <c r="M6335" s="31" t="s">
        <v>854</v>
      </c>
      <c r="N6335" s="6" t="s">
        <v>856</v>
      </c>
    </row>
    <row r="6336" spans="1:14" ht="15" customHeight="1" x14ac:dyDescent="0.2">
      <c r="A6336" s="31">
        <v>0.20547382994306501</v>
      </c>
      <c r="B6336" s="31"/>
      <c r="C6336" s="2" t="s">
        <v>855</v>
      </c>
      <c r="D6336" s="31">
        <f t="shared" ref="D6336:D6399" si="193" xml:space="preserve"> A6336 * 0.196</f>
        <v>4.0272870668840742E-2</v>
      </c>
      <c r="F6336" s="2" t="s">
        <v>822</v>
      </c>
      <c r="G6336" s="23" t="s">
        <v>902</v>
      </c>
      <c r="H6336" s="2" t="s">
        <v>822</v>
      </c>
      <c r="J6336" s="31">
        <v>64.783996599999995</v>
      </c>
      <c r="K6336" s="31">
        <v>-30.5359993</v>
      </c>
      <c r="L6336" s="31"/>
      <c r="M6336" s="31" t="s">
        <v>854</v>
      </c>
      <c r="N6336" s="6" t="s">
        <v>856</v>
      </c>
    </row>
    <row r="6337" spans="1:14" ht="15" customHeight="1" x14ac:dyDescent="0.2">
      <c r="A6337" s="31">
        <v>0.20532204510551361</v>
      </c>
      <c r="B6337" s="31"/>
      <c r="C6337" s="2" t="s">
        <v>855</v>
      </c>
      <c r="D6337" s="31">
        <f t="shared" si="193"/>
        <v>4.0243120840680671E-2</v>
      </c>
      <c r="F6337" s="2" t="s">
        <v>822</v>
      </c>
      <c r="G6337" s="23" t="s">
        <v>902</v>
      </c>
      <c r="H6337" s="2" t="s">
        <v>822</v>
      </c>
      <c r="J6337" s="31">
        <v>60.108001700000003</v>
      </c>
      <c r="K6337" s="31">
        <v>-30.5359993</v>
      </c>
      <c r="L6337" s="31"/>
      <c r="M6337" s="31" t="s">
        <v>854</v>
      </c>
      <c r="N6337" s="6" t="s">
        <v>856</v>
      </c>
    </row>
    <row r="6338" spans="1:14" ht="15" customHeight="1" x14ac:dyDescent="0.2">
      <c r="A6338" s="31">
        <v>0.20513646999024451</v>
      </c>
      <c r="B6338" s="31"/>
      <c r="C6338" s="2" t="s">
        <v>855</v>
      </c>
      <c r="D6338" s="31">
        <f t="shared" si="193"/>
        <v>4.0206748118087929E-2</v>
      </c>
      <c r="F6338" s="2" t="s">
        <v>822</v>
      </c>
      <c r="G6338" s="23" t="s">
        <v>902</v>
      </c>
      <c r="H6338" s="2" t="s">
        <v>822</v>
      </c>
      <c r="J6338" s="31">
        <v>63.448001900000001</v>
      </c>
      <c r="K6338" s="31">
        <v>-38.551998099999999</v>
      </c>
      <c r="L6338" s="31"/>
      <c r="M6338" s="31" t="s">
        <v>854</v>
      </c>
      <c r="N6338" s="6" t="s">
        <v>856</v>
      </c>
    </row>
    <row r="6339" spans="1:14" ht="15" customHeight="1" x14ac:dyDescent="0.2">
      <c r="A6339" s="31">
        <v>0.2050901878900066</v>
      </c>
      <c r="B6339" s="31"/>
      <c r="C6339" s="2" t="s">
        <v>855</v>
      </c>
      <c r="D6339" s="31">
        <f t="shared" si="193"/>
        <v>4.0197676826441299E-2</v>
      </c>
      <c r="F6339" s="2" t="s">
        <v>822</v>
      </c>
      <c r="G6339" s="23" t="s">
        <v>902</v>
      </c>
      <c r="H6339" s="2" t="s">
        <v>822</v>
      </c>
      <c r="J6339" s="31">
        <v>59.439998600000003</v>
      </c>
      <c r="K6339" s="31">
        <v>-19.847999600000001</v>
      </c>
      <c r="L6339" s="31"/>
      <c r="M6339" s="31" t="s">
        <v>854</v>
      </c>
      <c r="N6339" s="6" t="s">
        <v>856</v>
      </c>
    </row>
    <row r="6340" spans="1:14" ht="15" customHeight="1" x14ac:dyDescent="0.2">
      <c r="A6340" s="31">
        <v>0.20495201293846479</v>
      </c>
      <c r="B6340" s="31"/>
      <c r="C6340" s="2" t="s">
        <v>855</v>
      </c>
      <c r="D6340" s="31">
        <f t="shared" si="193"/>
        <v>4.0170594535939103E-2</v>
      </c>
      <c r="F6340" s="2" t="s">
        <v>822</v>
      </c>
      <c r="G6340" s="23" t="s">
        <v>902</v>
      </c>
      <c r="H6340" s="2" t="s">
        <v>822</v>
      </c>
      <c r="J6340" s="31">
        <v>60.108001700000003</v>
      </c>
      <c r="K6340" s="31">
        <v>-25.860000599999999</v>
      </c>
      <c r="L6340" s="31"/>
      <c r="M6340" s="31" t="s">
        <v>854</v>
      </c>
      <c r="N6340" s="6" t="s">
        <v>856</v>
      </c>
    </row>
    <row r="6341" spans="1:14" ht="15" customHeight="1" x14ac:dyDescent="0.2">
      <c r="A6341" s="31">
        <v>0.204840461452657</v>
      </c>
      <c r="B6341" s="31"/>
      <c r="C6341" s="2" t="s">
        <v>855</v>
      </c>
      <c r="D6341" s="31">
        <f t="shared" si="193"/>
        <v>4.0148730444720775E-2</v>
      </c>
      <c r="F6341" s="2" t="s">
        <v>822</v>
      </c>
      <c r="G6341" s="23" t="s">
        <v>902</v>
      </c>
      <c r="H6341" s="2" t="s">
        <v>822</v>
      </c>
      <c r="J6341" s="31">
        <v>65.452003500000004</v>
      </c>
      <c r="K6341" s="31">
        <v>4.8680000000000003</v>
      </c>
      <c r="L6341" s="31"/>
      <c r="M6341" s="31" t="s">
        <v>854</v>
      </c>
      <c r="N6341" s="6" t="s">
        <v>856</v>
      </c>
    </row>
    <row r="6342" spans="1:14" ht="15" customHeight="1" x14ac:dyDescent="0.2">
      <c r="A6342" s="31">
        <v>0.20482924530731561</v>
      </c>
      <c r="B6342" s="31"/>
      <c r="C6342" s="2" t="s">
        <v>855</v>
      </c>
      <c r="D6342" s="31">
        <f t="shared" si="193"/>
        <v>4.014653208023386E-2</v>
      </c>
      <c r="F6342" s="2" t="s">
        <v>822</v>
      </c>
      <c r="G6342" s="23" t="s">
        <v>902</v>
      </c>
      <c r="H6342" s="2" t="s">
        <v>822</v>
      </c>
      <c r="J6342" s="31">
        <v>64.783996599999995</v>
      </c>
      <c r="K6342" s="31">
        <v>9.5439997000000005</v>
      </c>
      <c r="L6342" s="31"/>
      <c r="M6342" s="31" t="s">
        <v>854</v>
      </c>
      <c r="N6342" s="6" t="s">
        <v>856</v>
      </c>
    </row>
    <row r="6343" spans="1:14" ht="15" customHeight="1" x14ac:dyDescent="0.2">
      <c r="A6343" s="31">
        <v>0.2048205145470261</v>
      </c>
      <c r="B6343" s="31"/>
      <c r="C6343" s="2" t="s">
        <v>855</v>
      </c>
      <c r="D6343" s="31">
        <f t="shared" si="193"/>
        <v>4.0144820851217115E-2</v>
      </c>
      <c r="F6343" s="2" t="s">
        <v>822</v>
      </c>
      <c r="G6343" s="23" t="s">
        <v>902</v>
      </c>
      <c r="H6343" s="2" t="s">
        <v>822</v>
      </c>
      <c r="J6343" s="31">
        <v>62.331199599999998</v>
      </c>
      <c r="K6343" s="31">
        <v>6.0315298999999998</v>
      </c>
      <c r="L6343" s="31"/>
      <c r="M6343" s="31" t="s">
        <v>854</v>
      </c>
      <c r="N6343" s="6" t="s">
        <v>856</v>
      </c>
    </row>
    <row r="6344" spans="1:14" ht="15" customHeight="1" x14ac:dyDescent="0.2">
      <c r="A6344" s="31">
        <v>0.20477952632961111</v>
      </c>
      <c r="B6344" s="31"/>
      <c r="C6344" s="2" t="s">
        <v>855</v>
      </c>
      <c r="D6344" s="31">
        <f t="shared" si="193"/>
        <v>4.013678716060378E-2</v>
      </c>
      <c r="F6344" s="2" t="s">
        <v>822</v>
      </c>
      <c r="G6344" s="23" t="s">
        <v>902</v>
      </c>
      <c r="H6344" s="2" t="s">
        <v>822</v>
      </c>
      <c r="J6344" s="31">
        <v>55.432098400000001</v>
      </c>
      <c r="K6344" s="31">
        <v>-37.884899099999998</v>
      </c>
      <c r="L6344" s="31"/>
      <c r="M6344" s="31" t="s">
        <v>854</v>
      </c>
      <c r="N6344" s="6" t="s">
        <v>856</v>
      </c>
    </row>
    <row r="6345" spans="1:14" ht="15" customHeight="1" x14ac:dyDescent="0.2">
      <c r="A6345" s="31">
        <v>0.2047262363966478</v>
      </c>
      <c r="B6345" s="31"/>
      <c r="C6345" s="2" t="s">
        <v>855</v>
      </c>
      <c r="D6345" s="31">
        <f t="shared" si="193"/>
        <v>4.0126342333742973E-2</v>
      </c>
      <c r="F6345" s="2" t="s">
        <v>822</v>
      </c>
      <c r="G6345" s="23" t="s">
        <v>902</v>
      </c>
      <c r="H6345" s="2" t="s">
        <v>822</v>
      </c>
      <c r="J6345" s="31">
        <v>52.804000899999998</v>
      </c>
      <c r="K6345" s="31">
        <v>-15.439499899999999</v>
      </c>
      <c r="L6345" s="31"/>
      <c r="M6345" s="31" t="s">
        <v>854</v>
      </c>
      <c r="N6345" s="6" t="s">
        <v>856</v>
      </c>
    </row>
    <row r="6346" spans="1:14" ht="15" customHeight="1" x14ac:dyDescent="0.2">
      <c r="A6346" s="31">
        <v>0.20453678725266081</v>
      </c>
      <c r="B6346" s="31"/>
      <c r="C6346" s="2" t="s">
        <v>855</v>
      </c>
      <c r="D6346" s="31">
        <f t="shared" si="193"/>
        <v>4.0089210301521516E-2</v>
      </c>
      <c r="F6346" s="2" t="s">
        <v>822</v>
      </c>
      <c r="G6346" s="23" t="s">
        <v>902</v>
      </c>
      <c r="H6346" s="2" t="s">
        <v>822</v>
      </c>
      <c r="J6346" s="31">
        <v>62.999698600000002</v>
      </c>
      <c r="K6346" s="31">
        <v>5.0129199</v>
      </c>
      <c r="L6346" s="31"/>
      <c r="M6346" s="31" t="s">
        <v>854</v>
      </c>
      <c r="N6346" s="6" t="s">
        <v>856</v>
      </c>
    </row>
    <row r="6347" spans="1:14" ht="15" customHeight="1" x14ac:dyDescent="0.2">
      <c r="A6347" s="31">
        <v>0.204322278392566</v>
      </c>
      <c r="B6347" s="31"/>
      <c r="C6347" s="2" t="s">
        <v>855</v>
      </c>
      <c r="D6347" s="31">
        <f t="shared" si="193"/>
        <v>4.0047166564942935E-2</v>
      </c>
      <c r="F6347" s="2" t="s">
        <v>822</v>
      </c>
      <c r="G6347" s="23" t="s">
        <v>902</v>
      </c>
      <c r="H6347" s="2" t="s">
        <v>822</v>
      </c>
      <c r="J6347" s="31">
        <v>51.194000199999998</v>
      </c>
      <c r="K6347" s="31">
        <v>-34.033000899999998</v>
      </c>
      <c r="L6347" s="31"/>
      <c r="M6347" s="31" t="s">
        <v>854</v>
      </c>
      <c r="N6347" s="6" t="s">
        <v>856</v>
      </c>
    </row>
    <row r="6348" spans="1:14" ht="15" customHeight="1" x14ac:dyDescent="0.2">
      <c r="A6348" s="31">
        <v>0.20430765146962501</v>
      </c>
      <c r="B6348" s="31"/>
      <c r="C6348" s="2" t="s">
        <v>855</v>
      </c>
      <c r="D6348" s="31">
        <f t="shared" si="193"/>
        <v>4.0044299688046507E-2</v>
      </c>
      <c r="F6348" s="2" t="s">
        <v>822</v>
      </c>
      <c r="G6348" s="23" t="s">
        <v>902</v>
      </c>
      <c r="H6348" s="2" t="s">
        <v>822</v>
      </c>
      <c r="J6348" s="31">
        <v>54.341301000000001</v>
      </c>
      <c r="K6348" s="31">
        <v>-12.683400199999999</v>
      </c>
      <c r="L6348" s="31"/>
      <c r="M6348" s="31" t="s">
        <v>854</v>
      </c>
      <c r="N6348" s="6" t="s">
        <v>856</v>
      </c>
    </row>
    <row r="6349" spans="1:14" ht="15" customHeight="1" x14ac:dyDescent="0.2">
      <c r="A6349" s="31">
        <v>0.20417960930621309</v>
      </c>
      <c r="B6349" s="31"/>
      <c r="C6349" s="2" t="s">
        <v>855</v>
      </c>
      <c r="D6349" s="31">
        <f t="shared" si="193"/>
        <v>4.0019203424017769E-2</v>
      </c>
      <c r="F6349" s="2" t="s">
        <v>822</v>
      </c>
      <c r="G6349" s="23" t="s">
        <v>902</v>
      </c>
      <c r="H6349" s="2" t="s">
        <v>822</v>
      </c>
      <c r="J6349" s="31">
        <v>62.111999500000003</v>
      </c>
      <c r="K6349" s="31">
        <v>-28.531999599999999</v>
      </c>
      <c r="L6349" s="31"/>
      <c r="M6349" s="31" t="s">
        <v>854</v>
      </c>
      <c r="N6349" s="6" t="s">
        <v>856</v>
      </c>
    </row>
    <row r="6350" spans="1:14" ht="15" customHeight="1" x14ac:dyDescent="0.2">
      <c r="A6350" s="31">
        <v>0.20416976705263801</v>
      </c>
      <c r="B6350" s="31"/>
      <c r="C6350" s="2" t="s">
        <v>855</v>
      </c>
      <c r="D6350" s="31">
        <f t="shared" si="193"/>
        <v>4.0017274342317048E-2</v>
      </c>
      <c r="F6350" s="2" t="s">
        <v>822</v>
      </c>
      <c r="G6350" s="23" t="s">
        <v>902</v>
      </c>
      <c r="H6350" s="2" t="s">
        <v>822</v>
      </c>
      <c r="J6350" s="31">
        <v>61.739601100000002</v>
      </c>
      <c r="K6350" s="31">
        <v>1.82494</v>
      </c>
      <c r="L6350" s="31"/>
      <c r="M6350" s="31" t="s">
        <v>854</v>
      </c>
      <c r="N6350" s="6" t="s">
        <v>856</v>
      </c>
    </row>
    <row r="6351" spans="1:14" ht="15" customHeight="1" x14ac:dyDescent="0.2">
      <c r="A6351" s="31">
        <v>0.2040094247204437</v>
      </c>
      <c r="B6351" s="31"/>
      <c r="C6351" s="2" t="s">
        <v>855</v>
      </c>
      <c r="D6351" s="31">
        <f t="shared" si="193"/>
        <v>3.9985847245206964E-2</v>
      </c>
      <c r="F6351" s="2" t="s">
        <v>822</v>
      </c>
      <c r="G6351" s="23" t="s">
        <v>902</v>
      </c>
      <c r="H6351" s="2" t="s">
        <v>822</v>
      </c>
      <c r="J6351" s="31">
        <v>64.140502900000001</v>
      </c>
      <c r="K6351" s="31">
        <v>9.5248699000000006</v>
      </c>
      <c r="L6351" s="31"/>
      <c r="M6351" s="31" t="s">
        <v>854</v>
      </c>
      <c r="N6351" s="6" t="s">
        <v>856</v>
      </c>
    </row>
    <row r="6352" spans="1:14" ht="15" customHeight="1" x14ac:dyDescent="0.2">
      <c r="A6352" s="31">
        <v>0.20392460695712361</v>
      </c>
      <c r="B6352" s="31"/>
      <c r="C6352" s="2" t="s">
        <v>855</v>
      </c>
      <c r="D6352" s="31">
        <f t="shared" si="193"/>
        <v>3.9969222963596229E-2</v>
      </c>
      <c r="F6352" s="2" t="s">
        <v>822</v>
      </c>
      <c r="G6352" s="23" t="s">
        <v>902</v>
      </c>
      <c r="H6352" s="2" t="s">
        <v>822</v>
      </c>
      <c r="J6352" s="31">
        <v>65.458801300000005</v>
      </c>
      <c r="K6352" s="31">
        <v>7.53444</v>
      </c>
      <c r="L6352" s="31"/>
      <c r="M6352" s="31" t="s">
        <v>854</v>
      </c>
      <c r="N6352" s="6" t="s">
        <v>856</v>
      </c>
    </row>
    <row r="6353" spans="1:14" ht="15" customHeight="1" x14ac:dyDescent="0.2">
      <c r="A6353" s="31">
        <v>0.20389099725605059</v>
      </c>
      <c r="B6353" s="31"/>
      <c r="C6353" s="2" t="s">
        <v>855</v>
      </c>
      <c r="D6353" s="31">
        <f t="shared" si="193"/>
        <v>3.9962635462185918E-2</v>
      </c>
      <c r="F6353" s="2" t="s">
        <v>822</v>
      </c>
      <c r="G6353" s="23" t="s">
        <v>902</v>
      </c>
      <c r="H6353" s="2" t="s">
        <v>822</v>
      </c>
      <c r="J6353" s="31">
        <v>58.771999399999999</v>
      </c>
      <c r="K6353" s="31">
        <v>-7.3761600999999999</v>
      </c>
      <c r="L6353" s="31"/>
      <c r="M6353" s="31" t="s">
        <v>854</v>
      </c>
      <c r="N6353" s="6" t="s">
        <v>856</v>
      </c>
    </row>
    <row r="6354" spans="1:14" ht="15" customHeight="1" x14ac:dyDescent="0.2">
      <c r="A6354" s="31">
        <v>0.20380191071728451</v>
      </c>
      <c r="B6354" s="31"/>
      <c r="C6354" s="2" t="s">
        <v>855</v>
      </c>
      <c r="D6354" s="31">
        <f t="shared" si="193"/>
        <v>3.9945174500587766E-2</v>
      </c>
      <c r="F6354" s="2" t="s">
        <v>822</v>
      </c>
      <c r="G6354" s="23" t="s">
        <v>902</v>
      </c>
      <c r="H6354" s="2" t="s">
        <v>822</v>
      </c>
      <c r="J6354" s="31">
        <v>70.795997600000007</v>
      </c>
      <c r="K6354" s="31">
        <v>15.5559998</v>
      </c>
      <c r="L6354" s="31"/>
      <c r="M6354" s="31" t="s">
        <v>854</v>
      </c>
      <c r="N6354" s="6" t="s">
        <v>856</v>
      </c>
    </row>
    <row r="6355" spans="1:14" ht="15" customHeight="1" x14ac:dyDescent="0.2">
      <c r="A6355" s="31">
        <v>0.2037948958335821</v>
      </c>
      <c r="B6355" s="31"/>
      <c r="C6355" s="2" t="s">
        <v>855</v>
      </c>
      <c r="D6355" s="31">
        <f t="shared" si="193"/>
        <v>3.9943799583382095E-2</v>
      </c>
      <c r="F6355" s="2" t="s">
        <v>822</v>
      </c>
      <c r="G6355" s="23" t="s">
        <v>902</v>
      </c>
      <c r="H6355" s="2" t="s">
        <v>822</v>
      </c>
      <c r="J6355" s="31">
        <v>62.597000100000002</v>
      </c>
      <c r="K6355" s="31">
        <v>5.2514500999999996</v>
      </c>
      <c r="L6355" s="31"/>
      <c r="M6355" s="31" t="s">
        <v>854</v>
      </c>
      <c r="N6355" s="6" t="s">
        <v>856</v>
      </c>
    </row>
    <row r="6356" spans="1:14" ht="15" customHeight="1" x14ac:dyDescent="0.2">
      <c r="A6356" s="31">
        <v>0.2037892701656967</v>
      </c>
      <c r="B6356" s="31"/>
      <c r="C6356" s="2" t="s">
        <v>855</v>
      </c>
      <c r="D6356" s="31">
        <f t="shared" si="193"/>
        <v>3.9942696952476556E-2</v>
      </c>
      <c r="F6356" s="2" t="s">
        <v>822</v>
      </c>
      <c r="G6356" s="23" t="s">
        <v>902</v>
      </c>
      <c r="H6356" s="2" t="s">
        <v>822</v>
      </c>
      <c r="J6356" s="31">
        <v>61.440399200000002</v>
      </c>
      <c r="K6356" s="31">
        <v>-6.5984502000000003</v>
      </c>
      <c r="L6356" s="31"/>
      <c r="M6356" s="31" t="s">
        <v>854</v>
      </c>
      <c r="N6356" s="6" t="s">
        <v>856</v>
      </c>
    </row>
    <row r="6357" spans="1:14" ht="15" customHeight="1" x14ac:dyDescent="0.2">
      <c r="A6357" s="31">
        <v>0.20377766105592901</v>
      </c>
      <c r="B6357" s="31"/>
      <c r="C6357" s="2" t="s">
        <v>855</v>
      </c>
      <c r="D6357" s="31">
        <f t="shared" si="193"/>
        <v>3.9940421566962085E-2</v>
      </c>
      <c r="F6357" s="2" t="s">
        <v>822</v>
      </c>
      <c r="G6357" s="23" t="s">
        <v>902</v>
      </c>
      <c r="H6357" s="2" t="s">
        <v>822</v>
      </c>
      <c r="J6357" s="31">
        <v>52.768501299999997</v>
      </c>
      <c r="K6357" s="31">
        <v>-33.2118988</v>
      </c>
      <c r="L6357" s="31"/>
      <c r="M6357" s="31" t="s">
        <v>854</v>
      </c>
      <c r="N6357" s="6" t="s">
        <v>856</v>
      </c>
    </row>
    <row r="6358" spans="1:14" ht="15" customHeight="1" x14ac:dyDescent="0.2">
      <c r="A6358" s="31">
        <v>0.20369938832984491</v>
      </c>
      <c r="B6358" s="31"/>
      <c r="C6358" s="2" t="s">
        <v>855</v>
      </c>
      <c r="D6358" s="31">
        <f t="shared" si="193"/>
        <v>3.9925080112649607E-2</v>
      </c>
      <c r="F6358" s="2" t="s">
        <v>822</v>
      </c>
      <c r="G6358" s="23" t="s">
        <v>902</v>
      </c>
      <c r="H6358" s="2" t="s">
        <v>822</v>
      </c>
      <c r="J6358" s="31">
        <v>54.096000699999998</v>
      </c>
      <c r="K6358" s="31">
        <v>-36.548000299999998</v>
      </c>
      <c r="L6358" s="31"/>
      <c r="M6358" s="31" t="s">
        <v>854</v>
      </c>
      <c r="N6358" s="6" t="s">
        <v>856</v>
      </c>
    </row>
    <row r="6359" spans="1:14" ht="15" customHeight="1" x14ac:dyDescent="0.2">
      <c r="A6359" s="31">
        <v>0.20312103356831371</v>
      </c>
      <c r="B6359" s="31"/>
      <c r="C6359" s="2" t="s">
        <v>855</v>
      </c>
      <c r="D6359" s="31">
        <f t="shared" si="193"/>
        <v>3.9811722579389489E-2</v>
      </c>
      <c r="F6359" s="2" t="s">
        <v>822</v>
      </c>
      <c r="G6359" s="23" t="s">
        <v>902</v>
      </c>
      <c r="H6359" s="2" t="s">
        <v>822</v>
      </c>
      <c r="J6359" s="31">
        <v>52.091999100000002</v>
      </c>
      <c r="K6359" s="31">
        <v>-39.888000499999997</v>
      </c>
      <c r="L6359" s="31"/>
      <c r="M6359" s="31" t="s">
        <v>854</v>
      </c>
      <c r="N6359" s="6" t="s">
        <v>856</v>
      </c>
    </row>
    <row r="6360" spans="1:14" ht="15" customHeight="1" x14ac:dyDescent="0.2">
      <c r="A6360" s="31">
        <v>0.2030388837471073</v>
      </c>
      <c r="B6360" s="31"/>
      <c r="C6360" s="2" t="s">
        <v>855</v>
      </c>
      <c r="D6360" s="31">
        <f t="shared" si="193"/>
        <v>3.979562121443303E-2</v>
      </c>
      <c r="F6360" s="2" t="s">
        <v>822</v>
      </c>
      <c r="G6360" s="23" t="s">
        <v>902</v>
      </c>
      <c r="H6360" s="2" t="s">
        <v>822</v>
      </c>
      <c r="J6360" s="31">
        <v>58.771999399999999</v>
      </c>
      <c r="K6360" s="31">
        <v>-9.1599997999999996</v>
      </c>
      <c r="L6360" s="31"/>
      <c r="M6360" s="31" t="s">
        <v>854</v>
      </c>
      <c r="N6360" s="6" t="s">
        <v>856</v>
      </c>
    </row>
    <row r="6361" spans="1:14" ht="15" customHeight="1" x14ac:dyDescent="0.2">
      <c r="A6361" s="31">
        <v>0.20292593131250719</v>
      </c>
      <c r="B6361" s="31"/>
      <c r="C6361" s="2" t="s">
        <v>855</v>
      </c>
      <c r="D6361" s="31">
        <f t="shared" si="193"/>
        <v>3.9773482537251409E-2</v>
      </c>
      <c r="F6361" s="2" t="s">
        <v>822</v>
      </c>
      <c r="G6361" s="23" t="s">
        <v>902</v>
      </c>
      <c r="H6361" s="2" t="s">
        <v>822</v>
      </c>
      <c r="J6361" s="31">
        <v>56.099998499999998</v>
      </c>
      <c r="K6361" s="31">
        <v>-30.5359993</v>
      </c>
      <c r="L6361" s="31"/>
      <c r="M6361" s="31" t="s">
        <v>854</v>
      </c>
      <c r="N6361" s="6" t="s">
        <v>856</v>
      </c>
    </row>
    <row r="6362" spans="1:14" ht="15" customHeight="1" x14ac:dyDescent="0.2">
      <c r="A6362" s="31">
        <v>0.20259462177949741</v>
      </c>
      <c r="B6362" s="31"/>
      <c r="C6362" s="2" t="s">
        <v>855</v>
      </c>
      <c r="D6362" s="31">
        <f t="shared" si="193"/>
        <v>3.9708545868781496E-2</v>
      </c>
      <c r="F6362" s="2" t="s">
        <v>822</v>
      </c>
      <c r="G6362" s="23" t="s">
        <v>902</v>
      </c>
      <c r="H6362" s="2" t="s">
        <v>822</v>
      </c>
      <c r="J6362" s="31">
        <v>57.436000800000002</v>
      </c>
      <c r="K6362" s="31">
        <v>-26.527999900000001</v>
      </c>
      <c r="L6362" s="31"/>
      <c r="M6362" s="31" t="s">
        <v>854</v>
      </c>
      <c r="N6362" s="6" t="s">
        <v>856</v>
      </c>
    </row>
    <row r="6363" spans="1:14" ht="15" customHeight="1" x14ac:dyDescent="0.2">
      <c r="A6363" s="31">
        <v>0.20256062342906639</v>
      </c>
      <c r="B6363" s="31"/>
      <c r="C6363" s="2" t="s">
        <v>855</v>
      </c>
      <c r="D6363" s="31">
        <f t="shared" si="193"/>
        <v>3.9701882192097013E-2</v>
      </c>
      <c r="F6363" s="2" t="s">
        <v>822</v>
      </c>
      <c r="G6363" s="23" t="s">
        <v>902</v>
      </c>
      <c r="H6363" s="2" t="s">
        <v>822</v>
      </c>
      <c r="J6363" s="31">
        <v>52.759998299999999</v>
      </c>
      <c r="K6363" s="31">
        <v>-32.540000900000003</v>
      </c>
      <c r="L6363" s="31"/>
      <c r="M6363" s="31" t="s">
        <v>854</v>
      </c>
      <c r="N6363" s="6" t="s">
        <v>856</v>
      </c>
    </row>
    <row r="6364" spans="1:14" ht="15" customHeight="1" x14ac:dyDescent="0.2">
      <c r="A6364" s="31">
        <v>0.20253092785030749</v>
      </c>
      <c r="B6364" s="31"/>
      <c r="C6364" s="2" t="s">
        <v>855</v>
      </c>
      <c r="D6364" s="31">
        <f t="shared" si="193"/>
        <v>3.9696061858660273E-2</v>
      </c>
      <c r="F6364" s="2" t="s">
        <v>822</v>
      </c>
      <c r="G6364" s="23" t="s">
        <v>902</v>
      </c>
      <c r="H6364" s="2" t="s">
        <v>822</v>
      </c>
      <c r="J6364" s="31">
        <v>54.096000699999998</v>
      </c>
      <c r="K6364" s="31">
        <v>-39.220001199999999</v>
      </c>
      <c r="L6364" s="31"/>
      <c r="M6364" s="31" t="s">
        <v>854</v>
      </c>
      <c r="N6364" s="6" t="s">
        <v>856</v>
      </c>
    </row>
    <row r="6365" spans="1:14" ht="15" customHeight="1" x14ac:dyDescent="0.2">
      <c r="A6365" s="31">
        <v>0.20239107648918139</v>
      </c>
      <c r="B6365" s="31"/>
      <c r="C6365" s="2" t="s">
        <v>855</v>
      </c>
      <c r="D6365" s="31">
        <f t="shared" si="193"/>
        <v>3.9668650991879557E-2</v>
      </c>
      <c r="F6365" s="2" t="s">
        <v>822</v>
      </c>
      <c r="G6365" s="23" t="s">
        <v>902</v>
      </c>
      <c r="H6365" s="2" t="s">
        <v>822</v>
      </c>
      <c r="J6365" s="31">
        <v>52.091999100000002</v>
      </c>
      <c r="K6365" s="31">
        <v>-37.215999600000004</v>
      </c>
      <c r="L6365" s="31"/>
      <c r="M6365" s="31" t="s">
        <v>854</v>
      </c>
      <c r="N6365" s="6" t="s">
        <v>856</v>
      </c>
    </row>
    <row r="6366" spans="1:14" ht="15" customHeight="1" x14ac:dyDescent="0.2">
      <c r="A6366" s="31">
        <v>0.20234741460405309</v>
      </c>
      <c r="B6366" s="31"/>
      <c r="C6366" s="2" t="s">
        <v>855</v>
      </c>
      <c r="D6366" s="31">
        <f t="shared" si="193"/>
        <v>3.9660093262394405E-2</v>
      </c>
      <c r="F6366" s="2" t="s">
        <v>822</v>
      </c>
      <c r="G6366" s="23" t="s">
        <v>902</v>
      </c>
      <c r="H6366" s="2" t="s">
        <v>822</v>
      </c>
      <c r="J6366" s="31">
        <v>60.776001000000001</v>
      </c>
      <c r="K6366" s="31">
        <v>-5.8200002</v>
      </c>
      <c r="L6366" s="31"/>
      <c r="M6366" s="31" t="s">
        <v>854</v>
      </c>
      <c r="N6366" s="6" t="s">
        <v>856</v>
      </c>
    </row>
    <row r="6367" spans="1:14" ht="15" customHeight="1" x14ac:dyDescent="0.2">
      <c r="A6367" s="31">
        <v>0.20210474559788419</v>
      </c>
      <c r="B6367" s="31"/>
      <c r="C6367" s="2" t="s">
        <v>855</v>
      </c>
      <c r="D6367" s="31">
        <f t="shared" si="193"/>
        <v>3.9612530137185305E-2</v>
      </c>
      <c r="F6367" s="2" t="s">
        <v>822</v>
      </c>
      <c r="G6367" s="23" t="s">
        <v>902</v>
      </c>
      <c r="H6367" s="2" t="s">
        <v>822</v>
      </c>
      <c r="J6367" s="31">
        <v>58.771999399999999</v>
      </c>
      <c r="K6367" s="31">
        <v>-11.8319998</v>
      </c>
      <c r="L6367" s="31"/>
      <c r="M6367" s="31" t="s">
        <v>854</v>
      </c>
      <c r="N6367" s="6" t="s">
        <v>856</v>
      </c>
    </row>
    <row r="6368" spans="1:14" ht="15" customHeight="1" x14ac:dyDescent="0.2">
      <c r="A6368" s="31">
        <v>0.20196790307293541</v>
      </c>
      <c r="B6368" s="31"/>
      <c r="C6368" s="2" t="s">
        <v>855</v>
      </c>
      <c r="D6368" s="31">
        <f t="shared" si="193"/>
        <v>3.9585709002295341E-2</v>
      </c>
      <c r="F6368" s="2" t="s">
        <v>822</v>
      </c>
      <c r="G6368" s="23" t="s">
        <v>902</v>
      </c>
      <c r="H6368" s="2" t="s">
        <v>822</v>
      </c>
      <c r="J6368" s="31">
        <v>63.875301399999998</v>
      </c>
      <c r="K6368" s="31">
        <v>-25.295299499999999</v>
      </c>
      <c r="L6368" s="31"/>
      <c r="M6368" s="31" t="s">
        <v>854</v>
      </c>
      <c r="N6368" s="6" t="s">
        <v>856</v>
      </c>
    </row>
    <row r="6369" spans="1:14" ht="15" customHeight="1" x14ac:dyDescent="0.2">
      <c r="A6369" s="31">
        <v>0.20184143941576241</v>
      </c>
      <c r="B6369" s="31"/>
      <c r="C6369" s="2" t="s">
        <v>855</v>
      </c>
      <c r="D6369" s="31">
        <f t="shared" si="193"/>
        <v>3.9560922125489437E-2</v>
      </c>
      <c r="F6369" s="2" t="s">
        <v>822</v>
      </c>
      <c r="G6369" s="23" t="s">
        <v>902</v>
      </c>
      <c r="H6369" s="2" t="s">
        <v>822</v>
      </c>
      <c r="J6369" s="31">
        <v>63.996299700000002</v>
      </c>
      <c r="K6369" s="31">
        <v>-25.896200199999999</v>
      </c>
      <c r="L6369" s="31"/>
      <c r="M6369" s="31" t="s">
        <v>854</v>
      </c>
      <c r="N6369" s="6" t="s">
        <v>856</v>
      </c>
    </row>
    <row r="6370" spans="1:14" ht="15" customHeight="1" x14ac:dyDescent="0.2">
      <c r="A6370" s="31">
        <v>0.20173716648097731</v>
      </c>
      <c r="B6370" s="31"/>
      <c r="C6370" s="2" t="s">
        <v>855</v>
      </c>
      <c r="D6370" s="31">
        <f t="shared" si="193"/>
        <v>3.9540484630271551E-2</v>
      </c>
      <c r="F6370" s="2" t="s">
        <v>822</v>
      </c>
      <c r="G6370" s="23" t="s">
        <v>902</v>
      </c>
      <c r="H6370" s="2" t="s">
        <v>822</v>
      </c>
      <c r="J6370" s="31">
        <v>52.759998299999999</v>
      </c>
      <c r="K6370" s="31">
        <v>-23.856000900000002</v>
      </c>
      <c r="L6370" s="31"/>
      <c r="M6370" s="31" t="s">
        <v>854</v>
      </c>
      <c r="N6370" s="6" t="s">
        <v>856</v>
      </c>
    </row>
    <row r="6371" spans="1:14" ht="15" customHeight="1" x14ac:dyDescent="0.2">
      <c r="A6371" s="31">
        <v>0.20170386013177369</v>
      </c>
      <c r="B6371" s="31"/>
      <c r="C6371" s="2" t="s">
        <v>855</v>
      </c>
      <c r="D6371" s="31">
        <f t="shared" si="193"/>
        <v>3.9533956585827645E-2</v>
      </c>
      <c r="F6371" s="2" t="s">
        <v>822</v>
      </c>
      <c r="G6371" s="23" t="s">
        <v>902</v>
      </c>
      <c r="H6371" s="2" t="s">
        <v>822</v>
      </c>
      <c r="J6371" s="31">
        <v>62.779998800000001</v>
      </c>
      <c r="K6371" s="31">
        <v>2.1960001</v>
      </c>
      <c r="L6371" s="31"/>
      <c r="M6371" s="31" t="s">
        <v>854</v>
      </c>
      <c r="N6371" s="6" t="s">
        <v>856</v>
      </c>
    </row>
    <row r="6372" spans="1:14" ht="15" customHeight="1" x14ac:dyDescent="0.2">
      <c r="A6372" s="31">
        <v>0.20169654099063869</v>
      </c>
      <c r="B6372" s="31"/>
      <c r="C6372" s="2" t="s">
        <v>855</v>
      </c>
      <c r="D6372" s="31">
        <f t="shared" si="193"/>
        <v>3.9532522034165185E-2</v>
      </c>
      <c r="F6372" s="2" t="s">
        <v>822</v>
      </c>
      <c r="G6372" s="23" t="s">
        <v>902</v>
      </c>
      <c r="H6372" s="2" t="s">
        <v>822</v>
      </c>
      <c r="J6372" s="31">
        <v>58.1040001</v>
      </c>
      <c r="K6372" s="31">
        <v>-9.8280001000000006</v>
      </c>
      <c r="L6372" s="31"/>
      <c r="M6372" s="31" t="s">
        <v>854</v>
      </c>
      <c r="N6372" s="6" t="s">
        <v>856</v>
      </c>
    </row>
    <row r="6373" spans="1:14" ht="15" customHeight="1" x14ac:dyDescent="0.2">
      <c r="A6373" s="31">
        <v>0.20143558688338059</v>
      </c>
      <c r="B6373" s="31"/>
      <c r="C6373" s="2" t="s">
        <v>855</v>
      </c>
      <c r="D6373" s="31">
        <f t="shared" si="193"/>
        <v>3.9481375029142597E-2</v>
      </c>
      <c r="F6373" s="2" t="s">
        <v>822</v>
      </c>
      <c r="G6373" s="23" t="s">
        <v>902</v>
      </c>
      <c r="H6373" s="2" t="s">
        <v>822</v>
      </c>
      <c r="J6373" s="31">
        <v>55.4319992</v>
      </c>
      <c r="K6373" s="31">
        <v>-32.540000900000003</v>
      </c>
      <c r="L6373" s="31"/>
      <c r="M6373" s="31" t="s">
        <v>854</v>
      </c>
      <c r="N6373" s="6" t="s">
        <v>856</v>
      </c>
    </row>
    <row r="6374" spans="1:14" ht="15" customHeight="1" x14ac:dyDescent="0.2">
      <c r="A6374" s="31">
        <v>0.20121614086439571</v>
      </c>
      <c r="B6374" s="31"/>
      <c r="C6374" s="2" t="s">
        <v>855</v>
      </c>
      <c r="D6374" s="31">
        <f t="shared" si="193"/>
        <v>3.9438363609421559E-2</v>
      </c>
      <c r="F6374" s="2" t="s">
        <v>822</v>
      </c>
      <c r="G6374" s="23" t="s">
        <v>902</v>
      </c>
      <c r="H6374" s="2" t="s">
        <v>822</v>
      </c>
      <c r="J6374" s="31">
        <v>64.783996599999995</v>
      </c>
      <c r="K6374" s="31">
        <v>-28.531999599999999</v>
      </c>
      <c r="L6374" s="31"/>
      <c r="M6374" s="31" t="s">
        <v>854</v>
      </c>
      <c r="N6374" s="6" t="s">
        <v>856</v>
      </c>
    </row>
    <row r="6375" spans="1:14" ht="15" customHeight="1" x14ac:dyDescent="0.2">
      <c r="A6375" s="31">
        <v>0.20111990995380319</v>
      </c>
      <c r="B6375" s="31"/>
      <c r="C6375" s="2" t="s">
        <v>855</v>
      </c>
      <c r="D6375" s="31">
        <f t="shared" si="193"/>
        <v>3.9419502350945428E-2</v>
      </c>
      <c r="F6375" s="2" t="s">
        <v>822</v>
      </c>
      <c r="G6375" s="23" t="s">
        <v>902</v>
      </c>
      <c r="H6375" s="2" t="s">
        <v>822</v>
      </c>
      <c r="J6375" s="31">
        <v>40.772499099999997</v>
      </c>
      <c r="K6375" s="31">
        <v>-30.947900799999999</v>
      </c>
      <c r="L6375" s="31"/>
      <c r="M6375" s="31" t="s">
        <v>854</v>
      </c>
      <c r="N6375" s="6" t="s">
        <v>856</v>
      </c>
    </row>
    <row r="6376" spans="1:14" ht="15" customHeight="1" x14ac:dyDescent="0.2">
      <c r="A6376" s="31">
        <v>0.20096254644777431</v>
      </c>
      <c r="B6376" s="31"/>
      <c r="C6376" s="2" t="s">
        <v>855</v>
      </c>
      <c r="D6376" s="31">
        <f t="shared" si="193"/>
        <v>3.9388659103763768E-2</v>
      </c>
      <c r="F6376" s="2" t="s">
        <v>822</v>
      </c>
      <c r="G6376" s="23" t="s">
        <v>902</v>
      </c>
      <c r="H6376" s="2" t="s">
        <v>822</v>
      </c>
      <c r="J6376" s="31">
        <v>50.088001300000002</v>
      </c>
      <c r="K6376" s="31">
        <v>-21.851999299999999</v>
      </c>
      <c r="L6376" s="31"/>
      <c r="M6376" s="31" t="s">
        <v>854</v>
      </c>
      <c r="N6376" s="6" t="s">
        <v>856</v>
      </c>
    </row>
    <row r="6377" spans="1:14" ht="15" customHeight="1" x14ac:dyDescent="0.2">
      <c r="A6377" s="31">
        <v>0.20094887197664399</v>
      </c>
      <c r="B6377" s="31"/>
      <c r="C6377" s="2" t="s">
        <v>855</v>
      </c>
      <c r="D6377" s="31">
        <f t="shared" si="193"/>
        <v>3.9385978907422223E-2</v>
      </c>
      <c r="F6377" s="2" t="s">
        <v>822</v>
      </c>
      <c r="G6377" s="23" t="s">
        <v>902</v>
      </c>
      <c r="H6377" s="2" t="s">
        <v>822</v>
      </c>
      <c r="J6377" s="31">
        <v>65.218101500000003</v>
      </c>
      <c r="K6377" s="31">
        <v>8.2716197999999999</v>
      </c>
      <c r="L6377" s="31"/>
      <c r="M6377" s="31" t="s">
        <v>854</v>
      </c>
      <c r="N6377" s="6" t="s">
        <v>856</v>
      </c>
    </row>
    <row r="6378" spans="1:14" ht="15" customHeight="1" x14ac:dyDescent="0.2">
      <c r="A6378" s="31">
        <v>0.20070414053711691</v>
      </c>
      <c r="B6378" s="31"/>
      <c r="C6378" s="2" t="s">
        <v>855</v>
      </c>
      <c r="D6378" s="31">
        <f t="shared" si="193"/>
        <v>3.9338011545274915E-2</v>
      </c>
      <c r="F6378" s="2" t="s">
        <v>822</v>
      </c>
      <c r="G6378" s="23" t="s">
        <v>902</v>
      </c>
      <c r="H6378" s="2" t="s">
        <v>822</v>
      </c>
      <c r="J6378" s="31">
        <v>54.096000699999998</v>
      </c>
      <c r="K6378" s="31">
        <v>-41.223998999999999</v>
      </c>
      <c r="L6378" s="31"/>
      <c r="M6378" s="31" t="s">
        <v>854</v>
      </c>
      <c r="N6378" s="6" t="s">
        <v>856</v>
      </c>
    </row>
    <row r="6379" spans="1:14" ht="15" customHeight="1" x14ac:dyDescent="0.2">
      <c r="A6379" s="31">
        <v>0.2006500667238463</v>
      </c>
      <c r="B6379" s="31"/>
      <c r="C6379" s="2" t="s">
        <v>855</v>
      </c>
      <c r="D6379" s="31">
        <f t="shared" si="193"/>
        <v>3.932741307787388E-2</v>
      </c>
      <c r="F6379" s="2" t="s">
        <v>822</v>
      </c>
      <c r="G6379" s="23" t="s">
        <v>902</v>
      </c>
      <c r="H6379" s="2" t="s">
        <v>822</v>
      </c>
      <c r="J6379" s="31">
        <v>52.759998299999999</v>
      </c>
      <c r="K6379" s="31">
        <v>-41.223998999999999</v>
      </c>
      <c r="L6379" s="31"/>
      <c r="M6379" s="31" t="s">
        <v>854</v>
      </c>
      <c r="N6379" s="6" t="s">
        <v>856</v>
      </c>
    </row>
    <row r="6380" spans="1:14" ht="15" customHeight="1" x14ac:dyDescent="0.2">
      <c r="A6380" s="31">
        <v>0.2004880323312061</v>
      </c>
      <c r="B6380" s="31"/>
      <c r="C6380" s="2" t="s">
        <v>855</v>
      </c>
      <c r="D6380" s="31">
        <f t="shared" si="193"/>
        <v>3.9295654336916397E-2</v>
      </c>
      <c r="F6380" s="2" t="s">
        <v>822</v>
      </c>
      <c r="G6380" s="23" t="s">
        <v>902</v>
      </c>
      <c r="H6380" s="2" t="s">
        <v>822</v>
      </c>
      <c r="J6380" s="31">
        <v>62.779998800000001</v>
      </c>
      <c r="K6380" s="31">
        <v>-29.200000800000002</v>
      </c>
      <c r="L6380" s="31"/>
      <c r="M6380" s="31" t="s">
        <v>854</v>
      </c>
      <c r="N6380" s="6" t="s">
        <v>856</v>
      </c>
    </row>
    <row r="6381" spans="1:14" ht="15" customHeight="1" x14ac:dyDescent="0.2">
      <c r="A6381" s="31">
        <v>0.20030759580035179</v>
      </c>
      <c r="B6381" s="31"/>
      <c r="C6381" s="2" t="s">
        <v>855</v>
      </c>
      <c r="D6381" s="31">
        <f t="shared" si="193"/>
        <v>3.9260288776868955E-2</v>
      </c>
      <c r="F6381" s="2" t="s">
        <v>822</v>
      </c>
      <c r="G6381" s="23" t="s">
        <v>902</v>
      </c>
      <c r="H6381" s="2" t="s">
        <v>822</v>
      </c>
      <c r="J6381" s="31">
        <v>63.491001099999998</v>
      </c>
      <c r="K6381" s="31">
        <v>8.8721198999999995</v>
      </c>
      <c r="L6381" s="31"/>
      <c r="M6381" s="31" t="s">
        <v>854</v>
      </c>
      <c r="N6381" s="6" t="s">
        <v>856</v>
      </c>
    </row>
    <row r="6382" spans="1:14" ht="15" customHeight="1" x14ac:dyDescent="0.2">
      <c r="A6382" s="31">
        <v>0.2002208035350769</v>
      </c>
      <c r="B6382" s="31"/>
      <c r="C6382" s="2" t="s">
        <v>855</v>
      </c>
      <c r="D6382" s="31">
        <f t="shared" si="193"/>
        <v>3.9243277492875074E-2</v>
      </c>
      <c r="F6382" s="2" t="s">
        <v>822</v>
      </c>
      <c r="G6382" s="23" t="s">
        <v>902</v>
      </c>
      <c r="H6382" s="2" t="s">
        <v>822</v>
      </c>
      <c r="J6382" s="31">
        <v>51.8816986</v>
      </c>
      <c r="K6382" s="31">
        <v>-29.9689999</v>
      </c>
      <c r="L6382" s="31"/>
      <c r="M6382" s="31" t="s">
        <v>854</v>
      </c>
      <c r="N6382" s="6" t="s">
        <v>856</v>
      </c>
    </row>
    <row r="6383" spans="1:14" ht="15" customHeight="1" x14ac:dyDescent="0.2">
      <c r="A6383" s="31">
        <v>0.20021074669047331</v>
      </c>
      <c r="B6383" s="31"/>
      <c r="C6383" s="2" t="s">
        <v>855</v>
      </c>
      <c r="D6383" s="31">
        <f t="shared" si="193"/>
        <v>3.9241306351332772E-2</v>
      </c>
      <c r="F6383" s="2" t="s">
        <v>822</v>
      </c>
      <c r="G6383" s="23" t="s">
        <v>902</v>
      </c>
      <c r="H6383" s="2" t="s">
        <v>822</v>
      </c>
      <c r="J6383" s="31">
        <v>61.444000199999998</v>
      </c>
      <c r="K6383" s="31">
        <v>-9.8280001000000006</v>
      </c>
      <c r="L6383" s="31"/>
      <c r="M6383" s="31" t="s">
        <v>854</v>
      </c>
      <c r="N6383" s="6" t="s">
        <v>856</v>
      </c>
    </row>
    <row r="6384" spans="1:14" ht="15" customHeight="1" x14ac:dyDescent="0.2">
      <c r="A6384" s="31">
        <v>0.19984875180346651</v>
      </c>
      <c r="B6384" s="31"/>
      <c r="C6384" s="2" t="s">
        <v>855</v>
      </c>
      <c r="D6384" s="31">
        <f t="shared" si="193"/>
        <v>3.9170355353479437E-2</v>
      </c>
      <c r="F6384" s="2" t="s">
        <v>822</v>
      </c>
      <c r="G6384" s="23" t="s">
        <v>902</v>
      </c>
      <c r="H6384" s="2" t="s">
        <v>822</v>
      </c>
      <c r="J6384" s="31">
        <v>64.115997300000004</v>
      </c>
      <c r="K6384" s="31">
        <v>-27.195999100000002</v>
      </c>
      <c r="L6384" s="31"/>
      <c r="M6384" s="31" t="s">
        <v>854</v>
      </c>
      <c r="N6384" s="6" t="s">
        <v>856</v>
      </c>
    </row>
    <row r="6385" spans="1:14" ht="15" customHeight="1" x14ac:dyDescent="0.2">
      <c r="A6385" s="31">
        <v>0.19977049377248579</v>
      </c>
      <c r="B6385" s="31"/>
      <c r="C6385" s="2" t="s">
        <v>855</v>
      </c>
      <c r="D6385" s="31">
        <f t="shared" si="193"/>
        <v>3.9155016779407213E-2</v>
      </c>
      <c r="F6385" s="2" t="s">
        <v>822</v>
      </c>
      <c r="G6385" s="23" t="s">
        <v>902</v>
      </c>
      <c r="H6385" s="2" t="s">
        <v>822</v>
      </c>
      <c r="J6385" s="31">
        <v>65.135803199999998</v>
      </c>
      <c r="K6385" s="31">
        <v>-23.980499300000002</v>
      </c>
      <c r="L6385" s="31"/>
      <c r="M6385" s="31" t="s">
        <v>854</v>
      </c>
      <c r="N6385" s="6" t="s">
        <v>856</v>
      </c>
    </row>
    <row r="6386" spans="1:14" ht="15" customHeight="1" x14ac:dyDescent="0.2">
      <c r="A6386" s="31">
        <v>0.19974209310887969</v>
      </c>
      <c r="B6386" s="31"/>
      <c r="C6386" s="2" t="s">
        <v>855</v>
      </c>
      <c r="D6386" s="31">
        <f t="shared" si="193"/>
        <v>3.9149450249340419E-2</v>
      </c>
      <c r="F6386" s="2" t="s">
        <v>822</v>
      </c>
      <c r="G6386" s="23" t="s">
        <v>902</v>
      </c>
      <c r="H6386" s="2" t="s">
        <v>822</v>
      </c>
      <c r="J6386" s="31">
        <v>60.776001000000001</v>
      </c>
      <c r="K6386" s="31">
        <v>-13.1680002</v>
      </c>
      <c r="L6386" s="31"/>
      <c r="M6386" s="31" t="s">
        <v>854</v>
      </c>
      <c r="N6386" s="6" t="s">
        <v>856</v>
      </c>
    </row>
    <row r="6387" spans="1:14" ht="15" customHeight="1" x14ac:dyDescent="0.2">
      <c r="A6387" s="31">
        <v>0.1995946535372945</v>
      </c>
      <c r="B6387" s="31"/>
      <c r="C6387" s="2" t="s">
        <v>855</v>
      </c>
      <c r="D6387" s="31">
        <f t="shared" si="193"/>
        <v>3.9120552093309724E-2</v>
      </c>
      <c r="F6387" s="2" t="s">
        <v>822</v>
      </c>
      <c r="G6387" s="23" t="s">
        <v>902</v>
      </c>
      <c r="H6387" s="2" t="s">
        <v>822</v>
      </c>
      <c r="J6387" s="31">
        <v>52.759998299999999</v>
      </c>
      <c r="K6387" s="31">
        <v>-30.5359993</v>
      </c>
      <c r="L6387" s="31"/>
      <c r="M6387" s="31" t="s">
        <v>854</v>
      </c>
      <c r="N6387" s="6" t="s">
        <v>856</v>
      </c>
    </row>
    <row r="6388" spans="1:14" ht="15" customHeight="1" x14ac:dyDescent="0.2">
      <c r="A6388" s="31">
        <v>0.19938458230396919</v>
      </c>
      <c r="B6388" s="31"/>
      <c r="C6388" s="2" t="s">
        <v>855</v>
      </c>
      <c r="D6388" s="31">
        <f t="shared" si="193"/>
        <v>3.9079378131577962E-2</v>
      </c>
      <c r="F6388" s="2" t="s">
        <v>822</v>
      </c>
      <c r="G6388" s="23" t="s">
        <v>902</v>
      </c>
      <c r="H6388" s="2" t="s">
        <v>822</v>
      </c>
      <c r="J6388" s="31">
        <v>51.423999799999997</v>
      </c>
      <c r="K6388" s="31">
        <v>-42.560001399999997</v>
      </c>
      <c r="L6388" s="31"/>
      <c r="M6388" s="31" t="s">
        <v>854</v>
      </c>
      <c r="N6388" s="6" t="s">
        <v>856</v>
      </c>
    </row>
    <row r="6389" spans="1:14" ht="15" customHeight="1" x14ac:dyDescent="0.2">
      <c r="A6389" s="31">
        <v>0.19935283779142671</v>
      </c>
      <c r="B6389" s="31"/>
      <c r="C6389" s="2" t="s">
        <v>855</v>
      </c>
      <c r="D6389" s="31">
        <f t="shared" si="193"/>
        <v>3.9073156207119639E-2</v>
      </c>
      <c r="F6389" s="2" t="s">
        <v>822</v>
      </c>
      <c r="G6389" s="23" t="s">
        <v>902</v>
      </c>
      <c r="H6389" s="2" t="s">
        <v>822</v>
      </c>
      <c r="J6389" s="31">
        <v>57.436000800000002</v>
      </c>
      <c r="K6389" s="31">
        <v>-12.5</v>
      </c>
      <c r="L6389" s="31"/>
      <c r="M6389" s="31" t="s">
        <v>854</v>
      </c>
      <c r="N6389" s="6" t="s">
        <v>856</v>
      </c>
    </row>
    <row r="6390" spans="1:14" ht="15" customHeight="1" x14ac:dyDescent="0.2">
      <c r="A6390" s="31">
        <v>0.19923381175527549</v>
      </c>
      <c r="B6390" s="31"/>
      <c r="C6390" s="2" t="s">
        <v>855</v>
      </c>
      <c r="D6390" s="31">
        <f t="shared" si="193"/>
        <v>3.9049827104033999E-2</v>
      </c>
      <c r="F6390" s="2" t="s">
        <v>822</v>
      </c>
      <c r="G6390" s="23" t="s">
        <v>902</v>
      </c>
      <c r="H6390" s="2" t="s">
        <v>822</v>
      </c>
      <c r="J6390" s="31">
        <v>63.953998599999998</v>
      </c>
      <c r="K6390" s="31">
        <v>-24.2759991</v>
      </c>
      <c r="L6390" s="31"/>
      <c r="M6390" s="31" t="s">
        <v>854</v>
      </c>
      <c r="N6390" s="6" t="s">
        <v>856</v>
      </c>
    </row>
    <row r="6391" spans="1:14" ht="15" customHeight="1" x14ac:dyDescent="0.2">
      <c r="A6391" s="31">
        <v>0.19918324940793131</v>
      </c>
      <c r="B6391" s="31"/>
      <c r="C6391" s="2" t="s">
        <v>855</v>
      </c>
      <c r="D6391" s="31">
        <f t="shared" si="193"/>
        <v>3.9039916883954535E-2</v>
      </c>
      <c r="F6391" s="2" t="s">
        <v>822</v>
      </c>
      <c r="G6391" s="23" t="s">
        <v>902</v>
      </c>
      <c r="H6391" s="2" t="s">
        <v>822</v>
      </c>
      <c r="J6391" s="31">
        <v>57.436000800000002</v>
      </c>
      <c r="K6391" s="31">
        <v>-39.220001199999999</v>
      </c>
      <c r="L6391" s="31"/>
      <c r="M6391" s="31" t="s">
        <v>854</v>
      </c>
      <c r="N6391" s="6" t="s">
        <v>856</v>
      </c>
    </row>
    <row r="6392" spans="1:14" ht="15" customHeight="1" x14ac:dyDescent="0.2">
      <c r="A6392" s="31">
        <v>0.19916196243413059</v>
      </c>
      <c r="B6392" s="31"/>
      <c r="C6392" s="2" t="s">
        <v>855</v>
      </c>
      <c r="D6392" s="31">
        <f t="shared" si="193"/>
        <v>3.9035744637089601E-2</v>
      </c>
      <c r="F6392" s="2" t="s">
        <v>822</v>
      </c>
      <c r="G6392" s="23" t="s">
        <v>902</v>
      </c>
      <c r="H6392" s="2" t="s">
        <v>822</v>
      </c>
      <c r="J6392" s="31">
        <v>58.1040001</v>
      </c>
      <c r="K6392" s="31">
        <v>-9.1599997999999996</v>
      </c>
      <c r="L6392" s="31"/>
      <c r="M6392" s="31" t="s">
        <v>854</v>
      </c>
      <c r="N6392" s="6" t="s">
        <v>856</v>
      </c>
    </row>
    <row r="6393" spans="1:14" ht="15" customHeight="1" x14ac:dyDescent="0.2">
      <c r="A6393" s="31">
        <v>0.1990814394961376</v>
      </c>
      <c r="B6393" s="31"/>
      <c r="C6393" s="2" t="s">
        <v>855</v>
      </c>
      <c r="D6393" s="31">
        <f t="shared" si="193"/>
        <v>3.9019962141242974E-2</v>
      </c>
      <c r="F6393" s="2" t="s">
        <v>822</v>
      </c>
      <c r="G6393" s="23" t="s">
        <v>902</v>
      </c>
      <c r="H6393" s="2" t="s">
        <v>822</v>
      </c>
      <c r="J6393" s="31">
        <v>52.759998299999999</v>
      </c>
      <c r="K6393" s="31">
        <v>-42.560001399999997</v>
      </c>
      <c r="L6393" s="31"/>
      <c r="M6393" s="31" t="s">
        <v>854</v>
      </c>
      <c r="N6393" s="6" t="s">
        <v>856</v>
      </c>
    </row>
    <row r="6394" spans="1:14" ht="15" customHeight="1" x14ac:dyDescent="0.2">
      <c r="A6394" s="31">
        <v>0.19896443120828569</v>
      </c>
      <c r="B6394" s="31"/>
      <c r="C6394" s="2" t="s">
        <v>855</v>
      </c>
      <c r="D6394" s="31">
        <f t="shared" si="193"/>
        <v>3.8997028516823996E-2</v>
      </c>
      <c r="F6394" s="2" t="s">
        <v>822</v>
      </c>
      <c r="G6394" s="23" t="s">
        <v>902</v>
      </c>
      <c r="H6394" s="2" t="s">
        <v>822</v>
      </c>
      <c r="J6394" s="31">
        <v>60.622600599999998</v>
      </c>
      <c r="K6394" s="31">
        <v>1.53352</v>
      </c>
      <c r="L6394" s="31"/>
      <c r="M6394" s="31" t="s">
        <v>854</v>
      </c>
      <c r="N6394" s="6" t="s">
        <v>856</v>
      </c>
    </row>
    <row r="6395" spans="1:14" ht="15" customHeight="1" x14ac:dyDescent="0.2">
      <c r="A6395" s="31">
        <v>0.19872649920610391</v>
      </c>
      <c r="B6395" s="31"/>
      <c r="C6395" s="2" t="s">
        <v>855</v>
      </c>
      <c r="D6395" s="31">
        <f t="shared" si="193"/>
        <v>3.8950393844396365E-2</v>
      </c>
      <c r="F6395" s="2" t="s">
        <v>822</v>
      </c>
      <c r="G6395" s="23" t="s">
        <v>902</v>
      </c>
      <c r="H6395" s="2" t="s">
        <v>822</v>
      </c>
      <c r="J6395" s="31">
        <v>58.1040001</v>
      </c>
      <c r="K6395" s="31">
        <v>-35.880001100000001</v>
      </c>
      <c r="L6395" s="31"/>
      <c r="M6395" s="31" t="s">
        <v>854</v>
      </c>
      <c r="N6395" s="6" t="s">
        <v>856</v>
      </c>
    </row>
    <row r="6396" spans="1:14" ht="15" customHeight="1" x14ac:dyDescent="0.2">
      <c r="A6396" s="31">
        <v>0.19870393430867481</v>
      </c>
      <c r="B6396" s="31"/>
      <c r="C6396" s="2" t="s">
        <v>855</v>
      </c>
      <c r="D6396" s="31">
        <f t="shared" si="193"/>
        <v>3.894597112450026E-2</v>
      </c>
      <c r="F6396" s="2" t="s">
        <v>822</v>
      </c>
      <c r="G6396" s="23" t="s">
        <v>902</v>
      </c>
      <c r="H6396" s="2" t="s">
        <v>822</v>
      </c>
      <c r="J6396" s="31">
        <v>62.779998800000001</v>
      </c>
      <c r="K6396" s="31">
        <v>-31.204000499999999</v>
      </c>
      <c r="L6396" s="31"/>
      <c r="M6396" s="31" t="s">
        <v>854</v>
      </c>
      <c r="N6396" s="6" t="s">
        <v>856</v>
      </c>
    </row>
    <row r="6397" spans="1:14" ht="15" customHeight="1" x14ac:dyDescent="0.2">
      <c r="A6397" s="31">
        <v>0.19816729089618301</v>
      </c>
      <c r="B6397" s="31"/>
      <c r="C6397" s="2" t="s">
        <v>855</v>
      </c>
      <c r="D6397" s="31">
        <f t="shared" si="193"/>
        <v>3.8840789015651869E-2</v>
      </c>
      <c r="F6397" s="2" t="s">
        <v>822</v>
      </c>
      <c r="G6397" s="23" t="s">
        <v>902</v>
      </c>
      <c r="H6397" s="2" t="s">
        <v>822</v>
      </c>
      <c r="J6397" s="31">
        <v>51.0354004</v>
      </c>
      <c r="K6397" s="31">
        <v>-32.781200400000003</v>
      </c>
      <c r="L6397" s="31"/>
      <c r="M6397" s="31" t="s">
        <v>854</v>
      </c>
      <c r="N6397" s="6" t="s">
        <v>856</v>
      </c>
    </row>
    <row r="6398" spans="1:14" ht="15" customHeight="1" x14ac:dyDescent="0.2">
      <c r="A6398" s="31">
        <v>0.19807755332192209</v>
      </c>
      <c r="B6398" s="31"/>
      <c r="C6398" s="2" t="s">
        <v>855</v>
      </c>
      <c r="D6398" s="31">
        <f t="shared" si="193"/>
        <v>3.8823200451096732E-2</v>
      </c>
      <c r="F6398" s="2" t="s">
        <v>822</v>
      </c>
      <c r="G6398" s="23" t="s">
        <v>902</v>
      </c>
      <c r="H6398" s="2" t="s">
        <v>822</v>
      </c>
      <c r="J6398" s="31">
        <v>58.1040001</v>
      </c>
      <c r="K6398" s="31">
        <v>-26.527999900000001</v>
      </c>
      <c r="L6398" s="31"/>
      <c r="M6398" s="31" t="s">
        <v>854</v>
      </c>
      <c r="N6398" s="6" t="s">
        <v>856</v>
      </c>
    </row>
    <row r="6399" spans="1:14" ht="15" customHeight="1" x14ac:dyDescent="0.2">
      <c r="A6399" s="31">
        <v>0.1977973563801822</v>
      </c>
      <c r="B6399" s="31"/>
      <c r="C6399" s="2" t="s">
        <v>855</v>
      </c>
      <c r="D6399" s="31">
        <f t="shared" si="193"/>
        <v>3.8768281850515715E-2</v>
      </c>
      <c r="F6399" s="2" t="s">
        <v>822</v>
      </c>
      <c r="G6399" s="23" t="s">
        <v>902</v>
      </c>
      <c r="H6399" s="2" t="s">
        <v>822</v>
      </c>
      <c r="J6399" s="31">
        <v>58.771999399999999</v>
      </c>
      <c r="K6399" s="31">
        <v>-33.875999499999999</v>
      </c>
      <c r="L6399" s="31"/>
      <c r="M6399" s="31" t="s">
        <v>854</v>
      </c>
      <c r="N6399" s="6" t="s">
        <v>856</v>
      </c>
    </row>
    <row r="6400" spans="1:14" ht="15" customHeight="1" x14ac:dyDescent="0.2">
      <c r="A6400" s="31">
        <v>0.19777061362198861</v>
      </c>
      <c r="B6400" s="31"/>
      <c r="C6400" s="2" t="s">
        <v>855</v>
      </c>
      <c r="D6400" s="31">
        <f t="shared" ref="D6400:D6463" si="194" xml:space="preserve"> A6400 * 0.196</f>
        <v>3.8763040269909767E-2</v>
      </c>
      <c r="F6400" s="2" t="s">
        <v>822</v>
      </c>
      <c r="G6400" s="23" t="s">
        <v>902</v>
      </c>
      <c r="H6400" s="2" t="s">
        <v>822</v>
      </c>
      <c r="J6400" s="31">
        <v>62.111999500000003</v>
      </c>
      <c r="K6400" s="31">
        <v>-15.505999600000001</v>
      </c>
      <c r="L6400" s="31"/>
      <c r="M6400" s="31" t="s">
        <v>854</v>
      </c>
      <c r="N6400" s="6" t="s">
        <v>856</v>
      </c>
    </row>
    <row r="6401" spans="1:14" ht="15" customHeight="1" x14ac:dyDescent="0.2">
      <c r="A6401" s="31">
        <v>0.19773414659193339</v>
      </c>
      <c r="B6401" s="31"/>
      <c r="C6401" s="2" t="s">
        <v>855</v>
      </c>
      <c r="D6401" s="31">
        <f t="shared" si="194"/>
        <v>3.8755892732018946E-2</v>
      </c>
      <c r="F6401" s="2" t="s">
        <v>822</v>
      </c>
      <c r="G6401" s="23" t="s">
        <v>902</v>
      </c>
      <c r="H6401" s="2" t="s">
        <v>822</v>
      </c>
      <c r="J6401" s="31">
        <v>64.426597599999994</v>
      </c>
      <c r="K6401" s="31">
        <v>-14.091199899999999</v>
      </c>
      <c r="L6401" s="31"/>
      <c r="M6401" s="31" t="s">
        <v>854</v>
      </c>
      <c r="N6401" s="6" t="s">
        <v>856</v>
      </c>
    </row>
    <row r="6402" spans="1:14" ht="15" customHeight="1" x14ac:dyDescent="0.2">
      <c r="A6402" s="31">
        <v>0.19766113486589321</v>
      </c>
      <c r="B6402" s="31"/>
      <c r="C6402" s="2" t="s">
        <v>855</v>
      </c>
      <c r="D6402" s="31">
        <f t="shared" si="194"/>
        <v>3.8741582433715067E-2</v>
      </c>
      <c r="F6402" s="2" t="s">
        <v>822</v>
      </c>
      <c r="G6402" s="23" t="s">
        <v>902</v>
      </c>
      <c r="H6402" s="2" t="s">
        <v>822</v>
      </c>
      <c r="J6402" s="31">
        <v>71.355400099999997</v>
      </c>
      <c r="K6402" s="31">
        <v>15.612199800000001</v>
      </c>
      <c r="L6402" s="31"/>
      <c r="M6402" s="31" t="s">
        <v>854</v>
      </c>
      <c r="N6402" s="6" t="s">
        <v>856</v>
      </c>
    </row>
    <row r="6403" spans="1:14" ht="15" customHeight="1" x14ac:dyDescent="0.2">
      <c r="A6403" s="31">
        <v>0.19760261802317131</v>
      </c>
      <c r="B6403" s="31"/>
      <c r="C6403" s="2" t="s">
        <v>855</v>
      </c>
      <c r="D6403" s="31">
        <f t="shared" si="194"/>
        <v>3.8730113132541578E-2</v>
      </c>
      <c r="F6403" s="2" t="s">
        <v>822</v>
      </c>
      <c r="G6403" s="23" t="s">
        <v>902</v>
      </c>
      <c r="H6403" s="2" t="s">
        <v>822</v>
      </c>
      <c r="J6403" s="31">
        <v>60.433300000000003</v>
      </c>
      <c r="K6403" s="31">
        <v>-7.3762999000000002</v>
      </c>
      <c r="L6403" s="31"/>
      <c r="M6403" s="31" t="s">
        <v>854</v>
      </c>
      <c r="N6403" s="6" t="s">
        <v>856</v>
      </c>
    </row>
    <row r="6404" spans="1:14" ht="15" customHeight="1" x14ac:dyDescent="0.2">
      <c r="A6404" s="31">
        <v>0.19755509363488741</v>
      </c>
      <c r="B6404" s="31"/>
      <c r="C6404" s="2" t="s">
        <v>855</v>
      </c>
      <c r="D6404" s="31">
        <f t="shared" si="194"/>
        <v>3.8720798352437934E-2</v>
      </c>
      <c r="F6404" s="2" t="s">
        <v>822</v>
      </c>
      <c r="G6404" s="23" t="s">
        <v>902</v>
      </c>
      <c r="H6404" s="2" t="s">
        <v>822</v>
      </c>
      <c r="J6404" s="31">
        <v>53.428001399999999</v>
      </c>
      <c r="K6404" s="31">
        <v>-38.551998099999999</v>
      </c>
      <c r="L6404" s="31"/>
      <c r="M6404" s="31" t="s">
        <v>854</v>
      </c>
      <c r="N6404" s="6" t="s">
        <v>856</v>
      </c>
    </row>
    <row r="6405" spans="1:14" ht="15" customHeight="1" x14ac:dyDescent="0.2">
      <c r="A6405" s="31">
        <v>0.19747438081704399</v>
      </c>
      <c r="B6405" s="31"/>
      <c r="C6405" s="2" t="s">
        <v>855</v>
      </c>
      <c r="D6405" s="31">
        <f t="shared" si="194"/>
        <v>3.8704978640140622E-2</v>
      </c>
      <c r="F6405" s="2" t="s">
        <v>822</v>
      </c>
      <c r="G6405" s="23" t="s">
        <v>902</v>
      </c>
      <c r="H6405" s="2" t="s">
        <v>822</v>
      </c>
      <c r="J6405" s="31">
        <v>62.111999500000003</v>
      </c>
      <c r="K6405" s="31">
        <v>-30.5359993</v>
      </c>
      <c r="L6405" s="31"/>
      <c r="M6405" s="31" t="s">
        <v>854</v>
      </c>
      <c r="N6405" s="6" t="s">
        <v>856</v>
      </c>
    </row>
    <row r="6406" spans="1:14" ht="15" customHeight="1" x14ac:dyDescent="0.2">
      <c r="A6406" s="31">
        <v>0.19726370717087491</v>
      </c>
      <c r="B6406" s="31"/>
      <c r="C6406" s="2" t="s">
        <v>855</v>
      </c>
      <c r="D6406" s="31">
        <f t="shared" si="194"/>
        <v>3.8663686605491486E-2</v>
      </c>
      <c r="F6406" s="2" t="s">
        <v>822</v>
      </c>
      <c r="G6406" s="23" t="s">
        <v>902</v>
      </c>
      <c r="H6406" s="2" t="s">
        <v>822</v>
      </c>
      <c r="J6406" s="31">
        <v>61.267299700000002</v>
      </c>
      <c r="K6406" s="31">
        <v>-7.7076602000000003</v>
      </c>
      <c r="L6406" s="31"/>
      <c r="M6406" s="31" t="s">
        <v>854</v>
      </c>
      <c r="N6406" s="6" t="s">
        <v>856</v>
      </c>
    </row>
    <row r="6407" spans="1:14" ht="15" customHeight="1" x14ac:dyDescent="0.2">
      <c r="A6407" s="31">
        <v>0.19724502295668889</v>
      </c>
      <c r="B6407" s="31"/>
      <c r="C6407" s="2" t="s">
        <v>855</v>
      </c>
      <c r="D6407" s="31">
        <f t="shared" si="194"/>
        <v>3.8660024499511024E-2</v>
      </c>
      <c r="F6407" s="2" t="s">
        <v>822</v>
      </c>
      <c r="G6407" s="23" t="s">
        <v>902</v>
      </c>
      <c r="H6407" s="2" t="s">
        <v>822</v>
      </c>
      <c r="J6407" s="31">
        <v>58.1040001</v>
      </c>
      <c r="K6407" s="31">
        <v>-17.8439999</v>
      </c>
      <c r="L6407" s="31"/>
      <c r="M6407" s="31" t="s">
        <v>854</v>
      </c>
      <c r="N6407" s="6" t="s">
        <v>856</v>
      </c>
    </row>
    <row r="6408" spans="1:14" ht="15" customHeight="1" x14ac:dyDescent="0.2">
      <c r="A6408" s="31">
        <v>0.1969014230492766</v>
      </c>
      <c r="B6408" s="31"/>
      <c r="C6408" s="2" t="s">
        <v>855</v>
      </c>
      <c r="D6408" s="31">
        <f t="shared" si="194"/>
        <v>3.8592678917658219E-2</v>
      </c>
      <c r="F6408" s="2" t="s">
        <v>822</v>
      </c>
      <c r="G6408" s="23" t="s">
        <v>902</v>
      </c>
      <c r="H6408" s="2" t="s">
        <v>822</v>
      </c>
      <c r="J6408" s="31">
        <v>64.115997300000004</v>
      </c>
      <c r="K6408" s="31">
        <v>-30.5359993</v>
      </c>
      <c r="L6408" s="31"/>
      <c r="M6408" s="31" t="s">
        <v>854</v>
      </c>
      <c r="N6408" s="6" t="s">
        <v>856</v>
      </c>
    </row>
    <row r="6409" spans="1:14" ht="15" customHeight="1" x14ac:dyDescent="0.2">
      <c r="A6409" s="31">
        <v>0.1967897031749013</v>
      </c>
      <c r="B6409" s="31"/>
      <c r="C6409" s="2" t="s">
        <v>855</v>
      </c>
      <c r="D6409" s="31">
        <f t="shared" si="194"/>
        <v>3.8570781822280659E-2</v>
      </c>
      <c r="F6409" s="2" t="s">
        <v>822</v>
      </c>
      <c r="G6409" s="23" t="s">
        <v>902</v>
      </c>
      <c r="H6409" s="2" t="s">
        <v>822</v>
      </c>
      <c r="J6409" s="31">
        <v>57.436000800000002</v>
      </c>
      <c r="K6409" s="31">
        <v>-27.864000300000001</v>
      </c>
      <c r="L6409" s="31"/>
      <c r="M6409" s="31" t="s">
        <v>854</v>
      </c>
      <c r="N6409" s="6" t="s">
        <v>856</v>
      </c>
    </row>
    <row r="6410" spans="1:14" ht="15" customHeight="1" x14ac:dyDescent="0.2">
      <c r="A6410" s="31">
        <v>0.19649529538951871</v>
      </c>
      <c r="B6410" s="31"/>
      <c r="C6410" s="2" t="s">
        <v>855</v>
      </c>
      <c r="D6410" s="31">
        <f t="shared" si="194"/>
        <v>3.8513077896345671E-2</v>
      </c>
      <c r="F6410" s="2" t="s">
        <v>822</v>
      </c>
      <c r="G6410" s="23" t="s">
        <v>902</v>
      </c>
      <c r="H6410" s="2" t="s">
        <v>822</v>
      </c>
      <c r="J6410" s="31">
        <v>57.436000800000002</v>
      </c>
      <c r="K6410" s="31">
        <v>-29.200000800000002</v>
      </c>
      <c r="L6410" s="31"/>
      <c r="M6410" s="31" t="s">
        <v>854</v>
      </c>
      <c r="N6410" s="6" t="s">
        <v>856</v>
      </c>
    </row>
    <row r="6411" spans="1:14" ht="15" customHeight="1" x14ac:dyDescent="0.2">
      <c r="A6411" s="31">
        <v>0.19644462121018219</v>
      </c>
      <c r="B6411" s="31"/>
      <c r="C6411" s="2" t="s">
        <v>855</v>
      </c>
      <c r="D6411" s="31">
        <f t="shared" si="194"/>
        <v>3.8503145757195711E-2</v>
      </c>
      <c r="F6411" s="2" t="s">
        <v>822</v>
      </c>
      <c r="G6411" s="23" t="s">
        <v>902</v>
      </c>
      <c r="H6411" s="2" t="s">
        <v>822</v>
      </c>
      <c r="J6411" s="31">
        <v>58.771999399999999</v>
      </c>
      <c r="K6411" s="31">
        <v>-29.200000800000002</v>
      </c>
      <c r="L6411" s="31"/>
      <c r="M6411" s="31" t="s">
        <v>854</v>
      </c>
      <c r="N6411" s="6" t="s">
        <v>856</v>
      </c>
    </row>
    <row r="6412" spans="1:14" ht="15" customHeight="1" x14ac:dyDescent="0.2">
      <c r="A6412" s="31">
        <v>0.19631610207554889</v>
      </c>
      <c r="B6412" s="31"/>
      <c r="C6412" s="2" t="s">
        <v>855</v>
      </c>
      <c r="D6412" s="31">
        <f t="shared" si="194"/>
        <v>3.8477956006807583E-2</v>
      </c>
      <c r="F6412" s="2" t="s">
        <v>822</v>
      </c>
      <c r="G6412" s="23" t="s">
        <v>902</v>
      </c>
      <c r="H6412" s="2" t="s">
        <v>822</v>
      </c>
      <c r="J6412" s="31">
        <v>58.1040001</v>
      </c>
      <c r="K6412" s="31">
        <v>-34.543998700000003</v>
      </c>
      <c r="L6412" s="31"/>
      <c r="M6412" s="31" t="s">
        <v>854</v>
      </c>
      <c r="N6412" s="6" t="s">
        <v>856</v>
      </c>
    </row>
    <row r="6413" spans="1:14" ht="15" customHeight="1" x14ac:dyDescent="0.2">
      <c r="A6413" s="31">
        <v>0.1961692984084428</v>
      </c>
      <c r="B6413" s="31"/>
      <c r="C6413" s="2" t="s">
        <v>855</v>
      </c>
      <c r="D6413" s="31">
        <f t="shared" si="194"/>
        <v>3.8449182488054789E-2</v>
      </c>
      <c r="F6413" s="2" t="s">
        <v>822</v>
      </c>
      <c r="G6413" s="23" t="s">
        <v>902</v>
      </c>
      <c r="H6413" s="2" t="s">
        <v>822</v>
      </c>
      <c r="J6413" s="31">
        <v>62.111999500000003</v>
      </c>
      <c r="K6413" s="31">
        <v>-29.867999999999999</v>
      </c>
      <c r="L6413" s="31"/>
      <c r="M6413" s="31" t="s">
        <v>854</v>
      </c>
      <c r="N6413" s="6" t="s">
        <v>856</v>
      </c>
    </row>
    <row r="6414" spans="1:14" ht="15" customHeight="1" x14ac:dyDescent="0.2">
      <c r="A6414" s="31">
        <v>0.19602481474359279</v>
      </c>
      <c r="B6414" s="31"/>
      <c r="C6414" s="2" t="s">
        <v>855</v>
      </c>
      <c r="D6414" s="31">
        <f t="shared" si="194"/>
        <v>3.8420863689744185E-2</v>
      </c>
      <c r="F6414" s="2" t="s">
        <v>822</v>
      </c>
      <c r="G6414" s="23" t="s">
        <v>902</v>
      </c>
      <c r="H6414" s="2" t="s">
        <v>822</v>
      </c>
      <c r="J6414" s="31">
        <v>54.763999900000002</v>
      </c>
      <c r="K6414" s="31">
        <v>-36.548000299999998</v>
      </c>
      <c r="L6414" s="31"/>
      <c r="M6414" s="31" t="s">
        <v>854</v>
      </c>
      <c r="N6414" s="6" t="s">
        <v>856</v>
      </c>
    </row>
    <row r="6415" spans="1:14" ht="15" customHeight="1" x14ac:dyDescent="0.2">
      <c r="A6415" s="31">
        <v>0.19594310444267149</v>
      </c>
      <c r="B6415" s="31"/>
      <c r="C6415" s="2" t="s">
        <v>855</v>
      </c>
      <c r="D6415" s="31">
        <f t="shared" si="194"/>
        <v>3.8404848470763614E-2</v>
      </c>
      <c r="F6415" s="2" t="s">
        <v>822</v>
      </c>
      <c r="G6415" s="23" t="s">
        <v>902</v>
      </c>
      <c r="H6415" s="2" t="s">
        <v>822</v>
      </c>
      <c r="J6415" s="31">
        <v>56.099998499999998</v>
      </c>
      <c r="K6415" s="31">
        <v>-35.212001800000003</v>
      </c>
      <c r="L6415" s="31"/>
      <c r="M6415" s="31" t="s">
        <v>854</v>
      </c>
      <c r="N6415" s="6" t="s">
        <v>856</v>
      </c>
    </row>
    <row r="6416" spans="1:14" ht="15" customHeight="1" x14ac:dyDescent="0.2">
      <c r="A6416" s="31">
        <v>0.1959174102932035</v>
      </c>
      <c r="B6416" s="31"/>
      <c r="C6416" s="2" t="s">
        <v>855</v>
      </c>
      <c r="D6416" s="31">
        <f t="shared" si="194"/>
        <v>3.8399812417467885E-2</v>
      </c>
      <c r="F6416" s="2" t="s">
        <v>822</v>
      </c>
      <c r="G6416" s="23" t="s">
        <v>902</v>
      </c>
      <c r="H6416" s="2" t="s">
        <v>822</v>
      </c>
      <c r="J6416" s="31">
        <v>63.448001900000001</v>
      </c>
      <c r="K6416" s="31">
        <v>-33.208000200000001</v>
      </c>
      <c r="L6416" s="31"/>
      <c r="M6416" s="31" t="s">
        <v>854</v>
      </c>
      <c r="N6416" s="6" t="s">
        <v>856</v>
      </c>
    </row>
    <row r="6417" spans="1:14" ht="15" customHeight="1" x14ac:dyDescent="0.2">
      <c r="A6417" s="31">
        <v>0.19576818375285721</v>
      </c>
      <c r="B6417" s="31"/>
      <c r="C6417" s="2" t="s">
        <v>855</v>
      </c>
      <c r="D6417" s="31">
        <f t="shared" si="194"/>
        <v>3.8370564015560014E-2</v>
      </c>
      <c r="F6417" s="2" t="s">
        <v>822</v>
      </c>
      <c r="G6417" s="23" t="s">
        <v>902</v>
      </c>
      <c r="H6417" s="2" t="s">
        <v>822</v>
      </c>
      <c r="J6417" s="31">
        <v>56.768001599999998</v>
      </c>
      <c r="K6417" s="31">
        <v>-35.880001100000001</v>
      </c>
      <c r="L6417" s="31"/>
      <c r="M6417" s="31" t="s">
        <v>854</v>
      </c>
      <c r="N6417" s="6" t="s">
        <v>856</v>
      </c>
    </row>
    <row r="6418" spans="1:14" ht="15" customHeight="1" x14ac:dyDescent="0.2">
      <c r="A6418" s="31">
        <v>0.19576590173995201</v>
      </c>
      <c r="B6418" s="31"/>
      <c r="C6418" s="2" t="s">
        <v>855</v>
      </c>
      <c r="D6418" s="31">
        <f t="shared" si="194"/>
        <v>3.8370116741030594E-2</v>
      </c>
      <c r="F6418" s="2" t="s">
        <v>822</v>
      </c>
      <c r="G6418" s="23" t="s">
        <v>902</v>
      </c>
      <c r="H6418" s="2" t="s">
        <v>822</v>
      </c>
      <c r="J6418" s="31">
        <v>61.604499799999999</v>
      </c>
      <c r="K6418" s="31">
        <v>-8.0831698999999997</v>
      </c>
      <c r="L6418" s="31"/>
      <c r="M6418" s="31" t="s">
        <v>854</v>
      </c>
      <c r="N6418" s="6" t="s">
        <v>856</v>
      </c>
    </row>
    <row r="6419" spans="1:14" ht="15" customHeight="1" x14ac:dyDescent="0.2">
      <c r="A6419" s="31">
        <v>0.1956459500503657</v>
      </c>
      <c r="B6419" s="31"/>
      <c r="C6419" s="2" t="s">
        <v>855</v>
      </c>
      <c r="D6419" s="31">
        <f t="shared" si="194"/>
        <v>3.8346606209871681E-2</v>
      </c>
      <c r="F6419" s="2" t="s">
        <v>822</v>
      </c>
      <c r="G6419" s="23" t="s">
        <v>902</v>
      </c>
      <c r="H6419" s="2" t="s">
        <v>822</v>
      </c>
      <c r="J6419" s="31">
        <v>54.8755989</v>
      </c>
      <c r="K6419" s="31">
        <v>-10.5461998</v>
      </c>
      <c r="L6419" s="31"/>
      <c r="M6419" s="31" t="s">
        <v>854</v>
      </c>
      <c r="N6419" s="6" t="s">
        <v>856</v>
      </c>
    </row>
    <row r="6420" spans="1:14" ht="15" customHeight="1" x14ac:dyDescent="0.2">
      <c r="A6420" s="31">
        <v>0.1956339839468397</v>
      </c>
      <c r="B6420" s="31"/>
      <c r="C6420" s="2" t="s">
        <v>855</v>
      </c>
      <c r="D6420" s="31">
        <f t="shared" si="194"/>
        <v>3.8344260853580586E-2</v>
      </c>
      <c r="F6420" s="2" t="s">
        <v>822</v>
      </c>
      <c r="G6420" s="23" t="s">
        <v>902</v>
      </c>
      <c r="H6420" s="2" t="s">
        <v>822</v>
      </c>
      <c r="J6420" s="31">
        <v>58.771999399999999</v>
      </c>
      <c r="K6420" s="31">
        <v>-27.864000300000001</v>
      </c>
      <c r="L6420" s="31"/>
      <c r="M6420" s="31" t="s">
        <v>854</v>
      </c>
      <c r="N6420" s="6" t="s">
        <v>856</v>
      </c>
    </row>
    <row r="6421" spans="1:14" ht="15" customHeight="1" x14ac:dyDescent="0.2">
      <c r="A6421" s="31">
        <v>0.19549938623508689</v>
      </c>
      <c r="B6421" s="31"/>
      <c r="C6421" s="2" t="s">
        <v>855</v>
      </c>
      <c r="D6421" s="31">
        <f t="shared" si="194"/>
        <v>3.8317879702077035E-2</v>
      </c>
      <c r="F6421" s="2" t="s">
        <v>822</v>
      </c>
      <c r="G6421" s="23" t="s">
        <v>902</v>
      </c>
      <c r="H6421" s="2" t="s">
        <v>822</v>
      </c>
      <c r="J6421" s="31">
        <v>64.783996599999995</v>
      </c>
      <c r="K6421" s="31">
        <v>-27.864000300000001</v>
      </c>
      <c r="L6421" s="31"/>
      <c r="M6421" s="31" t="s">
        <v>854</v>
      </c>
      <c r="N6421" s="6" t="s">
        <v>856</v>
      </c>
    </row>
    <row r="6422" spans="1:14" ht="15" customHeight="1" x14ac:dyDescent="0.2">
      <c r="A6422" s="31">
        <v>0.1951768824857433</v>
      </c>
      <c r="B6422" s="31"/>
      <c r="C6422" s="2" t="s">
        <v>855</v>
      </c>
      <c r="D6422" s="31">
        <f t="shared" si="194"/>
        <v>3.8254668967205689E-2</v>
      </c>
      <c r="F6422" s="2" t="s">
        <v>822</v>
      </c>
      <c r="G6422" s="23" t="s">
        <v>902</v>
      </c>
      <c r="H6422" s="2" t="s">
        <v>822</v>
      </c>
      <c r="J6422" s="31">
        <v>58.771999399999999</v>
      </c>
      <c r="K6422" s="31">
        <v>-35.212001800000003</v>
      </c>
      <c r="L6422" s="31"/>
      <c r="M6422" s="31" t="s">
        <v>854</v>
      </c>
      <c r="N6422" s="6" t="s">
        <v>856</v>
      </c>
    </row>
    <row r="6423" spans="1:14" ht="15" customHeight="1" x14ac:dyDescent="0.2">
      <c r="A6423" s="31">
        <v>0.195161530538106</v>
      </c>
      <c r="B6423" s="31"/>
      <c r="C6423" s="2" t="s">
        <v>855</v>
      </c>
      <c r="D6423" s="31">
        <f t="shared" si="194"/>
        <v>3.8251659985468776E-2</v>
      </c>
      <c r="F6423" s="2" t="s">
        <v>822</v>
      </c>
      <c r="G6423" s="23" t="s">
        <v>902</v>
      </c>
      <c r="H6423" s="2" t="s">
        <v>822</v>
      </c>
      <c r="J6423" s="31">
        <v>63.739101400000003</v>
      </c>
      <c r="K6423" s="31">
        <v>-24.597400700000001</v>
      </c>
      <c r="L6423" s="31"/>
      <c r="M6423" s="31" t="s">
        <v>854</v>
      </c>
      <c r="N6423" s="6" t="s">
        <v>856</v>
      </c>
    </row>
    <row r="6424" spans="1:14" ht="15" customHeight="1" x14ac:dyDescent="0.2">
      <c r="A6424" s="31">
        <v>0.19500425757694509</v>
      </c>
      <c r="B6424" s="31"/>
      <c r="C6424" s="2" t="s">
        <v>855</v>
      </c>
      <c r="D6424" s="31">
        <f t="shared" si="194"/>
        <v>3.8220834485081241E-2</v>
      </c>
      <c r="F6424" s="2" t="s">
        <v>822</v>
      </c>
      <c r="G6424" s="23" t="s">
        <v>902</v>
      </c>
      <c r="H6424" s="2" t="s">
        <v>822</v>
      </c>
      <c r="J6424" s="31">
        <v>56.099998499999998</v>
      </c>
      <c r="K6424" s="31">
        <v>-38.551998099999999</v>
      </c>
      <c r="L6424" s="31"/>
      <c r="M6424" s="31" t="s">
        <v>854</v>
      </c>
      <c r="N6424" s="6" t="s">
        <v>856</v>
      </c>
    </row>
    <row r="6425" spans="1:14" ht="15" customHeight="1" x14ac:dyDescent="0.2">
      <c r="A6425" s="31">
        <v>0.19495218037445419</v>
      </c>
      <c r="B6425" s="31"/>
      <c r="C6425" s="2" t="s">
        <v>855</v>
      </c>
      <c r="D6425" s="31">
        <f t="shared" si="194"/>
        <v>3.821062735339302E-2</v>
      </c>
      <c r="F6425" s="2" t="s">
        <v>822</v>
      </c>
      <c r="G6425" s="23" t="s">
        <v>902</v>
      </c>
      <c r="H6425" s="2" t="s">
        <v>822</v>
      </c>
      <c r="J6425" s="31">
        <v>49.686401400000001</v>
      </c>
      <c r="K6425" s="31">
        <v>-25.675500899999999</v>
      </c>
      <c r="L6425" s="31"/>
      <c r="M6425" s="31" t="s">
        <v>854</v>
      </c>
      <c r="N6425" s="6" t="s">
        <v>856</v>
      </c>
    </row>
    <row r="6426" spans="1:14" ht="15" customHeight="1" x14ac:dyDescent="0.2">
      <c r="A6426" s="31">
        <v>0.19494372897422099</v>
      </c>
      <c r="B6426" s="31"/>
      <c r="C6426" s="2" t="s">
        <v>855</v>
      </c>
      <c r="D6426" s="31">
        <f t="shared" si="194"/>
        <v>3.8208970878947313E-2</v>
      </c>
      <c r="F6426" s="2" t="s">
        <v>822</v>
      </c>
      <c r="G6426" s="23" t="s">
        <v>902</v>
      </c>
      <c r="H6426" s="2" t="s">
        <v>822</v>
      </c>
      <c r="J6426" s="31">
        <v>60.776001000000001</v>
      </c>
      <c r="K6426" s="31">
        <v>-9.1599997999999996</v>
      </c>
      <c r="L6426" s="31"/>
      <c r="M6426" s="31" t="s">
        <v>854</v>
      </c>
      <c r="N6426" s="6" t="s">
        <v>856</v>
      </c>
    </row>
    <row r="6427" spans="1:14" ht="15" customHeight="1" x14ac:dyDescent="0.2">
      <c r="A6427" s="31">
        <v>0.19491814697258311</v>
      </c>
      <c r="B6427" s="31"/>
      <c r="C6427" s="2" t="s">
        <v>855</v>
      </c>
      <c r="D6427" s="31">
        <f t="shared" si="194"/>
        <v>3.8203956806626291E-2</v>
      </c>
      <c r="F6427" s="2" t="s">
        <v>822</v>
      </c>
      <c r="G6427" s="23" t="s">
        <v>902</v>
      </c>
      <c r="H6427" s="2" t="s">
        <v>822</v>
      </c>
      <c r="J6427" s="31">
        <v>63.717601799999997</v>
      </c>
      <c r="K6427" s="31">
        <v>-13.3822002</v>
      </c>
      <c r="L6427" s="31"/>
      <c r="M6427" s="31" t="s">
        <v>854</v>
      </c>
      <c r="N6427" s="6" t="s">
        <v>856</v>
      </c>
    </row>
    <row r="6428" spans="1:14" ht="15" customHeight="1" x14ac:dyDescent="0.2">
      <c r="A6428" s="31">
        <v>0.19478007044024701</v>
      </c>
      <c r="B6428" s="31"/>
      <c r="C6428" s="2" t="s">
        <v>855</v>
      </c>
      <c r="D6428" s="31">
        <f t="shared" si="194"/>
        <v>3.8176893806288414E-2</v>
      </c>
      <c r="F6428" s="2" t="s">
        <v>822</v>
      </c>
      <c r="G6428" s="23" t="s">
        <v>902</v>
      </c>
      <c r="H6428" s="2" t="s">
        <v>822</v>
      </c>
      <c r="J6428" s="31">
        <v>60.108001700000003</v>
      </c>
      <c r="K6428" s="31">
        <v>-35.880001100000001</v>
      </c>
      <c r="L6428" s="31"/>
      <c r="M6428" s="31" t="s">
        <v>854</v>
      </c>
      <c r="N6428" s="6" t="s">
        <v>856</v>
      </c>
    </row>
    <row r="6429" spans="1:14" ht="15" customHeight="1" x14ac:dyDescent="0.2">
      <c r="A6429" s="31">
        <v>0.1945763359521922</v>
      </c>
      <c r="B6429" s="31"/>
      <c r="C6429" s="2" t="s">
        <v>855</v>
      </c>
      <c r="D6429" s="31">
        <f t="shared" si="194"/>
        <v>3.8136961846629673E-2</v>
      </c>
      <c r="F6429" s="2" t="s">
        <v>822</v>
      </c>
      <c r="G6429" s="23" t="s">
        <v>902</v>
      </c>
      <c r="H6429" s="2" t="s">
        <v>822</v>
      </c>
      <c r="J6429" s="31">
        <v>63.448001900000001</v>
      </c>
      <c r="K6429" s="31">
        <v>-27.864000300000001</v>
      </c>
      <c r="L6429" s="31"/>
      <c r="M6429" s="31" t="s">
        <v>854</v>
      </c>
      <c r="N6429" s="6" t="s">
        <v>856</v>
      </c>
    </row>
    <row r="6430" spans="1:14" ht="15" customHeight="1" x14ac:dyDescent="0.2">
      <c r="A6430" s="31">
        <v>0.19423300982439479</v>
      </c>
      <c r="B6430" s="31"/>
      <c r="C6430" s="2" t="s">
        <v>855</v>
      </c>
      <c r="D6430" s="31">
        <f t="shared" si="194"/>
        <v>3.8069669925581383E-2</v>
      </c>
      <c r="F6430" s="2" t="s">
        <v>822</v>
      </c>
      <c r="G6430" s="23" t="s">
        <v>902</v>
      </c>
      <c r="H6430" s="2" t="s">
        <v>822</v>
      </c>
      <c r="J6430" s="31">
        <v>58.1040001</v>
      </c>
      <c r="K6430" s="31">
        <v>-13.8360004</v>
      </c>
      <c r="L6430" s="31"/>
      <c r="M6430" s="31" t="s">
        <v>854</v>
      </c>
      <c r="N6430" s="6" t="s">
        <v>856</v>
      </c>
    </row>
    <row r="6431" spans="1:14" ht="15" customHeight="1" x14ac:dyDescent="0.2">
      <c r="A6431" s="31">
        <v>0.19412809204233639</v>
      </c>
      <c r="B6431" s="31"/>
      <c r="C6431" s="2" t="s">
        <v>855</v>
      </c>
      <c r="D6431" s="31">
        <f t="shared" si="194"/>
        <v>3.8049106040297931E-2</v>
      </c>
      <c r="F6431" s="2" t="s">
        <v>822</v>
      </c>
      <c r="G6431" s="23" t="s">
        <v>902</v>
      </c>
      <c r="H6431" s="2" t="s">
        <v>822</v>
      </c>
      <c r="J6431" s="31">
        <v>60.108001700000003</v>
      </c>
      <c r="K6431" s="31">
        <v>-15.8400002</v>
      </c>
      <c r="L6431" s="31"/>
      <c r="M6431" s="31" t="s">
        <v>854</v>
      </c>
      <c r="N6431" s="6" t="s">
        <v>856</v>
      </c>
    </row>
    <row r="6432" spans="1:14" ht="15" customHeight="1" x14ac:dyDescent="0.2">
      <c r="A6432" s="31">
        <v>0.1937991080523119</v>
      </c>
      <c r="B6432" s="31"/>
      <c r="C6432" s="2" t="s">
        <v>855</v>
      </c>
      <c r="D6432" s="31">
        <f t="shared" si="194"/>
        <v>3.7984625178253136E-2</v>
      </c>
      <c r="F6432" s="2" t="s">
        <v>822</v>
      </c>
      <c r="G6432" s="23" t="s">
        <v>902</v>
      </c>
      <c r="H6432" s="2" t="s">
        <v>822</v>
      </c>
      <c r="J6432" s="31">
        <v>65.4546967</v>
      </c>
      <c r="K6432" s="31">
        <v>-24.357200599999999</v>
      </c>
      <c r="L6432" s="31"/>
      <c r="M6432" s="31" t="s">
        <v>854</v>
      </c>
      <c r="N6432" s="6" t="s">
        <v>856</v>
      </c>
    </row>
    <row r="6433" spans="1:14" ht="15" customHeight="1" x14ac:dyDescent="0.2">
      <c r="A6433" s="31">
        <v>0.1937628190556164</v>
      </c>
      <c r="B6433" s="31"/>
      <c r="C6433" s="2" t="s">
        <v>855</v>
      </c>
      <c r="D6433" s="31">
        <f t="shared" si="194"/>
        <v>3.7977512534900816E-2</v>
      </c>
      <c r="F6433" s="2" t="s">
        <v>822</v>
      </c>
      <c r="G6433" s="23" t="s">
        <v>902</v>
      </c>
      <c r="H6433" s="2" t="s">
        <v>822</v>
      </c>
      <c r="J6433" s="31">
        <v>54.096000699999998</v>
      </c>
      <c r="K6433" s="31">
        <v>-33.875999499999999</v>
      </c>
      <c r="L6433" s="31"/>
      <c r="M6433" s="31" t="s">
        <v>854</v>
      </c>
      <c r="N6433" s="6" t="s">
        <v>856</v>
      </c>
    </row>
    <row r="6434" spans="1:14" ht="15" customHeight="1" x14ac:dyDescent="0.2">
      <c r="A6434" s="31">
        <v>0.19323564913964439</v>
      </c>
      <c r="B6434" s="31"/>
      <c r="C6434" s="2" t="s">
        <v>855</v>
      </c>
      <c r="D6434" s="31">
        <f t="shared" si="194"/>
        <v>3.7874187231370302E-2</v>
      </c>
      <c r="F6434" s="2" t="s">
        <v>822</v>
      </c>
      <c r="G6434" s="23" t="s">
        <v>902</v>
      </c>
      <c r="H6434" s="2" t="s">
        <v>822</v>
      </c>
      <c r="J6434" s="31">
        <v>63.448001900000001</v>
      </c>
      <c r="K6434" s="31">
        <v>4.1999997999999996</v>
      </c>
      <c r="L6434" s="31"/>
      <c r="M6434" s="31" t="s">
        <v>854</v>
      </c>
      <c r="N6434" s="6" t="s">
        <v>856</v>
      </c>
    </row>
    <row r="6435" spans="1:14" ht="15" customHeight="1" x14ac:dyDescent="0.2">
      <c r="A6435" s="31">
        <v>0.19317111006823551</v>
      </c>
      <c r="B6435" s="31"/>
      <c r="C6435" s="2" t="s">
        <v>855</v>
      </c>
      <c r="D6435" s="31">
        <f t="shared" si="194"/>
        <v>3.7861537573374161E-2</v>
      </c>
      <c r="F6435" s="2" t="s">
        <v>822</v>
      </c>
      <c r="G6435" s="23" t="s">
        <v>902</v>
      </c>
      <c r="H6435" s="2" t="s">
        <v>822</v>
      </c>
      <c r="J6435" s="31">
        <v>66.120002700000001</v>
      </c>
      <c r="K6435" s="31">
        <v>8.8760004000000006</v>
      </c>
      <c r="L6435" s="31"/>
      <c r="M6435" s="31" t="s">
        <v>854</v>
      </c>
      <c r="N6435" s="6" t="s">
        <v>856</v>
      </c>
    </row>
    <row r="6436" spans="1:14" ht="15" customHeight="1" x14ac:dyDescent="0.2">
      <c r="A6436" s="31">
        <v>0.1931307638276164</v>
      </c>
      <c r="B6436" s="31"/>
      <c r="C6436" s="2" t="s">
        <v>855</v>
      </c>
      <c r="D6436" s="31">
        <f t="shared" si="194"/>
        <v>3.7853629710212819E-2</v>
      </c>
      <c r="F6436" s="2" t="s">
        <v>822</v>
      </c>
      <c r="G6436" s="23" t="s">
        <v>902</v>
      </c>
      <c r="H6436" s="2" t="s">
        <v>822</v>
      </c>
      <c r="J6436" s="31">
        <v>65.538597100000004</v>
      </c>
      <c r="K6436" s="31">
        <v>8.1844500999999994</v>
      </c>
      <c r="L6436" s="31"/>
      <c r="M6436" s="31" t="s">
        <v>854</v>
      </c>
      <c r="N6436" s="6" t="s">
        <v>856</v>
      </c>
    </row>
    <row r="6437" spans="1:14" ht="15" customHeight="1" x14ac:dyDescent="0.2">
      <c r="A6437" s="31">
        <v>0.1931260950691954</v>
      </c>
      <c r="B6437" s="31"/>
      <c r="C6437" s="2" t="s">
        <v>855</v>
      </c>
      <c r="D6437" s="31">
        <f t="shared" si="194"/>
        <v>3.7852714633562302E-2</v>
      </c>
      <c r="F6437" s="2" t="s">
        <v>822</v>
      </c>
      <c r="G6437" s="23" t="s">
        <v>902</v>
      </c>
      <c r="H6437" s="2" t="s">
        <v>822</v>
      </c>
      <c r="J6437" s="31">
        <v>62.111999500000003</v>
      </c>
      <c r="K6437" s="31">
        <v>-27.195999100000002</v>
      </c>
      <c r="L6437" s="31"/>
      <c r="M6437" s="31" t="s">
        <v>854</v>
      </c>
      <c r="N6437" s="6" t="s">
        <v>856</v>
      </c>
    </row>
    <row r="6438" spans="1:14" ht="15" customHeight="1" x14ac:dyDescent="0.2">
      <c r="A6438" s="31">
        <v>0.1925083321495194</v>
      </c>
      <c r="B6438" s="31"/>
      <c r="C6438" s="2" t="s">
        <v>855</v>
      </c>
      <c r="D6438" s="31">
        <f t="shared" si="194"/>
        <v>3.7731633101305805E-2</v>
      </c>
      <c r="F6438" s="2" t="s">
        <v>822</v>
      </c>
      <c r="G6438" s="23" t="s">
        <v>902</v>
      </c>
      <c r="H6438" s="2" t="s">
        <v>822</v>
      </c>
      <c r="J6438" s="31">
        <v>53.428001399999999</v>
      </c>
      <c r="K6438" s="31">
        <v>-31.204000499999999</v>
      </c>
      <c r="L6438" s="31"/>
      <c r="M6438" s="31" t="s">
        <v>854</v>
      </c>
      <c r="N6438" s="6" t="s">
        <v>856</v>
      </c>
    </row>
    <row r="6439" spans="1:14" ht="15" customHeight="1" x14ac:dyDescent="0.2">
      <c r="A6439" s="31">
        <v>0.19224140516301369</v>
      </c>
      <c r="B6439" s="31"/>
      <c r="C6439" s="2" t="s">
        <v>855</v>
      </c>
      <c r="D6439" s="31">
        <f t="shared" si="194"/>
        <v>3.7679315411950687E-2</v>
      </c>
      <c r="F6439" s="2" t="s">
        <v>822</v>
      </c>
      <c r="G6439" s="23" t="s">
        <v>902</v>
      </c>
      <c r="H6439" s="2" t="s">
        <v>822</v>
      </c>
      <c r="J6439" s="31">
        <v>57.436000800000002</v>
      </c>
      <c r="K6439" s="31">
        <v>-30.5359993</v>
      </c>
      <c r="L6439" s="31"/>
      <c r="M6439" s="31" t="s">
        <v>854</v>
      </c>
      <c r="N6439" s="6" t="s">
        <v>856</v>
      </c>
    </row>
    <row r="6440" spans="1:14" ht="15" customHeight="1" x14ac:dyDescent="0.2">
      <c r="A6440" s="31">
        <v>0.19200798928113069</v>
      </c>
      <c r="B6440" s="31"/>
      <c r="C6440" s="2" t="s">
        <v>855</v>
      </c>
      <c r="D6440" s="31">
        <f t="shared" si="194"/>
        <v>3.763356589910162E-2</v>
      </c>
      <c r="F6440" s="2" t="s">
        <v>822</v>
      </c>
      <c r="G6440" s="23" t="s">
        <v>902</v>
      </c>
      <c r="H6440" s="2" t="s">
        <v>822</v>
      </c>
      <c r="J6440" s="31">
        <v>58.771999399999999</v>
      </c>
      <c r="K6440" s="31">
        <v>-35.880001100000001</v>
      </c>
      <c r="L6440" s="31"/>
      <c r="M6440" s="31" t="s">
        <v>854</v>
      </c>
      <c r="N6440" s="6" t="s">
        <v>856</v>
      </c>
    </row>
    <row r="6441" spans="1:14" ht="15" customHeight="1" x14ac:dyDescent="0.2">
      <c r="A6441" s="31">
        <v>0.19198009117673129</v>
      </c>
      <c r="B6441" s="31"/>
      <c r="C6441" s="2" t="s">
        <v>855</v>
      </c>
      <c r="D6441" s="31">
        <f t="shared" si="194"/>
        <v>3.7628097870639331E-2</v>
      </c>
      <c r="F6441" s="2" t="s">
        <v>822</v>
      </c>
      <c r="G6441" s="23" t="s">
        <v>902</v>
      </c>
      <c r="H6441" s="2" t="s">
        <v>822</v>
      </c>
      <c r="J6441" s="31">
        <v>61.444000199999998</v>
      </c>
      <c r="K6441" s="31">
        <v>-29.200000800000002</v>
      </c>
      <c r="L6441" s="31"/>
      <c r="M6441" s="31" t="s">
        <v>854</v>
      </c>
      <c r="N6441" s="6" t="s">
        <v>856</v>
      </c>
    </row>
    <row r="6442" spans="1:14" ht="15" customHeight="1" x14ac:dyDescent="0.2">
      <c r="A6442" s="31">
        <v>0.1919609003414452</v>
      </c>
      <c r="B6442" s="31"/>
      <c r="C6442" s="2" t="s">
        <v>855</v>
      </c>
      <c r="D6442" s="31">
        <f t="shared" si="194"/>
        <v>3.7624336466923258E-2</v>
      </c>
      <c r="F6442" s="2" t="s">
        <v>822</v>
      </c>
      <c r="G6442" s="23" t="s">
        <v>902</v>
      </c>
      <c r="H6442" s="2" t="s">
        <v>822</v>
      </c>
      <c r="J6442" s="31">
        <v>53.428001399999999</v>
      </c>
      <c r="K6442" s="31">
        <v>-35.880001100000001</v>
      </c>
      <c r="L6442" s="31"/>
      <c r="M6442" s="31" t="s">
        <v>854</v>
      </c>
      <c r="N6442" s="6" t="s">
        <v>856</v>
      </c>
    </row>
    <row r="6443" spans="1:14" ht="15" customHeight="1" x14ac:dyDescent="0.2">
      <c r="A6443" s="31">
        <v>0.19193475694156201</v>
      </c>
      <c r="B6443" s="31"/>
      <c r="C6443" s="2" t="s">
        <v>855</v>
      </c>
      <c r="D6443" s="31">
        <f t="shared" si="194"/>
        <v>3.7619212360546155E-2</v>
      </c>
      <c r="F6443" s="2" t="s">
        <v>822</v>
      </c>
      <c r="G6443" s="23" t="s">
        <v>902</v>
      </c>
      <c r="H6443" s="2" t="s">
        <v>822</v>
      </c>
      <c r="J6443" s="31">
        <v>61.891498599999998</v>
      </c>
      <c r="K6443" s="31">
        <v>2.2202499000000002</v>
      </c>
      <c r="L6443" s="31"/>
      <c r="M6443" s="31" t="s">
        <v>854</v>
      </c>
      <c r="N6443" s="6" t="s">
        <v>856</v>
      </c>
    </row>
    <row r="6444" spans="1:14" ht="15" customHeight="1" x14ac:dyDescent="0.2">
      <c r="A6444" s="31">
        <v>0.19182840060713219</v>
      </c>
      <c r="B6444" s="31"/>
      <c r="C6444" s="2" t="s">
        <v>855</v>
      </c>
      <c r="D6444" s="31">
        <f t="shared" si="194"/>
        <v>3.7598366518997908E-2</v>
      </c>
      <c r="F6444" s="2" t="s">
        <v>822</v>
      </c>
      <c r="G6444" s="23" t="s">
        <v>902</v>
      </c>
      <c r="H6444" s="2" t="s">
        <v>822</v>
      </c>
      <c r="J6444" s="31">
        <v>55.4319992</v>
      </c>
      <c r="K6444" s="31">
        <v>-23.856000900000002</v>
      </c>
      <c r="L6444" s="31"/>
      <c r="M6444" s="31" t="s">
        <v>854</v>
      </c>
      <c r="N6444" s="6" t="s">
        <v>856</v>
      </c>
    </row>
    <row r="6445" spans="1:14" ht="15" customHeight="1" x14ac:dyDescent="0.2">
      <c r="A6445" s="31">
        <v>0.19140953254061499</v>
      </c>
      <c r="B6445" s="31"/>
      <c r="C6445" s="2" t="s">
        <v>855</v>
      </c>
      <c r="D6445" s="31">
        <f t="shared" si="194"/>
        <v>3.7516268377960536E-2</v>
      </c>
      <c r="F6445" s="2" t="s">
        <v>822</v>
      </c>
      <c r="G6445" s="23" t="s">
        <v>902</v>
      </c>
      <c r="H6445" s="2" t="s">
        <v>822</v>
      </c>
      <c r="J6445" s="31">
        <v>61.444000199999998</v>
      </c>
      <c r="K6445" s="31">
        <v>-36.476699799999999</v>
      </c>
      <c r="L6445" s="31"/>
      <c r="M6445" s="31" t="s">
        <v>854</v>
      </c>
      <c r="N6445" s="6" t="s">
        <v>856</v>
      </c>
    </row>
    <row r="6446" spans="1:14" ht="15" customHeight="1" x14ac:dyDescent="0.2">
      <c r="A6446" s="31">
        <v>0.19139011701244399</v>
      </c>
      <c r="B6446" s="31"/>
      <c r="C6446" s="2" t="s">
        <v>855</v>
      </c>
      <c r="D6446" s="31">
        <f t="shared" si="194"/>
        <v>3.7512462934439023E-2</v>
      </c>
      <c r="F6446" s="2" t="s">
        <v>822</v>
      </c>
      <c r="G6446" s="23" t="s">
        <v>902</v>
      </c>
      <c r="H6446" s="2" t="s">
        <v>822</v>
      </c>
      <c r="J6446" s="31">
        <v>67.805900600000001</v>
      </c>
      <c r="K6446" s="31">
        <v>9.7592096000000002</v>
      </c>
      <c r="L6446" s="31"/>
      <c r="M6446" s="31" t="s">
        <v>854</v>
      </c>
      <c r="N6446" s="6" t="s">
        <v>856</v>
      </c>
    </row>
    <row r="6447" spans="1:14" ht="15" customHeight="1" x14ac:dyDescent="0.2">
      <c r="A6447" s="31">
        <v>0.19137799180624229</v>
      </c>
      <c r="B6447" s="31"/>
      <c r="C6447" s="2" t="s">
        <v>855</v>
      </c>
      <c r="D6447" s="31">
        <f t="shared" si="194"/>
        <v>3.7510086394023492E-2</v>
      </c>
      <c r="F6447" s="2" t="s">
        <v>822</v>
      </c>
      <c r="G6447" s="23" t="s">
        <v>902</v>
      </c>
      <c r="H6447" s="2" t="s">
        <v>822</v>
      </c>
      <c r="J6447" s="31">
        <v>56.099998499999998</v>
      </c>
      <c r="K6447" s="31">
        <v>-36.548000299999998</v>
      </c>
      <c r="L6447" s="31"/>
      <c r="M6447" s="31" t="s">
        <v>854</v>
      </c>
      <c r="N6447" s="6" t="s">
        <v>856</v>
      </c>
    </row>
    <row r="6448" spans="1:14" ht="15" customHeight="1" x14ac:dyDescent="0.2">
      <c r="A6448" s="31">
        <v>0.19109713500937181</v>
      </c>
      <c r="B6448" s="31"/>
      <c r="C6448" s="2" t="s">
        <v>855</v>
      </c>
      <c r="D6448" s="31">
        <f t="shared" si="194"/>
        <v>3.7455038461836877E-2</v>
      </c>
      <c r="F6448" s="2" t="s">
        <v>822</v>
      </c>
      <c r="G6448" s="23" t="s">
        <v>902</v>
      </c>
      <c r="H6448" s="2" t="s">
        <v>822</v>
      </c>
      <c r="J6448" s="31">
        <v>62.779998800000001</v>
      </c>
      <c r="K6448" s="31">
        <v>-30.5359993</v>
      </c>
      <c r="L6448" s="31"/>
      <c r="M6448" s="31" t="s">
        <v>854</v>
      </c>
      <c r="N6448" s="6" t="s">
        <v>856</v>
      </c>
    </row>
    <row r="6449" spans="1:14" ht="15" customHeight="1" x14ac:dyDescent="0.2">
      <c r="A6449" s="31">
        <v>0.19074521776843201</v>
      </c>
      <c r="B6449" s="31"/>
      <c r="C6449" s="2" t="s">
        <v>855</v>
      </c>
      <c r="D6449" s="31">
        <f t="shared" si="194"/>
        <v>3.7386062682612672E-2</v>
      </c>
      <c r="F6449" s="2" t="s">
        <v>822</v>
      </c>
      <c r="G6449" s="23" t="s">
        <v>902</v>
      </c>
      <c r="H6449" s="2" t="s">
        <v>822</v>
      </c>
      <c r="J6449" s="31">
        <v>55.4319992</v>
      </c>
      <c r="K6449" s="31">
        <v>-39.888000499999997</v>
      </c>
      <c r="L6449" s="31"/>
      <c r="M6449" s="31" t="s">
        <v>854</v>
      </c>
      <c r="N6449" s="6" t="s">
        <v>856</v>
      </c>
    </row>
    <row r="6450" spans="1:14" ht="15" customHeight="1" x14ac:dyDescent="0.2">
      <c r="A6450" s="31">
        <v>0.19070129876561051</v>
      </c>
      <c r="B6450" s="31"/>
      <c r="C6450" s="2" t="s">
        <v>855</v>
      </c>
      <c r="D6450" s="31">
        <f t="shared" si="194"/>
        <v>3.7377454558059658E-2</v>
      </c>
      <c r="F6450" s="2" t="s">
        <v>822</v>
      </c>
      <c r="G6450" s="23" t="s">
        <v>902</v>
      </c>
      <c r="H6450" s="2" t="s">
        <v>822</v>
      </c>
      <c r="J6450" s="31">
        <v>64.103897099999998</v>
      </c>
      <c r="K6450" s="31">
        <v>-26.537700699999998</v>
      </c>
      <c r="L6450" s="31"/>
      <c r="M6450" s="31" t="s">
        <v>854</v>
      </c>
      <c r="N6450" s="6" t="s">
        <v>856</v>
      </c>
    </row>
    <row r="6451" spans="1:14" ht="15" customHeight="1" x14ac:dyDescent="0.2">
      <c r="A6451" s="31">
        <v>0.19069815823386141</v>
      </c>
      <c r="B6451" s="31"/>
      <c r="C6451" s="2" t="s">
        <v>855</v>
      </c>
      <c r="D6451" s="31">
        <f t="shared" si="194"/>
        <v>3.7376839013836836E-2</v>
      </c>
      <c r="F6451" s="2" t="s">
        <v>822</v>
      </c>
      <c r="G6451" s="23" t="s">
        <v>902</v>
      </c>
      <c r="H6451" s="2" t="s">
        <v>822</v>
      </c>
      <c r="J6451" s="31">
        <v>63.008598300000003</v>
      </c>
      <c r="K6451" s="31">
        <v>-22.933200800000002</v>
      </c>
      <c r="L6451" s="31"/>
      <c r="M6451" s="31" t="s">
        <v>854</v>
      </c>
      <c r="N6451" s="6" t="s">
        <v>856</v>
      </c>
    </row>
    <row r="6452" spans="1:14" ht="15" customHeight="1" x14ac:dyDescent="0.2">
      <c r="A6452" s="31">
        <v>0.19066566044442729</v>
      </c>
      <c r="B6452" s="31"/>
      <c r="C6452" s="2" t="s">
        <v>855</v>
      </c>
      <c r="D6452" s="31">
        <f t="shared" si="194"/>
        <v>3.737046944710775E-2</v>
      </c>
      <c r="F6452" s="2" t="s">
        <v>822</v>
      </c>
      <c r="G6452" s="23" t="s">
        <v>902</v>
      </c>
      <c r="H6452" s="2" t="s">
        <v>822</v>
      </c>
      <c r="J6452" s="31">
        <v>57.436000800000002</v>
      </c>
      <c r="K6452" s="31">
        <v>-40.555999800000002</v>
      </c>
      <c r="L6452" s="31"/>
      <c r="M6452" s="31" t="s">
        <v>854</v>
      </c>
      <c r="N6452" s="6" t="s">
        <v>856</v>
      </c>
    </row>
    <row r="6453" spans="1:14" ht="15" customHeight="1" x14ac:dyDescent="0.2">
      <c r="A6453" s="31">
        <v>0.1906538830520588</v>
      </c>
      <c r="B6453" s="31"/>
      <c r="C6453" s="2" t="s">
        <v>855</v>
      </c>
      <c r="D6453" s="31">
        <f t="shared" si="194"/>
        <v>3.7368161078203524E-2</v>
      </c>
      <c r="F6453" s="2" t="s">
        <v>822</v>
      </c>
      <c r="G6453" s="23" t="s">
        <v>902</v>
      </c>
      <c r="H6453" s="2" t="s">
        <v>822</v>
      </c>
      <c r="J6453" s="31">
        <v>62.674598699999997</v>
      </c>
      <c r="K6453" s="31">
        <v>-17.176000599999998</v>
      </c>
      <c r="L6453" s="31"/>
      <c r="M6453" s="31" t="s">
        <v>854</v>
      </c>
      <c r="N6453" s="6" t="s">
        <v>856</v>
      </c>
    </row>
    <row r="6454" spans="1:14" ht="15" customHeight="1" x14ac:dyDescent="0.2">
      <c r="A6454" s="31">
        <v>0.19059775376802429</v>
      </c>
      <c r="B6454" s="31"/>
      <c r="C6454" s="2" t="s">
        <v>855</v>
      </c>
      <c r="D6454" s="31">
        <f t="shared" si="194"/>
        <v>3.7357159738532764E-2</v>
      </c>
      <c r="F6454" s="2" t="s">
        <v>822</v>
      </c>
      <c r="G6454" s="23" t="s">
        <v>902</v>
      </c>
      <c r="H6454" s="2" t="s">
        <v>822</v>
      </c>
      <c r="J6454" s="31">
        <v>65.135597200000007</v>
      </c>
      <c r="K6454" s="31">
        <v>-25.1919994</v>
      </c>
      <c r="L6454" s="31"/>
      <c r="M6454" s="31" t="s">
        <v>854</v>
      </c>
      <c r="N6454" s="6" t="s">
        <v>856</v>
      </c>
    </row>
    <row r="6455" spans="1:14" ht="15" customHeight="1" x14ac:dyDescent="0.2">
      <c r="A6455" s="31">
        <v>0.19018232399638141</v>
      </c>
      <c r="B6455" s="31"/>
      <c r="C6455" s="2" t="s">
        <v>855</v>
      </c>
      <c r="D6455" s="31">
        <f t="shared" si="194"/>
        <v>3.7275735503290761E-2</v>
      </c>
      <c r="F6455" s="2" t="s">
        <v>822</v>
      </c>
      <c r="G6455" s="23" t="s">
        <v>902</v>
      </c>
      <c r="H6455" s="2" t="s">
        <v>822</v>
      </c>
      <c r="J6455" s="31">
        <v>61.965599099999999</v>
      </c>
      <c r="K6455" s="31">
        <v>4.1999997999999996</v>
      </c>
      <c r="L6455" s="31"/>
      <c r="M6455" s="31" t="s">
        <v>854</v>
      </c>
      <c r="N6455" s="6" t="s">
        <v>856</v>
      </c>
    </row>
    <row r="6456" spans="1:14" ht="15" customHeight="1" x14ac:dyDescent="0.2">
      <c r="A6456" s="31">
        <v>0.1893154898100938</v>
      </c>
      <c r="B6456" s="31"/>
      <c r="C6456" s="2" t="s">
        <v>855</v>
      </c>
      <c r="D6456" s="31">
        <f t="shared" si="194"/>
        <v>3.7105836002778385E-2</v>
      </c>
      <c r="F6456" s="2" t="s">
        <v>822</v>
      </c>
      <c r="G6456" s="23" t="s">
        <v>902</v>
      </c>
      <c r="H6456" s="2" t="s">
        <v>822</v>
      </c>
      <c r="J6456" s="31">
        <v>67.456001299999997</v>
      </c>
      <c r="K6456" s="31">
        <v>11.5480003</v>
      </c>
      <c r="L6456" s="31"/>
      <c r="M6456" s="31" t="s">
        <v>854</v>
      </c>
      <c r="N6456" s="6" t="s">
        <v>856</v>
      </c>
    </row>
    <row r="6457" spans="1:14" ht="15" customHeight="1" x14ac:dyDescent="0.2">
      <c r="A6457" s="31">
        <v>0.18904288454971849</v>
      </c>
      <c r="B6457" s="31"/>
      <c r="C6457" s="2" t="s">
        <v>855</v>
      </c>
      <c r="D6457" s="31">
        <f t="shared" si="194"/>
        <v>3.7052405371744826E-2</v>
      </c>
      <c r="F6457" s="2" t="s">
        <v>822</v>
      </c>
      <c r="G6457" s="23" t="s">
        <v>902</v>
      </c>
      <c r="H6457" s="2" t="s">
        <v>822</v>
      </c>
      <c r="J6457" s="31">
        <v>56.768001599999998</v>
      </c>
      <c r="K6457" s="31">
        <v>-29.867999999999999</v>
      </c>
      <c r="L6457" s="31"/>
      <c r="M6457" s="31" t="s">
        <v>854</v>
      </c>
      <c r="N6457" s="6" t="s">
        <v>856</v>
      </c>
    </row>
    <row r="6458" spans="1:14" ht="15" customHeight="1" x14ac:dyDescent="0.2">
      <c r="A6458" s="31">
        <v>0.1889417522379378</v>
      </c>
      <c r="B6458" s="31"/>
      <c r="C6458" s="2" t="s">
        <v>855</v>
      </c>
      <c r="D6458" s="31">
        <f t="shared" si="194"/>
        <v>3.7032583438635809E-2</v>
      </c>
      <c r="F6458" s="2" t="s">
        <v>822</v>
      </c>
      <c r="G6458" s="23" t="s">
        <v>902</v>
      </c>
      <c r="H6458" s="2" t="s">
        <v>822</v>
      </c>
      <c r="J6458" s="31">
        <v>61.050098400000003</v>
      </c>
      <c r="K6458" s="31">
        <v>-6.7570499999999996</v>
      </c>
      <c r="L6458" s="31"/>
      <c r="M6458" s="31" t="s">
        <v>854</v>
      </c>
      <c r="N6458" s="6" t="s">
        <v>856</v>
      </c>
    </row>
    <row r="6459" spans="1:14" ht="15" customHeight="1" x14ac:dyDescent="0.2">
      <c r="A6459" s="31">
        <v>0.18893267946059131</v>
      </c>
      <c r="B6459" s="31"/>
      <c r="C6459" s="2" t="s">
        <v>855</v>
      </c>
      <c r="D6459" s="31">
        <f t="shared" si="194"/>
        <v>3.7030805174275899E-2</v>
      </c>
      <c r="F6459" s="2" t="s">
        <v>822</v>
      </c>
      <c r="G6459" s="23" t="s">
        <v>902</v>
      </c>
      <c r="H6459" s="2" t="s">
        <v>822</v>
      </c>
      <c r="J6459" s="31">
        <v>62.111999500000003</v>
      </c>
      <c r="K6459" s="31">
        <v>-27.864000300000001</v>
      </c>
      <c r="L6459" s="31"/>
      <c r="M6459" s="31" t="s">
        <v>854</v>
      </c>
      <c r="N6459" s="6" t="s">
        <v>856</v>
      </c>
    </row>
    <row r="6460" spans="1:14" ht="15" customHeight="1" x14ac:dyDescent="0.2">
      <c r="A6460" s="31">
        <v>0.18868141916301701</v>
      </c>
      <c r="B6460" s="31"/>
      <c r="C6460" s="2" t="s">
        <v>855</v>
      </c>
      <c r="D6460" s="31">
        <f t="shared" si="194"/>
        <v>3.6981558155951333E-2</v>
      </c>
      <c r="F6460" s="2" t="s">
        <v>822</v>
      </c>
      <c r="G6460" s="23" t="s">
        <v>902</v>
      </c>
      <c r="H6460" s="2" t="s">
        <v>822</v>
      </c>
      <c r="J6460" s="31">
        <v>58.1040001</v>
      </c>
      <c r="K6460" s="31">
        <v>-32.540000900000003</v>
      </c>
      <c r="L6460" s="31"/>
      <c r="M6460" s="31" t="s">
        <v>854</v>
      </c>
      <c r="N6460" s="6" t="s">
        <v>856</v>
      </c>
    </row>
    <row r="6461" spans="1:14" ht="15" customHeight="1" x14ac:dyDescent="0.2">
      <c r="A6461" s="31">
        <v>0.1885477529909288</v>
      </c>
      <c r="B6461" s="31"/>
      <c r="C6461" s="2" t="s">
        <v>855</v>
      </c>
      <c r="D6461" s="31">
        <f t="shared" si="194"/>
        <v>3.6955359586222043E-2</v>
      </c>
      <c r="F6461" s="2" t="s">
        <v>822</v>
      </c>
      <c r="G6461" s="23" t="s">
        <v>902</v>
      </c>
      <c r="H6461" s="2" t="s">
        <v>822</v>
      </c>
      <c r="J6461" s="31">
        <v>55.4319992</v>
      </c>
      <c r="K6461" s="31">
        <v>-35.880001100000001</v>
      </c>
      <c r="L6461" s="31"/>
      <c r="M6461" s="31" t="s">
        <v>854</v>
      </c>
      <c r="N6461" s="6" t="s">
        <v>856</v>
      </c>
    </row>
    <row r="6462" spans="1:14" ht="15" customHeight="1" x14ac:dyDescent="0.2">
      <c r="A6462" s="31">
        <v>0.188201284669824</v>
      </c>
      <c r="B6462" s="31"/>
      <c r="C6462" s="2" t="s">
        <v>855</v>
      </c>
      <c r="D6462" s="31">
        <f t="shared" si="194"/>
        <v>3.6887451795285506E-2</v>
      </c>
      <c r="F6462" s="2" t="s">
        <v>822</v>
      </c>
      <c r="G6462" s="23" t="s">
        <v>902</v>
      </c>
      <c r="H6462" s="2" t="s">
        <v>822</v>
      </c>
      <c r="J6462" s="31">
        <v>56.099998499999998</v>
      </c>
      <c r="K6462" s="31">
        <v>-29.200000800000002</v>
      </c>
      <c r="L6462" s="31"/>
      <c r="M6462" s="31" t="s">
        <v>854</v>
      </c>
      <c r="N6462" s="6" t="s">
        <v>856</v>
      </c>
    </row>
    <row r="6463" spans="1:14" ht="15" customHeight="1" x14ac:dyDescent="0.2">
      <c r="A6463" s="31">
        <v>0.18798258970861129</v>
      </c>
      <c r="B6463" s="31"/>
      <c r="C6463" s="2" t="s">
        <v>855</v>
      </c>
      <c r="D6463" s="31">
        <f t="shared" si="194"/>
        <v>3.6844587582887812E-2</v>
      </c>
      <c r="F6463" s="2" t="s">
        <v>822</v>
      </c>
      <c r="G6463" s="23" t="s">
        <v>902</v>
      </c>
      <c r="H6463" s="2" t="s">
        <v>822</v>
      </c>
      <c r="J6463" s="31">
        <v>61.114101400000003</v>
      </c>
      <c r="K6463" s="31">
        <v>-41.560501100000003</v>
      </c>
      <c r="L6463" s="31"/>
      <c r="M6463" s="31" t="s">
        <v>854</v>
      </c>
      <c r="N6463" s="6" t="s">
        <v>856</v>
      </c>
    </row>
    <row r="6464" spans="1:14" ht="15" customHeight="1" x14ac:dyDescent="0.2">
      <c r="A6464" s="31">
        <v>0.1879379086816062</v>
      </c>
      <c r="B6464" s="31"/>
      <c r="C6464" s="2" t="s">
        <v>855</v>
      </c>
      <c r="D6464" s="31">
        <f t="shared" ref="D6464:D6527" si="195" xml:space="preserve"> A6464 * 0.196</f>
        <v>3.6835830101594816E-2</v>
      </c>
      <c r="F6464" s="2" t="s">
        <v>822</v>
      </c>
      <c r="G6464" s="23" t="s">
        <v>902</v>
      </c>
      <c r="H6464" s="2" t="s">
        <v>822</v>
      </c>
      <c r="J6464" s="31">
        <v>61.444000199999998</v>
      </c>
      <c r="K6464" s="31">
        <v>-30.5359993</v>
      </c>
      <c r="L6464" s="31"/>
      <c r="M6464" s="31" t="s">
        <v>854</v>
      </c>
      <c r="N6464" s="6" t="s">
        <v>856</v>
      </c>
    </row>
    <row r="6465" spans="1:14" ht="15" customHeight="1" x14ac:dyDescent="0.2">
      <c r="A6465" s="31">
        <v>0.18764838464580549</v>
      </c>
      <c r="B6465" s="31"/>
      <c r="C6465" s="2" t="s">
        <v>855</v>
      </c>
      <c r="D6465" s="31">
        <f t="shared" si="195"/>
        <v>3.677908339057788E-2</v>
      </c>
      <c r="F6465" s="2" t="s">
        <v>822</v>
      </c>
      <c r="G6465" s="23" t="s">
        <v>902</v>
      </c>
      <c r="H6465" s="2" t="s">
        <v>822</v>
      </c>
      <c r="J6465" s="31">
        <v>62.674598699999997</v>
      </c>
      <c r="K6465" s="31">
        <v>-23.856000900000002</v>
      </c>
      <c r="L6465" s="31"/>
      <c r="M6465" s="31" t="s">
        <v>854</v>
      </c>
      <c r="N6465" s="6" t="s">
        <v>856</v>
      </c>
    </row>
    <row r="6466" spans="1:14" ht="15" customHeight="1" x14ac:dyDescent="0.2">
      <c r="A6466" s="31">
        <v>0.18745655559154689</v>
      </c>
      <c r="B6466" s="31"/>
      <c r="C6466" s="2" t="s">
        <v>855</v>
      </c>
      <c r="D6466" s="31">
        <f t="shared" si="195"/>
        <v>3.6741484895943193E-2</v>
      </c>
      <c r="F6466" s="2" t="s">
        <v>822</v>
      </c>
      <c r="G6466" s="23" t="s">
        <v>902</v>
      </c>
      <c r="H6466" s="2" t="s">
        <v>822</v>
      </c>
      <c r="J6466" s="31">
        <v>62.111999500000003</v>
      </c>
      <c r="K6466" s="31">
        <v>-29.200000800000002</v>
      </c>
      <c r="L6466" s="31"/>
      <c r="M6466" s="31" t="s">
        <v>854</v>
      </c>
      <c r="N6466" s="6" t="s">
        <v>856</v>
      </c>
    </row>
    <row r="6467" spans="1:14" ht="15" customHeight="1" x14ac:dyDescent="0.2">
      <c r="A6467" s="31">
        <v>0.18745539715740819</v>
      </c>
      <c r="B6467" s="31"/>
      <c r="C6467" s="2" t="s">
        <v>855</v>
      </c>
      <c r="D6467" s="31">
        <f t="shared" si="195"/>
        <v>3.674125784285201E-2</v>
      </c>
      <c r="F6467" s="2" t="s">
        <v>822</v>
      </c>
      <c r="G6467" s="23" t="s">
        <v>902</v>
      </c>
      <c r="H6467" s="2" t="s">
        <v>822</v>
      </c>
      <c r="J6467" s="31">
        <v>61.444000199999998</v>
      </c>
      <c r="K6467" s="31">
        <v>-18.511999100000001</v>
      </c>
      <c r="L6467" s="31"/>
      <c r="M6467" s="31" t="s">
        <v>854</v>
      </c>
      <c r="N6467" s="6" t="s">
        <v>856</v>
      </c>
    </row>
    <row r="6468" spans="1:14" ht="15" customHeight="1" x14ac:dyDescent="0.2">
      <c r="A6468" s="31">
        <v>0.18732793263754319</v>
      </c>
      <c r="B6468" s="31"/>
      <c r="C6468" s="2" t="s">
        <v>855</v>
      </c>
      <c r="D6468" s="31">
        <f t="shared" si="195"/>
        <v>3.6716274796958465E-2</v>
      </c>
      <c r="F6468" s="2" t="s">
        <v>822</v>
      </c>
      <c r="G6468" s="23" t="s">
        <v>902</v>
      </c>
      <c r="H6468" s="2" t="s">
        <v>822</v>
      </c>
      <c r="J6468" s="31">
        <v>57.436000800000002</v>
      </c>
      <c r="K6468" s="31">
        <v>-39.888000499999997</v>
      </c>
      <c r="L6468" s="31"/>
      <c r="M6468" s="31" t="s">
        <v>854</v>
      </c>
      <c r="N6468" s="6" t="s">
        <v>856</v>
      </c>
    </row>
    <row r="6469" spans="1:14" ht="15" customHeight="1" x14ac:dyDescent="0.2">
      <c r="A6469" s="31">
        <v>0.1873120428040331</v>
      </c>
      <c r="B6469" s="31"/>
      <c r="C6469" s="2" t="s">
        <v>855</v>
      </c>
      <c r="D6469" s="31">
        <f t="shared" si="195"/>
        <v>3.6713160389590486E-2</v>
      </c>
      <c r="F6469" s="2" t="s">
        <v>822</v>
      </c>
      <c r="G6469" s="23" t="s">
        <v>902</v>
      </c>
      <c r="H6469" s="2" t="s">
        <v>822</v>
      </c>
      <c r="J6469" s="31">
        <v>60.776001000000001</v>
      </c>
      <c r="K6469" s="31">
        <v>-33.208000200000001</v>
      </c>
      <c r="L6469" s="31"/>
      <c r="M6469" s="31" t="s">
        <v>854</v>
      </c>
      <c r="N6469" s="6" t="s">
        <v>856</v>
      </c>
    </row>
    <row r="6470" spans="1:14" ht="15" customHeight="1" x14ac:dyDescent="0.2">
      <c r="A6470" s="31">
        <v>0.18720411732272499</v>
      </c>
      <c r="B6470" s="31"/>
      <c r="C6470" s="2" t="s">
        <v>855</v>
      </c>
      <c r="D6470" s="31">
        <f t="shared" si="195"/>
        <v>3.6692006995254101E-2</v>
      </c>
      <c r="F6470" s="2" t="s">
        <v>822</v>
      </c>
      <c r="G6470" s="23" t="s">
        <v>902</v>
      </c>
      <c r="H6470" s="2" t="s">
        <v>822</v>
      </c>
      <c r="J6470" s="31">
        <v>50.756000499999999</v>
      </c>
      <c r="K6470" s="31">
        <v>-36.548000299999998</v>
      </c>
      <c r="L6470" s="31"/>
      <c r="M6470" s="31" t="s">
        <v>854</v>
      </c>
      <c r="N6470" s="6" t="s">
        <v>856</v>
      </c>
    </row>
    <row r="6471" spans="1:14" ht="15" customHeight="1" x14ac:dyDescent="0.2">
      <c r="A6471" s="31">
        <v>0.1869183856492396</v>
      </c>
      <c r="B6471" s="31"/>
      <c r="C6471" s="2" t="s">
        <v>855</v>
      </c>
      <c r="D6471" s="31">
        <f t="shared" si="195"/>
        <v>3.6636003587250963E-2</v>
      </c>
      <c r="F6471" s="2" t="s">
        <v>822</v>
      </c>
      <c r="G6471" s="23" t="s">
        <v>902</v>
      </c>
      <c r="H6471" s="2" t="s">
        <v>822</v>
      </c>
      <c r="J6471" s="31">
        <v>59.439998600000003</v>
      </c>
      <c r="K6471" s="31">
        <v>-9.1599997999999996</v>
      </c>
      <c r="L6471" s="31"/>
      <c r="M6471" s="31" t="s">
        <v>854</v>
      </c>
      <c r="N6471" s="6" t="s">
        <v>856</v>
      </c>
    </row>
    <row r="6472" spans="1:14" ht="15" customHeight="1" x14ac:dyDescent="0.2">
      <c r="A6472" s="31">
        <v>0.18687921414322869</v>
      </c>
      <c r="B6472" s="31"/>
      <c r="C6472" s="2" t="s">
        <v>855</v>
      </c>
      <c r="D6472" s="31">
        <f t="shared" si="195"/>
        <v>3.6628325972072828E-2</v>
      </c>
      <c r="F6472" s="2" t="s">
        <v>822</v>
      </c>
      <c r="G6472" s="23" t="s">
        <v>902</v>
      </c>
      <c r="H6472" s="2" t="s">
        <v>822</v>
      </c>
      <c r="J6472" s="31">
        <v>64.115997300000004</v>
      </c>
      <c r="K6472" s="31">
        <v>-33.208000200000001</v>
      </c>
      <c r="L6472" s="31"/>
      <c r="M6472" s="31" t="s">
        <v>854</v>
      </c>
      <c r="N6472" s="6" t="s">
        <v>856</v>
      </c>
    </row>
    <row r="6473" spans="1:14" ht="15" customHeight="1" x14ac:dyDescent="0.2">
      <c r="A6473" s="31">
        <v>0.18685437995472259</v>
      </c>
      <c r="B6473" s="31"/>
      <c r="C6473" s="2" t="s">
        <v>855</v>
      </c>
      <c r="D6473" s="31">
        <f t="shared" si="195"/>
        <v>3.6623458471125629E-2</v>
      </c>
      <c r="F6473" s="2" t="s">
        <v>822</v>
      </c>
      <c r="G6473" s="23" t="s">
        <v>902</v>
      </c>
      <c r="H6473" s="2" t="s">
        <v>822</v>
      </c>
      <c r="J6473" s="31">
        <v>59.439998600000003</v>
      </c>
      <c r="K6473" s="31">
        <v>-21.184000000000001</v>
      </c>
      <c r="L6473" s="31"/>
      <c r="M6473" s="31" t="s">
        <v>854</v>
      </c>
      <c r="N6473" s="6" t="s">
        <v>856</v>
      </c>
    </row>
    <row r="6474" spans="1:14" ht="15" customHeight="1" x14ac:dyDescent="0.2">
      <c r="A6474" s="31">
        <v>0.18671411919258071</v>
      </c>
      <c r="B6474" s="31"/>
      <c r="C6474" s="2" t="s">
        <v>855</v>
      </c>
      <c r="D6474" s="31">
        <f t="shared" si="195"/>
        <v>3.6595967361745821E-2</v>
      </c>
      <c r="F6474" s="2" t="s">
        <v>822</v>
      </c>
      <c r="G6474" s="23" t="s">
        <v>902</v>
      </c>
      <c r="H6474" s="2" t="s">
        <v>822</v>
      </c>
      <c r="J6474" s="31">
        <v>62.111999500000003</v>
      </c>
      <c r="K6474" s="31">
        <v>-5.8200002</v>
      </c>
      <c r="L6474" s="31"/>
      <c r="M6474" s="31" t="s">
        <v>854</v>
      </c>
      <c r="N6474" s="6" t="s">
        <v>856</v>
      </c>
    </row>
    <row r="6475" spans="1:14" ht="15" customHeight="1" x14ac:dyDescent="0.2">
      <c r="A6475" s="31">
        <v>0.18653976578817449</v>
      </c>
      <c r="B6475" s="31"/>
      <c r="C6475" s="2" t="s">
        <v>855</v>
      </c>
      <c r="D6475" s="31">
        <f t="shared" si="195"/>
        <v>3.6561794094482201E-2</v>
      </c>
      <c r="F6475" s="2" t="s">
        <v>822</v>
      </c>
      <c r="G6475" s="23" t="s">
        <v>902</v>
      </c>
      <c r="H6475" s="2" t="s">
        <v>822</v>
      </c>
      <c r="J6475" s="31">
        <v>60.881599399999999</v>
      </c>
      <c r="K6475" s="31">
        <v>-1.8120000000000001</v>
      </c>
      <c r="L6475" s="31"/>
      <c r="M6475" s="31" t="s">
        <v>854</v>
      </c>
      <c r="N6475" s="6" t="s">
        <v>856</v>
      </c>
    </row>
    <row r="6476" spans="1:14" ht="15" customHeight="1" x14ac:dyDescent="0.2">
      <c r="A6476" s="31">
        <v>0.18650019397542469</v>
      </c>
      <c r="B6476" s="31"/>
      <c r="C6476" s="2" t="s">
        <v>855</v>
      </c>
      <c r="D6476" s="31">
        <f t="shared" si="195"/>
        <v>3.6554038019183242E-2</v>
      </c>
      <c r="F6476" s="2" t="s">
        <v>822</v>
      </c>
      <c r="G6476" s="23" t="s">
        <v>902</v>
      </c>
      <c r="H6476" s="2" t="s">
        <v>822</v>
      </c>
      <c r="J6476" s="31">
        <v>54.763999900000002</v>
      </c>
      <c r="K6476" s="31">
        <v>-34.543998700000003</v>
      </c>
      <c r="L6476" s="31"/>
      <c r="M6476" s="31" t="s">
        <v>854</v>
      </c>
      <c r="N6476" s="6" t="s">
        <v>856</v>
      </c>
    </row>
    <row r="6477" spans="1:14" ht="15" customHeight="1" x14ac:dyDescent="0.2">
      <c r="A6477" s="31">
        <v>0.1861968921334502</v>
      </c>
      <c r="B6477" s="31"/>
      <c r="C6477" s="2" t="s">
        <v>855</v>
      </c>
      <c r="D6477" s="31">
        <f t="shared" si="195"/>
        <v>3.6494590858156241E-2</v>
      </c>
      <c r="F6477" s="2" t="s">
        <v>822</v>
      </c>
      <c r="G6477" s="23" t="s">
        <v>902</v>
      </c>
      <c r="H6477" s="2" t="s">
        <v>822</v>
      </c>
      <c r="J6477" s="31">
        <v>59.439998600000003</v>
      </c>
      <c r="K6477" s="31">
        <v>-27.864000300000001</v>
      </c>
      <c r="L6477" s="31"/>
      <c r="M6477" s="31" t="s">
        <v>854</v>
      </c>
      <c r="N6477" s="6" t="s">
        <v>856</v>
      </c>
    </row>
    <row r="6478" spans="1:14" ht="15" customHeight="1" x14ac:dyDescent="0.2">
      <c r="A6478" s="31">
        <v>0.18608419707034099</v>
      </c>
      <c r="B6478" s="31"/>
      <c r="C6478" s="2" t="s">
        <v>855</v>
      </c>
      <c r="D6478" s="31">
        <f t="shared" si="195"/>
        <v>3.6472502625786836E-2</v>
      </c>
      <c r="F6478" s="2" t="s">
        <v>822</v>
      </c>
      <c r="G6478" s="23" t="s">
        <v>902</v>
      </c>
      <c r="H6478" s="2" t="s">
        <v>822</v>
      </c>
      <c r="J6478" s="31">
        <v>57.436000800000002</v>
      </c>
      <c r="K6478" s="31">
        <v>-41.891998299999997</v>
      </c>
      <c r="L6478" s="31"/>
      <c r="M6478" s="31" t="s">
        <v>854</v>
      </c>
      <c r="N6478" s="6" t="s">
        <v>856</v>
      </c>
    </row>
    <row r="6479" spans="1:14" ht="15" customHeight="1" x14ac:dyDescent="0.2">
      <c r="A6479" s="31">
        <v>0.1859079663945816</v>
      </c>
      <c r="B6479" s="31"/>
      <c r="C6479" s="2" t="s">
        <v>855</v>
      </c>
      <c r="D6479" s="31">
        <f t="shared" si="195"/>
        <v>3.6437961413337994E-2</v>
      </c>
      <c r="F6479" s="2" t="s">
        <v>822</v>
      </c>
      <c r="G6479" s="23" t="s">
        <v>902</v>
      </c>
      <c r="H6479" s="2" t="s">
        <v>822</v>
      </c>
      <c r="J6479" s="31">
        <v>55.468898799999998</v>
      </c>
      <c r="K6479" s="31">
        <v>-33.202201799999997</v>
      </c>
      <c r="L6479" s="31"/>
      <c r="M6479" s="31" t="s">
        <v>854</v>
      </c>
      <c r="N6479" s="6" t="s">
        <v>856</v>
      </c>
    </row>
    <row r="6480" spans="1:14" ht="15" customHeight="1" x14ac:dyDescent="0.2">
      <c r="A6480" s="31">
        <v>0.1858616638034887</v>
      </c>
      <c r="B6480" s="31"/>
      <c r="C6480" s="2" t="s">
        <v>855</v>
      </c>
      <c r="D6480" s="31">
        <f t="shared" si="195"/>
        <v>3.6428886105483789E-2</v>
      </c>
      <c r="F6480" s="2" t="s">
        <v>822</v>
      </c>
      <c r="G6480" s="23" t="s">
        <v>902</v>
      </c>
      <c r="H6480" s="2" t="s">
        <v>822</v>
      </c>
      <c r="J6480" s="31">
        <v>60.108001700000003</v>
      </c>
      <c r="K6480" s="31">
        <v>-31.204000499999999</v>
      </c>
      <c r="L6480" s="31"/>
      <c r="M6480" s="31" t="s">
        <v>854</v>
      </c>
      <c r="N6480" s="6" t="s">
        <v>856</v>
      </c>
    </row>
    <row r="6481" spans="1:14" ht="15" customHeight="1" x14ac:dyDescent="0.2">
      <c r="A6481" s="31">
        <v>0.185704978048956</v>
      </c>
      <c r="B6481" s="31"/>
      <c r="C6481" s="2" t="s">
        <v>855</v>
      </c>
      <c r="D6481" s="31">
        <f t="shared" si="195"/>
        <v>3.6398175697595375E-2</v>
      </c>
      <c r="F6481" s="2" t="s">
        <v>822</v>
      </c>
      <c r="G6481" s="23" t="s">
        <v>902</v>
      </c>
      <c r="H6481" s="2" t="s">
        <v>822</v>
      </c>
      <c r="J6481" s="31">
        <v>60.604698200000001</v>
      </c>
      <c r="K6481" s="31">
        <v>0.86613200000000001</v>
      </c>
      <c r="L6481" s="31"/>
      <c r="M6481" s="31" t="s">
        <v>854</v>
      </c>
      <c r="N6481" s="6" t="s">
        <v>856</v>
      </c>
    </row>
    <row r="6482" spans="1:14" ht="15" customHeight="1" x14ac:dyDescent="0.2">
      <c r="A6482" s="31">
        <v>0.18523233077938431</v>
      </c>
      <c r="B6482" s="31"/>
      <c r="C6482" s="2" t="s">
        <v>855</v>
      </c>
      <c r="D6482" s="31">
        <f t="shared" si="195"/>
        <v>3.6305536832759326E-2</v>
      </c>
      <c r="F6482" s="2" t="s">
        <v>822</v>
      </c>
      <c r="G6482" s="23" t="s">
        <v>902</v>
      </c>
      <c r="H6482" s="2" t="s">
        <v>822</v>
      </c>
      <c r="J6482" s="31">
        <v>60.776001000000001</v>
      </c>
      <c r="K6482" s="31">
        <v>-29.200000800000002</v>
      </c>
      <c r="L6482" s="31"/>
      <c r="M6482" s="31" t="s">
        <v>854</v>
      </c>
      <c r="N6482" s="6" t="s">
        <v>856</v>
      </c>
    </row>
    <row r="6483" spans="1:14" ht="15" customHeight="1" x14ac:dyDescent="0.2">
      <c r="A6483" s="31">
        <v>0.1852075633973872</v>
      </c>
      <c r="B6483" s="31"/>
      <c r="C6483" s="2" t="s">
        <v>855</v>
      </c>
      <c r="D6483" s="31">
        <f t="shared" si="195"/>
        <v>3.6300682425887895E-2</v>
      </c>
      <c r="F6483" s="2" t="s">
        <v>822</v>
      </c>
      <c r="G6483" s="23" t="s">
        <v>902</v>
      </c>
      <c r="H6483" s="2" t="s">
        <v>822</v>
      </c>
      <c r="J6483" s="31">
        <v>55.4319992</v>
      </c>
      <c r="K6483" s="31">
        <v>-40.555999800000002</v>
      </c>
      <c r="L6483" s="31"/>
      <c r="M6483" s="31" t="s">
        <v>854</v>
      </c>
      <c r="N6483" s="6" t="s">
        <v>856</v>
      </c>
    </row>
    <row r="6484" spans="1:14" ht="15" customHeight="1" x14ac:dyDescent="0.2">
      <c r="A6484" s="31">
        <v>0.18480313415120789</v>
      </c>
      <c r="B6484" s="31"/>
      <c r="C6484" s="2" t="s">
        <v>855</v>
      </c>
      <c r="D6484" s="31">
        <f t="shared" si="195"/>
        <v>3.6221414293636747E-2</v>
      </c>
      <c r="F6484" s="2" t="s">
        <v>822</v>
      </c>
      <c r="G6484" s="23" t="s">
        <v>902</v>
      </c>
      <c r="H6484" s="2" t="s">
        <v>822</v>
      </c>
      <c r="J6484" s="31">
        <v>53.428001399999999</v>
      </c>
      <c r="K6484" s="31">
        <v>-34.543998700000003</v>
      </c>
      <c r="L6484" s="31"/>
      <c r="M6484" s="31" t="s">
        <v>854</v>
      </c>
      <c r="N6484" s="6" t="s">
        <v>856</v>
      </c>
    </row>
    <row r="6485" spans="1:14" ht="15" customHeight="1" x14ac:dyDescent="0.2">
      <c r="A6485" s="31">
        <v>0.18471954216606931</v>
      </c>
      <c r="B6485" s="31"/>
      <c r="C6485" s="2" t="s">
        <v>855</v>
      </c>
      <c r="D6485" s="31">
        <f t="shared" si="195"/>
        <v>3.620503026454959E-2</v>
      </c>
      <c r="F6485" s="2" t="s">
        <v>822</v>
      </c>
      <c r="G6485" s="23" t="s">
        <v>902</v>
      </c>
      <c r="H6485" s="2" t="s">
        <v>822</v>
      </c>
      <c r="J6485" s="31">
        <v>61.444000199999998</v>
      </c>
      <c r="K6485" s="31">
        <v>0.86</v>
      </c>
      <c r="L6485" s="31"/>
      <c r="M6485" s="31" t="s">
        <v>854</v>
      </c>
      <c r="N6485" s="6" t="s">
        <v>856</v>
      </c>
    </row>
    <row r="6486" spans="1:14" ht="15" customHeight="1" x14ac:dyDescent="0.2">
      <c r="A6486" s="31">
        <v>0.1846476400814234</v>
      </c>
      <c r="B6486" s="31"/>
      <c r="C6486" s="2" t="s">
        <v>855</v>
      </c>
      <c r="D6486" s="31">
        <f t="shared" si="195"/>
        <v>3.6190937455958985E-2</v>
      </c>
      <c r="F6486" s="2" t="s">
        <v>822</v>
      </c>
      <c r="G6486" s="23" t="s">
        <v>902</v>
      </c>
      <c r="H6486" s="2" t="s">
        <v>822</v>
      </c>
      <c r="J6486" s="31">
        <v>66.973999000000006</v>
      </c>
      <c r="K6486" s="31">
        <v>9.0443496999999997</v>
      </c>
      <c r="L6486" s="31"/>
      <c r="M6486" s="31" t="s">
        <v>854</v>
      </c>
      <c r="N6486" s="6" t="s">
        <v>856</v>
      </c>
    </row>
    <row r="6487" spans="1:14" ht="15" customHeight="1" x14ac:dyDescent="0.2">
      <c r="A6487" s="31">
        <v>0.1846034859415753</v>
      </c>
      <c r="B6487" s="31"/>
      <c r="C6487" s="2" t="s">
        <v>855</v>
      </c>
      <c r="D6487" s="31">
        <f t="shared" si="195"/>
        <v>3.6182283244548759E-2</v>
      </c>
      <c r="F6487" s="2" t="s">
        <v>822</v>
      </c>
      <c r="G6487" s="23" t="s">
        <v>902</v>
      </c>
      <c r="H6487" s="2" t="s">
        <v>822</v>
      </c>
      <c r="J6487" s="31">
        <v>61.444000199999998</v>
      </c>
      <c r="K6487" s="31">
        <v>-0.47599999999999998</v>
      </c>
      <c r="L6487" s="31"/>
      <c r="M6487" s="31" t="s">
        <v>854</v>
      </c>
      <c r="N6487" s="6" t="s">
        <v>856</v>
      </c>
    </row>
    <row r="6488" spans="1:14" ht="15" customHeight="1" x14ac:dyDescent="0.2">
      <c r="A6488" s="31">
        <v>0.18438659659648191</v>
      </c>
      <c r="B6488" s="31"/>
      <c r="C6488" s="2" t="s">
        <v>855</v>
      </c>
      <c r="D6488" s="31">
        <f t="shared" si="195"/>
        <v>3.6139772932910458E-2</v>
      </c>
      <c r="F6488" s="2" t="s">
        <v>822</v>
      </c>
      <c r="G6488" s="23" t="s">
        <v>902</v>
      </c>
      <c r="H6488" s="2" t="s">
        <v>822</v>
      </c>
      <c r="J6488" s="31">
        <v>62.115001700000001</v>
      </c>
      <c r="K6488" s="31">
        <v>-9.1627398000000007</v>
      </c>
      <c r="L6488" s="31"/>
      <c r="M6488" s="31" t="s">
        <v>854</v>
      </c>
      <c r="N6488" s="6" t="s">
        <v>856</v>
      </c>
    </row>
    <row r="6489" spans="1:14" ht="15" customHeight="1" x14ac:dyDescent="0.2">
      <c r="A6489" s="31">
        <v>0.18437756253372331</v>
      </c>
      <c r="B6489" s="31"/>
      <c r="C6489" s="2" t="s">
        <v>855</v>
      </c>
      <c r="D6489" s="31">
        <f t="shared" si="195"/>
        <v>3.6138002256609771E-2</v>
      </c>
      <c r="F6489" s="2" t="s">
        <v>822</v>
      </c>
      <c r="G6489" s="23" t="s">
        <v>902</v>
      </c>
      <c r="H6489" s="2" t="s">
        <v>822</v>
      </c>
      <c r="J6489" s="31">
        <v>54.096000699999998</v>
      </c>
      <c r="K6489" s="31">
        <v>-31.8719997</v>
      </c>
      <c r="L6489" s="31"/>
      <c r="M6489" s="31" t="s">
        <v>854</v>
      </c>
      <c r="N6489" s="6" t="s">
        <v>856</v>
      </c>
    </row>
    <row r="6490" spans="1:14" ht="15" customHeight="1" x14ac:dyDescent="0.2">
      <c r="A6490" s="31">
        <v>0.1842382200847637</v>
      </c>
      <c r="B6490" s="31"/>
      <c r="C6490" s="2" t="s">
        <v>855</v>
      </c>
      <c r="D6490" s="31">
        <f t="shared" si="195"/>
        <v>3.6110691136613686E-2</v>
      </c>
      <c r="F6490" s="2" t="s">
        <v>822</v>
      </c>
      <c r="G6490" s="23" t="s">
        <v>902</v>
      </c>
      <c r="H6490" s="2" t="s">
        <v>822</v>
      </c>
      <c r="J6490" s="31">
        <v>58.771999399999999</v>
      </c>
      <c r="K6490" s="31">
        <v>-36.548000299999998</v>
      </c>
      <c r="L6490" s="31"/>
      <c r="M6490" s="31" t="s">
        <v>854</v>
      </c>
      <c r="N6490" s="6" t="s">
        <v>856</v>
      </c>
    </row>
    <row r="6491" spans="1:14" ht="15" customHeight="1" x14ac:dyDescent="0.2">
      <c r="A6491" s="31">
        <v>0.18386847130211009</v>
      </c>
      <c r="B6491" s="31"/>
      <c r="C6491" s="2" t="s">
        <v>855</v>
      </c>
      <c r="D6491" s="31">
        <f t="shared" si="195"/>
        <v>3.6038220375213578E-2</v>
      </c>
      <c r="F6491" s="2" t="s">
        <v>822</v>
      </c>
      <c r="G6491" s="23" t="s">
        <v>902</v>
      </c>
      <c r="H6491" s="2" t="s">
        <v>822</v>
      </c>
      <c r="J6491" s="31">
        <v>61.444000199999998</v>
      </c>
      <c r="K6491" s="31">
        <v>-35.880001100000001</v>
      </c>
      <c r="L6491" s="31"/>
      <c r="M6491" s="31" t="s">
        <v>854</v>
      </c>
      <c r="N6491" s="6" t="s">
        <v>856</v>
      </c>
    </row>
    <row r="6492" spans="1:14" ht="15" customHeight="1" x14ac:dyDescent="0.2">
      <c r="A6492" s="31">
        <v>0.18377700408709871</v>
      </c>
      <c r="B6492" s="31"/>
      <c r="C6492" s="2" t="s">
        <v>855</v>
      </c>
      <c r="D6492" s="31">
        <f t="shared" si="195"/>
        <v>3.6020292801071351E-2</v>
      </c>
      <c r="F6492" s="2" t="s">
        <v>822</v>
      </c>
      <c r="G6492" s="23" t="s">
        <v>902</v>
      </c>
      <c r="H6492" s="2" t="s">
        <v>822</v>
      </c>
      <c r="J6492" s="31">
        <v>57.436000800000002</v>
      </c>
      <c r="K6492" s="31">
        <v>-35.212001800000003</v>
      </c>
      <c r="L6492" s="31"/>
      <c r="M6492" s="31" t="s">
        <v>854</v>
      </c>
      <c r="N6492" s="6" t="s">
        <v>856</v>
      </c>
    </row>
    <row r="6493" spans="1:14" ht="15" customHeight="1" x14ac:dyDescent="0.2">
      <c r="A6493" s="31">
        <v>0.1837092156596444</v>
      </c>
      <c r="B6493" s="31"/>
      <c r="C6493" s="2" t="s">
        <v>855</v>
      </c>
      <c r="D6493" s="31">
        <f t="shared" si="195"/>
        <v>3.6007006269290306E-2</v>
      </c>
      <c r="F6493" s="2" t="s">
        <v>822</v>
      </c>
      <c r="G6493" s="23" t="s">
        <v>902</v>
      </c>
      <c r="H6493" s="2" t="s">
        <v>822</v>
      </c>
      <c r="J6493" s="31">
        <v>58.771999399999999</v>
      </c>
      <c r="K6493" s="31">
        <v>-32.540000900000003</v>
      </c>
      <c r="L6493" s="31"/>
      <c r="M6493" s="31" t="s">
        <v>854</v>
      </c>
      <c r="N6493" s="6" t="s">
        <v>856</v>
      </c>
    </row>
    <row r="6494" spans="1:14" ht="15" customHeight="1" x14ac:dyDescent="0.2">
      <c r="A6494" s="31">
        <v>0.18361990064352099</v>
      </c>
      <c r="B6494" s="31"/>
      <c r="C6494" s="2" t="s">
        <v>855</v>
      </c>
      <c r="D6494" s="31">
        <f t="shared" si="195"/>
        <v>3.5989500526130112E-2</v>
      </c>
      <c r="F6494" s="2" t="s">
        <v>822</v>
      </c>
      <c r="G6494" s="23" t="s">
        <v>902</v>
      </c>
      <c r="H6494" s="2" t="s">
        <v>822</v>
      </c>
      <c r="J6494" s="31">
        <v>61.444000199999998</v>
      </c>
      <c r="K6494" s="31">
        <v>-36.944499999999998</v>
      </c>
      <c r="L6494" s="31"/>
      <c r="M6494" s="31" t="s">
        <v>854</v>
      </c>
      <c r="N6494" s="6" t="s">
        <v>856</v>
      </c>
    </row>
    <row r="6495" spans="1:14" ht="15" customHeight="1" x14ac:dyDescent="0.2">
      <c r="A6495" s="31">
        <v>0.18349478884766501</v>
      </c>
      <c r="B6495" s="31"/>
      <c r="C6495" s="2" t="s">
        <v>855</v>
      </c>
      <c r="D6495" s="31">
        <f t="shared" si="195"/>
        <v>3.5964978614142343E-2</v>
      </c>
      <c r="F6495" s="2" t="s">
        <v>822</v>
      </c>
      <c r="G6495" s="23" t="s">
        <v>902</v>
      </c>
      <c r="H6495" s="2" t="s">
        <v>822</v>
      </c>
      <c r="J6495" s="31">
        <v>59.439998600000003</v>
      </c>
      <c r="K6495" s="31">
        <v>-10.4960003</v>
      </c>
      <c r="L6495" s="31"/>
      <c r="M6495" s="31" t="s">
        <v>854</v>
      </c>
      <c r="N6495" s="6" t="s">
        <v>856</v>
      </c>
    </row>
    <row r="6496" spans="1:14" ht="15" customHeight="1" x14ac:dyDescent="0.2">
      <c r="A6496" s="31">
        <v>0.18346712979698071</v>
      </c>
      <c r="B6496" s="31"/>
      <c r="C6496" s="2" t="s">
        <v>855</v>
      </c>
      <c r="D6496" s="31">
        <f t="shared" si="195"/>
        <v>3.595955744020822E-2</v>
      </c>
      <c r="F6496" s="2" t="s">
        <v>822</v>
      </c>
      <c r="G6496" s="23" t="s">
        <v>902</v>
      </c>
      <c r="H6496" s="2" t="s">
        <v>822</v>
      </c>
      <c r="J6496" s="31">
        <v>63.008598300000003</v>
      </c>
      <c r="K6496" s="31">
        <v>5.5359997999999999</v>
      </c>
      <c r="L6496" s="31"/>
      <c r="M6496" s="31" t="s">
        <v>854</v>
      </c>
      <c r="N6496" s="6" t="s">
        <v>856</v>
      </c>
    </row>
    <row r="6497" spans="1:14" ht="15" customHeight="1" x14ac:dyDescent="0.2">
      <c r="A6497" s="31">
        <v>0.1833770797177641</v>
      </c>
      <c r="B6497" s="31"/>
      <c r="C6497" s="2" t="s">
        <v>855</v>
      </c>
      <c r="D6497" s="31">
        <f t="shared" si="195"/>
        <v>3.5941907624681767E-2</v>
      </c>
      <c r="F6497" s="2" t="s">
        <v>822</v>
      </c>
      <c r="G6497" s="23" t="s">
        <v>902</v>
      </c>
      <c r="H6497" s="2" t="s">
        <v>822</v>
      </c>
      <c r="J6497" s="31">
        <v>56.768001599999998</v>
      </c>
      <c r="K6497" s="31">
        <v>-35.212001800000003</v>
      </c>
      <c r="L6497" s="31"/>
      <c r="M6497" s="31" t="s">
        <v>854</v>
      </c>
      <c r="N6497" s="6" t="s">
        <v>856</v>
      </c>
    </row>
    <row r="6498" spans="1:14" ht="15" customHeight="1" x14ac:dyDescent="0.2">
      <c r="A6498" s="31">
        <v>0.183217515878149</v>
      </c>
      <c r="B6498" s="31"/>
      <c r="C6498" s="2" t="s">
        <v>855</v>
      </c>
      <c r="D6498" s="31">
        <f t="shared" si="195"/>
        <v>3.5910633112117202E-2</v>
      </c>
      <c r="F6498" s="2" t="s">
        <v>822</v>
      </c>
      <c r="G6498" s="23" t="s">
        <v>902</v>
      </c>
      <c r="H6498" s="2" t="s">
        <v>822</v>
      </c>
      <c r="J6498" s="31">
        <v>58.771999399999999</v>
      </c>
      <c r="K6498" s="31">
        <v>-12.5</v>
      </c>
      <c r="L6498" s="31"/>
      <c r="M6498" s="31" t="s">
        <v>854</v>
      </c>
      <c r="N6498" s="6" t="s">
        <v>856</v>
      </c>
    </row>
    <row r="6499" spans="1:14" ht="15" customHeight="1" x14ac:dyDescent="0.2">
      <c r="A6499" s="31">
        <v>0.18274081924678889</v>
      </c>
      <c r="B6499" s="31"/>
      <c r="C6499" s="2" t="s">
        <v>855</v>
      </c>
      <c r="D6499" s="31">
        <f t="shared" si="195"/>
        <v>3.5817200572370624E-2</v>
      </c>
      <c r="F6499" s="2" t="s">
        <v>822</v>
      </c>
      <c r="G6499" s="23" t="s">
        <v>902</v>
      </c>
      <c r="H6499" s="2" t="s">
        <v>822</v>
      </c>
      <c r="J6499" s="31">
        <v>55.4319992</v>
      </c>
      <c r="K6499" s="31">
        <v>-36.548000299999998</v>
      </c>
      <c r="L6499" s="31"/>
      <c r="M6499" s="31" t="s">
        <v>854</v>
      </c>
      <c r="N6499" s="6" t="s">
        <v>856</v>
      </c>
    </row>
    <row r="6500" spans="1:14" ht="15" customHeight="1" x14ac:dyDescent="0.2">
      <c r="A6500" s="31">
        <v>0.18272713018993339</v>
      </c>
      <c r="B6500" s="31"/>
      <c r="C6500" s="2" t="s">
        <v>855</v>
      </c>
      <c r="D6500" s="31">
        <f t="shared" si="195"/>
        <v>3.5814517517226946E-2</v>
      </c>
      <c r="F6500" s="2" t="s">
        <v>822</v>
      </c>
      <c r="G6500" s="23" t="s">
        <v>902</v>
      </c>
      <c r="H6500" s="2" t="s">
        <v>822</v>
      </c>
      <c r="J6500" s="31">
        <v>62.779998800000001</v>
      </c>
      <c r="K6500" s="31">
        <v>-26.527999900000001</v>
      </c>
      <c r="L6500" s="31"/>
      <c r="M6500" s="31" t="s">
        <v>854</v>
      </c>
      <c r="N6500" s="6" t="s">
        <v>856</v>
      </c>
    </row>
    <row r="6501" spans="1:14" ht="15" customHeight="1" x14ac:dyDescent="0.2">
      <c r="A6501" s="31">
        <v>0.18272163750033199</v>
      </c>
      <c r="B6501" s="31"/>
      <c r="C6501" s="2" t="s">
        <v>855</v>
      </c>
      <c r="D6501" s="31">
        <f t="shared" si="195"/>
        <v>3.581344095006507E-2</v>
      </c>
      <c r="F6501" s="2" t="s">
        <v>822</v>
      </c>
      <c r="G6501" s="23" t="s">
        <v>902</v>
      </c>
      <c r="H6501" s="2" t="s">
        <v>822</v>
      </c>
      <c r="J6501" s="31">
        <v>62.779998800000001</v>
      </c>
      <c r="K6501" s="31">
        <v>-27.864000300000001</v>
      </c>
      <c r="L6501" s="31"/>
      <c r="M6501" s="31" t="s">
        <v>854</v>
      </c>
      <c r="N6501" s="6" t="s">
        <v>856</v>
      </c>
    </row>
    <row r="6502" spans="1:14" ht="15" customHeight="1" x14ac:dyDescent="0.2">
      <c r="A6502" s="31">
        <v>0.18245185164258801</v>
      </c>
      <c r="B6502" s="31"/>
      <c r="C6502" s="2" t="s">
        <v>855</v>
      </c>
      <c r="D6502" s="31">
        <f t="shared" si="195"/>
        <v>3.576056292194725E-2</v>
      </c>
      <c r="F6502" s="2" t="s">
        <v>822</v>
      </c>
      <c r="G6502" s="23" t="s">
        <v>902</v>
      </c>
      <c r="H6502" s="2" t="s">
        <v>822</v>
      </c>
      <c r="J6502" s="31">
        <v>64.115997300000004</v>
      </c>
      <c r="K6502" s="31">
        <v>-31.8719997</v>
      </c>
      <c r="L6502" s="31"/>
      <c r="M6502" s="31" t="s">
        <v>854</v>
      </c>
      <c r="N6502" s="6" t="s">
        <v>856</v>
      </c>
    </row>
    <row r="6503" spans="1:14" ht="15" customHeight="1" x14ac:dyDescent="0.2">
      <c r="A6503" s="31">
        <v>0.18231959641068249</v>
      </c>
      <c r="B6503" s="31"/>
      <c r="C6503" s="2" t="s">
        <v>855</v>
      </c>
      <c r="D6503" s="31">
        <f t="shared" si="195"/>
        <v>3.5734640896493766E-2</v>
      </c>
      <c r="F6503" s="2" t="s">
        <v>822</v>
      </c>
      <c r="G6503" s="23" t="s">
        <v>902</v>
      </c>
      <c r="H6503" s="2" t="s">
        <v>822</v>
      </c>
      <c r="J6503" s="31">
        <v>60.108001700000003</v>
      </c>
      <c r="K6503" s="31">
        <v>-17.8439999</v>
      </c>
      <c r="L6503" s="31"/>
      <c r="M6503" s="31" t="s">
        <v>854</v>
      </c>
      <c r="N6503" s="6" t="s">
        <v>856</v>
      </c>
    </row>
    <row r="6504" spans="1:14" ht="15" customHeight="1" x14ac:dyDescent="0.2">
      <c r="A6504" s="31">
        <v>0.18225582454595349</v>
      </c>
      <c r="B6504" s="31"/>
      <c r="C6504" s="2" t="s">
        <v>855</v>
      </c>
      <c r="D6504" s="31">
        <f t="shared" si="195"/>
        <v>3.5722141611006883E-2</v>
      </c>
      <c r="F6504" s="2" t="s">
        <v>822</v>
      </c>
      <c r="G6504" s="23" t="s">
        <v>902</v>
      </c>
      <c r="H6504" s="2" t="s">
        <v>822</v>
      </c>
      <c r="J6504" s="31">
        <v>61.444000199999998</v>
      </c>
      <c r="K6504" s="31">
        <v>-1.1440001</v>
      </c>
      <c r="L6504" s="31"/>
      <c r="M6504" s="31" t="s">
        <v>854</v>
      </c>
      <c r="N6504" s="6" t="s">
        <v>856</v>
      </c>
    </row>
    <row r="6505" spans="1:14" ht="15" customHeight="1" x14ac:dyDescent="0.2">
      <c r="A6505" s="31">
        <v>0.18223688793866469</v>
      </c>
      <c r="B6505" s="31"/>
      <c r="C6505" s="2" t="s">
        <v>855</v>
      </c>
      <c r="D6505" s="31">
        <f t="shared" si="195"/>
        <v>3.5718430035978278E-2</v>
      </c>
      <c r="F6505" s="2" t="s">
        <v>822</v>
      </c>
      <c r="G6505" s="23" t="s">
        <v>902</v>
      </c>
      <c r="H6505" s="2" t="s">
        <v>822</v>
      </c>
      <c r="J6505" s="31">
        <v>62.779998800000001</v>
      </c>
      <c r="K6505" s="31">
        <v>-32.540000900000003</v>
      </c>
      <c r="L6505" s="31"/>
      <c r="M6505" s="31" t="s">
        <v>854</v>
      </c>
      <c r="N6505" s="6" t="s">
        <v>856</v>
      </c>
    </row>
    <row r="6506" spans="1:14" ht="15" customHeight="1" x14ac:dyDescent="0.2">
      <c r="A6506" s="31">
        <v>0.18221324078733081</v>
      </c>
      <c r="B6506" s="31"/>
      <c r="C6506" s="2" t="s">
        <v>855</v>
      </c>
      <c r="D6506" s="31">
        <f t="shared" si="195"/>
        <v>3.571379519431684E-2</v>
      </c>
      <c r="F6506" s="2" t="s">
        <v>822</v>
      </c>
      <c r="G6506" s="23" t="s">
        <v>902</v>
      </c>
      <c r="H6506" s="2" t="s">
        <v>822</v>
      </c>
      <c r="J6506" s="31">
        <v>62.779998800000001</v>
      </c>
      <c r="K6506" s="31">
        <v>2.8640001000000002</v>
      </c>
      <c r="L6506" s="31"/>
      <c r="M6506" s="31" t="s">
        <v>854</v>
      </c>
      <c r="N6506" s="6" t="s">
        <v>856</v>
      </c>
    </row>
    <row r="6507" spans="1:14" ht="15" customHeight="1" x14ac:dyDescent="0.2">
      <c r="A6507" s="31">
        <v>0.18196169482156169</v>
      </c>
      <c r="B6507" s="31"/>
      <c r="C6507" s="2" t="s">
        <v>855</v>
      </c>
      <c r="D6507" s="31">
        <f t="shared" si="195"/>
        <v>3.5664492185026091E-2</v>
      </c>
      <c r="F6507" s="2" t="s">
        <v>822</v>
      </c>
      <c r="G6507" s="23" t="s">
        <v>902</v>
      </c>
      <c r="H6507" s="2" t="s">
        <v>822</v>
      </c>
      <c r="J6507" s="31">
        <v>66.076698300000004</v>
      </c>
      <c r="K6507" s="31">
        <v>9.5016403</v>
      </c>
      <c r="L6507" s="31"/>
      <c r="M6507" s="31" t="s">
        <v>854</v>
      </c>
      <c r="N6507" s="6" t="s">
        <v>856</v>
      </c>
    </row>
    <row r="6508" spans="1:14" ht="15" customHeight="1" x14ac:dyDescent="0.2">
      <c r="A6508" s="31">
        <v>0.18185453246523431</v>
      </c>
      <c r="B6508" s="31"/>
      <c r="C6508" s="2" t="s">
        <v>855</v>
      </c>
      <c r="D6508" s="31">
        <f t="shared" si="195"/>
        <v>3.5643488363185927E-2</v>
      </c>
      <c r="F6508" s="2" t="s">
        <v>822</v>
      </c>
      <c r="G6508" s="23" t="s">
        <v>902</v>
      </c>
      <c r="H6508" s="2" t="s">
        <v>822</v>
      </c>
      <c r="J6508" s="31">
        <v>61.444000199999998</v>
      </c>
      <c r="K6508" s="31">
        <v>-37.224601700000001</v>
      </c>
      <c r="L6508" s="31"/>
      <c r="M6508" s="31" t="s">
        <v>854</v>
      </c>
      <c r="N6508" s="6" t="s">
        <v>856</v>
      </c>
    </row>
    <row r="6509" spans="1:14" ht="15" customHeight="1" x14ac:dyDescent="0.2">
      <c r="A6509" s="31">
        <v>0.18156271717924979</v>
      </c>
      <c r="B6509" s="31"/>
      <c r="C6509" s="2" t="s">
        <v>855</v>
      </c>
      <c r="D6509" s="31">
        <f t="shared" si="195"/>
        <v>3.5586292567132964E-2</v>
      </c>
      <c r="F6509" s="2" t="s">
        <v>822</v>
      </c>
      <c r="G6509" s="23" t="s">
        <v>902</v>
      </c>
      <c r="H6509" s="2" t="s">
        <v>822</v>
      </c>
      <c r="J6509" s="31">
        <v>58.771999399999999</v>
      </c>
      <c r="K6509" s="31">
        <v>-21.851999299999999</v>
      </c>
      <c r="L6509" s="31"/>
      <c r="M6509" s="31" t="s">
        <v>854</v>
      </c>
      <c r="N6509" s="6" t="s">
        <v>856</v>
      </c>
    </row>
    <row r="6510" spans="1:14" ht="15" customHeight="1" x14ac:dyDescent="0.2">
      <c r="A6510" s="31">
        <v>0.1814643618258138</v>
      </c>
      <c r="B6510" s="31"/>
      <c r="C6510" s="2" t="s">
        <v>855</v>
      </c>
      <c r="D6510" s="31">
        <f t="shared" si="195"/>
        <v>3.5567014917859505E-2</v>
      </c>
      <c r="F6510" s="2" t="s">
        <v>822</v>
      </c>
      <c r="G6510" s="23" t="s">
        <v>902</v>
      </c>
      <c r="H6510" s="2" t="s">
        <v>822</v>
      </c>
      <c r="J6510" s="31">
        <v>69.765701300000003</v>
      </c>
      <c r="K6510" s="31">
        <v>18.911399800000002</v>
      </c>
      <c r="L6510" s="31"/>
      <c r="M6510" s="31" t="s">
        <v>854</v>
      </c>
      <c r="N6510" s="6" t="s">
        <v>856</v>
      </c>
    </row>
    <row r="6511" spans="1:14" ht="15" customHeight="1" x14ac:dyDescent="0.2">
      <c r="A6511" s="31">
        <v>0.1814617753867459</v>
      </c>
      <c r="B6511" s="31"/>
      <c r="C6511" s="2" t="s">
        <v>855</v>
      </c>
      <c r="D6511" s="31">
        <f t="shared" si="195"/>
        <v>3.55665079758022E-2</v>
      </c>
      <c r="F6511" s="2" t="s">
        <v>822</v>
      </c>
      <c r="G6511" s="23" t="s">
        <v>902</v>
      </c>
      <c r="H6511" s="2" t="s">
        <v>822</v>
      </c>
      <c r="J6511" s="31">
        <v>70.127998399999996</v>
      </c>
      <c r="K6511" s="31">
        <v>14.887999499999999</v>
      </c>
      <c r="L6511" s="31"/>
      <c r="M6511" s="31" t="s">
        <v>854</v>
      </c>
      <c r="N6511" s="6" t="s">
        <v>856</v>
      </c>
    </row>
    <row r="6512" spans="1:14" ht="15" customHeight="1" x14ac:dyDescent="0.2">
      <c r="A6512" s="31">
        <v>0.1810439871778394</v>
      </c>
      <c r="B6512" s="31"/>
      <c r="C6512" s="2" t="s">
        <v>855</v>
      </c>
      <c r="D6512" s="31">
        <f t="shared" si="195"/>
        <v>3.5484621486856521E-2</v>
      </c>
      <c r="F6512" s="2" t="s">
        <v>822</v>
      </c>
      <c r="G6512" s="23" t="s">
        <v>902</v>
      </c>
      <c r="H6512" s="2" t="s">
        <v>822</v>
      </c>
      <c r="J6512" s="31">
        <v>54.763999900000002</v>
      </c>
      <c r="K6512" s="31">
        <v>-41.223998999999999</v>
      </c>
      <c r="L6512" s="31"/>
      <c r="M6512" s="31" t="s">
        <v>854</v>
      </c>
      <c r="N6512" s="6" t="s">
        <v>856</v>
      </c>
    </row>
    <row r="6513" spans="1:14" ht="15" customHeight="1" x14ac:dyDescent="0.2">
      <c r="A6513" s="31">
        <v>0.18103536506202361</v>
      </c>
      <c r="B6513" s="31"/>
      <c r="C6513" s="2" t="s">
        <v>855</v>
      </c>
      <c r="D6513" s="31">
        <f t="shared" si="195"/>
        <v>3.5482931552156628E-2</v>
      </c>
      <c r="F6513" s="2" t="s">
        <v>822</v>
      </c>
      <c r="G6513" s="23" t="s">
        <v>902</v>
      </c>
      <c r="H6513" s="2" t="s">
        <v>822</v>
      </c>
      <c r="J6513" s="31">
        <v>62.508400000000002</v>
      </c>
      <c r="K6513" s="31">
        <v>5.73</v>
      </c>
      <c r="L6513" s="31"/>
      <c r="M6513" s="31" t="s">
        <v>854</v>
      </c>
      <c r="N6513" s="6" t="s">
        <v>856</v>
      </c>
    </row>
    <row r="6514" spans="1:14" ht="15" customHeight="1" x14ac:dyDescent="0.2">
      <c r="A6514" s="31">
        <v>0.18095935645547739</v>
      </c>
      <c r="B6514" s="31"/>
      <c r="C6514" s="2" t="s">
        <v>855</v>
      </c>
      <c r="D6514" s="31">
        <f t="shared" si="195"/>
        <v>3.5468033865273571E-2</v>
      </c>
      <c r="F6514" s="2" t="s">
        <v>822</v>
      </c>
      <c r="G6514" s="23" t="s">
        <v>902</v>
      </c>
      <c r="H6514" s="2" t="s">
        <v>822</v>
      </c>
      <c r="J6514" s="31">
        <v>62.111999500000003</v>
      </c>
      <c r="K6514" s="31">
        <v>-33.208000200000001</v>
      </c>
      <c r="L6514" s="31"/>
      <c r="M6514" s="31" t="s">
        <v>854</v>
      </c>
      <c r="N6514" s="6" t="s">
        <v>856</v>
      </c>
    </row>
    <row r="6515" spans="1:14" ht="15" customHeight="1" x14ac:dyDescent="0.2">
      <c r="A6515" s="31">
        <v>0.1808402955998244</v>
      </c>
      <c r="B6515" s="31"/>
      <c r="C6515" s="2" t="s">
        <v>855</v>
      </c>
      <c r="D6515" s="31">
        <f t="shared" si="195"/>
        <v>3.5444697937565585E-2</v>
      </c>
      <c r="F6515" s="2" t="s">
        <v>822</v>
      </c>
      <c r="G6515" s="23" t="s">
        <v>902</v>
      </c>
      <c r="H6515" s="2" t="s">
        <v>822</v>
      </c>
      <c r="J6515" s="31">
        <v>56.0990982</v>
      </c>
      <c r="K6515" s="31">
        <v>-37.886398300000003</v>
      </c>
      <c r="L6515" s="31"/>
      <c r="M6515" s="31" t="s">
        <v>854</v>
      </c>
      <c r="N6515" s="6" t="s">
        <v>856</v>
      </c>
    </row>
    <row r="6516" spans="1:14" ht="15" customHeight="1" x14ac:dyDescent="0.2">
      <c r="A6516" s="31">
        <v>0.18079447028200499</v>
      </c>
      <c r="B6516" s="31"/>
      <c r="C6516" s="2" t="s">
        <v>855</v>
      </c>
      <c r="D6516" s="31">
        <f t="shared" si="195"/>
        <v>3.5435716175272976E-2</v>
      </c>
      <c r="F6516" s="2" t="s">
        <v>822</v>
      </c>
      <c r="G6516" s="23" t="s">
        <v>902</v>
      </c>
      <c r="H6516" s="2" t="s">
        <v>822</v>
      </c>
      <c r="J6516" s="31">
        <v>64.144500699999995</v>
      </c>
      <c r="K6516" s="31">
        <v>-24.567399999999999</v>
      </c>
      <c r="L6516" s="31"/>
      <c r="M6516" s="31" t="s">
        <v>854</v>
      </c>
      <c r="N6516" s="6" t="s">
        <v>856</v>
      </c>
    </row>
    <row r="6517" spans="1:14" ht="15" customHeight="1" x14ac:dyDescent="0.2">
      <c r="A6517" s="31">
        <v>0.1807750969202182</v>
      </c>
      <c r="B6517" s="31"/>
      <c r="C6517" s="2" t="s">
        <v>855</v>
      </c>
      <c r="D6517" s="31">
        <f t="shared" si="195"/>
        <v>3.543191899636277E-2</v>
      </c>
      <c r="F6517" s="2" t="s">
        <v>822</v>
      </c>
      <c r="G6517" s="23" t="s">
        <v>902</v>
      </c>
      <c r="H6517" s="2" t="s">
        <v>822</v>
      </c>
      <c r="J6517" s="31">
        <v>59.439998600000003</v>
      </c>
      <c r="K6517" s="31">
        <v>-33.208000200000001</v>
      </c>
      <c r="L6517" s="31"/>
      <c r="M6517" s="31" t="s">
        <v>854</v>
      </c>
      <c r="N6517" s="6" t="s">
        <v>856</v>
      </c>
    </row>
    <row r="6518" spans="1:14" ht="15" customHeight="1" x14ac:dyDescent="0.2">
      <c r="A6518" s="31">
        <v>0.1806111469899104</v>
      </c>
      <c r="B6518" s="31"/>
      <c r="C6518" s="2" t="s">
        <v>855</v>
      </c>
      <c r="D6518" s="31">
        <f t="shared" si="195"/>
        <v>3.5399784810022442E-2</v>
      </c>
      <c r="F6518" s="2" t="s">
        <v>822</v>
      </c>
      <c r="G6518" s="23" t="s">
        <v>902</v>
      </c>
      <c r="H6518" s="2" t="s">
        <v>822</v>
      </c>
      <c r="J6518" s="31">
        <v>67.596603400000006</v>
      </c>
      <c r="K6518" s="31">
        <v>12.3937998</v>
      </c>
      <c r="L6518" s="31"/>
      <c r="M6518" s="31" t="s">
        <v>854</v>
      </c>
      <c r="N6518" s="6" t="s">
        <v>856</v>
      </c>
    </row>
    <row r="6519" spans="1:14" ht="15" customHeight="1" x14ac:dyDescent="0.2">
      <c r="A6519" s="31">
        <v>0.18053673225763039</v>
      </c>
      <c r="B6519" s="31"/>
      <c r="C6519" s="2" t="s">
        <v>855</v>
      </c>
      <c r="D6519" s="31">
        <f t="shared" si="195"/>
        <v>3.538519952249556E-2</v>
      </c>
      <c r="F6519" s="2" t="s">
        <v>822</v>
      </c>
      <c r="G6519" s="23" t="s">
        <v>902</v>
      </c>
      <c r="H6519" s="2" t="s">
        <v>822</v>
      </c>
      <c r="J6519" s="31">
        <v>67.421798699999997</v>
      </c>
      <c r="K6519" s="31">
        <v>8.8944901999999999</v>
      </c>
      <c r="L6519" s="31"/>
      <c r="M6519" s="31" t="s">
        <v>854</v>
      </c>
      <c r="N6519" s="6" t="s">
        <v>856</v>
      </c>
    </row>
    <row r="6520" spans="1:14" ht="15" customHeight="1" x14ac:dyDescent="0.2">
      <c r="A6520" s="31">
        <v>0.17984542745113041</v>
      </c>
      <c r="B6520" s="31"/>
      <c r="C6520" s="2" t="s">
        <v>855</v>
      </c>
      <c r="D6520" s="31">
        <f t="shared" si="195"/>
        <v>3.5249703780421561E-2</v>
      </c>
      <c r="F6520" s="2" t="s">
        <v>822</v>
      </c>
      <c r="G6520" s="23" t="s">
        <v>902</v>
      </c>
      <c r="H6520" s="2" t="s">
        <v>822</v>
      </c>
      <c r="J6520" s="31">
        <v>62.111999500000003</v>
      </c>
      <c r="K6520" s="31">
        <v>-26.527999900000001</v>
      </c>
      <c r="L6520" s="31"/>
      <c r="M6520" s="31" t="s">
        <v>854</v>
      </c>
      <c r="N6520" s="6" t="s">
        <v>856</v>
      </c>
    </row>
    <row r="6521" spans="1:14" ht="15" customHeight="1" x14ac:dyDescent="0.2">
      <c r="A6521" s="31">
        <v>0.1795365571519042</v>
      </c>
      <c r="B6521" s="31"/>
      <c r="C6521" s="2" t="s">
        <v>855</v>
      </c>
      <c r="D6521" s="31">
        <f t="shared" si="195"/>
        <v>3.5189165201773225E-2</v>
      </c>
      <c r="F6521" s="2" t="s">
        <v>822</v>
      </c>
      <c r="G6521" s="23" t="s">
        <v>902</v>
      </c>
      <c r="H6521" s="2" t="s">
        <v>822</v>
      </c>
      <c r="J6521" s="31">
        <v>57.436000800000002</v>
      </c>
      <c r="K6521" s="31">
        <v>-35.880001100000001</v>
      </c>
      <c r="L6521" s="31"/>
      <c r="M6521" s="31" t="s">
        <v>854</v>
      </c>
      <c r="N6521" s="6" t="s">
        <v>856</v>
      </c>
    </row>
    <row r="6522" spans="1:14" ht="15" customHeight="1" x14ac:dyDescent="0.2">
      <c r="A6522" s="31">
        <v>0.1794623748080971</v>
      </c>
      <c r="B6522" s="31"/>
      <c r="C6522" s="2" t="s">
        <v>855</v>
      </c>
      <c r="D6522" s="31">
        <f t="shared" si="195"/>
        <v>3.5174625462387032E-2</v>
      </c>
      <c r="F6522" s="2" t="s">
        <v>822</v>
      </c>
      <c r="G6522" s="23" t="s">
        <v>902</v>
      </c>
      <c r="H6522" s="2" t="s">
        <v>822</v>
      </c>
      <c r="J6522" s="31">
        <v>60.108001700000003</v>
      </c>
      <c r="K6522" s="31">
        <v>-38.551998099999999</v>
      </c>
      <c r="L6522" s="31"/>
      <c r="M6522" s="31" t="s">
        <v>854</v>
      </c>
      <c r="N6522" s="6" t="s">
        <v>856</v>
      </c>
    </row>
    <row r="6523" spans="1:14" ht="15" customHeight="1" x14ac:dyDescent="0.2">
      <c r="A6523" s="31">
        <v>0.1791427229745606</v>
      </c>
      <c r="B6523" s="31"/>
      <c r="C6523" s="2" t="s">
        <v>855</v>
      </c>
      <c r="D6523" s="31">
        <f t="shared" si="195"/>
        <v>3.5111973703013881E-2</v>
      </c>
      <c r="F6523" s="2" t="s">
        <v>822</v>
      </c>
      <c r="G6523" s="23" t="s">
        <v>902</v>
      </c>
      <c r="H6523" s="2" t="s">
        <v>822</v>
      </c>
      <c r="J6523" s="31">
        <v>63.448001900000001</v>
      </c>
      <c r="K6523" s="31">
        <v>-29.867999999999999</v>
      </c>
      <c r="L6523" s="31"/>
      <c r="M6523" s="31" t="s">
        <v>854</v>
      </c>
      <c r="N6523" s="6" t="s">
        <v>856</v>
      </c>
    </row>
    <row r="6524" spans="1:14" ht="15" customHeight="1" x14ac:dyDescent="0.2">
      <c r="A6524" s="31">
        <v>0.17888629980889931</v>
      </c>
      <c r="B6524" s="31"/>
      <c r="C6524" s="2" t="s">
        <v>855</v>
      </c>
      <c r="D6524" s="31">
        <f t="shared" si="195"/>
        <v>3.5061714762544265E-2</v>
      </c>
      <c r="F6524" s="2" t="s">
        <v>822</v>
      </c>
      <c r="G6524" s="23" t="s">
        <v>902</v>
      </c>
      <c r="H6524" s="2" t="s">
        <v>822</v>
      </c>
      <c r="J6524" s="31">
        <v>62.779998800000001</v>
      </c>
      <c r="K6524" s="31">
        <v>-33.208000200000001</v>
      </c>
      <c r="L6524" s="31"/>
      <c r="M6524" s="31" t="s">
        <v>854</v>
      </c>
      <c r="N6524" s="6" t="s">
        <v>856</v>
      </c>
    </row>
    <row r="6525" spans="1:14" ht="15" customHeight="1" x14ac:dyDescent="0.2">
      <c r="A6525" s="31">
        <v>0.17885249078674159</v>
      </c>
      <c r="B6525" s="31"/>
      <c r="C6525" s="2" t="s">
        <v>855</v>
      </c>
      <c r="D6525" s="31">
        <f t="shared" si="195"/>
        <v>3.5055088194201355E-2</v>
      </c>
      <c r="F6525" s="2" t="s">
        <v>822</v>
      </c>
      <c r="G6525" s="23" t="s">
        <v>902</v>
      </c>
      <c r="H6525" s="2" t="s">
        <v>822</v>
      </c>
      <c r="J6525" s="31">
        <v>56.064998600000003</v>
      </c>
      <c r="K6525" s="31">
        <v>-37.169399300000002</v>
      </c>
      <c r="L6525" s="31"/>
      <c r="M6525" s="31" t="s">
        <v>854</v>
      </c>
      <c r="N6525" s="6" t="s">
        <v>856</v>
      </c>
    </row>
    <row r="6526" spans="1:14" ht="15" customHeight="1" x14ac:dyDescent="0.2">
      <c r="A6526" s="31">
        <v>0.17878756565063389</v>
      </c>
      <c r="B6526" s="31"/>
      <c r="C6526" s="2" t="s">
        <v>855</v>
      </c>
      <c r="D6526" s="31">
        <f t="shared" si="195"/>
        <v>3.504236286752424E-2</v>
      </c>
      <c r="F6526" s="2" t="s">
        <v>822</v>
      </c>
      <c r="G6526" s="23" t="s">
        <v>902</v>
      </c>
      <c r="H6526" s="2" t="s">
        <v>822</v>
      </c>
      <c r="J6526" s="31">
        <v>65.750198400000002</v>
      </c>
      <c r="K6526" s="31">
        <v>-20.8360004</v>
      </c>
      <c r="L6526" s="31"/>
      <c r="M6526" s="31" t="s">
        <v>854</v>
      </c>
      <c r="N6526" s="6" t="s">
        <v>856</v>
      </c>
    </row>
    <row r="6527" spans="1:14" ht="15" customHeight="1" x14ac:dyDescent="0.2">
      <c r="A6527" s="31">
        <v>0.17868493390258389</v>
      </c>
      <c r="B6527" s="31"/>
      <c r="C6527" s="2" t="s">
        <v>855</v>
      </c>
      <c r="D6527" s="31">
        <f t="shared" si="195"/>
        <v>3.5022247044906446E-2</v>
      </c>
      <c r="F6527" s="2" t="s">
        <v>822</v>
      </c>
      <c r="G6527" s="23" t="s">
        <v>902</v>
      </c>
      <c r="H6527" s="2" t="s">
        <v>822</v>
      </c>
      <c r="J6527" s="31">
        <v>63.446201299999998</v>
      </c>
      <c r="K6527" s="31">
        <v>-8.4897299000000004</v>
      </c>
      <c r="L6527" s="31"/>
      <c r="M6527" s="31" t="s">
        <v>854</v>
      </c>
      <c r="N6527" s="6" t="s">
        <v>856</v>
      </c>
    </row>
    <row r="6528" spans="1:14" ht="15" customHeight="1" x14ac:dyDescent="0.2">
      <c r="A6528" s="31">
        <v>0.1786781559849383</v>
      </c>
      <c r="B6528" s="31"/>
      <c r="C6528" s="2" t="s">
        <v>855</v>
      </c>
      <c r="D6528" s="31">
        <f t="shared" ref="D6528:D6591" si="196" xml:space="preserve"> A6528 * 0.196</f>
        <v>3.5020918573047906E-2</v>
      </c>
      <c r="F6528" s="2" t="s">
        <v>822</v>
      </c>
      <c r="G6528" s="23" t="s">
        <v>902</v>
      </c>
      <c r="H6528" s="2" t="s">
        <v>822</v>
      </c>
      <c r="J6528" s="31">
        <v>55.4319992</v>
      </c>
      <c r="K6528" s="31">
        <v>-38.551998099999999</v>
      </c>
      <c r="L6528" s="31"/>
      <c r="M6528" s="31" t="s">
        <v>854</v>
      </c>
      <c r="N6528" s="6" t="s">
        <v>856</v>
      </c>
    </row>
    <row r="6529" spans="1:14" ht="15" customHeight="1" x14ac:dyDescent="0.2">
      <c r="A6529" s="31">
        <v>0.17834664364852801</v>
      </c>
      <c r="B6529" s="31"/>
      <c r="C6529" s="2" t="s">
        <v>855</v>
      </c>
      <c r="D6529" s="31">
        <f t="shared" si="196"/>
        <v>3.495594215511149E-2</v>
      </c>
      <c r="F6529" s="2" t="s">
        <v>822</v>
      </c>
      <c r="G6529" s="23" t="s">
        <v>902</v>
      </c>
      <c r="H6529" s="2" t="s">
        <v>822</v>
      </c>
      <c r="J6529" s="31">
        <v>63.008598300000003</v>
      </c>
      <c r="K6529" s="31">
        <v>6.2039999999999997</v>
      </c>
      <c r="L6529" s="31"/>
      <c r="M6529" s="31" t="s">
        <v>854</v>
      </c>
      <c r="N6529" s="6" t="s">
        <v>856</v>
      </c>
    </row>
    <row r="6530" spans="1:14" ht="15" customHeight="1" x14ac:dyDescent="0.2">
      <c r="A6530" s="31">
        <v>0.17833168403456559</v>
      </c>
      <c r="B6530" s="31"/>
      <c r="C6530" s="2" t="s">
        <v>855</v>
      </c>
      <c r="D6530" s="31">
        <f t="shared" si="196"/>
        <v>3.4953010070774858E-2</v>
      </c>
      <c r="F6530" s="2" t="s">
        <v>822</v>
      </c>
      <c r="G6530" s="23" t="s">
        <v>902</v>
      </c>
      <c r="H6530" s="2" t="s">
        <v>822</v>
      </c>
      <c r="J6530" s="31">
        <v>60.776001000000001</v>
      </c>
      <c r="K6530" s="31">
        <v>-27.195999100000002</v>
      </c>
      <c r="L6530" s="31"/>
      <c r="M6530" s="31" t="s">
        <v>854</v>
      </c>
      <c r="N6530" s="6" t="s">
        <v>856</v>
      </c>
    </row>
    <row r="6531" spans="1:14" ht="15" customHeight="1" x14ac:dyDescent="0.2">
      <c r="A6531" s="31">
        <v>0.17825725806034401</v>
      </c>
      <c r="B6531" s="31"/>
      <c r="C6531" s="2" t="s">
        <v>855</v>
      </c>
      <c r="D6531" s="31">
        <f t="shared" si="196"/>
        <v>3.4938422579827426E-2</v>
      </c>
      <c r="F6531" s="2" t="s">
        <v>822</v>
      </c>
      <c r="G6531" s="23" t="s">
        <v>902</v>
      </c>
      <c r="H6531" s="2" t="s">
        <v>822</v>
      </c>
      <c r="J6531" s="31">
        <v>67.596603400000006</v>
      </c>
      <c r="K6531" s="31">
        <v>13.1028004</v>
      </c>
      <c r="L6531" s="31"/>
      <c r="M6531" s="31" t="s">
        <v>854</v>
      </c>
      <c r="N6531" s="6" t="s">
        <v>856</v>
      </c>
    </row>
    <row r="6532" spans="1:14" ht="15" customHeight="1" x14ac:dyDescent="0.2">
      <c r="A6532" s="31">
        <v>0.1780673074387174</v>
      </c>
      <c r="B6532" s="31"/>
      <c r="C6532" s="2" t="s">
        <v>855</v>
      </c>
      <c r="D6532" s="31">
        <f t="shared" si="196"/>
        <v>3.4901192257988614E-2</v>
      </c>
      <c r="F6532" s="2" t="s">
        <v>822</v>
      </c>
      <c r="G6532" s="23" t="s">
        <v>902</v>
      </c>
      <c r="H6532" s="2" t="s">
        <v>822</v>
      </c>
      <c r="J6532" s="31">
        <v>62.111999500000003</v>
      </c>
      <c r="K6532" s="31">
        <v>-13.8360004</v>
      </c>
      <c r="L6532" s="31"/>
      <c r="M6532" s="31" t="s">
        <v>854</v>
      </c>
      <c r="N6532" s="6" t="s">
        <v>856</v>
      </c>
    </row>
    <row r="6533" spans="1:14" ht="15" customHeight="1" x14ac:dyDescent="0.2">
      <c r="A6533" s="31">
        <v>0.1780143889638279</v>
      </c>
      <c r="B6533" s="31"/>
      <c r="C6533" s="2" t="s">
        <v>855</v>
      </c>
      <c r="D6533" s="31">
        <f t="shared" si="196"/>
        <v>3.4890820236910272E-2</v>
      </c>
      <c r="F6533" s="2" t="s">
        <v>822</v>
      </c>
      <c r="G6533" s="23" t="s">
        <v>902</v>
      </c>
      <c r="H6533" s="2" t="s">
        <v>822</v>
      </c>
      <c r="J6533" s="31">
        <v>56.099998499999998</v>
      </c>
      <c r="K6533" s="31">
        <v>-40.555999800000002</v>
      </c>
      <c r="L6533" s="31"/>
      <c r="M6533" s="31" t="s">
        <v>854</v>
      </c>
      <c r="N6533" s="6" t="s">
        <v>856</v>
      </c>
    </row>
    <row r="6534" spans="1:14" ht="15" customHeight="1" x14ac:dyDescent="0.2">
      <c r="A6534" s="31">
        <v>0.17797602263822071</v>
      </c>
      <c r="B6534" s="31"/>
      <c r="C6534" s="2" t="s">
        <v>855</v>
      </c>
      <c r="D6534" s="31">
        <f t="shared" si="196"/>
        <v>3.4883300437091258E-2</v>
      </c>
      <c r="F6534" s="2" t="s">
        <v>822</v>
      </c>
      <c r="G6534" s="23" t="s">
        <v>902</v>
      </c>
      <c r="H6534" s="2" t="s">
        <v>822</v>
      </c>
      <c r="J6534" s="31">
        <v>62.222801199999999</v>
      </c>
      <c r="K6534" s="31">
        <v>2.1838099999999998</v>
      </c>
      <c r="L6534" s="31"/>
      <c r="M6534" s="31" t="s">
        <v>854</v>
      </c>
      <c r="N6534" s="6" t="s">
        <v>856</v>
      </c>
    </row>
    <row r="6535" spans="1:14" ht="15" customHeight="1" x14ac:dyDescent="0.2">
      <c r="A6535" s="31">
        <v>0.17787746547661559</v>
      </c>
      <c r="B6535" s="31"/>
      <c r="C6535" s="2" t="s">
        <v>855</v>
      </c>
      <c r="D6535" s="31">
        <f t="shared" si="196"/>
        <v>3.4863983233416655E-2</v>
      </c>
      <c r="F6535" s="2" t="s">
        <v>822</v>
      </c>
      <c r="G6535" s="23" t="s">
        <v>902</v>
      </c>
      <c r="H6535" s="2" t="s">
        <v>822</v>
      </c>
      <c r="J6535" s="31">
        <v>64.014999399999994</v>
      </c>
      <c r="K6535" s="31">
        <v>-37.204299900000002</v>
      </c>
      <c r="L6535" s="31"/>
      <c r="M6535" s="31" t="s">
        <v>854</v>
      </c>
      <c r="N6535" s="6" t="s">
        <v>856</v>
      </c>
    </row>
    <row r="6536" spans="1:14" ht="15" customHeight="1" x14ac:dyDescent="0.2">
      <c r="A6536" s="31">
        <v>0.1774032055822912</v>
      </c>
      <c r="B6536" s="31"/>
      <c r="C6536" s="2" t="s">
        <v>855</v>
      </c>
      <c r="D6536" s="31">
        <f t="shared" si="196"/>
        <v>3.4771028294129078E-2</v>
      </c>
      <c r="F6536" s="2" t="s">
        <v>822</v>
      </c>
      <c r="G6536" s="23" t="s">
        <v>902</v>
      </c>
      <c r="H6536" s="2" t="s">
        <v>822</v>
      </c>
      <c r="J6536" s="31">
        <v>62.779998800000001</v>
      </c>
      <c r="K6536" s="31">
        <v>-12.5</v>
      </c>
      <c r="L6536" s="31"/>
      <c r="M6536" s="31" t="s">
        <v>854</v>
      </c>
      <c r="N6536" s="6" t="s">
        <v>856</v>
      </c>
    </row>
    <row r="6537" spans="1:14" ht="15" customHeight="1" x14ac:dyDescent="0.2">
      <c r="A6537" s="31">
        <v>0.17734406805907801</v>
      </c>
      <c r="B6537" s="31"/>
      <c r="C6537" s="2" t="s">
        <v>855</v>
      </c>
      <c r="D6537" s="31">
        <f t="shared" si="196"/>
        <v>3.4759437339579292E-2</v>
      </c>
      <c r="F6537" s="2" t="s">
        <v>822</v>
      </c>
      <c r="G6537" s="23" t="s">
        <v>902</v>
      </c>
      <c r="H6537" s="2" t="s">
        <v>822</v>
      </c>
      <c r="J6537" s="31">
        <v>63.372001599999997</v>
      </c>
      <c r="K6537" s="31">
        <v>-39.175701099999998</v>
      </c>
      <c r="L6537" s="31"/>
      <c r="M6537" s="31" t="s">
        <v>854</v>
      </c>
      <c r="N6537" s="6" t="s">
        <v>856</v>
      </c>
    </row>
    <row r="6538" spans="1:14" ht="15" customHeight="1" x14ac:dyDescent="0.2">
      <c r="A6538" s="31">
        <v>0.177297009588395</v>
      </c>
      <c r="B6538" s="31"/>
      <c r="C6538" s="2" t="s">
        <v>855</v>
      </c>
      <c r="D6538" s="31">
        <f t="shared" si="196"/>
        <v>3.475021387932542E-2</v>
      </c>
      <c r="F6538" s="2" t="s">
        <v>822</v>
      </c>
      <c r="G6538" s="23" t="s">
        <v>902</v>
      </c>
      <c r="H6538" s="2" t="s">
        <v>822</v>
      </c>
      <c r="J6538" s="31">
        <v>62.111999500000003</v>
      </c>
      <c r="K6538" s="31">
        <v>-20.516000699999999</v>
      </c>
      <c r="L6538" s="31"/>
      <c r="M6538" s="31" t="s">
        <v>854</v>
      </c>
      <c r="N6538" s="6" t="s">
        <v>856</v>
      </c>
    </row>
    <row r="6539" spans="1:14" ht="15" customHeight="1" x14ac:dyDescent="0.2">
      <c r="A6539" s="31">
        <v>0.1768858205390054</v>
      </c>
      <c r="B6539" s="31"/>
      <c r="C6539" s="2" t="s">
        <v>855</v>
      </c>
      <c r="D6539" s="31">
        <f t="shared" si="196"/>
        <v>3.4669620825645057E-2</v>
      </c>
      <c r="F6539" s="2" t="s">
        <v>822</v>
      </c>
      <c r="G6539" s="23" t="s">
        <v>902</v>
      </c>
      <c r="H6539" s="2" t="s">
        <v>822</v>
      </c>
      <c r="J6539" s="31">
        <v>56.099998499999998</v>
      </c>
      <c r="K6539" s="31">
        <v>-35.880001100000001</v>
      </c>
      <c r="L6539" s="31"/>
      <c r="M6539" s="31" t="s">
        <v>854</v>
      </c>
      <c r="N6539" s="6" t="s">
        <v>856</v>
      </c>
    </row>
    <row r="6540" spans="1:14" ht="15" customHeight="1" x14ac:dyDescent="0.2">
      <c r="A6540" s="31">
        <v>0.17671552009697561</v>
      </c>
      <c r="B6540" s="31"/>
      <c r="C6540" s="2" t="s">
        <v>855</v>
      </c>
      <c r="D6540" s="31">
        <f t="shared" si="196"/>
        <v>3.4636241939007217E-2</v>
      </c>
      <c r="F6540" s="2" t="s">
        <v>822</v>
      </c>
      <c r="G6540" s="23" t="s">
        <v>902</v>
      </c>
      <c r="H6540" s="2" t="s">
        <v>822</v>
      </c>
      <c r="J6540" s="31">
        <v>64.067802400000005</v>
      </c>
      <c r="K6540" s="31">
        <v>-9.2510405000000002</v>
      </c>
      <c r="L6540" s="31"/>
      <c r="M6540" s="31" t="s">
        <v>854</v>
      </c>
      <c r="N6540" s="6" t="s">
        <v>856</v>
      </c>
    </row>
    <row r="6541" spans="1:14" ht="15" customHeight="1" x14ac:dyDescent="0.2">
      <c r="A6541" s="31">
        <v>0.17663580303097959</v>
      </c>
      <c r="B6541" s="31"/>
      <c r="C6541" s="2" t="s">
        <v>855</v>
      </c>
      <c r="D6541" s="31">
        <f t="shared" si="196"/>
        <v>3.4620617394072004E-2</v>
      </c>
      <c r="F6541" s="2" t="s">
        <v>822</v>
      </c>
      <c r="G6541" s="23" t="s">
        <v>902</v>
      </c>
      <c r="H6541" s="2" t="s">
        <v>822</v>
      </c>
      <c r="J6541" s="31">
        <v>62.779998800000001</v>
      </c>
      <c r="K6541" s="31">
        <v>-10.4960003</v>
      </c>
      <c r="L6541" s="31"/>
      <c r="M6541" s="31" t="s">
        <v>854</v>
      </c>
      <c r="N6541" s="6" t="s">
        <v>856</v>
      </c>
    </row>
    <row r="6542" spans="1:14" ht="15" customHeight="1" x14ac:dyDescent="0.2">
      <c r="A6542" s="31">
        <v>0.1765840946772308</v>
      </c>
      <c r="B6542" s="31"/>
      <c r="C6542" s="2" t="s">
        <v>855</v>
      </c>
      <c r="D6542" s="31">
        <f t="shared" si="196"/>
        <v>3.4610482556737238E-2</v>
      </c>
      <c r="F6542" s="2" t="s">
        <v>822</v>
      </c>
      <c r="G6542" s="23" t="s">
        <v>902</v>
      </c>
      <c r="H6542" s="2" t="s">
        <v>822</v>
      </c>
      <c r="J6542" s="31">
        <v>69.467796300000003</v>
      </c>
      <c r="K6542" s="31">
        <v>15.548999800000001</v>
      </c>
      <c r="L6542" s="31"/>
      <c r="M6542" s="31" t="s">
        <v>854</v>
      </c>
      <c r="N6542" s="6" t="s">
        <v>856</v>
      </c>
    </row>
    <row r="6543" spans="1:14" ht="15" customHeight="1" x14ac:dyDescent="0.2">
      <c r="A6543" s="31">
        <v>0.1765541849493667</v>
      </c>
      <c r="B6543" s="31"/>
      <c r="C6543" s="2" t="s">
        <v>855</v>
      </c>
      <c r="D6543" s="31">
        <f t="shared" si="196"/>
        <v>3.4604620250075872E-2</v>
      </c>
      <c r="F6543" s="2" t="s">
        <v>822</v>
      </c>
      <c r="G6543" s="23" t="s">
        <v>902</v>
      </c>
      <c r="H6543" s="2" t="s">
        <v>822</v>
      </c>
      <c r="J6543" s="31">
        <v>70.167999300000005</v>
      </c>
      <c r="K6543" s="31">
        <v>16.717199300000001</v>
      </c>
      <c r="L6543" s="31"/>
      <c r="M6543" s="31" t="s">
        <v>854</v>
      </c>
      <c r="N6543" s="6" t="s">
        <v>856</v>
      </c>
    </row>
    <row r="6544" spans="1:14" ht="15" customHeight="1" x14ac:dyDescent="0.2">
      <c r="A6544" s="31">
        <v>0.17643452512179589</v>
      </c>
      <c r="B6544" s="31"/>
      <c r="C6544" s="2" t="s">
        <v>855</v>
      </c>
      <c r="D6544" s="31">
        <f t="shared" si="196"/>
        <v>3.4581166923871996E-2</v>
      </c>
      <c r="F6544" s="2" t="s">
        <v>822</v>
      </c>
      <c r="G6544" s="23" t="s">
        <v>902</v>
      </c>
      <c r="H6544" s="2" t="s">
        <v>822</v>
      </c>
      <c r="J6544" s="31">
        <v>61.444000199999998</v>
      </c>
      <c r="K6544" s="31">
        <v>-31.204000499999999</v>
      </c>
      <c r="L6544" s="31"/>
      <c r="M6544" s="31" t="s">
        <v>854</v>
      </c>
      <c r="N6544" s="6" t="s">
        <v>856</v>
      </c>
    </row>
    <row r="6545" spans="1:14" ht="15" customHeight="1" x14ac:dyDescent="0.2">
      <c r="A6545" s="31">
        <v>0.17635167584113959</v>
      </c>
      <c r="B6545" s="31"/>
      <c r="C6545" s="2" t="s">
        <v>855</v>
      </c>
      <c r="D6545" s="31">
        <f t="shared" si="196"/>
        <v>3.4564928464863358E-2</v>
      </c>
      <c r="F6545" s="2" t="s">
        <v>822</v>
      </c>
      <c r="G6545" s="23" t="s">
        <v>902</v>
      </c>
      <c r="H6545" s="2" t="s">
        <v>822</v>
      </c>
      <c r="J6545" s="31">
        <v>59.129600500000002</v>
      </c>
      <c r="K6545" s="31">
        <v>-7.04216</v>
      </c>
      <c r="L6545" s="31"/>
      <c r="M6545" s="31" t="s">
        <v>854</v>
      </c>
      <c r="N6545" s="6" t="s">
        <v>856</v>
      </c>
    </row>
    <row r="6546" spans="1:14" ht="15" customHeight="1" x14ac:dyDescent="0.2">
      <c r="A6546" s="31">
        <v>0.17614829764849571</v>
      </c>
      <c r="B6546" s="31"/>
      <c r="C6546" s="2" t="s">
        <v>855</v>
      </c>
      <c r="D6546" s="31">
        <f t="shared" si="196"/>
        <v>3.4525066339105161E-2</v>
      </c>
      <c r="F6546" s="2" t="s">
        <v>822</v>
      </c>
      <c r="G6546" s="23" t="s">
        <v>902</v>
      </c>
      <c r="H6546" s="2" t="s">
        <v>822</v>
      </c>
      <c r="J6546" s="31">
        <v>59.439998600000003</v>
      </c>
      <c r="K6546" s="31">
        <v>-35.212001800000003</v>
      </c>
      <c r="L6546" s="31"/>
      <c r="M6546" s="31" t="s">
        <v>854</v>
      </c>
      <c r="N6546" s="6" t="s">
        <v>856</v>
      </c>
    </row>
    <row r="6547" spans="1:14" ht="15" customHeight="1" x14ac:dyDescent="0.2">
      <c r="A6547" s="31">
        <v>0.17612515839614129</v>
      </c>
      <c r="B6547" s="31"/>
      <c r="C6547" s="2" t="s">
        <v>855</v>
      </c>
      <c r="D6547" s="31">
        <f t="shared" si="196"/>
        <v>3.4520531045643697E-2</v>
      </c>
      <c r="F6547" s="2" t="s">
        <v>822</v>
      </c>
      <c r="G6547" s="23" t="s">
        <v>902</v>
      </c>
      <c r="H6547" s="2" t="s">
        <v>822</v>
      </c>
      <c r="J6547" s="31">
        <v>65.452003500000004</v>
      </c>
      <c r="K6547" s="31">
        <v>6.8720001999999996</v>
      </c>
      <c r="L6547" s="31"/>
      <c r="M6547" s="31" t="s">
        <v>854</v>
      </c>
      <c r="N6547" s="6" t="s">
        <v>856</v>
      </c>
    </row>
    <row r="6548" spans="1:14" ht="15" customHeight="1" x14ac:dyDescent="0.2">
      <c r="A6548" s="31">
        <v>0.17597939784238531</v>
      </c>
      <c r="B6548" s="31"/>
      <c r="C6548" s="2" t="s">
        <v>855</v>
      </c>
      <c r="D6548" s="31">
        <f t="shared" si="196"/>
        <v>3.4491961977107521E-2</v>
      </c>
      <c r="F6548" s="2" t="s">
        <v>822</v>
      </c>
      <c r="G6548" s="23" t="s">
        <v>902</v>
      </c>
      <c r="H6548" s="2" t="s">
        <v>822</v>
      </c>
      <c r="J6548" s="31">
        <v>59.439998600000003</v>
      </c>
      <c r="K6548" s="31">
        <v>1.528</v>
      </c>
      <c r="L6548" s="31"/>
      <c r="M6548" s="31" t="s">
        <v>854</v>
      </c>
      <c r="N6548" s="6" t="s">
        <v>856</v>
      </c>
    </row>
    <row r="6549" spans="1:14" ht="15" customHeight="1" x14ac:dyDescent="0.2">
      <c r="A6549" s="31">
        <v>0.17590169674614439</v>
      </c>
      <c r="B6549" s="31"/>
      <c r="C6549" s="2" t="s">
        <v>855</v>
      </c>
      <c r="D6549" s="31">
        <f t="shared" si="196"/>
        <v>3.4476732562244303E-2</v>
      </c>
      <c r="F6549" s="2" t="s">
        <v>822</v>
      </c>
      <c r="G6549" s="23" t="s">
        <v>902</v>
      </c>
      <c r="H6549" s="2" t="s">
        <v>822</v>
      </c>
      <c r="J6549" s="31">
        <v>68.169601400000005</v>
      </c>
      <c r="K6549" s="31">
        <v>10.2033997</v>
      </c>
      <c r="L6549" s="31"/>
      <c r="M6549" s="31" t="s">
        <v>854</v>
      </c>
      <c r="N6549" s="6" t="s">
        <v>856</v>
      </c>
    </row>
    <row r="6550" spans="1:14" ht="15" customHeight="1" x14ac:dyDescent="0.2">
      <c r="A6550" s="31">
        <v>0.1758780214230069</v>
      </c>
      <c r="B6550" s="31"/>
      <c r="C6550" s="2" t="s">
        <v>855</v>
      </c>
      <c r="D6550" s="31">
        <f t="shared" si="196"/>
        <v>3.4472092198909357E-2</v>
      </c>
      <c r="F6550" s="2" t="s">
        <v>822</v>
      </c>
      <c r="G6550" s="23" t="s">
        <v>902</v>
      </c>
      <c r="H6550" s="2" t="s">
        <v>822</v>
      </c>
      <c r="J6550" s="31">
        <v>54.751201600000002</v>
      </c>
      <c r="K6550" s="31">
        <v>-37.907398200000003</v>
      </c>
      <c r="L6550" s="31"/>
      <c r="M6550" s="31" t="s">
        <v>854</v>
      </c>
      <c r="N6550" s="6" t="s">
        <v>856</v>
      </c>
    </row>
    <row r="6551" spans="1:14" ht="15" customHeight="1" x14ac:dyDescent="0.2">
      <c r="A6551" s="31">
        <v>0.17585866719621451</v>
      </c>
      <c r="B6551" s="31"/>
      <c r="C6551" s="2" t="s">
        <v>855</v>
      </c>
      <c r="D6551" s="31">
        <f t="shared" si="196"/>
        <v>3.4468298770458046E-2</v>
      </c>
      <c r="F6551" s="2" t="s">
        <v>822</v>
      </c>
      <c r="G6551" s="23" t="s">
        <v>902</v>
      </c>
      <c r="H6551" s="2" t="s">
        <v>822</v>
      </c>
      <c r="J6551" s="31">
        <v>56.768001599999998</v>
      </c>
      <c r="K6551" s="31">
        <v>-15.8400002</v>
      </c>
      <c r="L6551" s="31"/>
      <c r="M6551" s="31" t="s">
        <v>854</v>
      </c>
      <c r="N6551" s="6" t="s">
        <v>856</v>
      </c>
    </row>
    <row r="6552" spans="1:14" ht="15" customHeight="1" x14ac:dyDescent="0.2">
      <c r="A6552" s="31">
        <v>0.175559597495279</v>
      </c>
      <c r="B6552" s="31"/>
      <c r="C6552" s="2" t="s">
        <v>855</v>
      </c>
      <c r="D6552" s="31">
        <f t="shared" si="196"/>
        <v>3.4409681109074684E-2</v>
      </c>
      <c r="F6552" s="2" t="s">
        <v>822</v>
      </c>
      <c r="G6552" s="23" t="s">
        <v>902</v>
      </c>
      <c r="H6552" s="2" t="s">
        <v>822</v>
      </c>
      <c r="J6552" s="31">
        <v>56.768001599999998</v>
      </c>
      <c r="K6552" s="31">
        <v>-41.223998999999999</v>
      </c>
      <c r="L6552" s="31"/>
      <c r="M6552" s="31" t="s">
        <v>854</v>
      </c>
      <c r="N6552" s="6" t="s">
        <v>856</v>
      </c>
    </row>
    <row r="6553" spans="1:14" ht="15" customHeight="1" x14ac:dyDescent="0.2">
      <c r="A6553" s="31">
        <v>0.17542221216739151</v>
      </c>
      <c r="B6553" s="31"/>
      <c r="C6553" s="2" t="s">
        <v>855</v>
      </c>
      <c r="D6553" s="31">
        <f t="shared" si="196"/>
        <v>3.4382753584808738E-2</v>
      </c>
      <c r="F6553" s="2" t="s">
        <v>822</v>
      </c>
      <c r="G6553" s="23" t="s">
        <v>902</v>
      </c>
      <c r="H6553" s="2" t="s">
        <v>822</v>
      </c>
      <c r="J6553" s="31">
        <v>64.714500400000006</v>
      </c>
      <c r="K6553" s="31">
        <v>-23.746500000000001</v>
      </c>
      <c r="L6553" s="31"/>
      <c r="M6553" s="31" t="s">
        <v>854</v>
      </c>
      <c r="N6553" s="6" t="s">
        <v>856</v>
      </c>
    </row>
    <row r="6554" spans="1:14" ht="15" customHeight="1" x14ac:dyDescent="0.2">
      <c r="A6554" s="31">
        <v>0.1752415408623714</v>
      </c>
      <c r="B6554" s="31"/>
      <c r="C6554" s="2" t="s">
        <v>855</v>
      </c>
      <c r="D6554" s="31">
        <f t="shared" si="196"/>
        <v>3.4347342009024798E-2</v>
      </c>
      <c r="F6554" s="2" t="s">
        <v>822</v>
      </c>
      <c r="G6554" s="23" t="s">
        <v>902</v>
      </c>
      <c r="H6554" s="2" t="s">
        <v>822</v>
      </c>
      <c r="J6554" s="31">
        <v>26.708000200000001</v>
      </c>
      <c r="K6554" s="31">
        <v>-32.540000900000003</v>
      </c>
      <c r="L6554" s="31"/>
      <c r="M6554" s="31" t="s">
        <v>854</v>
      </c>
      <c r="N6554" s="6" t="s">
        <v>856</v>
      </c>
    </row>
    <row r="6555" spans="1:14" ht="15" customHeight="1" x14ac:dyDescent="0.2">
      <c r="A6555" s="31">
        <v>0.17502246300100621</v>
      </c>
      <c r="B6555" s="31"/>
      <c r="C6555" s="2" t="s">
        <v>855</v>
      </c>
      <c r="D6555" s="31">
        <f t="shared" si="196"/>
        <v>3.4304402748197217E-2</v>
      </c>
      <c r="F6555" s="2" t="s">
        <v>822</v>
      </c>
      <c r="G6555" s="23" t="s">
        <v>902</v>
      </c>
      <c r="H6555" s="2" t="s">
        <v>822</v>
      </c>
      <c r="J6555" s="31">
        <v>56.768001599999998</v>
      </c>
      <c r="K6555" s="31">
        <v>-34.543998700000003</v>
      </c>
      <c r="L6555" s="31"/>
      <c r="M6555" s="31" t="s">
        <v>854</v>
      </c>
      <c r="N6555" s="6" t="s">
        <v>856</v>
      </c>
    </row>
    <row r="6556" spans="1:14" ht="15" customHeight="1" x14ac:dyDescent="0.2">
      <c r="A6556" s="31">
        <v>0.17477432427842479</v>
      </c>
      <c r="B6556" s="31"/>
      <c r="C6556" s="2" t="s">
        <v>855</v>
      </c>
      <c r="D6556" s="31">
        <f t="shared" si="196"/>
        <v>3.4255767558571258E-2</v>
      </c>
      <c r="F6556" s="2" t="s">
        <v>822</v>
      </c>
      <c r="G6556" s="23" t="s">
        <v>902</v>
      </c>
      <c r="H6556" s="2" t="s">
        <v>822</v>
      </c>
      <c r="J6556" s="31">
        <v>60.108001700000003</v>
      </c>
      <c r="K6556" s="31">
        <v>3.2178399999999998</v>
      </c>
      <c r="L6556" s="31"/>
      <c r="M6556" s="31" t="s">
        <v>854</v>
      </c>
      <c r="N6556" s="6" t="s">
        <v>856</v>
      </c>
    </row>
    <row r="6557" spans="1:14" ht="15" customHeight="1" x14ac:dyDescent="0.2">
      <c r="A6557" s="31">
        <v>0.17463844794693761</v>
      </c>
      <c r="B6557" s="31"/>
      <c r="C6557" s="2" t="s">
        <v>855</v>
      </c>
      <c r="D6557" s="31">
        <f t="shared" si="196"/>
        <v>3.4229135797599772E-2</v>
      </c>
      <c r="F6557" s="2" t="s">
        <v>822</v>
      </c>
      <c r="G6557" s="23" t="s">
        <v>902</v>
      </c>
      <c r="H6557" s="2" t="s">
        <v>822</v>
      </c>
      <c r="J6557" s="31">
        <v>59.439998600000003</v>
      </c>
      <c r="K6557" s="31">
        <v>-12.5</v>
      </c>
      <c r="L6557" s="31"/>
      <c r="M6557" s="31" t="s">
        <v>854</v>
      </c>
      <c r="N6557" s="6" t="s">
        <v>856</v>
      </c>
    </row>
    <row r="6558" spans="1:14" ht="15" customHeight="1" x14ac:dyDescent="0.2">
      <c r="A6558" s="31">
        <v>0.17439493783191651</v>
      </c>
      <c r="B6558" s="31"/>
      <c r="C6558" s="2" t="s">
        <v>855</v>
      </c>
      <c r="D6558" s="31">
        <f t="shared" si="196"/>
        <v>3.4181407815055638E-2</v>
      </c>
      <c r="F6558" s="2" t="s">
        <v>822</v>
      </c>
      <c r="G6558" s="23" t="s">
        <v>902</v>
      </c>
      <c r="H6558" s="2" t="s">
        <v>822</v>
      </c>
      <c r="J6558" s="31">
        <v>58.1040001</v>
      </c>
      <c r="K6558" s="31">
        <v>-29.200000800000002</v>
      </c>
      <c r="L6558" s="31"/>
      <c r="M6558" s="31" t="s">
        <v>854</v>
      </c>
      <c r="N6558" s="6" t="s">
        <v>856</v>
      </c>
    </row>
    <row r="6559" spans="1:14" ht="15" customHeight="1" x14ac:dyDescent="0.2">
      <c r="A6559" s="31">
        <v>0.17412897525096549</v>
      </c>
      <c r="B6559" s="31"/>
      <c r="C6559" s="2" t="s">
        <v>855</v>
      </c>
      <c r="D6559" s="31">
        <f t="shared" si="196"/>
        <v>3.4129279149189236E-2</v>
      </c>
      <c r="F6559" s="2" t="s">
        <v>822</v>
      </c>
      <c r="G6559" s="23" t="s">
        <v>902</v>
      </c>
      <c r="H6559" s="2" t="s">
        <v>822</v>
      </c>
      <c r="J6559" s="31">
        <v>59.439998600000003</v>
      </c>
      <c r="K6559" s="31">
        <v>-35.880001100000001</v>
      </c>
      <c r="L6559" s="31"/>
      <c r="M6559" s="31" t="s">
        <v>854</v>
      </c>
      <c r="N6559" s="6" t="s">
        <v>856</v>
      </c>
    </row>
    <row r="6560" spans="1:14" ht="15" customHeight="1" x14ac:dyDescent="0.2">
      <c r="A6560" s="31">
        <v>0.17394535894536731</v>
      </c>
      <c r="B6560" s="31"/>
      <c r="C6560" s="2" t="s">
        <v>855</v>
      </c>
      <c r="D6560" s="31">
        <f t="shared" si="196"/>
        <v>3.4093290353291991E-2</v>
      </c>
      <c r="F6560" s="2" t="s">
        <v>822</v>
      </c>
      <c r="G6560" s="23" t="s">
        <v>902</v>
      </c>
      <c r="H6560" s="2" t="s">
        <v>822</v>
      </c>
      <c r="J6560" s="31">
        <v>62.779998800000001</v>
      </c>
      <c r="K6560" s="31">
        <v>-29.867999999999999</v>
      </c>
      <c r="L6560" s="31"/>
      <c r="M6560" s="31" t="s">
        <v>854</v>
      </c>
      <c r="N6560" s="6" t="s">
        <v>856</v>
      </c>
    </row>
    <row r="6561" spans="1:14" ht="15" customHeight="1" x14ac:dyDescent="0.2">
      <c r="A6561" s="31">
        <v>0.1738980882664862</v>
      </c>
      <c r="B6561" s="31"/>
      <c r="C6561" s="2" t="s">
        <v>855</v>
      </c>
      <c r="D6561" s="31">
        <f t="shared" si="196"/>
        <v>3.4084025300231295E-2</v>
      </c>
      <c r="F6561" s="2" t="s">
        <v>822</v>
      </c>
      <c r="G6561" s="23" t="s">
        <v>902</v>
      </c>
      <c r="H6561" s="2" t="s">
        <v>822</v>
      </c>
      <c r="J6561" s="31">
        <v>65.459297199999995</v>
      </c>
      <c r="K6561" s="31">
        <v>-27.202899899999998</v>
      </c>
      <c r="L6561" s="31"/>
      <c r="M6561" s="31" t="s">
        <v>854</v>
      </c>
      <c r="N6561" s="6" t="s">
        <v>856</v>
      </c>
    </row>
    <row r="6562" spans="1:14" ht="15" customHeight="1" x14ac:dyDescent="0.2">
      <c r="A6562" s="31">
        <v>0.17385460558867841</v>
      </c>
      <c r="B6562" s="31"/>
      <c r="C6562" s="2" t="s">
        <v>855</v>
      </c>
      <c r="D6562" s="31">
        <f t="shared" si="196"/>
        <v>3.4075502695380969E-2</v>
      </c>
      <c r="F6562" s="2" t="s">
        <v>822</v>
      </c>
      <c r="G6562" s="23" t="s">
        <v>902</v>
      </c>
      <c r="H6562" s="2" t="s">
        <v>822</v>
      </c>
      <c r="J6562" s="31">
        <v>60.956199599999998</v>
      </c>
      <c r="K6562" s="31">
        <v>1.5215099999999999</v>
      </c>
      <c r="L6562" s="31"/>
      <c r="M6562" s="31" t="s">
        <v>854</v>
      </c>
      <c r="N6562" s="6" t="s">
        <v>856</v>
      </c>
    </row>
    <row r="6563" spans="1:14" ht="15" customHeight="1" x14ac:dyDescent="0.2">
      <c r="A6563" s="31">
        <v>0.17294754686359781</v>
      </c>
      <c r="B6563" s="31"/>
      <c r="C6563" s="2" t="s">
        <v>855</v>
      </c>
      <c r="D6563" s="31">
        <f t="shared" si="196"/>
        <v>3.3897719185265171E-2</v>
      </c>
      <c r="F6563" s="2" t="s">
        <v>822</v>
      </c>
      <c r="G6563" s="23" t="s">
        <v>902</v>
      </c>
      <c r="H6563" s="2" t="s">
        <v>822</v>
      </c>
      <c r="J6563" s="31">
        <v>52.091999100000002</v>
      </c>
      <c r="K6563" s="31">
        <v>-39.220001199999999</v>
      </c>
      <c r="L6563" s="31"/>
      <c r="M6563" s="31" t="s">
        <v>854</v>
      </c>
      <c r="N6563" s="6" t="s">
        <v>856</v>
      </c>
    </row>
    <row r="6564" spans="1:14" ht="15" customHeight="1" x14ac:dyDescent="0.2">
      <c r="A6564" s="31">
        <v>0.172667499465539</v>
      </c>
      <c r="B6564" s="31"/>
      <c r="C6564" s="2" t="s">
        <v>855</v>
      </c>
      <c r="D6564" s="31">
        <f t="shared" si="196"/>
        <v>3.3842829895245646E-2</v>
      </c>
      <c r="F6564" s="2" t="s">
        <v>822</v>
      </c>
      <c r="G6564" s="23" t="s">
        <v>902</v>
      </c>
      <c r="H6564" s="2" t="s">
        <v>822</v>
      </c>
      <c r="J6564" s="31">
        <v>65.135597200000007</v>
      </c>
      <c r="K6564" s="31">
        <v>-23.267200500000001</v>
      </c>
      <c r="L6564" s="31"/>
      <c r="M6564" s="31" t="s">
        <v>854</v>
      </c>
      <c r="N6564" s="6" t="s">
        <v>856</v>
      </c>
    </row>
    <row r="6565" spans="1:14" ht="15" customHeight="1" x14ac:dyDescent="0.2">
      <c r="A6565" s="31">
        <v>0.17265464400087011</v>
      </c>
      <c r="B6565" s="31"/>
      <c r="C6565" s="2" t="s">
        <v>855</v>
      </c>
      <c r="D6565" s="31">
        <f t="shared" si="196"/>
        <v>3.3840310224170542E-2</v>
      </c>
      <c r="F6565" s="2" t="s">
        <v>822</v>
      </c>
      <c r="G6565" s="23" t="s">
        <v>902</v>
      </c>
      <c r="H6565" s="2" t="s">
        <v>822</v>
      </c>
      <c r="J6565" s="31">
        <v>53.428001399999999</v>
      </c>
      <c r="K6565" s="31">
        <v>-37.215999600000004</v>
      </c>
      <c r="L6565" s="31"/>
      <c r="M6565" s="31" t="s">
        <v>854</v>
      </c>
      <c r="N6565" s="6" t="s">
        <v>856</v>
      </c>
    </row>
    <row r="6566" spans="1:14" ht="15" customHeight="1" x14ac:dyDescent="0.2">
      <c r="A6566" s="31">
        <v>0.17229645861875051</v>
      </c>
      <c r="B6566" s="31"/>
      <c r="C6566" s="2" t="s">
        <v>855</v>
      </c>
      <c r="D6566" s="31">
        <f t="shared" si="196"/>
        <v>3.37701058892751E-2</v>
      </c>
      <c r="F6566" s="2" t="s">
        <v>822</v>
      </c>
      <c r="G6566" s="23" t="s">
        <v>902</v>
      </c>
      <c r="H6566" s="2" t="s">
        <v>822</v>
      </c>
      <c r="J6566" s="31">
        <v>59.838600200000002</v>
      </c>
      <c r="K6566" s="31">
        <v>-3.8159999999999998</v>
      </c>
      <c r="L6566" s="31"/>
      <c r="M6566" s="31" t="s">
        <v>854</v>
      </c>
      <c r="N6566" s="6" t="s">
        <v>856</v>
      </c>
    </row>
    <row r="6567" spans="1:14" ht="15" customHeight="1" x14ac:dyDescent="0.2">
      <c r="A6567" s="31">
        <v>0.1722586467759894</v>
      </c>
      <c r="B6567" s="31"/>
      <c r="C6567" s="2" t="s">
        <v>855</v>
      </c>
      <c r="D6567" s="31">
        <f t="shared" si="196"/>
        <v>3.3762694768093925E-2</v>
      </c>
      <c r="F6567" s="2" t="s">
        <v>822</v>
      </c>
      <c r="G6567" s="23" t="s">
        <v>902</v>
      </c>
      <c r="H6567" s="2" t="s">
        <v>822</v>
      </c>
      <c r="J6567" s="31">
        <v>55.4319992</v>
      </c>
      <c r="K6567" s="31">
        <v>-41.223998999999999</v>
      </c>
      <c r="L6567" s="31"/>
      <c r="M6567" s="31" t="s">
        <v>854</v>
      </c>
      <c r="N6567" s="6" t="s">
        <v>856</v>
      </c>
    </row>
    <row r="6568" spans="1:14" ht="15" customHeight="1" x14ac:dyDescent="0.2">
      <c r="A6568" s="31">
        <v>0.17199681811431769</v>
      </c>
      <c r="B6568" s="31"/>
      <c r="C6568" s="2" t="s">
        <v>855</v>
      </c>
      <c r="D6568" s="31">
        <f t="shared" si="196"/>
        <v>3.3711376350406268E-2</v>
      </c>
      <c r="F6568" s="2" t="s">
        <v>822</v>
      </c>
      <c r="G6568" s="23" t="s">
        <v>902</v>
      </c>
      <c r="H6568" s="2" t="s">
        <v>822</v>
      </c>
      <c r="J6568" s="31">
        <v>63.448001900000001</v>
      </c>
      <c r="K6568" s="31">
        <v>-25.1919994</v>
      </c>
      <c r="L6568" s="31"/>
      <c r="M6568" s="31" t="s">
        <v>854</v>
      </c>
      <c r="N6568" s="6" t="s">
        <v>856</v>
      </c>
    </row>
    <row r="6569" spans="1:14" ht="15" customHeight="1" x14ac:dyDescent="0.2">
      <c r="A6569" s="31">
        <v>0.17177213495324581</v>
      </c>
      <c r="B6569" s="31"/>
      <c r="C6569" s="2" t="s">
        <v>855</v>
      </c>
      <c r="D6569" s="31">
        <f t="shared" si="196"/>
        <v>3.3667338450836179E-2</v>
      </c>
      <c r="F6569" s="2" t="s">
        <v>822</v>
      </c>
      <c r="G6569" s="23" t="s">
        <v>902</v>
      </c>
      <c r="H6569" s="2" t="s">
        <v>822</v>
      </c>
      <c r="J6569" s="31">
        <v>60.776001000000001</v>
      </c>
      <c r="K6569" s="31">
        <v>-32.540000900000003</v>
      </c>
      <c r="L6569" s="31"/>
      <c r="M6569" s="31" t="s">
        <v>854</v>
      </c>
      <c r="N6569" s="6" t="s">
        <v>856</v>
      </c>
    </row>
    <row r="6570" spans="1:14" ht="15" customHeight="1" x14ac:dyDescent="0.2">
      <c r="A6570" s="31">
        <v>0.17144365776317369</v>
      </c>
      <c r="B6570" s="31"/>
      <c r="C6570" s="2" t="s">
        <v>855</v>
      </c>
      <c r="D6570" s="31">
        <f t="shared" si="196"/>
        <v>3.3602956921582043E-2</v>
      </c>
      <c r="F6570" s="2" t="s">
        <v>822</v>
      </c>
      <c r="G6570" s="23" t="s">
        <v>902</v>
      </c>
      <c r="H6570" s="2" t="s">
        <v>822</v>
      </c>
      <c r="J6570" s="31">
        <v>51.711200699999999</v>
      </c>
      <c r="K6570" s="31">
        <v>-32.822700500000003</v>
      </c>
      <c r="L6570" s="31"/>
      <c r="M6570" s="31" t="s">
        <v>854</v>
      </c>
      <c r="N6570" s="6" t="s">
        <v>856</v>
      </c>
    </row>
    <row r="6571" spans="1:14" ht="15" customHeight="1" x14ac:dyDescent="0.2">
      <c r="A6571" s="31">
        <v>0.1713565993913499</v>
      </c>
      <c r="B6571" s="31"/>
      <c r="C6571" s="2" t="s">
        <v>855</v>
      </c>
      <c r="D6571" s="31">
        <f t="shared" si="196"/>
        <v>3.3585893480704579E-2</v>
      </c>
      <c r="F6571" s="2" t="s">
        <v>822</v>
      </c>
      <c r="G6571" s="23" t="s">
        <v>902</v>
      </c>
      <c r="H6571" s="2" t="s">
        <v>822</v>
      </c>
      <c r="J6571" s="31">
        <v>62.111999500000003</v>
      </c>
      <c r="K6571" s="31">
        <v>-10.4960003</v>
      </c>
      <c r="L6571" s="31"/>
      <c r="M6571" s="31" t="s">
        <v>854</v>
      </c>
      <c r="N6571" s="6" t="s">
        <v>856</v>
      </c>
    </row>
    <row r="6572" spans="1:14" ht="15" customHeight="1" x14ac:dyDescent="0.2">
      <c r="A6572" s="31">
        <v>0.17087136291749691</v>
      </c>
      <c r="B6572" s="31"/>
      <c r="C6572" s="2" t="s">
        <v>855</v>
      </c>
      <c r="D6572" s="31">
        <f t="shared" si="196"/>
        <v>3.3490787131829396E-2</v>
      </c>
      <c r="F6572" s="2" t="s">
        <v>822</v>
      </c>
      <c r="G6572" s="23" t="s">
        <v>902</v>
      </c>
      <c r="H6572" s="2" t="s">
        <v>822</v>
      </c>
      <c r="J6572" s="31">
        <v>61.444000199999998</v>
      </c>
      <c r="K6572" s="31">
        <v>-38.551998099999999</v>
      </c>
      <c r="L6572" s="31"/>
      <c r="M6572" s="31" t="s">
        <v>854</v>
      </c>
      <c r="N6572" s="6" t="s">
        <v>856</v>
      </c>
    </row>
    <row r="6573" spans="1:14" ht="15" customHeight="1" x14ac:dyDescent="0.2">
      <c r="A6573" s="31">
        <v>0.1708352388079063</v>
      </c>
      <c r="B6573" s="31"/>
      <c r="C6573" s="2" t="s">
        <v>855</v>
      </c>
      <c r="D6573" s="31">
        <f t="shared" si="196"/>
        <v>3.3483706806349635E-2</v>
      </c>
      <c r="F6573" s="2" t="s">
        <v>822</v>
      </c>
      <c r="G6573" s="23" t="s">
        <v>902</v>
      </c>
      <c r="H6573" s="2" t="s">
        <v>822</v>
      </c>
      <c r="J6573" s="31">
        <v>65.418701200000001</v>
      </c>
      <c r="K6573" s="31">
        <v>-21.924400299999999</v>
      </c>
      <c r="L6573" s="31"/>
      <c r="M6573" s="31" t="s">
        <v>854</v>
      </c>
      <c r="N6573" s="6" t="s">
        <v>856</v>
      </c>
    </row>
    <row r="6574" spans="1:14" ht="15" customHeight="1" x14ac:dyDescent="0.2">
      <c r="A6574" s="31">
        <v>0.17076595226608199</v>
      </c>
      <c r="B6574" s="31"/>
      <c r="C6574" s="2" t="s">
        <v>855</v>
      </c>
      <c r="D6574" s="31">
        <f t="shared" si="196"/>
        <v>3.3470126644152068E-2</v>
      </c>
      <c r="F6574" s="2" t="s">
        <v>822</v>
      </c>
      <c r="G6574" s="23" t="s">
        <v>902</v>
      </c>
      <c r="H6574" s="2" t="s">
        <v>822</v>
      </c>
      <c r="J6574" s="31">
        <v>52.091999100000002</v>
      </c>
      <c r="K6574" s="31">
        <v>-40.555999800000002</v>
      </c>
      <c r="L6574" s="31"/>
      <c r="M6574" s="31" t="s">
        <v>854</v>
      </c>
      <c r="N6574" s="6" t="s">
        <v>856</v>
      </c>
    </row>
    <row r="6575" spans="1:14" ht="15" customHeight="1" x14ac:dyDescent="0.2">
      <c r="A6575" s="31">
        <v>0.17055834794443861</v>
      </c>
      <c r="B6575" s="31"/>
      <c r="C6575" s="2" t="s">
        <v>855</v>
      </c>
      <c r="D6575" s="31">
        <f t="shared" si="196"/>
        <v>3.3429436197109967E-2</v>
      </c>
      <c r="F6575" s="2" t="s">
        <v>822</v>
      </c>
      <c r="G6575" s="23" t="s">
        <v>902</v>
      </c>
      <c r="H6575" s="2" t="s">
        <v>822</v>
      </c>
      <c r="J6575" s="31">
        <v>69.480598400000005</v>
      </c>
      <c r="K6575" s="31">
        <v>16.2423</v>
      </c>
      <c r="L6575" s="31"/>
      <c r="M6575" s="31" t="s">
        <v>854</v>
      </c>
      <c r="N6575" s="6" t="s">
        <v>856</v>
      </c>
    </row>
    <row r="6576" spans="1:14" ht="15" customHeight="1" x14ac:dyDescent="0.2">
      <c r="A6576" s="31">
        <v>0.17054257840587461</v>
      </c>
      <c r="B6576" s="31"/>
      <c r="C6576" s="2" t="s">
        <v>855</v>
      </c>
      <c r="D6576" s="31">
        <f t="shared" si="196"/>
        <v>3.3426345367551423E-2</v>
      </c>
      <c r="F6576" s="2" t="s">
        <v>822</v>
      </c>
      <c r="G6576" s="23" t="s">
        <v>902</v>
      </c>
      <c r="H6576" s="2" t="s">
        <v>822</v>
      </c>
      <c r="J6576" s="31">
        <v>60.776001000000001</v>
      </c>
      <c r="K6576" s="31">
        <v>-33.875999499999999</v>
      </c>
      <c r="L6576" s="31"/>
      <c r="M6576" s="31" t="s">
        <v>854</v>
      </c>
      <c r="N6576" s="6" t="s">
        <v>856</v>
      </c>
    </row>
    <row r="6577" spans="1:14" ht="15" customHeight="1" x14ac:dyDescent="0.2">
      <c r="A6577" s="31">
        <v>0.17027136737250501</v>
      </c>
      <c r="B6577" s="31"/>
      <c r="C6577" s="2" t="s">
        <v>855</v>
      </c>
      <c r="D6577" s="31">
        <f t="shared" si="196"/>
        <v>3.3373188005010983E-2</v>
      </c>
      <c r="F6577" s="2" t="s">
        <v>822</v>
      </c>
      <c r="G6577" s="23" t="s">
        <v>902</v>
      </c>
      <c r="H6577" s="2" t="s">
        <v>822</v>
      </c>
      <c r="J6577" s="31">
        <v>70.127998399999996</v>
      </c>
      <c r="K6577" s="31">
        <v>15.5559998</v>
      </c>
      <c r="L6577" s="31"/>
      <c r="M6577" s="31" t="s">
        <v>854</v>
      </c>
      <c r="N6577" s="6" t="s">
        <v>856</v>
      </c>
    </row>
    <row r="6578" spans="1:14" ht="15" customHeight="1" x14ac:dyDescent="0.2">
      <c r="A6578" s="31">
        <v>0.17007514752952599</v>
      </c>
      <c r="B6578" s="31"/>
      <c r="C6578" s="2" t="s">
        <v>855</v>
      </c>
      <c r="D6578" s="31">
        <f t="shared" si="196"/>
        <v>3.3334728915787093E-2</v>
      </c>
      <c r="F6578" s="2" t="s">
        <v>822</v>
      </c>
      <c r="G6578" s="23" t="s">
        <v>902</v>
      </c>
      <c r="H6578" s="2" t="s">
        <v>822</v>
      </c>
      <c r="J6578" s="31">
        <v>56.786899599999998</v>
      </c>
      <c r="K6578" s="31">
        <v>-37.1991005</v>
      </c>
      <c r="L6578" s="31"/>
      <c r="M6578" s="31" t="s">
        <v>854</v>
      </c>
      <c r="N6578" s="6" t="s">
        <v>856</v>
      </c>
    </row>
    <row r="6579" spans="1:14" ht="15" customHeight="1" x14ac:dyDescent="0.2">
      <c r="A6579" s="31">
        <v>0.17006189699906049</v>
      </c>
      <c r="B6579" s="31"/>
      <c r="C6579" s="2" t="s">
        <v>855</v>
      </c>
      <c r="D6579" s="31">
        <f t="shared" si="196"/>
        <v>3.3332131811815859E-2</v>
      </c>
      <c r="F6579" s="2" t="s">
        <v>822</v>
      </c>
      <c r="G6579" s="23" t="s">
        <v>902</v>
      </c>
      <c r="H6579" s="2" t="s">
        <v>822</v>
      </c>
      <c r="J6579" s="31">
        <v>64.715499899999998</v>
      </c>
      <c r="K6579" s="31">
        <v>-13.737000500000001</v>
      </c>
      <c r="L6579" s="31"/>
      <c r="M6579" s="31" t="s">
        <v>854</v>
      </c>
      <c r="N6579" s="6" t="s">
        <v>856</v>
      </c>
    </row>
    <row r="6580" spans="1:14" ht="15" customHeight="1" x14ac:dyDescent="0.2">
      <c r="A6580" s="31">
        <v>0.16947888380721671</v>
      </c>
      <c r="B6580" s="31"/>
      <c r="C6580" s="2" t="s">
        <v>855</v>
      </c>
      <c r="D6580" s="31">
        <f t="shared" si="196"/>
        <v>3.3217861226214479E-2</v>
      </c>
      <c r="F6580" s="2" t="s">
        <v>822</v>
      </c>
      <c r="G6580" s="23" t="s">
        <v>902</v>
      </c>
      <c r="H6580" s="2" t="s">
        <v>822</v>
      </c>
      <c r="J6580" s="31">
        <v>60.108001700000003</v>
      </c>
      <c r="K6580" s="31">
        <v>-9.1599997999999996</v>
      </c>
      <c r="L6580" s="31"/>
      <c r="M6580" s="31" t="s">
        <v>854</v>
      </c>
      <c r="N6580" s="6" t="s">
        <v>856</v>
      </c>
    </row>
    <row r="6581" spans="1:14" ht="15" customHeight="1" x14ac:dyDescent="0.2">
      <c r="A6581" s="31">
        <v>0.16933802316643501</v>
      </c>
      <c r="B6581" s="31"/>
      <c r="C6581" s="2" t="s">
        <v>855</v>
      </c>
      <c r="D6581" s="31">
        <f t="shared" si="196"/>
        <v>3.3190252540621266E-2</v>
      </c>
      <c r="F6581" s="2" t="s">
        <v>822</v>
      </c>
      <c r="G6581" s="23" t="s">
        <v>902</v>
      </c>
      <c r="H6581" s="2" t="s">
        <v>822</v>
      </c>
      <c r="J6581" s="31">
        <v>62.111999500000003</v>
      </c>
      <c r="K6581" s="31">
        <v>-31.204000499999999</v>
      </c>
      <c r="L6581" s="31"/>
      <c r="M6581" s="31" t="s">
        <v>854</v>
      </c>
      <c r="N6581" s="6" t="s">
        <v>856</v>
      </c>
    </row>
    <row r="6582" spans="1:14" ht="15" customHeight="1" x14ac:dyDescent="0.2">
      <c r="A6582" s="31">
        <v>0.16928900595587759</v>
      </c>
      <c r="B6582" s="31"/>
      <c r="C6582" s="2" t="s">
        <v>855</v>
      </c>
      <c r="D6582" s="31">
        <f t="shared" si="196"/>
        <v>3.3180645167352009E-2</v>
      </c>
      <c r="F6582" s="2" t="s">
        <v>822</v>
      </c>
      <c r="G6582" s="23" t="s">
        <v>902</v>
      </c>
      <c r="H6582" s="2" t="s">
        <v>822</v>
      </c>
      <c r="J6582" s="31">
        <v>53.428001399999999</v>
      </c>
      <c r="K6582" s="31">
        <v>-41.223998999999999</v>
      </c>
      <c r="L6582" s="31"/>
      <c r="M6582" s="31" t="s">
        <v>854</v>
      </c>
      <c r="N6582" s="6" t="s">
        <v>856</v>
      </c>
    </row>
    <row r="6583" spans="1:14" ht="15" customHeight="1" x14ac:dyDescent="0.2">
      <c r="A6583" s="31">
        <v>0.1689984931118774</v>
      </c>
      <c r="B6583" s="31"/>
      <c r="C6583" s="2" t="s">
        <v>855</v>
      </c>
      <c r="D6583" s="31">
        <f t="shared" si="196"/>
        <v>3.3123704649927969E-2</v>
      </c>
      <c r="F6583" s="2" t="s">
        <v>822</v>
      </c>
      <c r="G6583" s="23" t="s">
        <v>902</v>
      </c>
      <c r="H6583" s="2" t="s">
        <v>822</v>
      </c>
      <c r="J6583" s="31">
        <v>62.111999500000003</v>
      </c>
      <c r="K6583" s="31">
        <v>-12.5</v>
      </c>
      <c r="L6583" s="31"/>
      <c r="M6583" s="31" t="s">
        <v>854</v>
      </c>
      <c r="N6583" s="6" t="s">
        <v>856</v>
      </c>
    </row>
    <row r="6584" spans="1:14" ht="15" customHeight="1" x14ac:dyDescent="0.2">
      <c r="A6584" s="31">
        <v>0.16899160753656289</v>
      </c>
      <c r="B6584" s="31"/>
      <c r="C6584" s="2" t="s">
        <v>855</v>
      </c>
      <c r="D6584" s="31">
        <f t="shared" si="196"/>
        <v>3.3122355077166328E-2</v>
      </c>
      <c r="F6584" s="2" t="s">
        <v>822</v>
      </c>
      <c r="G6584" s="23" t="s">
        <v>902</v>
      </c>
      <c r="H6584" s="2" t="s">
        <v>822</v>
      </c>
      <c r="J6584" s="31">
        <v>56.768001599999998</v>
      </c>
      <c r="K6584" s="31">
        <v>-21.851999299999999</v>
      </c>
      <c r="L6584" s="31"/>
      <c r="M6584" s="31" t="s">
        <v>854</v>
      </c>
      <c r="N6584" s="6" t="s">
        <v>856</v>
      </c>
    </row>
    <row r="6585" spans="1:14" ht="15" customHeight="1" x14ac:dyDescent="0.2">
      <c r="A6585" s="31">
        <v>0.16886279804929219</v>
      </c>
      <c r="B6585" s="31"/>
      <c r="C6585" s="2" t="s">
        <v>855</v>
      </c>
      <c r="D6585" s="31">
        <f t="shared" si="196"/>
        <v>3.3097108417661274E-2</v>
      </c>
      <c r="F6585" s="2" t="s">
        <v>822</v>
      </c>
      <c r="G6585" s="23" t="s">
        <v>902</v>
      </c>
      <c r="H6585" s="2" t="s">
        <v>822</v>
      </c>
      <c r="J6585" s="31">
        <v>64.014701799999997</v>
      </c>
      <c r="K6585" s="31">
        <v>-11.6792002</v>
      </c>
      <c r="L6585" s="31"/>
      <c r="M6585" s="31" t="s">
        <v>854</v>
      </c>
      <c r="N6585" s="6" t="s">
        <v>856</v>
      </c>
    </row>
    <row r="6586" spans="1:14" ht="15" customHeight="1" x14ac:dyDescent="0.2">
      <c r="A6586" s="31">
        <v>0.1686618438822419</v>
      </c>
      <c r="B6586" s="31"/>
      <c r="C6586" s="2" t="s">
        <v>855</v>
      </c>
      <c r="D6586" s="31">
        <f t="shared" si="196"/>
        <v>3.3057721400919414E-2</v>
      </c>
      <c r="F6586" s="2" t="s">
        <v>822</v>
      </c>
      <c r="G6586" s="23" t="s">
        <v>902</v>
      </c>
      <c r="H6586" s="2" t="s">
        <v>822</v>
      </c>
      <c r="J6586" s="31">
        <v>61.444000199999998</v>
      </c>
      <c r="K6586" s="31">
        <v>-12.5</v>
      </c>
      <c r="L6586" s="31"/>
      <c r="M6586" s="31" t="s">
        <v>854</v>
      </c>
      <c r="N6586" s="6" t="s">
        <v>856</v>
      </c>
    </row>
    <row r="6587" spans="1:14" ht="15" customHeight="1" x14ac:dyDescent="0.2">
      <c r="A6587" s="31">
        <v>0.16818835011022981</v>
      </c>
      <c r="B6587" s="31"/>
      <c r="C6587" s="2" t="s">
        <v>855</v>
      </c>
      <c r="D6587" s="31">
        <f t="shared" si="196"/>
        <v>3.2964916621605042E-2</v>
      </c>
      <c r="F6587" s="2" t="s">
        <v>822</v>
      </c>
      <c r="G6587" s="23" t="s">
        <v>902</v>
      </c>
      <c r="H6587" s="2" t="s">
        <v>822</v>
      </c>
      <c r="J6587" s="31">
        <v>59.439998600000003</v>
      </c>
      <c r="K6587" s="31">
        <v>-31.204000499999999</v>
      </c>
      <c r="L6587" s="31"/>
      <c r="M6587" s="31" t="s">
        <v>854</v>
      </c>
      <c r="N6587" s="6" t="s">
        <v>856</v>
      </c>
    </row>
    <row r="6588" spans="1:14" ht="15" customHeight="1" x14ac:dyDescent="0.2">
      <c r="A6588" s="31">
        <v>0.16815986375662631</v>
      </c>
      <c r="B6588" s="31"/>
      <c r="C6588" s="2" t="s">
        <v>855</v>
      </c>
      <c r="D6588" s="31">
        <f t="shared" si="196"/>
        <v>3.2959333296298757E-2</v>
      </c>
      <c r="F6588" s="2" t="s">
        <v>822</v>
      </c>
      <c r="G6588" s="23" t="s">
        <v>902</v>
      </c>
      <c r="H6588" s="2" t="s">
        <v>822</v>
      </c>
      <c r="J6588" s="31">
        <v>70.144302400000001</v>
      </c>
      <c r="K6588" s="31">
        <v>17.6728992</v>
      </c>
      <c r="L6588" s="31"/>
      <c r="M6588" s="31" t="s">
        <v>854</v>
      </c>
      <c r="N6588" s="6" t="s">
        <v>856</v>
      </c>
    </row>
    <row r="6589" spans="1:14" ht="15" customHeight="1" x14ac:dyDescent="0.2">
      <c r="A6589" s="31">
        <v>0.16808395941740739</v>
      </c>
      <c r="B6589" s="31"/>
      <c r="C6589" s="2" t="s">
        <v>855</v>
      </c>
      <c r="D6589" s="31">
        <f t="shared" si="196"/>
        <v>3.2944456045811851E-2</v>
      </c>
      <c r="F6589" s="2" t="s">
        <v>822</v>
      </c>
      <c r="G6589" s="23" t="s">
        <v>902</v>
      </c>
      <c r="H6589" s="2" t="s">
        <v>822</v>
      </c>
      <c r="J6589" s="31">
        <v>60.108001700000003</v>
      </c>
      <c r="K6589" s="31">
        <v>-39.220001199999999</v>
      </c>
      <c r="L6589" s="31"/>
      <c r="M6589" s="31" t="s">
        <v>854</v>
      </c>
      <c r="N6589" s="6" t="s">
        <v>856</v>
      </c>
    </row>
    <row r="6590" spans="1:14" ht="15" customHeight="1" x14ac:dyDescent="0.2">
      <c r="A6590" s="31">
        <v>0.16779760454696979</v>
      </c>
      <c r="B6590" s="31"/>
      <c r="C6590" s="2" t="s">
        <v>855</v>
      </c>
      <c r="D6590" s="31">
        <f t="shared" si="196"/>
        <v>3.2888330491206083E-2</v>
      </c>
      <c r="F6590" s="2" t="s">
        <v>822</v>
      </c>
      <c r="G6590" s="23" t="s">
        <v>902</v>
      </c>
      <c r="H6590" s="2" t="s">
        <v>822</v>
      </c>
      <c r="J6590" s="31">
        <v>56.099998499999998</v>
      </c>
      <c r="K6590" s="31">
        <v>-42.560001399999997</v>
      </c>
      <c r="L6590" s="31"/>
      <c r="M6590" s="31" t="s">
        <v>854</v>
      </c>
      <c r="N6590" s="6" t="s">
        <v>856</v>
      </c>
    </row>
    <row r="6591" spans="1:14" ht="15" customHeight="1" x14ac:dyDescent="0.2">
      <c r="A6591" s="31">
        <v>0.1677259143288623</v>
      </c>
      <c r="B6591" s="31"/>
      <c r="C6591" s="2" t="s">
        <v>855</v>
      </c>
      <c r="D6591" s="31">
        <f t="shared" si="196"/>
        <v>3.2874279208457015E-2</v>
      </c>
      <c r="F6591" s="2" t="s">
        <v>822</v>
      </c>
      <c r="G6591" s="23" t="s">
        <v>902</v>
      </c>
      <c r="H6591" s="2" t="s">
        <v>822</v>
      </c>
      <c r="J6591" s="31">
        <v>66.120002700000001</v>
      </c>
      <c r="K6591" s="31">
        <v>7.54</v>
      </c>
      <c r="L6591" s="31"/>
      <c r="M6591" s="31" t="s">
        <v>854</v>
      </c>
      <c r="N6591" s="6" t="s">
        <v>856</v>
      </c>
    </row>
    <row r="6592" spans="1:14" ht="15" customHeight="1" x14ac:dyDescent="0.2">
      <c r="A6592" s="31">
        <v>0.16748099128871749</v>
      </c>
      <c r="B6592" s="31"/>
      <c r="C6592" s="2" t="s">
        <v>855</v>
      </c>
      <c r="D6592" s="31">
        <f t="shared" ref="D6592:D6655" si="197" xml:space="preserve"> A6592 * 0.196</f>
        <v>3.2826274292588629E-2</v>
      </c>
      <c r="F6592" s="2" t="s">
        <v>822</v>
      </c>
      <c r="G6592" s="23" t="s">
        <v>902</v>
      </c>
      <c r="H6592" s="2" t="s">
        <v>822</v>
      </c>
      <c r="J6592" s="31">
        <v>62.111999500000003</v>
      </c>
      <c r="K6592" s="31">
        <v>-32.540000900000003</v>
      </c>
      <c r="L6592" s="31"/>
      <c r="M6592" s="31" t="s">
        <v>854</v>
      </c>
      <c r="N6592" s="6" t="s">
        <v>856</v>
      </c>
    </row>
    <row r="6593" spans="1:14" ht="15" customHeight="1" x14ac:dyDescent="0.2">
      <c r="A6593" s="31">
        <v>0.16748096444062549</v>
      </c>
      <c r="B6593" s="31"/>
      <c r="C6593" s="2" t="s">
        <v>855</v>
      </c>
      <c r="D6593" s="31">
        <f t="shared" si="197"/>
        <v>3.28262690303626E-2</v>
      </c>
      <c r="F6593" s="2" t="s">
        <v>822</v>
      </c>
      <c r="G6593" s="23" t="s">
        <v>902</v>
      </c>
      <c r="H6593" s="2" t="s">
        <v>822</v>
      </c>
      <c r="J6593" s="31">
        <v>60.108001700000003</v>
      </c>
      <c r="K6593" s="31">
        <v>-27.864000300000001</v>
      </c>
      <c r="L6593" s="31"/>
      <c r="M6593" s="31" t="s">
        <v>854</v>
      </c>
      <c r="N6593" s="6" t="s">
        <v>856</v>
      </c>
    </row>
    <row r="6594" spans="1:14" ht="15" customHeight="1" x14ac:dyDescent="0.2">
      <c r="A6594" s="31">
        <v>0.16683387842204661</v>
      </c>
      <c r="B6594" s="31"/>
      <c r="C6594" s="2" t="s">
        <v>855</v>
      </c>
      <c r="D6594" s="31">
        <f t="shared" si="197"/>
        <v>3.2699440170721135E-2</v>
      </c>
      <c r="F6594" s="2" t="s">
        <v>822</v>
      </c>
      <c r="G6594" s="23" t="s">
        <v>902</v>
      </c>
      <c r="H6594" s="2" t="s">
        <v>822</v>
      </c>
      <c r="J6594" s="31">
        <v>62.779998800000001</v>
      </c>
      <c r="K6594" s="31">
        <v>-0.47599999999999998</v>
      </c>
      <c r="L6594" s="31"/>
      <c r="M6594" s="31" t="s">
        <v>854</v>
      </c>
      <c r="N6594" s="6" t="s">
        <v>856</v>
      </c>
    </row>
    <row r="6595" spans="1:14" ht="15" customHeight="1" x14ac:dyDescent="0.2">
      <c r="A6595" s="31">
        <v>0.16682464151855181</v>
      </c>
      <c r="B6595" s="31"/>
      <c r="C6595" s="2" t="s">
        <v>855</v>
      </c>
      <c r="D6595" s="31">
        <f t="shared" si="197"/>
        <v>3.2697629737636152E-2</v>
      </c>
      <c r="F6595" s="2" t="s">
        <v>822</v>
      </c>
      <c r="G6595" s="23" t="s">
        <v>902</v>
      </c>
      <c r="H6595" s="2" t="s">
        <v>822</v>
      </c>
      <c r="J6595" s="31">
        <v>60.776001000000001</v>
      </c>
      <c r="K6595" s="31">
        <v>-34.543998700000003</v>
      </c>
      <c r="L6595" s="31"/>
      <c r="M6595" s="31" t="s">
        <v>854</v>
      </c>
      <c r="N6595" s="6" t="s">
        <v>856</v>
      </c>
    </row>
    <row r="6596" spans="1:14" ht="15" customHeight="1" x14ac:dyDescent="0.2">
      <c r="A6596" s="31">
        <v>0.16672076931949459</v>
      </c>
      <c r="B6596" s="31"/>
      <c r="C6596" s="2" t="s">
        <v>855</v>
      </c>
      <c r="D6596" s="31">
        <f t="shared" si="197"/>
        <v>3.2677270786620943E-2</v>
      </c>
      <c r="F6596" s="2" t="s">
        <v>822</v>
      </c>
      <c r="G6596" s="23" t="s">
        <v>902</v>
      </c>
      <c r="H6596" s="2" t="s">
        <v>822</v>
      </c>
      <c r="J6596" s="31">
        <v>63.448001900000001</v>
      </c>
      <c r="K6596" s="31">
        <v>-36.548000299999998</v>
      </c>
      <c r="L6596" s="31"/>
      <c r="M6596" s="31" t="s">
        <v>854</v>
      </c>
      <c r="N6596" s="6" t="s">
        <v>856</v>
      </c>
    </row>
    <row r="6597" spans="1:14" ht="15" customHeight="1" x14ac:dyDescent="0.2">
      <c r="A6597" s="31">
        <v>0.16665170415495051</v>
      </c>
      <c r="B6597" s="31"/>
      <c r="C6597" s="2" t="s">
        <v>855</v>
      </c>
      <c r="D6597" s="31">
        <f t="shared" si="197"/>
        <v>3.2663734014370303E-2</v>
      </c>
      <c r="F6597" s="2" t="s">
        <v>822</v>
      </c>
      <c r="G6597" s="23" t="s">
        <v>902</v>
      </c>
      <c r="H6597" s="2" t="s">
        <v>822</v>
      </c>
      <c r="J6597" s="31">
        <v>52.759998299999999</v>
      </c>
      <c r="K6597" s="31">
        <v>-37.215999600000004</v>
      </c>
      <c r="L6597" s="31"/>
      <c r="M6597" s="31" t="s">
        <v>854</v>
      </c>
      <c r="N6597" s="6" t="s">
        <v>856</v>
      </c>
    </row>
    <row r="6598" spans="1:14" ht="15" customHeight="1" x14ac:dyDescent="0.2">
      <c r="A6598" s="31">
        <v>0.16653837733204591</v>
      </c>
      <c r="B6598" s="31"/>
      <c r="C6598" s="2" t="s">
        <v>855</v>
      </c>
      <c r="D6598" s="31">
        <f t="shared" si="197"/>
        <v>3.2641521957080998E-2</v>
      </c>
      <c r="F6598" s="2" t="s">
        <v>822</v>
      </c>
      <c r="G6598" s="23" t="s">
        <v>902</v>
      </c>
      <c r="H6598" s="2" t="s">
        <v>822</v>
      </c>
      <c r="J6598" s="31">
        <v>55.4319992</v>
      </c>
      <c r="K6598" s="31">
        <v>-28.531999599999999</v>
      </c>
      <c r="L6598" s="31"/>
      <c r="M6598" s="31" t="s">
        <v>854</v>
      </c>
      <c r="N6598" s="6" t="s">
        <v>856</v>
      </c>
    </row>
    <row r="6599" spans="1:14" ht="15" customHeight="1" x14ac:dyDescent="0.2">
      <c r="A6599" s="31">
        <v>0.16644397851697351</v>
      </c>
      <c r="B6599" s="31"/>
      <c r="C6599" s="2" t="s">
        <v>855</v>
      </c>
      <c r="D6599" s="31">
        <f t="shared" si="197"/>
        <v>3.2623019789326808E-2</v>
      </c>
      <c r="F6599" s="2" t="s">
        <v>822</v>
      </c>
      <c r="G6599" s="23" t="s">
        <v>902</v>
      </c>
      <c r="H6599" s="2" t="s">
        <v>822</v>
      </c>
      <c r="J6599" s="31">
        <v>66.788002000000006</v>
      </c>
      <c r="K6599" s="31">
        <v>7.54</v>
      </c>
      <c r="L6599" s="31"/>
      <c r="M6599" s="31" t="s">
        <v>854</v>
      </c>
      <c r="N6599" s="6" t="s">
        <v>856</v>
      </c>
    </row>
    <row r="6600" spans="1:14" ht="15" customHeight="1" x14ac:dyDescent="0.2">
      <c r="A6600" s="31">
        <v>0.16643401256020821</v>
      </c>
      <c r="B6600" s="31"/>
      <c r="C6600" s="2" t="s">
        <v>855</v>
      </c>
      <c r="D6600" s="31">
        <f t="shared" si="197"/>
        <v>3.262106646180081E-2</v>
      </c>
      <c r="F6600" s="2" t="s">
        <v>822</v>
      </c>
      <c r="G6600" s="23" t="s">
        <v>902</v>
      </c>
      <c r="H6600" s="2" t="s">
        <v>822</v>
      </c>
      <c r="J6600" s="31">
        <v>59.439998600000003</v>
      </c>
      <c r="K6600" s="31">
        <v>-29.867999999999999</v>
      </c>
      <c r="L6600" s="31"/>
      <c r="M6600" s="31" t="s">
        <v>854</v>
      </c>
      <c r="N6600" s="6" t="s">
        <v>856</v>
      </c>
    </row>
    <row r="6601" spans="1:14" ht="15" customHeight="1" x14ac:dyDescent="0.2">
      <c r="A6601" s="31">
        <v>0.16640962161759629</v>
      </c>
      <c r="B6601" s="31"/>
      <c r="C6601" s="2" t="s">
        <v>855</v>
      </c>
      <c r="D6601" s="31">
        <f t="shared" si="197"/>
        <v>3.2616285837048876E-2</v>
      </c>
      <c r="F6601" s="2" t="s">
        <v>822</v>
      </c>
      <c r="G6601" s="23" t="s">
        <v>902</v>
      </c>
      <c r="H6601" s="2" t="s">
        <v>822</v>
      </c>
      <c r="J6601" s="31">
        <v>52.759998299999999</v>
      </c>
      <c r="K6601" s="31">
        <v>-38.551998099999999</v>
      </c>
      <c r="L6601" s="31"/>
      <c r="M6601" s="31" t="s">
        <v>854</v>
      </c>
      <c r="N6601" s="6" t="s">
        <v>856</v>
      </c>
    </row>
    <row r="6602" spans="1:14" ht="15" customHeight="1" x14ac:dyDescent="0.2">
      <c r="A6602" s="31">
        <v>0.1663694928428997</v>
      </c>
      <c r="B6602" s="31"/>
      <c r="C6602" s="2" t="s">
        <v>855</v>
      </c>
      <c r="D6602" s="31">
        <f t="shared" si="197"/>
        <v>3.2608420597208344E-2</v>
      </c>
      <c r="F6602" s="2" t="s">
        <v>822</v>
      </c>
      <c r="G6602" s="23" t="s">
        <v>902</v>
      </c>
      <c r="H6602" s="2" t="s">
        <v>822</v>
      </c>
      <c r="J6602" s="31">
        <v>65.316001900000003</v>
      </c>
      <c r="K6602" s="31">
        <v>8.9056902000000004</v>
      </c>
      <c r="L6602" s="31"/>
      <c r="M6602" s="31" t="s">
        <v>854</v>
      </c>
      <c r="N6602" s="6" t="s">
        <v>856</v>
      </c>
    </row>
    <row r="6603" spans="1:14" ht="15" customHeight="1" x14ac:dyDescent="0.2">
      <c r="A6603" s="31">
        <v>0.16601632962905619</v>
      </c>
      <c r="B6603" s="31"/>
      <c r="C6603" s="2" t="s">
        <v>855</v>
      </c>
      <c r="D6603" s="31">
        <f t="shared" si="197"/>
        <v>3.2539200607295017E-2</v>
      </c>
      <c r="F6603" s="2" t="s">
        <v>822</v>
      </c>
      <c r="G6603" s="23" t="s">
        <v>902</v>
      </c>
      <c r="H6603" s="2" t="s">
        <v>822</v>
      </c>
      <c r="J6603" s="31">
        <v>53.433300000000003</v>
      </c>
      <c r="K6603" s="31">
        <v>-33.875801099999997</v>
      </c>
      <c r="L6603" s="31"/>
      <c r="M6603" s="31" t="s">
        <v>854</v>
      </c>
      <c r="N6603" s="6" t="s">
        <v>856</v>
      </c>
    </row>
    <row r="6604" spans="1:14" ht="15" customHeight="1" x14ac:dyDescent="0.2">
      <c r="A6604" s="31">
        <v>0.16596493681285299</v>
      </c>
      <c r="B6604" s="31"/>
      <c r="C6604" s="2" t="s">
        <v>855</v>
      </c>
      <c r="D6604" s="31">
        <f t="shared" si="197"/>
        <v>3.2529127615319189E-2</v>
      </c>
      <c r="F6604" s="2" t="s">
        <v>822</v>
      </c>
      <c r="G6604" s="23" t="s">
        <v>902</v>
      </c>
      <c r="H6604" s="2" t="s">
        <v>822</v>
      </c>
      <c r="J6604" s="31">
        <v>68.214202900000004</v>
      </c>
      <c r="K6604" s="31">
        <v>10.8697996</v>
      </c>
      <c r="L6604" s="31"/>
      <c r="M6604" s="31" t="s">
        <v>854</v>
      </c>
      <c r="N6604" s="6" t="s">
        <v>856</v>
      </c>
    </row>
    <row r="6605" spans="1:14" ht="15" customHeight="1" x14ac:dyDescent="0.2">
      <c r="A6605" s="31">
        <v>0.165932589997455</v>
      </c>
      <c r="B6605" s="31"/>
      <c r="C6605" s="2" t="s">
        <v>855</v>
      </c>
      <c r="D6605" s="31">
        <f t="shared" si="197"/>
        <v>3.2522787639501179E-2</v>
      </c>
      <c r="F6605" s="2" t="s">
        <v>822</v>
      </c>
      <c r="G6605" s="23" t="s">
        <v>902</v>
      </c>
      <c r="H6605" s="2" t="s">
        <v>822</v>
      </c>
      <c r="J6605" s="31">
        <v>50.292499499999998</v>
      </c>
      <c r="K6605" s="31">
        <v>-26.819099399999999</v>
      </c>
      <c r="L6605" s="31"/>
      <c r="M6605" s="31" t="s">
        <v>854</v>
      </c>
      <c r="N6605" s="6" t="s">
        <v>856</v>
      </c>
    </row>
    <row r="6606" spans="1:14" ht="15" customHeight="1" x14ac:dyDescent="0.2">
      <c r="A6606" s="31">
        <v>0.16593180283777839</v>
      </c>
      <c r="B6606" s="31"/>
      <c r="C6606" s="2" t="s">
        <v>855</v>
      </c>
      <c r="D6606" s="31">
        <f t="shared" si="197"/>
        <v>3.2522633356204568E-2</v>
      </c>
      <c r="F6606" s="2" t="s">
        <v>822</v>
      </c>
      <c r="G6606" s="23" t="s">
        <v>902</v>
      </c>
      <c r="H6606" s="2" t="s">
        <v>822</v>
      </c>
      <c r="J6606" s="31">
        <v>54.763999900000002</v>
      </c>
      <c r="K6606" s="31">
        <v>-23.187999699999999</v>
      </c>
      <c r="L6606" s="31"/>
      <c r="M6606" s="31" t="s">
        <v>854</v>
      </c>
      <c r="N6606" s="6" t="s">
        <v>856</v>
      </c>
    </row>
    <row r="6607" spans="1:14" ht="15" customHeight="1" x14ac:dyDescent="0.2">
      <c r="A6607" s="31">
        <v>0.16560008593775469</v>
      </c>
      <c r="B6607" s="31"/>
      <c r="C6607" s="2" t="s">
        <v>855</v>
      </c>
      <c r="D6607" s="31">
        <f t="shared" si="197"/>
        <v>3.245761684379992E-2</v>
      </c>
      <c r="F6607" s="2" t="s">
        <v>822</v>
      </c>
      <c r="G6607" s="23" t="s">
        <v>902</v>
      </c>
      <c r="H6607" s="2" t="s">
        <v>822</v>
      </c>
      <c r="J6607" s="31">
        <v>65.926002499999996</v>
      </c>
      <c r="K6607" s="31">
        <v>9.9520102000000001</v>
      </c>
      <c r="L6607" s="31"/>
      <c r="M6607" s="31" t="s">
        <v>854</v>
      </c>
      <c r="N6607" s="6" t="s">
        <v>856</v>
      </c>
    </row>
    <row r="6608" spans="1:14" ht="15" customHeight="1" x14ac:dyDescent="0.2">
      <c r="A6608" s="31">
        <v>0.1653477991657428</v>
      </c>
      <c r="B6608" s="31"/>
      <c r="C6608" s="2" t="s">
        <v>855</v>
      </c>
      <c r="D6608" s="31">
        <f t="shared" si="197"/>
        <v>3.2408168636485588E-2</v>
      </c>
      <c r="F6608" s="2" t="s">
        <v>822</v>
      </c>
      <c r="G6608" s="23" t="s">
        <v>902</v>
      </c>
      <c r="H6608" s="2" t="s">
        <v>822</v>
      </c>
      <c r="J6608" s="31">
        <v>69.459999100000005</v>
      </c>
      <c r="K6608" s="31">
        <v>16.647800400000001</v>
      </c>
      <c r="L6608" s="31"/>
      <c r="M6608" s="31" t="s">
        <v>854</v>
      </c>
      <c r="N6608" s="6" t="s">
        <v>856</v>
      </c>
    </row>
    <row r="6609" spans="1:14" ht="15" customHeight="1" x14ac:dyDescent="0.2">
      <c r="A6609" s="31">
        <v>0.16518253660206031</v>
      </c>
      <c r="B6609" s="31"/>
      <c r="C6609" s="2" t="s">
        <v>855</v>
      </c>
      <c r="D6609" s="31">
        <f t="shared" si="197"/>
        <v>3.237577717400382E-2</v>
      </c>
      <c r="F6609" s="2" t="s">
        <v>822</v>
      </c>
      <c r="G6609" s="23" t="s">
        <v>902</v>
      </c>
      <c r="H6609" s="2" t="s">
        <v>822</v>
      </c>
      <c r="J6609" s="31">
        <v>64.182701100000003</v>
      </c>
      <c r="K6609" s="31">
        <v>-25.1634007</v>
      </c>
      <c r="L6609" s="31"/>
      <c r="M6609" s="31" t="s">
        <v>854</v>
      </c>
      <c r="N6609" s="6" t="s">
        <v>856</v>
      </c>
    </row>
    <row r="6610" spans="1:14" ht="15" customHeight="1" x14ac:dyDescent="0.2">
      <c r="A6610" s="31">
        <v>0.16506370830437289</v>
      </c>
      <c r="B6610" s="31"/>
      <c r="C6610" s="2" t="s">
        <v>855</v>
      </c>
      <c r="D6610" s="31">
        <f t="shared" si="197"/>
        <v>3.2352486827657088E-2</v>
      </c>
      <c r="F6610" s="2" t="s">
        <v>822</v>
      </c>
      <c r="G6610" s="23" t="s">
        <v>902</v>
      </c>
      <c r="H6610" s="2" t="s">
        <v>822</v>
      </c>
      <c r="J6610" s="31">
        <v>57.436000800000002</v>
      </c>
      <c r="K6610" s="31">
        <v>-19.1800003</v>
      </c>
      <c r="L6610" s="31"/>
      <c r="M6610" s="31" t="s">
        <v>854</v>
      </c>
      <c r="N6610" s="6" t="s">
        <v>856</v>
      </c>
    </row>
    <row r="6611" spans="1:14" ht="15" customHeight="1" x14ac:dyDescent="0.2">
      <c r="A6611" s="31">
        <v>0.1650249498666084</v>
      </c>
      <c r="B6611" s="31"/>
      <c r="C6611" s="2" t="s">
        <v>855</v>
      </c>
      <c r="D6611" s="31">
        <f t="shared" si="197"/>
        <v>3.2344890173855251E-2</v>
      </c>
      <c r="F6611" s="2" t="s">
        <v>822</v>
      </c>
      <c r="G6611" s="23" t="s">
        <v>902</v>
      </c>
      <c r="H6611" s="2" t="s">
        <v>822</v>
      </c>
      <c r="J6611" s="31">
        <v>63.448001900000001</v>
      </c>
      <c r="K6611" s="31">
        <v>-31.204000499999999</v>
      </c>
      <c r="L6611" s="31"/>
      <c r="M6611" s="31" t="s">
        <v>854</v>
      </c>
      <c r="N6611" s="6" t="s">
        <v>856</v>
      </c>
    </row>
    <row r="6612" spans="1:14" ht="15" customHeight="1" x14ac:dyDescent="0.2">
      <c r="A6612" s="31">
        <v>0.16500794730579771</v>
      </c>
      <c r="B6612" s="31"/>
      <c r="C6612" s="2" t="s">
        <v>855</v>
      </c>
      <c r="D6612" s="31">
        <f t="shared" si="197"/>
        <v>3.2341557671936354E-2</v>
      </c>
      <c r="F6612" s="2" t="s">
        <v>822</v>
      </c>
      <c r="G6612" s="23" t="s">
        <v>902</v>
      </c>
      <c r="H6612" s="2" t="s">
        <v>822</v>
      </c>
      <c r="J6612" s="31">
        <v>63.7356987</v>
      </c>
      <c r="K6612" s="31">
        <v>-9.1172799999999992</v>
      </c>
      <c r="L6612" s="31"/>
      <c r="M6612" s="31" t="s">
        <v>854</v>
      </c>
      <c r="N6612" s="6" t="s">
        <v>856</v>
      </c>
    </row>
    <row r="6613" spans="1:14" ht="15" customHeight="1" x14ac:dyDescent="0.2">
      <c r="A6613" s="31">
        <v>0.16483442311991789</v>
      </c>
      <c r="B6613" s="31"/>
      <c r="C6613" s="2" t="s">
        <v>855</v>
      </c>
      <c r="D6613" s="31">
        <f t="shared" si="197"/>
        <v>3.2307546931503908E-2</v>
      </c>
      <c r="F6613" s="2" t="s">
        <v>822</v>
      </c>
      <c r="G6613" s="23" t="s">
        <v>902</v>
      </c>
      <c r="H6613" s="2" t="s">
        <v>822</v>
      </c>
      <c r="J6613" s="31">
        <v>62.111999500000003</v>
      </c>
      <c r="K6613" s="31">
        <v>-1.1440001</v>
      </c>
      <c r="L6613" s="31"/>
      <c r="M6613" s="31" t="s">
        <v>854</v>
      </c>
      <c r="N6613" s="6" t="s">
        <v>856</v>
      </c>
    </row>
    <row r="6614" spans="1:14" ht="15" customHeight="1" x14ac:dyDescent="0.2">
      <c r="A6614" s="31">
        <v>0.1646212196240279</v>
      </c>
      <c r="B6614" s="31"/>
      <c r="C6614" s="2" t="s">
        <v>855</v>
      </c>
      <c r="D6614" s="31">
        <f t="shared" si="197"/>
        <v>3.2265759046309468E-2</v>
      </c>
      <c r="F6614" s="2" t="s">
        <v>822</v>
      </c>
      <c r="G6614" s="23" t="s">
        <v>902</v>
      </c>
      <c r="H6614" s="2" t="s">
        <v>822</v>
      </c>
      <c r="J6614" s="31">
        <v>69.024597200000002</v>
      </c>
      <c r="K6614" s="31">
        <v>14.8600998</v>
      </c>
      <c r="L6614" s="31"/>
      <c r="M6614" s="31" t="s">
        <v>854</v>
      </c>
      <c r="N6614" s="6" t="s">
        <v>856</v>
      </c>
    </row>
    <row r="6615" spans="1:14" ht="15" customHeight="1" x14ac:dyDescent="0.2">
      <c r="A6615" s="31">
        <v>0.16423978949750029</v>
      </c>
      <c r="B6615" s="31"/>
      <c r="C6615" s="2" t="s">
        <v>855</v>
      </c>
      <c r="D6615" s="31">
        <f t="shared" si="197"/>
        <v>3.219099874151006E-2</v>
      </c>
      <c r="F6615" s="2" t="s">
        <v>822</v>
      </c>
      <c r="G6615" s="23" t="s">
        <v>902</v>
      </c>
      <c r="H6615" s="2" t="s">
        <v>822</v>
      </c>
      <c r="J6615" s="31">
        <v>60.776001000000001</v>
      </c>
      <c r="K6615" s="31">
        <v>-31.8719997</v>
      </c>
      <c r="L6615" s="31"/>
      <c r="M6615" s="31" t="s">
        <v>854</v>
      </c>
      <c r="N6615" s="6" t="s">
        <v>856</v>
      </c>
    </row>
    <row r="6616" spans="1:14" ht="15" customHeight="1" x14ac:dyDescent="0.2">
      <c r="A6616" s="31">
        <v>0.16418111454734849</v>
      </c>
      <c r="B6616" s="31"/>
      <c r="C6616" s="2" t="s">
        <v>855</v>
      </c>
      <c r="D6616" s="31">
        <f t="shared" si="197"/>
        <v>3.2179498451280306E-2</v>
      </c>
      <c r="F6616" s="2" t="s">
        <v>822</v>
      </c>
      <c r="G6616" s="23" t="s">
        <v>902</v>
      </c>
      <c r="H6616" s="2" t="s">
        <v>822</v>
      </c>
      <c r="J6616" s="31">
        <v>53.428001399999999</v>
      </c>
      <c r="K6616" s="31">
        <v>-36.548000299999998</v>
      </c>
      <c r="L6616" s="31"/>
      <c r="M6616" s="31" t="s">
        <v>854</v>
      </c>
      <c r="N6616" s="6" t="s">
        <v>856</v>
      </c>
    </row>
    <row r="6617" spans="1:14" ht="15" customHeight="1" x14ac:dyDescent="0.2">
      <c r="A6617" s="31">
        <v>0.16414401921427291</v>
      </c>
      <c r="B6617" s="31"/>
      <c r="C6617" s="2" t="s">
        <v>855</v>
      </c>
      <c r="D6617" s="31">
        <f t="shared" si="197"/>
        <v>3.2172227765997492E-2</v>
      </c>
      <c r="F6617" s="2" t="s">
        <v>822</v>
      </c>
      <c r="G6617" s="23" t="s">
        <v>902</v>
      </c>
      <c r="H6617" s="2" t="s">
        <v>822</v>
      </c>
      <c r="J6617" s="31">
        <v>68.298896799999994</v>
      </c>
      <c r="K6617" s="31">
        <v>12.2074003</v>
      </c>
      <c r="L6617" s="31"/>
      <c r="M6617" s="31" t="s">
        <v>854</v>
      </c>
      <c r="N6617" s="6" t="s">
        <v>856</v>
      </c>
    </row>
    <row r="6618" spans="1:14" ht="15" customHeight="1" x14ac:dyDescent="0.2">
      <c r="A6618" s="31">
        <v>0.16402076564303569</v>
      </c>
      <c r="B6618" s="31"/>
      <c r="C6618" s="2" t="s">
        <v>855</v>
      </c>
      <c r="D6618" s="31">
        <f t="shared" si="197"/>
        <v>3.2148070066034998E-2</v>
      </c>
      <c r="F6618" s="2" t="s">
        <v>822</v>
      </c>
      <c r="G6618" s="23" t="s">
        <v>902</v>
      </c>
      <c r="H6618" s="2" t="s">
        <v>822</v>
      </c>
      <c r="J6618" s="31">
        <v>65.728797900000004</v>
      </c>
      <c r="K6618" s="31">
        <v>-18.117900800000001</v>
      </c>
      <c r="L6618" s="31"/>
      <c r="M6618" s="31" t="s">
        <v>854</v>
      </c>
      <c r="N6618" s="6" t="s">
        <v>856</v>
      </c>
    </row>
    <row r="6619" spans="1:14" ht="15" customHeight="1" x14ac:dyDescent="0.2">
      <c r="A6619" s="31">
        <v>0.1636194523952692</v>
      </c>
      <c r="B6619" s="31"/>
      <c r="C6619" s="2" t="s">
        <v>855</v>
      </c>
      <c r="D6619" s="31">
        <f t="shared" si="197"/>
        <v>3.2069412669472767E-2</v>
      </c>
      <c r="F6619" s="2" t="s">
        <v>822</v>
      </c>
      <c r="G6619" s="23" t="s">
        <v>902</v>
      </c>
      <c r="H6619" s="2" t="s">
        <v>822</v>
      </c>
      <c r="J6619" s="31">
        <v>58.1040001</v>
      </c>
      <c r="K6619" s="31">
        <v>-38.551998099999999</v>
      </c>
      <c r="L6619" s="31"/>
      <c r="M6619" s="31" t="s">
        <v>854</v>
      </c>
      <c r="N6619" s="6" t="s">
        <v>856</v>
      </c>
    </row>
    <row r="6620" spans="1:14" ht="15" customHeight="1" x14ac:dyDescent="0.2">
      <c r="A6620" s="31">
        <v>0.16336394642467131</v>
      </c>
      <c r="B6620" s="31"/>
      <c r="C6620" s="2" t="s">
        <v>855</v>
      </c>
      <c r="D6620" s="31">
        <f t="shared" si="197"/>
        <v>3.201933349923558E-2</v>
      </c>
      <c r="F6620" s="2" t="s">
        <v>822</v>
      </c>
      <c r="G6620" s="23" t="s">
        <v>902</v>
      </c>
      <c r="H6620" s="2" t="s">
        <v>822</v>
      </c>
      <c r="J6620" s="31">
        <v>64.783996599999995</v>
      </c>
      <c r="K6620" s="31">
        <v>-29.867999999999999</v>
      </c>
      <c r="L6620" s="31"/>
      <c r="M6620" s="31" t="s">
        <v>854</v>
      </c>
      <c r="N6620" s="6" t="s">
        <v>856</v>
      </c>
    </row>
    <row r="6621" spans="1:14" ht="15" customHeight="1" x14ac:dyDescent="0.2">
      <c r="A6621" s="31">
        <v>0.16335189881165299</v>
      </c>
      <c r="B6621" s="31"/>
      <c r="C6621" s="2" t="s">
        <v>855</v>
      </c>
      <c r="D6621" s="31">
        <f t="shared" si="197"/>
        <v>3.201697216708399E-2</v>
      </c>
      <c r="F6621" s="2" t="s">
        <v>822</v>
      </c>
      <c r="G6621" s="23" t="s">
        <v>902</v>
      </c>
      <c r="H6621" s="2" t="s">
        <v>822</v>
      </c>
      <c r="J6621" s="31">
        <v>62.779998800000001</v>
      </c>
      <c r="K6621" s="31">
        <v>-35.212001800000003</v>
      </c>
      <c r="L6621" s="31"/>
      <c r="M6621" s="31" t="s">
        <v>854</v>
      </c>
      <c r="N6621" s="6" t="s">
        <v>856</v>
      </c>
    </row>
    <row r="6622" spans="1:14" ht="15" customHeight="1" x14ac:dyDescent="0.2">
      <c r="A6622" s="31">
        <v>0.16334464859731171</v>
      </c>
      <c r="B6622" s="31"/>
      <c r="C6622" s="2" t="s">
        <v>855</v>
      </c>
      <c r="D6622" s="31">
        <f t="shared" si="197"/>
        <v>3.2015551125073094E-2</v>
      </c>
      <c r="F6622" s="2" t="s">
        <v>822</v>
      </c>
      <c r="G6622" s="23" t="s">
        <v>902</v>
      </c>
      <c r="H6622" s="2" t="s">
        <v>822</v>
      </c>
      <c r="J6622" s="31">
        <v>61.444000199999998</v>
      </c>
      <c r="K6622" s="31">
        <v>-37.883998900000002</v>
      </c>
      <c r="L6622" s="31"/>
      <c r="M6622" s="31" t="s">
        <v>854</v>
      </c>
      <c r="N6622" s="6" t="s">
        <v>856</v>
      </c>
    </row>
    <row r="6623" spans="1:14" ht="15" customHeight="1" x14ac:dyDescent="0.2">
      <c r="A6623" s="31">
        <v>0.16322744037570139</v>
      </c>
      <c r="B6623" s="31"/>
      <c r="C6623" s="2" t="s">
        <v>855</v>
      </c>
      <c r="D6623" s="31">
        <f t="shared" si="197"/>
        <v>3.1992578313637471E-2</v>
      </c>
      <c r="F6623" s="2" t="s">
        <v>822</v>
      </c>
      <c r="G6623" s="23" t="s">
        <v>902</v>
      </c>
      <c r="H6623" s="2" t="s">
        <v>822</v>
      </c>
      <c r="J6623" s="31">
        <v>61.444000199999998</v>
      </c>
      <c r="K6623" s="31">
        <v>-35.212001800000003</v>
      </c>
      <c r="L6623" s="31"/>
      <c r="M6623" s="31" t="s">
        <v>854</v>
      </c>
      <c r="N6623" s="6" t="s">
        <v>856</v>
      </c>
    </row>
    <row r="6624" spans="1:14" ht="15" customHeight="1" x14ac:dyDescent="0.2">
      <c r="A6624" s="31">
        <v>0.16312102448221821</v>
      </c>
      <c r="B6624" s="31"/>
      <c r="C6624" s="2" t="s">
        <v>855</v>
      </c>
      <c r="D6624" s="31">
        <f t="shared" si="197"/>
        <v>3.197172079851477E-2</v>
      </c>
      <c r="F6624" s="2" t="s">
        <v>822</v>
      </c>
      <c r="G6624" s="23" t="s">
        <v>902</v>
      </c>
      <c r="H6624" s="2" t="s">
        <v>822</v>
      </c>
      <c r="J6624" s="31">
        <v>55.418598199999998</v>
      </c>
      <c r="K6624" s="31">
        <v>-37.174499500000003</v>
      </c>
      <c r="L6624" s="31"/>
      <c r="M6624" s="31" t="s">
        <v>854</v>
      </c>
      <c r="N6624" s="6" t="s">
        <v>856</v>
      </c>
    </row>
    <row r="6625" spans="1:14" ht="15" customHeight="1" x14ac:dyDescent="0.2">
      <c r="A6625" s="31">
        <v>0.16309033002067561</v>
      </c>
      <c r="B6625" s="31"/>
      <c r="C6625" s="2" t="s">
        <v>855</v>
      </c>
      <c r="D6625" s="31">
        <f t="shared" si="197"/>
        <v>3.1965704684052423E-2</v>
      </c>
      <c r="F6625" s="2" t="s">
        <v>822</v>
      </c>
      <c r="G6625" s="23" t="s">
        <v>902</v>
      </c>
      <c r="H6625" s="2" t="s">
        <v>822</v>
      </c>
      <c r="J6625" s="31">
        <v>60.776001000000001</v>
      </c>
      <c r="K6625" s="31">
        <v>-40.555999800000002</v>
      </c>
      <c r="L6625" s="31"/>
      <c r="M6625" s="31" t="s">
        <v>854</v>
      </c>
      <c r="N6625" s="6" t="s">
        <v>856</v>
      </c>
    </row>
    <row r="6626" spans="1:14" ht="15" customHeight="1" x14ac:dyDescent="0.2">
      <c r="A6626" s="31">
        <v>0.16281751974396039</v>
      </c>
      <c r="B6626" s="31"/>
      <c r="C6626" s="2" t="s">
        <v>855</v>
      </c>
      <c r="D6626" s="31">
        <f t="shared" si="197"/>
        <v>3.1912233869816238E-2</v>
      </c>
      <c r="F6626" s="2" t="s">
        <v>822</v>
      </c>
      <c r="G6626" s="23" t="s">
        <v>902</v>
      </c>
      <c r="H6626" s="2" t="s">
        <v>822</v>
      </c>
      <c r="J6626" s="31">
        <v>61.444000199999998</v>
      </c>
      <c r="K6626" s="31">
        <v>-31.8719997</v>
      </c>
      <c r="L6626" s="31"/>
      <c r="M6626" s="31" t="s">
        <v>854</v>
      </c>
      <c r="N6626" s="6" t="s">
        <v>856</v>
      </c>
    </row>
    <row r="6627" spans="1:14" ht="15" customHeight="1" x14ac:dyDescent="0.2">
      <c r="A6627" s="31">
        <v>0.16274589497509881</v>
      </c>
      <c r="B6627" s="31"/>
      <c r="C6627" s="2" t="s">
        <v>855</v>
      </c>
      <c r="D6627" s="31">
        <f t="shared" si="197"/>
        <v>3.1898195415119367E-2</v>
      </c>
      <c r="F6627" s="2" t="s">
        <v>822</v>
      </c>
      <c r="G6627" s="23" t="s">
        <v>902</v>
      </c>
      <c r="H6627" s="2" t="s">
        <v>822</v>
      </c>
      <c r="J6627" s="31">
        <v>62.111999500000003</v>
      </c>
      <c r="K6627" s="31">
        <v>-11.1639996</v>
      </c>
      <c r="L6627" s="31"/>
      <c r="M6627" s="31" t="s">
        <v>854</v>
      </c>
      <c r="N6627" s="6" t="s">
        <v>856</v>
      </c>
    </row>
    <row r="6628" spans="1:14" ht="15" customHeight="1" x14ac:dyDescent="0.2">
      <c r="A6628" s="31">
        <v>0.1624946841955196</v>
      </c>
      <c r="B6628" s="31"/>
      <c r="C6628" s="2" t="s">
        <v>855</v>
      </c>
      <c r="D6628" s="31">
        <f t="shared" si="197"/>
        <v>3.1848958102321842E-2</v>
      </c>
      <c r="F6628" s="2" t="s">
        <v>822</v>
      </c>
      <c r="G6628" s="23" t="s">
        <v>902</v>
      </c>
      <c r="H6628" s="2" t="s">
        <v>822</v>
      </c>
      <c r="J6628" s="31">
        <v>57.436000800000002</v>
      </c>
      <c r="K6628" s="31">
        <v>-42.560001399999997</v>
      </c>
      <c r="L6628" s="31"/>
      <c r="M6628" s="31" t="s">
        <v>854</v>
      </c>
      <c r="N6628" s="6" t="s">
        <v>856</v>
      </c>
    </row>
    <row r="6629" spans="1:14" ht="15" customHeight="1" x14ac:dyDescent="0.2">
      <c r="A6629" s="31">
        <v>0.1622311254983885</v>
      </c>
      <c r="B6629" s="31"/>
      <c r="C6629" s="2" t="s">
        <v>855</v>
      </c>
      <c r="D6629" s="31">
        <f t="shared" si="197"/>
        <v>3.1797300597684146E-2</v>
      </c>
      <c r="F6629" s="2" t="s">
        <v>822</v>
      </c>
      <c r="G6629" s="23" t="s">
        <v>902</v>
      </c>
      <c r="H6629" s="2" t="s">
        <v>822</v>
      </c>
      <c r="J6629" s="31">
        <v>61.444000199999998</v>
      </c>
      <c r="K6629" s="31">
        <v>-1.8120000000000001</v>
      </c>
      <c r="L6629" s="31"/>
      <c r="M6629" s="31" t="s">
        <v>854</v>
      </c>
      <c r="N6629" s="6" t="s">
        <v>856</v>
      </c>
    </row>
    <row r="6630" spans="1:14" ht="15" customHeight="1" x14ac:dyDescent="0.2">
      <c r="A6630" s="31">
        <v>0.1619304641361744</v>
      </c>
      <c r="B6630" s="31"/>
      <c r="C6630" s="2" t="s">
        <v>855</v>
      </c>
      <c r="D6630" s="31">
        <f t="shared" si="197"/>
        <v>3.1738370970690183E-2</v>
      </c>
      <c r="F6630" s="2" t="s">
        <v>822</v>
      </c>
      <c r="G6630" s="23" t="s">
        <v>902</v>
      </c>
      <c r="H6630" s="2" t="s">
        <v>822</v>
      </c>
      <c r="J6630" s="31">
        <v>66.805396999999999</v>
      </c>
      <c r="K6630" s="31">
        <v>9.5608196000000003</v>
      </c>
      <c r="L6630" s="31"/>
      <c r="M6630" s="31" t="s">
        <v>854</v>
      </c>
      <c r="N6630" s="6" t="s">
        <v>856</v>
      </c>
    </row>
    <row r="6631" spans="1:14" ht="15" customHeight="1" x14ac:dyDescent="0.2">
      <c r="A6631" s="31">
        <v>0.16190986243530281</v>
      </c>
      <c r="B6631" s="31"/>
      <c r="C6631" s="2" t="s">
        <v>855</v>
      </c>
      <c r="D6631" s="31">
        <f t="shared" si="197"/>
        <v>3.1734333037319352E-2</v>
      </c>
      <c r="F6631" s="2" t="s">
        <v>822</v>
      </c>
      <c r="G6631" s="23" t="s">
        <v>902</v>
      </c>
      <c r="H6631" s="2" t="s">
        <v>822</v>
      </c>
      <c r="J6631" s="31">
        <v>54.096000699999998</v>
      </c>
      <c r="K6631" s="31">
        <v>-40.555999800000002</v>
      </c>
      <c r="L6631" s="31"/>
      <c r="M6631" s="31" t="s">
        <v>854</v>
      </c>
      <c r="N6631" s="6" t="s">
        <v>856</v>
      </c>
    </row>
    <row r="6632" spans="1:14" ht="15" customHeight="1" x14ac:dyDescent="0.2">
      <c r="A6632" s="31">
        <v>0.16174898935655371</v>
      </c>
      <c r="B6632" s="31"/>
      <c r="C6632" s="2" t="s">
        <v>855</v>
      </c>
      <c r="D6632" s="31">
        <f t="shared" si="197"/>
        <v>3.1702801913884526E-2</v>
      </c>
      <c r="F6632" s="2" t="s">
        <v>822</v>
      </c>
      <c r="G6632" s="23" t="s">
        <v>902</v>
      </c>
      <c r="H6632" s="2" t="s">
        <v>822</v>
      </c>
      <c r="J6632" s="31">
        <v>61.444000199999998</v>
      </c>
      <c r="K6632" s="31">
        <v>-3.8159999999999998</v>
      </c>
      <c r="L6632" s="31"/>
      <c r="M6632" s="31" t="s">
        <v>854</v>
      </c>
      <c r="N6632" s="6" t="s">
        <v>856</v>
      </c>
    </row>
    <row r="6633" spans="1:14" ht="15" customHeight="1" x14ac:dyDescent="0.2">
      <c r="A6633" s="31">
        <v>0.16152425816733121</v>
      </c>
      <c r="B6633" s="31"/>
      <c r="C6633" s="2" t="s">
        <v>855</v>
      </c>
      <c r="D6633" s="31">
        <f t="shared" si="197"/>
        <v>3.1658754600796916E-2</v>
      </c>
      <c r="F6633" s="2" t="s">
        <v>822</v>
      </c>
      <c r="G6633" s="23" t="s">
        <v>902</v>
      </c>
      <c r="H6633" s="2" t="s">
        <v>822</v>
      </c>
      <c r="J6633" s="31">
        <v>62.111999500000003</v>
      </c>
      <c r="K6633" s="31">
        <v>-31.8719997</v>
      </c>
      <c r="L6633" s="31"/>
      <c r="M6633" s="31" t="s">
        <v>854</v>
      </c>
      <c r="N6633" s="6" t="s">
        <v>856</v>
      </c>
    </row>
    <row r="6634" spans="1:14" ht="15" customHeight="1" x14ac:dyDescent="0.2">
      <c r="A6634" s="31">
        <v>0.16150831560925891</v>
      </c>
      <c r="B6634" s="31"/>
      <c r="C6634" s="2" t="s">
        <v>855</v>
      </c>
      <c r="D6634" s="31">
        <f t="shared" si="197"/>
        <v>3.1655629859414745E-2</v>
      </c>
      <c r="F6634" s="2" t="s">
        <v>822</v>
      </c>
      <c r="G6634" s="23" t="s">
        <v>902</v>
      </c>
      <c r="H6634" s="2" t="s">
        <v>822</v>
      </c>
      <c r="J6634" s="31">
        <v>64.115997300000004</v>
      </c>
      <c r="K6634" s="31">
        <v>2.1960001</v>
      </c>
      <c r="L6634" s="31"/>
      <c r="M6634" s="31" t="s">
        <v>854</v>
      </c>
      <c r="N6634" s="6" t="s">
        <v>856</v>
      </c>
    </row>
    <row r="6635" spans="1:14" ht="15" customHeight="1" x14ac:dyDescent="0.2">
      <c r="A6635" s="31">
        <v>0.160988640139029</v>
      </c>
      <c r="B6635" s="31"/>
      <c r="C6635" s="2" t="s">
        <v>855</v>
      </c>
      <c r="D6635" s="31">
        <f t="shared" si="197"/>
        <v>3.1553773467249684E-2</v>
      </c>
      <c r="F6635" s="2" t="s">
        <v>822</v>
      </c>
      <c r="G6635" s="23" t="s">
        <v>902</v>
      </c>
      <c r="H6635" s="2" t="s">
        <v>822</v>
      </c>
      <c r="J6635" s="31">
        <v>59.439998600000003</v>
      </c>
      <c r="K6635" s="31">
        <v>-9.8280001000000006</v>
      </c>
      <c r="L6635" s="31"/>
      <c r="M6635" s="31" t="s">
        <v>854</v>
      </c>
      <c r="N6635" s="6" t="s">
        <v>856</v>
      </c>
    </row>
    <row r="6636" spans="1:14" ht="15" customHeight="1" x14ac:dyDescent="0.2">
      <c r="A6636" s="31">
        <v>0.16091510328756281</v>
      </c>
      <c r="B6636" s="31"/>
      <c r="C6636" s="2" t="s">
        <v>855</v>
      </c>
      <c r="D6636" s="31">
        <f t="shared" si="197"/>
        <v>3.1539360244362311E-2</v>
      </c>
      <c r="F6636" s="2" t="s">
        <v>822</v>
      </c>
      <c r="G6636" s="23" t="s">
        <v>902</v>
      </c>
      <c r="H6636" s="2" t="s">
        <v>822</v>
      </c>
      <c r="J6636" s="31">
        <v>54.763999900000002</v>
      </c>
      <c r="K6636" s="31">
        <v>-39.888000499999997</v>
      </c>
      <c r="L6636" s="31"/>
      <c r="M6636" s="31" t="s">
        <v>854</v>
      </c>
      <c r="N6636" s="6" t="s">
        <v>856</v>
      </c>
    </row>
    <row r="6637" spans="1:14" ht="15" customHeight="1" x14ac:dyDescent="0.2">
      <c r="A6637" s="31">
        <v>0.16087003759237459</v>
      </c>
      <c r="B6637" s="31"/>
      <c r="C6637" s="2" t="s">
        <v>855</v>
      </c>
      <c r="D6637" s="31">
        <f t="shared" si="197"/>
        <v>3.1530527368105424E-2</v>
      </c>
      <c r="F6637" s="2" t="s">
        <v>822</v>
      </c>
      <c r="G6637" s="23" t="s">
        <v>902</v>
      </c>
      <c r="H6637" s="2" t="s">
        <v>822</v>
      </c>
      <c r="J6637" s="31">
        <v>58.1040001</v>
      </c>
      <c r="K6637" s="31">
        <v>-37.215999600000004</v>
      </c>
      <c r="L6637" s="31"/>
      <c r="M6637" s="31" t="s">
        <v>854</v>
      </c>
      <c r="N6637" s="6" t="s">
        <v>856</v>
      </c>
    </row>
    <row r="6638" spans="1:14" ht="15" customHeight="1" x14ac:dyDescent="0.2">
      <c r="A6638" s="31">
        <v>0.16062773249638559</v>
      </c>
      <c r="B6638" s="31"/>
      <c r="C6638" s="2" t="s">
        <v>855</v>
      </c>
      <c r="D6638" s="31">
        <f t="shared" si="197"/>
        <v>3.1483035569291579E-2</v>
      </c>
      <c r="F6638" s="2" t="s">
        <v>822</v>
      </c>
      <c r="G6638" s="23" t="s">
        <v>902</v>
      </c>
      <c r="H6638" s="2" t="s">
        <v>822</v>
      </c>
      <c r="J6638" s="31">
        <v>56.099998499999998</v>
      </c>
      <c r="K6638" s="31">
        <v>-41.891998299999997</v>
      </c>
      <c r="L6638" s="31"/>
      <c r="M6638" s="31" t="s">
        <v>854</v>
      </c>
      <c r="N6638" s="6" t="s">
        <v>856</v>
      </c>
    </row>
    <row r="6639" spans="1:14" ht="15" customHeight="1" x14ac:dyDescent="0.2">
      <c r="A6639" s="31">
        <v>0.1605193571662645</v>
      </c>
      <c r="B6639" s="31"/>
      <c r="C6639" s="2" t="s">
        <v>855</v>
      </c>
      <c r="D6639" s="31">
        <f t="shared" si="197"/>
        <v>3.1461794004587845E-2</v>
      </c>
      <c r="F6639" s="2" t="s">
        <v>822</v>
      </c>
      <c r="G6639" s="23" t="s">
        <v>902</v>
      </c>
      <c r="H6639" s="2" t="s">
        <v>822</v>
      </c>
      <c r="J6639" s="31">
        <v>62.111999500000003</v>
      </c>
      <c r="K6639" s="31">
        <v>-34.543998700000003</v>
      </c>
      <c r="L6639" s="31"/>
      <c r="M6639" s="31" t="s">
        <v>854</v>
      </c>
      <c r="N6639" s="6" t="s">
        <v>856</v>
      </c>
    </row>
    <row r="6640" spans="1:14" ht="15" customHeight="1" x14ac:dyDescent="0.2">
      <c r="A6640" s="31">
        <v>0.16023780950861441</v>
      </c>
      <c r="B6640" s="31"/>
      <c r="C6640" s="2" t="s">
        <v>855</v>
      </c>
      <c r="D6640" s="31">
        <f t="shared" si="197"/>
        <v>3.1406610663688425E-2</v>
      </c>
      <c r="F6640" s="2" t="s">
        <v>822</v>
      </c>
      <c r="G6640" s="23" t="s">
        <v>902</v>
      </c>
      <c r="H6640" s="2" t="s">
        <v>822</v>
      </c>
      <c r="J6640" s="31">
        <v>58.626098599999999</v>
      </c>
      <c r="K6640" s="31">
        <v>-3.0467</v>
      </c>
      <c r="L6640" s="31"/>
      <c r="M6640" s="31" t="s">
        <v>854</v>
      </c>
      <c r="N6640" s="6" t="s">
        <v>856</v>
      </c>
    </row>
    <row r="6641" spans="1:14" ht="15" customHeight="1" x14ac:dyDescent="0.2">
      <c r="A6641" s="31">
        <v>0.16023340974732531</v>
      </c>
      <c r="B6641" s="31"/>
      <c r="C6641" s="2" t="s">
        <v>855</v>
      </c>
      <c r="D6641" s="31">
        <f t="shared" si="197"/>
        <v>3.140574831047576E-2</v>
      </c>
      <c r="F6641" s="2" t="s">
        <v>822</v>
      </c>
      <c r="G6641" s="23" t="s">
        <v>902</v>
      </c>
      <c r="H6641" s="2" t="s">
        <v>822</v>
      </c>
      <c r="J6641" s="31">
        <v>57.805999800000002</v>
      </c>
      <c r="K6641" s="31">
        <v>-14.4469995</v>
      </c>
      <c r="L6641" s="31"/>
      <c r="M6641" s="31" t="s">
        <v>854</v>
      </c>
      <c r="N6641" s="6" t="s">
        <v>856</v>
      </c>
    </row>
    <row r="6642" spans="1:14" ht="15" customHeight="1" x14ac:dyDescent="0.2">
      <c r="A6642" s="31">
        <v>0.1594848944123845</v>
      </c>
      <c r="B6642" s="31"/>
      <c r="C6642" s="2" t="s">
        <v>855</v>
      </c>
      <c r="D6642" s="31">
        <f t="shared" si="197"/>
        <v>3.1259039304827367E-2</v>
      </c>
      <c r="F6642" s="2" t="s">
        <v>822</v>
      </c>
      <c r="G6642" s="23" t="s">
        <v>902</v>
      </c>
      <c r="H6642" s="2" t="s">
        <v>822</v>
      </c>
      <c r="J6642" s="31">
        <v>64.292396499999995</v>
      </c>
      <c r="K6642" s="31">
        <v>10.1296997</v>
      </c>
      <c r="L6642" s="31"/>
      <c r="M6642" s="31" t="s">
        <v>854</v>
      </c>
      <c r="N6642" s="6" t="s">
        <v>856</v>
      </c>
    </row>
    <row r="6643" spans="1:14" ht="15" customHeight="1" x14ac:dyDescent="0.2">
      <c r="A6643" s="31">
        <v>0.15947565022774171</v>
      </c>
      <c r="B6643" s="31"/>
      <c r="C6643" s="2" t="s">
        <v>855</v>
      </c>
      <c r="D6643" s="31">
        <f t="shared" si="197"/>
        <v>3.1257227444637374E-2</v>
      </c>
      <c r="F6643" s="2" t="s">
        <v>822</v>
      </c>
      <c r="G6643" s="23" t="s">
        <v>902</v>
      </c>
      <c r="H6643" s="2" t="s">
        <v>822</v>
      </c>
      <c r="J6643" s="31">
        <v>70.432601899999995</v>
      </c>
      <c r="K6643" s="31">
        <v>16.272800400000001</v>
      </c>
      <c r="L6643" s="31"/>
      <c r="M6643" s="31" t="s">
        <v>854</v>
      </c>
      <c r="N6643" s="6" t="s">
        <v>856</v>
      </c>
    </row>
    <row r="6644" spans="1:14" ht="15" customHeight="1" x14ac:dyDescent="0.2">
      <c r="A6644" s="31">
        <v>0.15947169200571151</v>
      </c>
      <c r="B6644" s="31"/>
      <c r="C6644" s="2" t="s">
        <v>855</v>
      </c>
      <c r="D6644" s="31">
        <f t="shared" si="197"/>
        <v>3.1256451633119457E-2</v>
      </c>
      <c r="F6644" s="2" t="s">
        <v>822</v>
      </c>
      <c r="G6644" s="23" t="s">
        <v>902</v>
      </c>
      <c r="H6644" s="2" t="s">
        <v>822</v>
      </c>
      <c r="J6644" s="31">
        <v>71.464103699999995</v>
      </c>
      <c r="K6644" s="31">
        <v>18.227899600000001</v>
      </c>
      <c r="L6644" s="31"/>
      <c r="M6644" s="31" t="s">
        <v>854</v>
      </c>
      <c r="N6644" s="6" t="s">
        <v>856</v>
      </c>
    </row>
    <row r="6645" spans="1:14" ht="15" customHeight="1" x14ac:dyDescent="0.2">
      <c r="A6645" s="31">
        <v>0.15931088524153941</v>
      </c>
      <c r="B6645" s="31"/>
      <c r="C6645" s="2" t="s">
        <v>855</v>
      </c>
      <c r="D6645" s="31">
        <f t="shared" si="197"/>
        <v>3.1224933507341728E-2</v>
      </c>
      <c r="F6645" s="2" t="s">
        <v>822</v>
      </c>
      <c r="G6645" s="23" t="s">
        <v>902</v>
      </c>
      <c r="H6645" s="2" t="s">
        <v>822</v>
      </c>
      <c r="J6645" s="31">
        <v>63.448001900000001</v>
      </c>
      <c r="K6645" s="31">
        <v>-33.875999499999999</v>
      </c>
      <c r="L6645" s="31"/>
      <c r="M6645" s="31" t="s">
        <v>854</v>
      </c>
      <c r="N6645" s="6" t="s">
        <v>856</v>
      </c>
    </row>
    <row r="6646" spans="1:14" ht="15" customHeight="1" x14ac:dyDescent="0.2">
      <c r="A6646" s="31">
        <v>0.15910735497823739</v>
      </c>
      <c r="B6646" s="31"/>
      <c r="C6646" s="2" t="s">
        <v>855</v>
      </c>
      <c r="D6646" s="31">
        <f t="shared" si="197"/>
        <v>3.118504157573453E-2</v>
      </c>
      <c r="F6646" s="2" t="s">
        <v>822</v>
      </c>
      <c r="G6646" s="23" t="s">
        <v>902</v>
      </c>
      <c r="H6646" s="2" t="s">
        <v>822</v>
      </c>
      <c r="J6646" s="31">
        <v>67.451301599999994</v>
      </c>
      <c r="K6646" s="31">
        <v>9.5474005000000002</v>
      </c>
      <c r="L6646" s="31"/>
      <c r="M6646" s="31" t="s">
        <v>854</v>
      </c>
      <c r="N6646" s="6" t="s">
        <v>856</v>
      </c>
    </row>
    <row r="6647" spans="1:14" ht="15" customHeight="1" x14ac:dyDescent="0.2">
      <c r="A6647" s="31">
        <v>0.15904177146602869</v>
      </c>
      <c r="B6647" s="31"/>
      <c r="C6647" s="2" t="s">
        <v>855</v>
      </c>
      <c r="D6647" s="31">
        <f t="shared" si="197"/>
        <v>3.1172187207341624E-2</v>
      </c>
      <c r="F6647" s="2" t="s">
        <v>822</v>
      </c>
      <c r="G6647" s="23" t="s">
        <v>902</v>
      </c>
      <c r="H6647" s="2" t="s">
        <v>822</v>
      </c>
      <c r="J6647" s="31">
        <v>59.439998600000003</v>
      </c>
      <c r="K6647" s="31">
        <v>-41.223998999999999</v>
      </c>
      <c r="L6647" s="31"/>
      <c r="M6647" s="31" t="s">
        <v>854</v>
      </c>
      <c r="N6647" s="6" t="s">
        <v>856</v>
      </c>
    </row>
    <row r="6648" spans="1:14" ht="15" customHeight="1" x14ac:dyDescent="0.2">
      <c r="A6648" s="31">
        <v>0.15894667155544989</v>
      </c>
      <c r="B6648" s="31"/>
      <c r="C6648" s="2" t="s">
        <v>855</v>
      </c>
      <c r="D6648" s="31">
        <f t="shared" si="197"/>
        <v>3.1153547624868182E-2</v>
      </c>
      <c r="F6648" s="2" t="s">
        <v>822</v>
      </c>
      <c r="G6648" s="23" t="s">
        <v>902</v>
      </c>
      <c r="H6648" s="2" t="s">
        <v>822</v>
      </c>
      <c r="J6648" s="31">
        <v>68.791999799999999</v>
      </c>
      <c r="K6648" s="31">
        <v>12.2159996</v>
      </c>
      <c r="L6648" s="31"/>
      <c r="M6648" s="31" t="s">
        <v>854</v>
      </c>
      <c r="N6648" s="6" t="s">
        <v>856</v>
      </c>
    </row>
    <row r="6649" spans="1:14" ht="15" customHeight="1" x14ac:dyDescent="0.2">
      <c r="A6649" s="31">
        <v>0.15888591863051291</v>
      </c>
      <c r="B6649" s="31"/>
      <c r="C6649" s="2" t="s">
        <v>855</v>
      </c>
      <c r="D6649" s="31">
        <f t="shared" si="197"/>
        <v>3.114164005158053E-2</v>
      </c>
      <c r="F6649" s="2" t="s">
        <v>822</v>
      </c>
      <c r="G6649" s="23" t="s">
        <v>902</v>
      </c>
      <c r="H6649" s="2" t="s">
        <v>822</v>
      </c>
      <c r="J6649" s="31">
        <v>63.448001900000001</v>
      </c>
      <c r="K6649" s="31">
        <v>-10.4960003</v>
      </c>
      <c r="L6649" s="31"/>
      <c r="M6649" s="31" t="s">
        <v>854</v>
      </c>
      <c r="N6649" s="6" t="s">
        <v>856</v>
      </c>
    </row>
    <row r="6650" spans="1:14" ht="15" customHeight="1" x14ac:dyDescent="0.2">
      <c r="A6650" s="31">
        <v>0.15873161018496529</v>
      </c>
      <c r="B6650" s="31"/>
      <c r="C6650" s="2" t="s">
        <v>855</v>
      </c>
      <c r="D6650" s="31">
        <f t="shared" si="197"/>
        <v>3.1111395596253196E-2</v>
      </c>
      <c r="F6650" s="2" t="s">
        <v>822</v>
      </c>
      <c r="G6650" s="23" t="s">
        <v>902</v>
      </c>
      <c r="H6650" s="2" t="s">
        <v>822</v>
      </c>
      <c r="J6650" s="31">
        <v>60.108001700000003</v>
      </c>
      <c r="K6650" s="31">
        <v>-34.543998700000003</v>
      </c>
      <c r="L6650" s="31"/>
      <c r="M6650" s="31" t="s">
        <v>854</v>
      </c>
      <c r="N6650" s="6" t="s">
        <v>856</v>
      </c>
    </row>
    <row r="6651" spans="1:14" ht="15" customHeight="1" x14ac:dyDescent="0.2">
      <c r="A6651" s="31">
        <v>0.15831149409106449</v>
      </c>
      <c r="B6651" s="31"/>
      <c r="C6651" s="2" t="s">
        <v>855</v>
      </c>
      <c r="D6651" s="31">
        <f t="shared" si="197"/>
        <v>3.1029052841848641E-2</v>
      </c>
      <c r="F6651" s="2" t="s">
        <v>822</v>
      </c>
      <c r="G6651" s="23" t="s">
        <v>902</v>
      </c>
      <c r="H6651" s="2" t="s">
        <v>822</v>
      </c>
      <c r="J6651" s="31">
        <v>60.776001000000001</v>
      </c>
      <c r="K6651" s="31">
        <v>-29.867999999999999</v>
      </c>
      <c r="L6651" s="31"/>
      <c r="M6651" s="31" t="s">
        <v>854</v>
      </c>
      <c r="N6651" s="6" t="s">
        <v>856</v>
      </c>
    </row>
    <row r="6652" spans="1:14" ht="15" customHeight="1" x14ac:dyDescent="0.2">
      <c r="A6652" s="31">
        <v>0.1582743685163884</v>
      </c>
      <c r="B6652" s="31"/>
      <c r="C6652" s="2" t="s">
        <v>855</v>
      </c>
      <c r="D6652" s="31">
        <f t="shared" si="197"/>
        <v>3.1021776229212129E-2</v>
      </c>
      <c r="F6652" s="2" t="s">
        <v>822</v>
      </c>
      <c r="G6652" s="23" t="s">
        <v>902</v>
      </c>
      <c r="H6652" s="2" t="s">
        <v>822</v>
      </c>
      <c r="J6652" s="31">
        <v>60.108001700000003</v>
      </c>
      <c r="K6652" s="31">
        <v>-6.4879999000000002</v>
      </c>
      <c r="L6652" s="31"/>
      <c r="M6652" s="31" t="s">
        <v>854</v>
      </c>
      <c r="N6652" s="6" t="s">
        <v>856</v>
      </c>
    </row>
    <row r="6653" spans="1:14" ht="15" customHeight="1" x14ac:dyDescent="0.2">
      <c r="A6653" s="31">
        <v>0.15827386596844251</v>
      </c>
      <c r="B6653" s="31"/>
      <c r="C6653" s="2" t="s">
        <v>855</v>
      </c>
      <c r="D6653" s="31">
        <f t="shared" si="197"/>
        <v>3.1021677729814734E-2</v>
      </c>
      <c r="F6653" s="2" t="s">
        <v>822</v>
      </c>
      <c r="G6653" s="23" t="s">
        <v>902</v>
      </c>
      <c r="H6653" s="2" t="s">
        <v>822</v>
      </c>
      <c r="J6653" s="31">
        <v>58.771999399999999</v>
      </c>
      <c r="K6653" s="31">
        <v>-37.215999600000004</v>
      </c>
      <c r="L6653" s="31"/>
      <c r="M6653" s="31" t="s">
        <v>854</v>
      </c>
      <c r="N6653" s="6" t="s">
        <v>856</v>
      </c>
    </row>
    <row r="6654" spans="1:14" ht="15" customHeight="1" x14ac:dyDescent="0.2">
      <c r="A6654" s="31">
        <v>0.15817813713974729</v>
      </c>
      <c r="B6654" s="31"/>
      <c r="C6654" s="2" t="s">
        <v>855</v>
      </c>
      <c r="D6654" s="31">
        <f t="shared" si="197"/>
        <v>3.100291487939047E-2</v>
      </c>
      <c r="F6654" s="2" t="s">
        <v>822</v>
      </c>
      <c r="G6654" s="23" t="s">
        <v>902</v>
      </c>
      <c r="H6654" s="2" t="s">
        <v>822</v>
      </c>
      <c r="J6654" s="31">
        <v>64.115997300000004</v>
      </c>
      <c r="K6654" s="31">
        <v>6.8720001999999996</v>
      </c>
      <c r="L6654" s="31"/>
      <c r="M6654" s="31" t="s">
        <v>854</v>
      </c>
      <c r="N6654" s="6" t="s">
        <v>856</v>
      </c>
    </row>
    <row r="6655" spans="1:14" ht="15" customHeight="1" x14ac:dyDescent="0.2">
      <c r="A6655" s="31">
        <v>0.15803628407531589</v>
      </c>
      <c r="B6655" s="31"/>
      <c r="C6655" s="2" t="s">
        <v>855</v>
      </c>
      <c r="D6655" s="31">
        <f t="shared" si="197"/>
        <v>3.0975111678761914E-2</v>
      </c>
      <c r="F6655" s="2" t="s">
        <v>822</v>
      </c>
      <c r="G6655" s="23" t="s">
        <v>902</v>
      </c>
      <c r="H6655" s="2" t="s">
        <v>822</v>
      </c>
      <c r="J6655" s="31">
        <v>62.111999500000003</v>
      </c>
      <c r="K6655" s="31">
        <v>-3.8159999999999998</v>
      </c>
      <c r="L6655" s="31"/>
      <c r="M6655" s="31" t="s">
        <v>854</v>
      </c>
      <c r="N6655" s="6" t="s">
        <v>856</v>
      </c>
    </row>
    <row r="6656" spans="1:14" ht="15" customHeight="1" x14ac:dyDescent="0.2">
      <c r="A6656" s="31">
        <v>0.15782980157495249</v>
      </c>
      <c r="B6656" s="31"/>
      <c r="C6656" s="2" t="s">
        <v>855</v>
      </c>
      <c r="D6656" s="31">
        <f t="shared" ref="D6656:D6719" si="198" xml:space="preserve"> A6656 * 0.196</f>
        <v>3.0934641108690691E-2</v>
      </c>
      <c r="F6656" s="2" t="s">
        <v>822</v>
      </c>
      <c r="G6656" s="23" t="s">
        <v>902</v>
      </c>
      <c r="H6656" s="2" t="s">
        <v>822</v>
      </c>
      <c r="J6656" s="31">
        <v>60.1725998</v>
      </c>
      <c r="K6656" s="31">
        <v>-5.1520000000000001</v>
      </c>
      <c r="L6656" s="31"/>
      <c r="M6656" s="31" t="s">
        <v>854</v>
      </c>
      <c r="N6656" s="6" t="s">
        <v>856</v>
      </c>
    </row>
    <row r="6657" spans="1:14" ht="15" customHeight="1" x14ac:dyDescent="0.2">
      <c r="A6657" s="31">
        <v>0.15749382292490791</v>
      </c>
      <c r="B6657" s="31"/>
      <c r="C6657" s="2" t="s">
        <v>855</v>
      </c>
      <c r="D6657" s="31">
        <f t="shared" si="198"/>
        <v>3.0868789293281951E-2</v>
      </c>
      <c r="F6657" s="2" t="s">
        <v>822</v>
      </c>
      <c r="G6657" s="23" t="s">
        <v>902</v>
      </c>
      <c r="H6657" s="2" t="s">
        <v>822</v>
      </c>
      <c r="J6657" s="31">
        <v>64.117698700000005</v>
      </c>
      <c r="K6657" s="31">
        <v>8.8766297999999999</v>
      </c>
      <c r="L6657" s="31"/>
      <c r="M6657" s="31" t="s">
        <v>854</v>
      </c>
      <c r="N6657" s="6" t="s">
        <v>856</v>
      </c>
    </row>
    <row r="6658" spans="1:14" ht="15" customHeight="1" x14ac:dyDescent="0.2">
      <c r="A6658" s="31">
        <v>0.15726474288256281</v>
      </c>
      <c r="B6658" s="31"/>
      <c r="C6658" s="2" t="s">
        <v>855</v>
      </c>
      <c r="D6658" s="31">
        <f t="shared" si="198"/>
        <v>3.0823889604982311E-2</v>
      </c>
      <c r="F6658" s="2" t="s">
        <v>822</v>
      </c>
      <c r="G6658" s="23" t="s">
        <v>902</v>
      </c>
      <c r="H6658" s="2" t="s">
        <v>822</v>
      </c>
      <c r="J6658" s="31">
        <v>53.428001399999999</v>
      </c>
      <c r="K6658" s="31">
        <v>-31.8719997</v>
      </c>
      <c r="L6658" s="31"/>
      <c r="M6658" s="31" t="s">
        <v>854</v>
      </c>
      <c r="N6658" s="6" t="s">
        <v>856</v>
      </c>
    </row>
    <row r="6659" spans="1:14" ht="15" customHeight="1" x14ac:dyDescent="0.2">
      <c r="A6659" s="31">
        <v>0.15717519776770081</v>
      </c>
      <c r="B6659" s="31"/>
      <c r="C6659" s="2" t="s">
        <v>855</v>
      </c>
      <c r="D6659" s="31">
        <f t="shared" si="198"/>
        <v>3.0806338762469361E-2</v>
      </c>
      <c r="F6659" s="2" t="s">
        <v>822</v>
      </c>
      <c r="G6659" s="23" t="s">
        <v>902</v>
      </c>
      <c r="H6659" s="2" t="s">
        <v>822</v>
      </c>
      <c r="J6659" s="31">
        <v>62.779998800000001</v>
      </c>
      <c r="K6659" s="31">
        <v>-9.1599997999999996</v>
      </c>
      <c r="L6659" s="31"/>
      <c r="M6659" s="31" t="s">
        <v>854</v>
      </c>
      <c r="N6659" s="6" t="s">
        <v>856</v>
      </c>
    </row>
    <row r="6660" spans="1:14" ht="15" customHeight="1" x14ac:dyDescent="0.2">
      <c r="A6660" s="31">
        <v>0.1571075685248251</v>
      </c>
      <c r="B6660" s="31"/>
      <c r="C6660" s="2" t="s">
        <v>855</v>
      </c>
      <c r="D6660" s="31">
        <f t="shared" si="198"/>
        <v>3.079308343086572E-2</v>
      </c>
      <c r="F6660" s="2" t="s">
        <v>822</v>
      </c>
      <c r="G6660" s="23" t="s">
        <v>902</v>
      </c>
      <c r="H6660" s="2" t="s">
        <v>822</v>
      </c>
      <c r="J6660" s="31">
        <v>64.8600998</v>
      </c>
      <c r="K6660" s="31">
        <v>-24.057100299999998</v>
      </c>
      <c r="L6660" s="31"/>
      <c r="M6660" s="31" t="s">
        <v>854</v>
      </c>
      <c r="N6660" s="6" t="s">
        <v>856</v>
      </c>
    </row>
    <row r="6661" spans="1:14" ht="15" customHeight="1" x14ac:dyDescent="0.2">
      <c r="A6661" s="31">
        <v>0.1570982867819572</v>
      </c>
      <c r="B6661" s="31"/>
      <c r="C6661" s="2" t="s">
        <v>855</v>
      </c>
      <c r="D6661" s="31">
        <f t="shared" si="198"/>
        <v>3.0791264209263612E-2</v>
      </c>
      <c r="F6661" s="2" t="s">
        <v>822</v>
      </c>
      <c r="G6661" s="23" t="s">
        <v>902</v>
      </c>
      <c r="H6661" s="2" t="s">
        <v>822</v>
      </c>
      <c r="J6661" s="31">
        <v>65.4496994</v>
      </c>
      <c r="K6661" s="31">
        <v>-31.201799399999999</v>
      </c>
      <c r="L6661" s="31"/>
      <c r="M6661" s="31" t="s">
        <v>854</v>
      </c>
      <c r="N6661" s="6" t="s">
        <v>856</v>
      </c>
    </row>
    <row r="6662" spans="1:14" ht="15" customHeight="1" x14ac:dyDescent="0.2">
      <c r="A6662" s="31">
        <v>0.15662760323500191</v>
      </c>
      <c r="B6662" s="31"/>
      <c r="C6662" s="2" t="s">
        <v>855</v>
      </c>
      <c r="D6662" s="31">
        <f t="shared" si="198"/>
        <v>3.0699010234060374E-2</v>
      </c>
      <c r="F6662" s="2" t="s">
        <v>822</v>
      </c>
      <c r="G6662" s="23" t="s">
        <v>902</v>
      </c>
      <c r="H6662" s="2" t="s">
        <v>822</v>
      </c>
      <c r="J6662" s="31">
        <v>52.759998299999999</v>
      </c>
      <c r="K6662" s="31">
        <v>-35.212001800000003</v>
      </c>
      <c r="L6662" s="31"/>
      <c r="M6662" s="31" t="s">
        <v>854</v>
      </c>
      <c r="N6662" s="6" t="s">
        <v>856</v>
      </c>
    </row>
    <row r="6663" spans="1:14" ht="15" customHeight="1" x14ac:dyDescent="0.2">
      <c r="A6663" s="31">
        <v>0.15586045173962149</v>
      </c>
      <c r="B6663" s="31"/>
      <c r="C6663" s="2" t="s">
        <v>855</v>
      </c>
      <c r="D6663" s="31">
        <f t="shared" si="198"/>
        <v>3.0548648540965812E-2</v>
      </c>
      <c r="F6663" s="2" t="s">
        <v>822</v>
      </c>
      <c r="G6663" s="23" t="s">
        <v>902</v>
      </c>
      <c r="H6663" s="2" t="s">
        <v>822</v>
      </c>
      <c r="J6663" s="31">
        <v>60.108001700000003</v>
      </c>
      <c r="K6663" s="31">
        <v>-32.540000900000003</v>
      </c>
      <c r="L6663" s="31"/>
      <c r="M6663" s="31" t="s">
        <v>854</v>
      </c>
      <c r="N6663" s="6" t="s">
        <v>856</v>
      </c>
    </row>
    <row r="6664" spans="1:14" ht="15" customHeight="1" x14ac:dyDescent="0.2">
      <c r="A6664" s="31">
        <v>0.15560654129693269</v>
      </c>
      <c r="B6664" s="31"/>
      <c r="C6664" s="2" t="s">
        <v>855</v>
      </c>
      <c r="D6664" s="31">
        <f t="shared" si="198"/>
        <v>3.0498882094198806E-2</v>
      </c>
      <c r="F6664" s="2" t="s">
        <v>822</v>
      </c>
      <c r="G6664" s="23" t="s">
        <v>902</v>
      </c>
      <c r="H6664" s="2" t="s">
        <v>822</v>
      </c>
      <c r="J6664" s="31">
        <v>63.911498999999999</v>
      </c>
      <c r="K6664" s="31">
        <v>5.7542701000000003</v>
      </c>
      <c r="L6664" s="31"/>
      <c r="M6664" s="31" t="s">
        <v>854</v>
      </c>
      <c r="N6664" s="6" t="s">
        <v>856</v>
      </c>
    </row>
    <row r="6665" spans="1:14" ht="15" customHeight="1" x14ac:dyDescent="0.2">
      <c r="A6665" s="31">
        <v>0.15523682888626791</v>
      </c>
      <c r="B6665" s="31"/>
      <c r="C6665" s="2" t="s">
        <v>855</v>
      </c>
      <c r="D6665" s="31">
        <f t="shared" si="198"/>
        <v>3.0426418461708512E-2</v>
      </c>
      <c r="F6665" s="2" t="s">
        <v>822</v>
      </c>
      <c r="G6665" s="23" t="s">
        <v>902</v>
      </c>
      <c r="H6665" s="2" t="s">
        <v>822</v>
      </c>
      <c r="J6665" s="31">
        <v>61.444000199999998</v>
      </c>
      <c r="K6665" s="31">
        <v>-29.867999999999999</v>
      </c>
      <c r="L6665" s="31"/>
      <c r="M6665" s="31" t="s">
        <v>854</v>
      </c>
      <c r="N6665" s="6" t="s">
        <v>856</v>
      </c>
    </row>
    <row r="6666" spans="1:14" ht="15" customHeight="1" x14ac:dyDescent="0.2">
      <c r="A6666" s="31">
        <v>0.15523070749260309</v>
      </c>
      <c r="B6666" s="31"/>
      <c r="C6666" s="2" t="s">
        <v>855</v>
      </c>
      <c r="D6666" s="31">
        <f t="shared" si="198"/>
        <v>3.0425218668550209E-2</v>
      </c>
      <c r="F6666" s="2" t="s">
        <v>822</v>
      </c>
      <c r="G6666" s="23" t="s">
        <v>902</v>
      </c>
      <c r="H6666" s="2" t="s">
        <v>822</v>
      </c>
      <c r="J6666" s="31">
        <v>65.186500499999994</v>
      </c>
      <c r="K6666" s="31">
        <v>24.687599200000001</v>
      </c>
      <c r="L6666" s="31"/>
      <c r="M6666" s="31" t="s">
        <v>854</v>
      </c>
      <c r="N6666" s="6" t="s">
        <v>856</v>
      </c>
    </row>
    <row r="6667" spans="1:14" ht="15" customHeight="1" x14ac:dyDescent="0.2">
      <c r="A6667" s="31">
        <v>0.1549618704920368</v>
      </c>
      <c r="B6667" s="31"/>
      <c r="C6667" s="2" t="s">
        <v>855</v>
      </c>
      <c r="D6667" s="31">
        <f t="shared" si="198"/>
        <v>3.0372526616439216E-2</v>
      </c>
      <c r="F6667" s="2" t="s">
        <v>822</v>
      </c>
      <c r="G6667" s="23" t="s">
        <v>902</v>
      </c>
      <c r="H6667" s="2" t="s">
        <v>822</v>
      </c>
      <c r="J6667" s="31">
        <v>54.763999900000002</v>
      </c>
      <c r="K6667" s="31">
        <v>-41.891998299999997</v>
      </c>
      <c r="L6667" s="31"/>
      <c r="M6667" s="31" t="s">
        <v>854</v>
      </c>
      <c r="N6667" s="6" t="s">
        <v>856</v>
      </c>
    </row>
    <row r="6668" spans="1:14" ht="15" customHeight="1" x14ac:dyDescent="0.2">
      <c r="A6668" s="31">
        <v>0.15490270079091631</v>
      </c>
      <c r="B6668" s="31"/>
      <c r="C6668" s="2" t="s">
        <v>855</v>
      </c>
      <c r="D6668" s="31">
        <f t="shared" si="198"/>
        <v>3.0360929355019599E-2</v>
      </c>
      <c r="F6668" s="2" t="s">
        <v>822</v>
      </c>
      <c r="G6668" s="23" t="s">
        <v>902</v>
      </c>
      <c r="H6668" s="2" t="s">
        <v>822</v>
      </c>
      <c r="J6668" s="31">
        <v>63.785499600000001</v>
      </c>
      <c r="K6668" s="31">
        <v>-24.849300400000001</v>
      </c>
      <c r="L6668" s="31"/>
      <c r="M6668" s="31" t="s">
        <v>854</v>
      </c>
      <c r="N6668" s="6" t="s">
        <v>856</v>
      </c>
    </row>
    <row r="6669" spans="1:14" ht="15" customHeight="1" x14ac:dyDescent="0.2">
      <c r="A6669" s="31">
        <v>0.15473136372486229</v>
      </c>
      <c r="B6669" s="31"/>
      <c r="C6669" s="2" t="s">
        <v>855</v>
      </c>
      <c r="D6669" s="31">
        <f t="shared" si="198"/>
        <v>3.0327347290073012E-2</v>
      </c>
      <c r="F6669" s="2" t="s">
        <v>822</v>
      </c>
      <c r="G6669" s="23" t="s">
        <v>902</v>
      </c>
      <c r="H6669" s="2" t="s">
        <v>822</v>
      </c>
      <c r="J6669" s="31">
        <v>66.265998800000006</v>
      </c>
      <c r="K6669" s="31">
        <v>-23.195999100000002</v>
      </c>
      <c r="L6669" s="31"/>
      <c r="M6669" s="31" t="s">
        <v>854</v>
      </c>
      <c r="N6669" s="6" t="s">
        <v>856</v>
      </c>
    </row>
    <row r="6670" spans="1:14" ht="15" customHeight="1" x14ac:dyDescent="0.2">
      <c r="A6670" s="31">
        <v>0.15445476555663609</v>
      </c>
      <c r="B6670" s="31"/>
      <c r="C6670" s="2" t="s">
        <v>855</v>
      </c>
      <c r="D6670" s="31">
        <f t="shared" si="198"/>
        <v>3.0273134049100675E-2</v>
      </c>
      <c r="F6670" s="2" t="s">
        <v>822</v>
      </c>
      <c r="G6670" s="23" t="s">
        <v>902</v>
      </c>
      <c r="H6670" s="2" t="s">
        <v>822</v>
      </c>
      <c r="J6670" s="31">
        <v>68.258697499999997</v>
      </c>
      <c r="K6670" s="31">
        <v>11.5354996</v>
      </c>
      <c r="L6670" s="31"/>
      <c r="M6670" s="31" t="s">
        <v>854</v>
      </c>
      <c r="N6670" s="6" t="s">
        <v>856</v>
      </c>
    </row>
    <row r="6671" spans="1:14" ht="15" customHeight="1" x14ac:dyDescent="0.2">
      <c r="A6671" s="31">
        <v>0.15442273612437399</v>
      </c>
      <c r="B6671" s="31"/>
      <c r="C6671" s="2" t="s">
        <v>855</v>
      </c>
      <c r="D6671" s="31">
        <f t="shared" si="198"/>
        <v>3.0266856280377303E-2</v>
      </c>
      <c r="F6671" s="2" t="s">
        <v>822</v>
      </c>
      <c r="G6671" s="23" t="s">
        <v>902</v>
      </c>
      <c r="H6671" s="2" t="s">
        <v>822</v>
      </c>
      <c r="J6671" s="31">
        <v>70.795997600000007</v>
      </c>
      <c r="K6671" s="31">
        <v>15.938799899999999</v>
      </c>
      <c r="L6671" s="31"/>
      <c r="M6671" s="31" t="s">
        <v>854</v>
      </c>
      <c r="N6671" s="6" t="s">
        <v>856</v>
      </c>
    </row>
    <row r="6672" spans="1:14" ht="15" customHeight="1" x14ac:dyDescent="0.2">
      <c r="A6672" s="31">
        <v>0.15435376500128459</v>
      </c>
      <c r="B6672" s="31"/>
      <c r="C6672" s="2" t="s">
        <v>855</v>
      </c>
      <c r="D6672" s="31">
        <f t="shared" si="198"/>
        <v>3.0253337940251781E-2</v>
      </c>
      <c r="F6672" s="2" t="s">
        <v>822</v>
      </c>
      <c r="G6672" s="23" t="s">
        <v>902</v>
      </c>
      <c r="H6672" s="2" t="s">
        <v>822</v>
      </c>
      <c r="J6672" s="31">
        <v>58.1040001</v>
      </c>
      <c r="K6672" s="31">
        <v>-39.220001199999999</v>
      </c>
      <c r="L6672" s="31"/>
      <c r="M6672" s="31" t="s">
        <v>854</v>
      </c>
      <c r="N6672" s="6" t="s">
        <v>856</v>
      </c>
    </row>
    <row r="6673" spans="1:14" ht="15" customHeight="1" x14ac:dyDescent="0.2">
      <c r="A6673" s="31">
        <v>0.15422652848722751</v>
      </c>
      <c r="B6673" s="31"/>
      <c r="C6673" s="2" t="s">
        <v>855</v>
      </c>
      <c r="D6673" s="31">
        <f t="shared" si="198"/>
        <v>3.0228399583496594E-2</v>
      </c>
      <c r="F6673" s="2" t="s">
        <v>822</v>
      </c>
      <c r="G6673" s="23" t="s">
        <v>902</v>
      </c>
      <c r="H6673" s="2" t="s">
        <v>822</v>
      </c>
      <c r="J6673" s="31">
        <v>60.776001000000001</v>
      </c>
      <c r="K6673" s="31">
        <v>-31.204000499999999</v>
      </c>
      <c r="L6673" s="31"/>
      <c r="M6673" s="31" t="s">
        <v>854</v>
      </c>
      <c r="N6673" s="6" t="s">
        <v>856</v>
      </c>
    </row>
    <row r="6674" spans="1:14" ht="15" customHeight="1" x14ac:dyDescent="0.2">
      <c r="A6674" s="31">
        <v>0.15367481890902171</v>
      </c>
      <c r="B6674" s="31"/>
      <c r="C6674" s="2" t="s">
        <v>855</v>
      </c>
      <c r="D6674" s="31">
        <f t="shared" si="198"/>
        <v>3.0120264506168257E-2</v>
      </c>
      <c r="F6674" s="2" t="s">
        <v>822</v>
      </c>
      <c r="G6674" s="23" t="s">
        <v>902</v>
      </c>
      <c r="H6674" s="2" t="s">
        <v>822</v>
      </c>
      <c r="J6674" s="31">
        <v>64.783996599999995</v>
      </c>
      <c r="K6674" s="31">
        <v>-29.200000800000002</v>
      </c>
      <c r="L6674" s="31"/>
      <c r="M6674" s="31" t="s">
        <v>854</v>
      </c>
      <c r="N6674" s="6" t="s">
        <v>856</v>
      </c>
    </row>
    <row r="6675" spans="1:14" ht="15" customHeight="1" x14ac:dyDescent="0.2">
      <c r="A6675" s="31">
        <v>0.153465372050099</v>
      </c>
      <c r="B6675" s="31"/>
      <c r="C6675" s="2" t="s">
        <v>855</v>
      </c>
      <c r="D6675" s="31">
        <f t="shared" si="198"/>
        <v>3.0079212921819403E-2</v>
      </c>
      <c r="F6675" s="2" t="s">
        <v>822</v>
      </c>
      <c r="G6675" s="23" t="s">
        <v>902</v>
      </c>
      <c r="H6675" s="2" t="s">
        <v>822</v>
      </c>
      <c r="J6675" s="31">
        <v>56.099998499999998</v>
      </c>
      <c r="K6675" s="31">
        <v>-39.888000499999997</v>
      </c>
      <c r="L6675" s="31"/>
      <c r="M6675" s="31" t="s">
        <v>854</v>
      </c>
      <c r="N6675" s="6" t="s">
        <v>856</v>
      </c>
    </row>
    <row r="6676" spans="1:14" ht="15" customHeight="1" x14ac:dyDescent="0.2">
      <c r="A6676" s="31">
        <v>0.15338416417334161</v>
      </c>
      <c r="B6676" s="31"/>
      <c r="C6676" s="2" t="s">
        <v>855</v>
      </c>
      <c r="D6676" s="31">
        <f t="shared" si="198"/>
        <v>3.0063296177974957E-2</v>
      </c>
      <c r="F6676" s="2" t="s">
        <v>822</v>
      </c>
      <c r="G6676" s="23" t="s">
        <v>902</v>
      </c>
      <c r="H6676" s="2" t="s">
        <v>822</v>
      </c>
      <c r="J6676" s="31">
        <v>64.115997300000004</v>
      </c>
      <c r="K6676" s="31">
        <v>-8.4919995999999998</v>
      </c>
      <c r="L6676" s="31"/>
      <c r="M6676" s="31" t="s">
        <v>854</v>
      </c>
      <c r="N6676" s="6" t="s">
        <v>856</v>
      </c>
    </row>
    <row r="6677" spans="1:14" ht="15" customHeight="1" x14ac:dyDescent="0.2">
      <c r="A6677" s="31">
        <v>0.1532653931819406</v>
      </c>
      <c r="B6677" s="31"/>
      <c r="C6677" s="2" t="s">
        <v>855</v>
      </c>
      <c r="D6677" s="31">
        <f t="shared" si="198"/>
        <v>3.004001706366036E-2</v>
      </c>
      <c r="F6677" s="2" t="s">
        <v>822</v>
      </c>
      <c r="G6677" s="23" t="s">
        <v>902</v>
      </c>
      <c r="H6677" s="2" t="s">
        <v>822</v>
      </c>
      <c r="J6677" s="31">
        <v>60.776001000000001</v>
      </c>
      <c r="K6677" s="31">
        <v>-11.1639996</v>
      </c>
      <c r="L6677" s="31"/>
      <c r="M6677" s="31" t="s">
        <v>854</v>
      </c>
      <c r="N6677" s="6" t="s">
        <v>856</v>
      </c>
    </row>
    <row r="6678" spans="1:14" ht="15" customHeight="1" x14ac:dyDescent="0.2">
      <c r="A6678" s="31">
        <v>0.15324155941173589</v>
      </c>
      <c r="B6678" s="31"/>
      <c r="C6678" s="2" t="s">
        <v>855</v>
      </c>
      <c r="D6678" s="31">
        <f t="shared" si="198"/>
        <v>3.0035345644700236E-2</v>
      </c>
      <c r="F6678" s="2" t="s">
        <v>822</v>
      </c>
      <c r="G6678" s="23" t="s">
        <v>902</v>
      </c>
      <c r="H6678" s="2" t="s">
        <v>822</v>
      </c>
      <c r="J6678" s="31">
        <v>70.776802099999998</v>
      </c>
      <c r="K6678" s="31">
        <v>18.398899100000001</v>
      </c>
      <c r="L6678" s="31"/>
      <c r="M6678" s="31" t="s">
        <v>854</v>
      </c>
      <c r="N6678" s="6" t="s">
        <v>856</v>
      </c>
    </row>
    <row r="6679" spans="1:14" ht="15" customHeight="1" x14ac:dyDescent="0.2">
      <c r="A6679" s="31">
        <v>0.15306333802909591</v>
      </c>
      <c r="B6679" s="31"/>
      <c r="C6679" s="2" t="s">
        <v>855</v>
      </c>
      <c r="D6679" s="31">
        <f t="shared" si="198"/>
        <v>3.0000414253702801E-2</v>
      </c>
      <c r="F6679" s="2" t="s">
        <v>822</v>
      </c>
      <c r="G6679" s="23" t="s">
        <v>902</v>
      </c>
      <c r="H6679" s="2" t="s">
        <v>822</v>
      </c>
      <c r="J6679" s="31">
        <v>65.869903600000001</v>
      </c>
      <c r="K6679" s="31">
        <v>-22.518899900000001</v>
      </c>
      <c r="L6679" s="31"/>
      <c r="M6679" s="31" t="s">
        <v>854</v>
      </c>
      <c r="N6679" s="6" t="s">
        <v>856</v>
      </c>
    </row>
    <row r="6680" spans="1:14" ht="15" customHeight="1" x14ac:dyDescent="0.2">
      <c r="A6680" s="31">
        <v>0.15301973468989721</v>
      </c>
      <c r="B6680" s="31"/>
      <c r="C6680" s="2" t="s">
        <v>855</v>
      </c>
      <c r="D6680" s="31">
        <f t="shared" si="198"/>
        <v>2.9991867999219855E-2</v>
      </c>
      <c r="F6680" s="2" t="s">
        <v>822</v>
      </c>
      <c r="G6680" s="23" t="s">
        <v>902</v>
      </c>
      <c r="H6680" s="2" t="s">
        <v>822</v>
      </c>
      <c r="J6680" s="31">
        <v>58.771999399999999</v>
      </c>
      <c r="K6680" s="31">
        <v>-38.551998099999999</v>
      </c>
      <c r="L6680" s="31"/>
      <c r="M6680" s="31" t="s">
        <v>854</v>
      </c>
      <c r="N6680" s="6" t="s">
        <v>856</v>
      </c>
    </row>
    <row r="6681" spans="1:14" ht="15" customHeight="1" x14ac:dyDescent="0.2">
      <c r="A6681" s="31">
        <v>0.1530017387080955</v>
      </c>
      <c r="B6681" s="31"/>
      <c r="C6681" s="2" t="s">
        <v>855</v>
      </c>
      <c r="D6681" s="31">
        <f t="shared" si="198"/>
        <v>2.9988340786786718E-2</v>
      </c>
      <c r="F6681" s="2" t="s">
        <v>822</v>
      </c>
      <c r="G6681" s="23" t="s">
        <v>902</v>
      </c>
      <c r="H6681" s="2" t="s">
        <v>822</v>
      </c>
      <c r="J6681" s="31">
        <v>63.404499100000002</v>
      </c>
      <c r="K6681" s="31">
        <v>-9.1664600000000007</v>
      </c>
      <c r="L6681" s="31"/>
      <c r="M6681" s="31" t="s">
        <v>854</v>
      </c>
      <c r="N6681" s="6" t="s">
        <v>856</v>
      </c>
    </row>
    <row r="6682" spans="1:14" ht="15" customHeight="1" x14ac:dyDescent="0.2">
      <c r="A6682" s="31">
        <v>0.15298774571375631</v>
      </c>
      <c r="B6682" s="31"/>
      <c r="C6682" s="2" t="s">
        <v>855</v>
      </c>
      <c r="D6682" s="31">
        <f t="shared" si="198"/>
        <v>2.9985598159896237E-2</v>
      </c>
      <c r="F6682" s="2" t="s">
        <v>822</v>
      </c>
      <c r="G6682" s="23" t="s">
        <v>902</v>
      </c>
      <c r="H6682" s="2" t="s">
        <v>822</v>
      </c>
      <c r="J6682" s="31">
        <v>57.436000800000002</v>
      </c>
      <c r="K6682" s="31">
        <v>-37.883998900000002</v>
      </c>
      <c r="L6682" s="31"/>
      <c r="M6682" s="31" t="s">
        <v>854</v>
      </c>
      <c r="N6682" s="6" t="s">
        <v>856</v>
      </c>
    </row>
    <row r="6683" spans="1:14" ht="15" customHeight="1" x14ac:dyDescent="0.2">
      <c r="A6683" s="31">
        <v>0.1528770115681892</v>
      </c>
      <c r="B6683" s="31"/>
      <c r="C6683" s="2" t="s">
        <v>855</v>
      </c>
      <c r="D6683" s="31">
        <f t="shared" si="198"/>
        <v>2.9963894267365083E-2</v>
      </c>
      <c r="F6683" s="2" t="s">
        <v>822</v>
      </c>
      <c r="G6683" s="23" t="s">
        <v>902</v>
      </c>
      <c r="H6683" s="2" t="s">
        <v>822</v>
      </c>
      <c r="J6683" s="31">
        <v>71.463996899999998</v>
      </c>
      <c r="K6683" s="31">
        <v>24.2399998</v>
      </c>
      <c r="L6683" s="31"/>
      <c r="M6683" s="31" t="s">
        <v>854</v>
      </c>
      <c r="N6683" s="6" t="s">
        <v>856</v>
      </c>
    </row>
    <row r="6684" spans="1:14" ht="15" customHeight="1" x14ac:dyDescent="0.2">
      <c r="A6684" s="31">
        <v>0.15259853137650331</v>
      </c>
      <c r="B6684" s="31"/>
      <c r="C6684" s="2" t="s">
        <v>855</v>
      </c>
      <c r="D6684" s="31">
        <f t="shared" si="198"/>
        <v>2.9909312149794649E-2</v>
      </c>
      <c r="F6684" s="2" t="s">
        <v>822</v>
      </c>
      <c r="G6684" s="23" t="s">
        <v>902</v>
      </c>
      <c r="H6684" s="2" t="s">
        <v>822</v>
      </c>
      <c r="J6684" s="31">
        <v>66.120002700000001</v>
      </c>
      <c r="K6684" s="31">
        <v>8.2080002000000007</v>
      </c>
      <c r="L6684" s="31"/>
      <c r="M6684" s="31" t="s">
        <v>854</v>
      </c>
      <c r="N6684" s="6" t="s">
        <v>856</v>
      </c>
    </row>
    <row r="6685" spans="1:14" ht="15" customHeight="1" x14ac:dyDescent="0.2">
      <c r="A6685" s="31">
        <v>0.15251818197393421</v>
      </c>
      <c r="B6685" s="31"/>
      <c r="C6685" s="2" t="s">
        <v>855</v>
      </c>
      <c r="D6685" s="31">
        <f t="shared" si="198"/>
        <v>2.9893563666891106E-2</v>
      </c>
      <c r="F6685" s="2" t="s">
        <v>822</v>
      </c>
      <c r="G6685" s="23" t="s">
        <v>902</v>
      </c>
      <c r="H6685" s="2" t="s">
        <v>822</v>
      </c>
      <c r="J6685" s="31">
        <v>68.806800800000005</v>
      </c>
      <c r="K6685" s="31">
        <v>12.857899700000001</v>
      </c>
      <c r="L6685" s="31"/>
      <c r="M6685" s="31" t="s">
        <v>854</v>
      </c>
      <c r="N6685" s="6" t="s">
        <v>856</v>
      </c>
    </row>
    <row r="6686" spans="1:14" ht="15" customHeight="1" x14ac:dyDescent="0.2">
      <c r="A6686" s="31">
        <v>0.15216634325952361</v>
      </c>
      <c r="B6686" s="31"/>
      <c r="C6686" s="2" t="s">
        <v>855</v>
      </c>
      <c r="D6686" s="31">
        <f t="shared" si="198"/>
        <v>2.9824603278866629E-2</v>
      </c>
      <c r="F6686" s="2" t="s">
        <v>822</v>
      </c>
      <c r="G6686" s="23" t="s">
        <v>902</v>
      </c>
      <c r="H6686" s="2" t="s">
        <v>822</v>
      </c>
      <c r="J6686" s="31">
        <v>66.1902008</v>
      </c>
      <c r="K6686" s="31">
        <v>-16.7240009</v>
      </c>
      <c r="L6686" s="31"/>
      <c r="M6686" s="31" t="s">
        <v>854</v>
      </c>
      <c r="N6686" s="6" t="s">
        <v>856</v>
      </c>
    </row>
    <row r="6687" spans="1:14" ht="15" customHeight="1" x14ac:dyDescent="0.2">
      <c r="A6687" s="31">
        <v>0.15206308949079889</v>
      </c>
      <c r="B6687" s="31"/>
      <c r="C6687" s="2" t="s">
        <v>855</v>
      </c>
      <c r="D6687" s="31">
        <f t="shared" si="198"/>
        <v>2.9804365540196581E-2</v>
      </c>
      <c r="F6687" s="2" t="s">
        <v>822</v>
      </c>
      <c r="G6687" s="23" t="s">
        <v>902</v>
      </c>
      <c r="H6687" s="2" t="s">
        <v>822</v>
      </c>
      <c r="J6687" s="31">
        <v>62.779998800000001</v>
      </c>
      <c r="K6687" s="31">
        <v>-1.8120000000000001</v>
      </c>
      <c r="L6687" s="31"/>
      <c r="M6687" s="31" t="s">
        <v>854</v>
      </c>
      <c r="N6687" s="6" t="s">
        <v>856</v>
      </c>
    </row>
    <row r="6688" spans="1:14" ht="15" customHeight="1" x14ac:dyDescent="0.2">
      <c r="A6688" s="31">
        <v>0.15187274806720011</v>
      </c>
      <c r="B6688" s="31"/>
      <c r="C6688" s="2" t="s">
        <v>855</v>
      </c>
      <c r="D6688" s="31">
        <f t="shared" si="198"/>
        <v>2.9767058621171221E-2</v>
      </c>
      <c r="F6688" s="2" t="s">
        <v>822</v>
      </c>
      <c r="G6688" s="23" t="s">
        <v>902</v>
      </c>
      <c r="H6688" s="2" t="s">
        <v>822</v>
      </c>
      <c r="J6688" s="31">
        <v>54.096000699999998</v>
      </c>
      <c r="K6688" s="31">
        <v>-31.204000499999999</v>
      </c>
      <c r="L6688" s="31"/>
      <c r="M6688" s="31" t="s">
        <v>854</v>
      </c>
      <c r="N6688" s="6" t="s">
        <v>856</v>
      </c>
    </row>
    <row r="6689" spans="1:14" ht="15" customHeight="1" x14ac:dyDescent="0.2">
      <c r="A6689" s="31">
        <v>0.15185934043488369</v>
      </c>
      <c r="B6689" s="31"/>
      <c r="C6689" s="2" t="s">
        <v>855</v>
      </c>
      <c r="D6689" s="31">
        <f t="shared" si="198"/>
        <v>2.9764430725237205E-2</v>
      </c>
      <c r="F6689" s="2" t="s">
        <v>822</v>
      </c>
      <c r="G6689" s="23" t="s">
        <v>902</v>
      </c>
      <c r="H6689" s="2" t="s">
        <v>822</v>
      </c>
      <c r="J6689" s="31">
        <v>63.448001900000001</v>
      </c>
      <c r="K6689" s="31">
        <v>-35.880001100000001</v>
      </c>
      <c r="L6689" s="31"/>
      <c r="M6689" s="31" t="s">
        <v>854</v>
      </c>
      <c r="N6689" s="6" t="s">
        <v>856</v>
      </c>
    </row>
    <row r="6690" spans="1:14" ht="15" customHeight="1" x14ac:dyDescent="0.2">
      <c r="A6690" s="31">
        <v>0.15179510479240871</v>
      </c>
      <c r="B6690" s="31"/>
      <c r="C6690" s="2" t="s">
        <v>855</v>
      </c>
      <c r="D6690" s="31">
        <f t="shared" si="198"/>
        <v>2.9751840539312107E-2</v>
      </c>
      <c r="F6690" s="2" t="s">
        <v>822</v>
      </c>
      <c r="G6690" s="23" t="s">
        <v>902</v>
      </c>
      <c r="H6690" s="2" t="s">
        <v>822</v>
      </c>
      <c r="J6690" s="31">
        <v>62.111999500000003</v>
      </c>
      <c r="K6690" s="31">
        <v>-37.883998900000002</v>
      </c>
      <c r="L6690" s="31"/>
      <c r="M6690" s="31" t="s">
        <v>854</v>
      </c>
      <c r="N6690" s="6" t="s">
        <v>856</v>
      </c>
    </row>
    <row r="6691" spans="1:14" ht="15" customHeight="1" x14ac:dyDescent="0.2">
      <c r="A6691" s="31">
        <v>0.1517665173966298</v>
      </c>
      <c r="B6691" s="31"/>
      <c r="C6691" s="2" t="s">
        <v>855</v>
      </c>
      <c r="D6691" s="31">
        <f t="shared" si="198"/>
        <v>2.9746237409739442E-2</v>
      </c>
      <c r="F6691" s="2" t="s">
        <v>822</v>
      </c>
      <c r="G6691" s="23" t="s">
        <v>902</v>
      </c>
      <c r="H6691" s="2" t="s">
        <v>822</v>
      </c>
      <c r="J6691" s="31">
        <v>64.184997600000003</v>
      </c>
      <c r="K6691" s="31">
        <v>-10.5889997</v>
      </c>
      <c r="L6691" s="31"/>
      <c r="M6691" s="31" t="s">
        <v>854</v>
      </c>
      <c r="N6691" s="6" t="s">
        <v>856</v>
      </c>
    </row>
    <row r="6692" spans="1:14" ht="15" customHeight="1" x14ac:dyDescent="0.2">
      <c r="A6692" s="31">
        <v>0.15172580753371251</v>
      </c>
      <c r="B6692" s="31"/>
      <c r="C6692" s="2" t="s">
        <v>855</v>
      </c>
      <c r="D6692" s="31">
        <f t="shared" si="198"/>
        <v>2.9738258276607654E-2</v>
      </c>
      <c r="F6692" s="2" t="s">
        <v>822</v>
      </c>
      <c r="G6692" s="23" t="s">
        <v>902</v>
      </c>
      <c r="H6692" s="2" t="s">
        <v>822</v>
      </c>
      <c r="J6692" s="31">
        <v>65.452003500000004</v>
      </c>
      <c r="K6692" s="31">
        <v>-30.5359993</v>
      </c>
      <c r="L6692" s="31"/>
      <c r="M6692" s="31" t="s">
        <v>854</v>
      </c>
      <c r="N6692" s="6" t="s">
        <v>856</v>
      </c>
    </row>
    <row r="6693" spans="1:14" ht="15" customHeight="1" x14ac:dyDescent="0.2">
      <c r="A6693" s="31">
        <v>0.15141896571793781</v>
      </c>
      <c r="B6693" s="31"/>
      <c r="C6693" s="2" t="s">
        <v>855</v>
      </c>
      <c r="D6693" s="31">
        <f t="shared" si="198"/>
        <v>2.9678117280715812E-2</v>
      </c>
      <c r="F6693" s="2" t="s">
        <v>822</v>
      </c>
      <c r="G6693" s="23" t="s">
        <v>902</v>
      </c>
      <c r="H6693" s="2" t="s">
        <v>822</v>
      </c>
      <c r="J6693" s="31">
        <v>54.763999900000002</v>
      </c>
      <c r="K6693" s="31">
        <v>-42.560001399999997</v>
      </c>
      <c r="L6693" s="31"/>
      <c r="M6693" s="31" t="s">
        <v>854</v>
      </c>
      <c r="N6693" s="6" t="s">
        <v>856</v>
      </c>
    </row>
    <row r="6694" spans="1:14" ht="15" customHeight="1" x14ac:dyDescent="0.2">
      <c r="A6694" s="31">
        <v>0.15131800495022479</v>
      </c>
      <c r="B6694" s="31"/>
      <c r="C6694" s="2" t="s">
        <v>855</v>
      </c>
      <c r="D6694" s="31">
        <f t="shared" si="198"/>
        <v>2.965832897024406E-2</v>
      </c>
      <c r="F6694" s="2" t="s">
        <v>822</v>
      </c>
      <c r="G6694" s="23" t="s">
        <v>902</v>
      </c>
      <c r="H6694" s="2" t="s">
        <v>822</v>
      </c>
      <c r="J6694" s="31">
        <v>50.592498800000001</v>
      </c>
      <c r="K6694" s="31">
        <v>-39.8744011</v>
      </c>
      <c r="L6694" s="31"/>
      <c r="M6694" s="31" t="s">
        <v>854</v>
      </c>
      <c r="N6694" s="6" t="s">
        <v>856</v>
      </c>
    </row>
    <row r="6695" spans="1:14" ht="15" customHeight="1" x14ac:dyDescent="0.2">
      <c r="A6695" s="31">
        <v>0.15061318784430419</v>
      </c>
      <c r="B6695" s="31"/>
      <c r="C6695" s="2" t="s">
        <v>855</v>
      </c>
      <c r="D6695" s="31">
        <f t="shared" si="198"/>
        <v>2.9520184817483624E-2</v>
      </c>
      <c r="F6695" s="2" t="s">
        <v>822</v>
      </c>
      <c r="G6695" s="23" t="s">
        <v>902</v>
      </c>
      <c r="H6695" s="2" t="s">
        <v>822</v>
      </c>
      <c r="J6695" s="31">
        <v>58.771999399999999</v>
      </c>
      <c r="K6695" s="31">
        <v>-39.220001199999999</v>
      </c>
      <c r="L6695" s="31"/>
      <c r="M6695" s="31" t="s">
        <v>854</v>
      </c>
      <c r="N6695" s="6" t="s">
        <v>856</v>
      </c>
    </row>
    <row r="6696" spans="1:14" ht="15" customHeight="1" x14ac:dyDescent="0.2">
      <c r="A6696" s="31">
        <v>0.1502754839340418</v>
      </c>
      <c r="B6696" s="31"/>
      <c r="C6696" s="2" t="s">
        <v>855</v>
      </c>
      <c r="D6696" s="31">
        <f t="shared" si="198"/>
        <v>2.9453994851072196E-2</v>
      </c>
      <c r="F6696" s="2" t="s">
        <v>822</v>
      </c>
      <c r="G6696" s="23" t="s">
        <v>902</v>
      </c>
      <c r="H6696" s="2" t="s">
        <v>822</v>
      </c>
      <c r="J6696" s="31">
        <v>59.838600200000002</v>
      </c>
      <c r="K6696" s="31">
        <v>-5.6241598000000002</v>
      </c>
      <c r="L6696" s="31"/>
      <c r="M6696" s="31" t="s">
        <v>854</v>
      </c>
      <c r="N6696" s="6" t="s">
        <v>856</v>
      </c>
    </row>
    <row r="6697" spans="1:14" ht="15" customHeight="1" x14ac:dyDescent="0.2">
      <c r="A6697" s="31">
        <v>0.15015433108587381</v>
      </c>
      <c r="B6697" s="31"/>
      <c r="C6697" s="2" t="s">
        <v>855</v>
      </c>
      <c r="D6697" s="31">
        <f t="shared" si="198"/>
        <v>2.9430248892831266E-2</v>
      </c>
      <c r="F6697" s="2" t="s">
        <v>822</v>
      </c>
      <c r="G6697" s="23" t="s">
        <v>902</v>
      </c>
      <c r="H6697" s="2" t="s">
        <v>822</v>
      </c>
      <c r="J6697" s="31">
        <v>53.428001399999999</v>
      </c>
      <c r="K6697" s="31">
        <v>-41.891998299999997</v>
      </c>
      <c r="L6697" s="31"/>
      <c r="M6697" s="31" t="s">
        <v>854</v>
      </c>
      <c r="N6697" s="6" t="s">
        <v>856</v>
      </c>
    </row>
    <row r="6698" spans="1:14" ht="15" customHeight="1" x14ac:dyDescent="0.2">
      <c r="A6698" s="31">
        <v>0.14986308627421871</v>
      </c>
      <c r="B6698" s="31"/>
      <c r="C6698" s="2" t="s">
        <v>855</v>
      </c>
      <c r="D6698" s="31">
        <f t="shared" si="198"/>
        <v>2.9373164909746868E-2</v>
      </c>
      <c r="F6698" s="2" t="s">
        <v>822</v>
      </c>
      <c r="G6698" s="23" t="s">
        <v>902</v>
      </c>
      <c r="H6698" s="2" t="s">
        <v>822</v>
      </c>
      <c r="J6698" s="31">
        <v>59.439998600000003</v>
      </c>
      <c r="K6698" s="31">
        <v>-31.8719997</v>
      </c>
      <c r="L6698" s="31"/>
      <c r="M6698" s="31" t="s">
        <v>854</v>
      </c>
      <c r="N6698" s="6" t="s">
        <v>856</v>
      </c>
    </row>
    <row r="6699" spans="1:14" ht="15" customHeight="1" x14ac:dyDescent="0.2">
      <c r="A6699" s="31">
        <v>0.14985221445373759</v>
      </c>
      <c r="B6699" s="31"/>
      <c r="C6699" s="2" t="s">
        <v>855</v>
      </c>
      <c r="D6699" s="31">
        <f t="shared" si="198"/>
        <v>2.9371034032932567E-2</v>
      </c>
      <c r="F6699" s="2" t="s">
        <v>822</v>
      </c>
      <c r="G6699" s="23" t="s">
        <v>902</v>
      </c>
      <c r="H6699" s="2" t="s">
        <v>822</v>
      </c>
      <c r="J6699" s="31">
        <v>55.4319992</v>
      </c>
      <c r="K6699" s="31">
        <v>-41.891998299999997</v>
      </c>
      <c r="L6699" s="31"/>
      <c r="M6699" s="31" t="s">
        <v>854</v>
      </c>
      <c r="N6699" s="6" t="s">
        <v>856</v>
      </c>
    </row>
    <row r="6700" spans="1:14" ht="15" customHeight="1" x14ac:dyDescent="0.2">
      <c r="A6700" s="31">
        <v>0.1498204030831638</v>
      </c>
      <c r="B6700" s="31"/>
      <c r="C6700" s="2" t="s">
        <v>855</v>
      </c>
      <c r="D6700" s="31">
        <f t="shared" si="198"/>
        <v>2.9364799004300106E-2</v>
      </c>
      <c r="F6700" s="2" t="s">
        <v>822</v>
      </c>
      <c r="G6700" s="23" t="s">
        <v>902</v>
      </c>
      <c r="H6700" s="2" t="s">
        <v>822</v>
      </c>
      <c r="J6700" s="31">
        <v>55.4319992</v>
      </c>
      <c r="K6700" s="31">
        <v>-42.560001399999997</v>
      </c>
      <c r="L6700" s="31"/>
      <c r="M6700" s="31" t="s">
        <v>854</v>
      </c>
      <c r="N6700" s="6" t="s">
        <v>856</v>
      </c>
    </row>
    <row r="6701" spans="1:14" ht="15" customHeight="1" x14ac:dyDescent="0.2">
      <c r="A6701" s="31">
        <v>0.1495825494666817</v>
      </c>
      <c r="B6701" s="31"/>
      <c r="C6701" s="2" t="s">
        <v>855</v>
      </c>
      <c r="D6701" s="31">
        <f t="shared" si="198"/>
        <v>2.9318179695469616E-2</v>
      </c>
      <c r="F6701" s="2" t="s">
        <v>822</v>
      </c>
      <c r="G6701" s="23" t="s">
        <v>902</v>
      </c>
      <c r="H6701" s="2" t="s">
        <v>822</v>
      </c>
      <c r="J6701" s="31">
        <v>59.439998600000003</v>
      </c>
      <c r="K6701" s="31">
        <v>-37.883998900000002</v>
      </c>
      <c r="L6701" s="31"/>
      <c r="M6701" s="31" t="s">
        <v>854</v>
      </c>
      <c r="N6701" s="6" t="s">
        <v>856</v>
      </c>
    </row>
    <row r="6702" spans="1:14" ht="15" customHeight="1" x14ac:dyDescent="0.2">
      <c r="A6702" s="31">
        <v>0.1495623173165363</v>
      </c>
      <c r="B6702" s="31"/>
      <c r="C6702" s="2" t="s">
        <v>855</v>
      </c>
      <c r="D6702" s="31">
        <f t="shared" si="198"/>
        <v>2.9314214194041115E-2</v>
      </c>
      <c r="F6702" s="2" t="s">
        <v>822</v>
      </c>
      <c r="G6702" s="23" t="s">
        <v>902</v>
      </c>
      <c r="H6702" s="2" t="s">
        <v>822</v>
      </c>
      <c r="J6702" s="31">
        <v>65.074996900000002</v>
      </c>
      <c r="K6702" s="31">
        <v>7.3451599999999999</v>
      </c>
      <c r="L6702" s="31"/>
      <c r="M6702" s="31" t="s">
        <v>854</v>
      </c>
      <c r="N6702" s="6" t="s">
        <v>856</v>
      </c>
    </row>
    <row r="6703" spans="1:14" ht="15" customHeight="1" x14ac:dyDescent="0.2">
      <c r="A6703" s="31">
        <v>0.14953185205339611</v>
      </c>
      <c r="B6703" s="31"/>
      <c r="C6703" s="2" t="s">
        <v>855</v>
      </c>
      <c r="D6703" s="31">
        <f t="shared" si="198"/>
        <v>2.930824300246564E-2</v>
      </c>
      <c r="F6703" s="2" t="s">
        <v>822</v>
      </c>
      <c r="G6703" s="23" t="s">
        <v>902</v>
      </c>
      <c r="H6703" s="2" t="s">
        <v>822</v>
      </c>
      <c r="J6703" s="31">
        <v>60.108001700000003</v>
      </c>
      <c r="K6703" s="31">
        <v>-8.4919995999999998</v>
      </c>
      <c r="L6703" s="31"/>
      <c r="M6703" s="31" t="s">
        <v>854</v>
      </c>
      <c r="N6703" s="6" t="s">
        <v>856</v>
      </c>
    </row>
    <row r="6704" spans="1:14" ht="15" customHeight="1" x14ac:dyDescent="0.2">
      <c r="A6704" s="31">
        <v>0.149529066994319</v>
      </c>
      <c r="B6704" s="31"/>
      <c r="C6704" s="2" t="s">
        <v>855</v>
      </c>
      <c r="D6704" s="31">
        <f t="shared" si="198"/>
        <v>2.9307697130886524E-2</v>
      </c>
      <c r="F6704" s="2" t="s">
        <v>822</v>
      </c>
      <c r="G6704" s="23" t="s">
        <v>902</v>
      </c>
      <c r="H6704" s="2" t="s">
        <v>822</v>
      </c>
      <c r="J6704" s="31">
        <v>65.452003500000004</v>
      </c>
      <c r="K6704" s="31">
        <v>-28.531999599999999</v>
      </c>
      <c r="L6704" s="31"/>
      <c r="M6704" s="31" t="s">
        <v>854</v>
      </c>
      <c r="N6704" s="6" t="s">
        <v>856</v>
      </c>
    </row>
    <row r="6705" spans="1:14" ht="15" customHeight="1" x14ac:dyDescent="0.2">
      <c r="A6705" s="31">
        <v>0.1493608870433345</v>
      </c>
      <c r="B6705" s="31"/>
      <c r="C6705" s="2" t="s">
        <v>855</v>
      </c>
      <c r="D6705" s="31">
        <f t="shared" si="198"/>
        <v>2.9274733860493563E-2</v>
      </c>
      <c r="F6705" s="2" t="s">
        <v>822</v>
      </c>
      <c r="G6705" s="23" t="s">
        <v>902</v>
      </c>
      <c r="H6705" s="2" t="s">
        <v>822</v>
      </c>
      <c r="J6705" s="31">
        <v>58.771999399999999</v>
      </c>
      <c r="K6705" s="31">
        <v>-39.888000499999997</v>
      </c>
      <c r="L6705" s="31"/>
      <c r="M6705" s="31" t="s">
        <v>854</v>
      </c>
      <c r="N6705" s="6" t="s">
        <v>856</v>
      </c>
    </row>
    <row r="6706" spans="1:14" ht="15" customHeight="1" x14ac:dyDescent="0.2">
      <c r="A6706" s="31">
        <v>0.14931311998760069</v>
      </c>
      <c r="B6706" s="31"/>
      <c r="C6706" s="2" t="s">
        <v>855</v>
      </c>
      <c r="D6706" s="31">
        <f t="shared" si="198"/>
        <v>2.9265371517569735E-2</v>
      </c>
      <c r="F6706" s="2" t="s">
        <v>822</v>
      </c>
      <c r="G6706" s="23" t="s">
        <v>902</v>
      </c>
      <c r="H6706" s="2" t="s">
        <v>822</v>
      </c>
      <c r="J6706" s="31">
        <v>59.439998600000003</v>
      </c>
      <c r="K6706" s="31">
        <v>2.1960001</v>
      </c>
      <c r="L6706" s="31"/>
      <c r="M6706" s="31" t="s">
        <v>854</v>
      </c>
      <c r="N6706" s="6" t="s">
        <v>856</v>
      </c>
    </row>
    <row r="6707" spans="1:14" ht="15" customHeight="1" x14ac:dyDescent="0.2">
      <c r="A6707" s="31">
        <v>0.1492511186994209</v>
      </c>
      <c r="B6707" s="31"/>
      <c r="C6707" s="2" t="s">
        <v>855</v>
      </c>
      <c r="D6707" s="31">
        <f t="shared" si="198"/>
        <v>2.9253219265086498E-2</v>
      </c>
      <c r="F6707" s="2" t="s">
        <v>822</v>
      </c>
      <c r="G6707" s="23" t="s">
        <v>902</v>
      </c>
      <c r="H6707" s="2" t="s">
        <v>822</v>
      </c>
      <c r="J6707" s="31">
        <v>56.768001599999998</v>
      </c>
      <c r="K6707" s="31">
        <v>-37.883998900000002</v>
      </c>
      <c r="L6707" s="31"/>
      <c r="M6707" s="31" t="s">
        <v>854</v>
      </c>
      <c r="N6707" s="6" t="s">
        <v>856</v>
      </c>
    </row>
    <row r="6708" spans="1:14" ht="15" customHeight="1" x14ac:dyDescent="0.2">
      <c r="A6708" s="31">
        <v>0.1491960027801453</v>
      </c>
      <c r="B6708" s="31"/>
      <c r="C6708" s="2" t="s">
        <v>855</v>
      </c>
      <c r="D6708" s="31">
        <f t="shared" si="198"/>
        <v>2.924241654490848E-2</v>
      </c>
      <c r="F6708" s="2" t="s">
        <v>822</v>
      </c>
      <c r="G6708" s="23" t="s">
        <v>902</v>
      </c>
      <c r="H6708" s="2" t="s">
        <v>822</v>
      </c>
      <c r="J6708" s="31">
        <v>59.4552002</v>
      </c>
      <c r="K6708" s="31">
        <v>-7.1615700999999996</v>
      </c>
      <c r="L6708" s="31"/>
      <c r="M6708" s="31" t="s">
        <v>854</v>
      </c>
      <c r="N6708" s="6" t="s">
        <v>856</v>
      </c>
    </row>
    <row r="6709" spans="1:14" ht="15" customHeight="1" x14ac:dyDescent="0.2">
      <c r="A6709" s="31">
        <v>0.14881398090559669</v>
      </c>
      <c r="B6709" s="31"/>
      <c r="C6709" s="2" t="s">
        <v>855</v>
      </c>
      <c r="D6709" s="31">
        <f t="shared" si="198"/>
        <v>2.9167540257496953E-2</v>
      </c>
      <c r="F6709" s="2" t="s">
        <v>822</v>
      </c>
      <c r="G6709" s="23" t="s">
        <v>902</v>
      </c>
      <c r="H6709" s="2" t="s">
        <v>822</v>
      </c>
      <c r="J6709" s="31">
        <v>56.099998499999998</v>
      </c>
      <c r="K6709" s="31">
        <v>-27.195999100000002</v>
      </c>
      <c r="L6709" s="31"/>
      <c r="M6709" s="31" t="s">
        <v>854</v>
      </c>
      <c r="N6709" s="6" t="s">
        <v>856</v>
      </c>
    </row>
    <row r="6710" spans="1:14" ht="15" customHeight="1" x14ac:dyDescent="0.2">
      <c r="A6710" s="31">
        <v>0.14872374773192579</v>
      </c>
      <c r="B6710" s="31"/>
      <c r="C6710" s="2" t="s">
        <v>855</v>
      </c>
      <c r="D6710" s="31">
        <f t="shared" si="198"/>
        <v>2.9149854555457454E-2</v>
      </c>
      <c r="F6710" s="2" t="s">
        <v>822</v>
      </c>
      <c r="G6710" s="23" t="s">
        <v>902</v>
      </c>
      <c r="H6710" s="2" t="s">
        <v>822</v>
      </c>
      <c r="J6710" s="31">
        <v>65.786003100000002</v>
      </c>
      <c r="K6710" s="31">
        <v>2.8640001000000002</v>
      </c>
      <c r="L6710" s="31"/>
      <c r="M6710" s="31" t="s">
        <v>854</v>
      </c>
      <c r="N6710" s="6" t="s">
        <v>856</v>
      </c>
    </row>
    <row r="6711" spans="1:14" ht="15" customHeight="1" x14ac:dyDescent="0.2">
      <c r="A6711" s="31">
        <v>0.14872009932695979</v>
      </c>
      <c r="B6711" s="31"/>
      <c r="C6711" s="2" t="s">
        <v>855</v>
      </c>
      <c r="D6711" s="31">
        <f t="shared" si="198"/>
        <v>2.9149139468084121E-2</v>
      </c>
      <c r="F6711" s="2" t="s">
        <v>822</v>
      </c>
      <c r="G6711" s="23" t="s">
        <v>902</v>
      </c>
      <c r="H6711" s="2" t="s">
        <v>822</v>
      </c>
      <c r="J6711" s="31">
        <v>69.459999100000005</v>
      </c>
      <c r="K6711" s="31">
        <v>14.220000300000001</v>
      </c>
      <c r="L6711" s="31"/>
      <c r="M6711" s="31" t="s">
        <v>854</v>
      </c>
      <c r="N6711" s="6" t="s">
        <v>856</v>
      </c>
    </row>
    <row r="6712" spans="1:14" ht="15" customHeight="1" x14ac:dyDescent="0.2">
      <c r="A6712" s="31">
        <v>0.14864886822403189</v>
      </c>
      <c r="B6712" s="31"/>
      <c r="C6712" s="2" t="s">
        <v>855</v>
      </c>
      <c r="D6712" s="31">
        <f t="shared" si="198"/>
        <v>2.9135178171910251E-2</v>
      </c>
      <c r="F6712" s="2" t="s">
        <v>822</v>
      </c>
      <c r="G6712" s="23" t="s">
        <v>902</v>
      </c>
      <c r="H6712" s="2" t="s">
        <v>822</v>
      </c>
      <c r="J6712" s="31">
        <v>52.759998299999999</v>
      </c>
      <c r="K6712" s="31">
        <v>-35.880001100000001</v>
      </c>
      <c r="L6712" s="31"/>
      <c r="M6712" s="31" t="s">
        <v>854</v>
      </c>
      <c r="N6712" s="6" t="s">
        <v>856</v>
      </c>
    </row>
    <row r="6713" spans="1:14" ht="15" customHeight="1" x14ac:dyDescent="0.2">
      <c r="A6713" s="31">
        <v>0.14853428557390921</v>
      </c>
      <c r="B6713" s="31"/>
      <c r="C6713" s="2" t="s">
        <v>855</v>
      </c>
      <c r="D6713" s="31">
        <f t="shared" si="198"/>
        <v>2.9112719972486208E-2</v>
      </c>
      <c r="F6713" s="2" t="s">
        <v>822</v>
      </c>
      <c r="G6713" s="23" t="s">
        <v>902</v>
      </c>
      <c r="H6713" s="2" t="s">
        <v>822</v>
      </c>
      <c r="J6713" s="31">
        <v>62.779998800000001</v>
      </c>
      <c r="K6713" s="31">
        <v>-9.8280001000000006</v>
      </c>
      <c r="L6713" s="31"/>
      <c r="M6713" s="31" t="s">
        <v>854</v>
      </c>
      <c r="N6713" s="6" t="s">
        <v>856</v>
      </c>
    </row>
    <row r="6714" spans="1:14" ht="15" customHeight="1" x14ac:dyDescent="0.2">
      <c r="A6714" s="31">
        <v>0.14847607703826271</v>
      </c>
      <c r="B6714" s="31"/>
      <c r="C6714" s="2" t="s">
        <v>855</v>
      </c>
      <c r="D6714" s="31">
        <f t="shared" si="198"/>
        <v>2.9101311099499493E-2</v>
      </c>
      <c r="F6714" s="2" t="s">
        <v>822</v>
      </c>
      <c r="G6714" s="23" t="s">
        <v>902</v>
      </c>
      <c r="H6714" s="2" t="s">
        <v>822</v>
      </c>
      <c r="J6714" s="31">
        <v>60.776001000000001</v>
      </c>
      <c r="K6714" s="31">
        <v>-4.4840001999999997</v>
      </c>
      <c r="L6714" s="31"/>
      <c r="M6714" s="31" t="s">
        <v>854</v>
      </c>
      <c r="N6714" s="6" t="s">
        <v>856</v>
      </c>
    </row>
    <row r="6715" spans="1:14" ht="15" customHeight="1" x14ac:dyDescent="0.2">
      <c r="A6715" s="31">
        <v>0.14821844523895009</v>
      </c>
      <c r="B6715" s="31"/>
      <c r="C6715" s="2" t="s">
        <v>855</v>
      </c>
      <c r="D6715" s="31">
        <f t="shared" si="198"/>
        <v>2.9050815266834219E-2</v>
      </c>
      <c r="F6715" s="2" t="s">
        <v>822</v>
      </c>
      <c r="G6715" s="23" t="s">
        <v>902</v>
      </c>
      <c r="H6715" s="2" t="s">
        <v>822</v>
      </c>
      <c r="J6715" s="31">
        <v>62.779998800000001</v>
      </c>
      <c r="K6715" s="31">
        <v>-7.1560001</v>
      </c>
      <c r="L6715" s="31"/>
      <c r="M6715" s="31" t="s">
        <v>854</v>
      </c>
      <c r="N6715" s="6" t="s">
        <v>856</v>
      </c>
    </row>
    <row r="6716" spans="1:14" ht="15" customHeight="1" x14ac:dyDescent="0.2">
      <c r="A6716" s="31">
        <v>0.14816314540318359</v>
      </c>
      <c r="B6716" s="31"/>
      <c r="C6716" s="2" t="s">
        <v>855</v>
      </c>
      <c r="D6716" s="31">
        <f t="shared" si="198"/>
        <v>2.9039976499023984E-2</v>
      </c>
      <c r="F6716" s="2" t="s">
        <v>822</v>
      </c>
      <c r="G6716" s="23" t="s">
        <v>902</v>
      </c>
      <c r="H6716" s="2" t="s">
        <v>822</v>
      </c>
      <c r="J6716" s="31">
        <v>62.111999500000003</v>
      </c>
      <c r="K6716" s="31">
        <v>-39.888000499999997</v>
      </c>
      <c r="L6716" s="31"/>
      <c r="M6716" s="31" t="s">
        <v>854</v>
      </c>
      <c r="N6716" s="6" t="s">
        <v>856</v>
      </c>
    </row>
    <row r="6717" spans="1:14" ht="15" customHeight="1" x14ac:dyDescent="0.2">
      <c r="A6717" s="31">
        <v>0.1480347696006177</v>
      </c>
      <c r="B6717" s="31"/>
      <c r="C6717" s="2" t="s">
        <v>855</v>
      </c>
      <c r="D6717" s="31">
        <f t="shared" si="198"/>
        <v>2.9014814841721071E-2</v>
      </c>
      <c r="F6717" s="2" t="s">
        <v>822</v>
      </c>
      <c r="G6717" s="23" t="s">
        <v>902</v>
      </c>
      <c r="H6717" s="2" t="s">
        <v>822</v>
      </c>
      <c r="J6717" s="31">
        <v>54.763999900000002</v>
      </c>
      <c r="K6717" s="31">
        <v>-40.555999800000002</v>
      </c>
      <c r="L6717" s="31"/>
      <c r="M6717" s="31" t="s">
        <v>854</v>
      </c>
      <c r="N6717" s="6" t="s">
        <v>856</v>
      </c>
    </row>
    <row r="6718" spans="1:14" ht="15" customHeight="1" x14ac:dyDescent="0.2">
      <c r="A6718" s="31">
        <v>0.14803150638533849</v>
      </c>
      <c r="B6718" s="31"/>
      <c r="C6718" s="2" t="s">
        <v>855</v>
      </c>
      <c r="D6718" s="31">
        <f t="shared" si="198"/>
        <v>2.9014175251526345E-2</v>
      </c>
      <c r="F6718" s="2" t="s">
        <v>822</v>
      </c>
      <c r="G6718" s="23" t="s">
        <v>902</v>
      </c>
      <c r="H6718" s="2" t="s">
        <v>822</v>
      </c>
      <c r="J6718" s="31">
        <v>67.839798000000002</v>
      </c>
      <c r="K6718" s="31">
        <v>10.2658997</v>
      </c>
      <c r="L6718" s="31"/>
      <c r="M6718" s="31" t="s">
        <v>854</v>
      </c>
      <c r="N6718" s="6" t="s">
        <v>856</v>
      </c>
    </row>
    <row r="6719" spans="1:14" ht="15" customHeight="1" x14ac:dyDescent="0.2">
      <c r="A6719" s="31">
        <v>0.14800023217682309</v>
      </c>
      <c r="B6719" s="31"/>
      <c r="C6719" s="2" t="s">
        <v>855</v>
      </c>
      <c r="D6719" s="31">
        <f t="shared" si="198"/>
        <v>2.9008045506657327E-2</v>
      </c>
      <c r="F6719" s="2" t="s">
        <v>822</v>
      </c>
      <c r="G6719" s="23" t="s">
        <v>902</v>
      </c>
      <c r="H6719" s="2" t="s">
        <v>822</v>
      </c>
      <c r="J6719" s="31">
        <v>71.141601600000001</v>
      </c>
      <c r="K6719" s="31">
        <v>16.647800400000001</v>
      </c>
      <c r="L6719" s="31"/>
      <c r="M6719" s="31" t="s">
        <v>854</v>
      </c>
      <c r="N6719" s="6" t="s">
        <v>856</v>
      </c>
    </row>
    <row r="6720" spans="1:14" ht="15" customHeight="1" x14ac:dyDescent="0.2">
      <c r="A6720" s="31">
        <v>0.14755214739846451</v>
      </c>
      <c r="B6720" s="31"/>
      <c r="C6720" s="2" t="s">
        <v>855</v>
      </c>
      <c r="D6720" s="31">
        <f t="shared" ref="D6720:D6783" si="199" xml:space="preserve"> A6720 * 0.196</f>
        <v>2.8920220890099043E-2</v>
      </c>
      <c r="F6720" s="2" t="s">
        <v>822</v>
      </c>
      <c r="G6720" s="23" t="s">
        <v>902</v>
      </c>
      <c r="H6720" s="2" t="s">
        <v>822</v>
      </c>
      <c r="J6720" s="31">
        <v>63.008598300000003</v>
      </c>
      <c r="K6720" s="31">
        <v>-23.267200500000001</v>
      </c>
      <c r="L6720" s="31"/>
      <c r="M6720" s="31" t="s">
        <v>854</v>
      </c>
      <c r="N6720" s="6" t="s">
        <v>856</v>
      </c>
    </row>
    <row r="6721" spans="1:14" ht="15" customHeight="1" x14ac:dyDescent="0.2">
      <c r="A6721" s="31">
        <v>0.14743467726903139</v>
      </c>
      <c r="B6721" s="31"/>
      <c r="C6721" s="2" t="s">
        <v>855</v>
      </c>
      <c r="D6721" s="31">
        <f t="shared" si="199"/>
        <v>2.8897196744730156E-2</v>
      </c>
      <c r="F6721" s="2" t="s">
        <v>822</v>
      </c>
      <c r="G6721" s="23" t="s">
        <v>902</v>
      </c>
      <c r="H6721" s="2" t="s">
        <v>822</v>
      </c>
      <c r="J6721" s="31">
        <v>63.472400700000001</v>
      </c>
      <c r="K6721" s="31">
        <v>4.8424300999999996</v>
      </c>
      <c r="L6721" s="31"/>
      <c r="M6721" s="31" t="s">
        <v>854</v>
      </c>
      <c r="N6721" s="6" t="s">
        <v>856</v>
      </c>
    </row>
    <row r="6722" spans="1:14" ht="15" customHeight="1" x14ac:dyDescent="0.2">
      <c r="A6722" s="31">
        <v>0.14730326614228861</v>
      </c>
      <c r="B6722" s="31"/>
      <c r="C6722" s="2" t="s">
        <v>855</v>
      </c>
      <c r="D6722" s="31">
        <f t="shared" si="199"/>
        <v>2.8871440163888571E-2</v>
      </c>
      <c r="F6722" s="2" t="s">
        <v>822</v>
      </c>
      <c r="G6722" s="23" t="s">
        <v>902</v>
      </c>
      <c r="H6722" s="2" t="s">
        <v>822</v>
      </c>
      <c r="J6722" s="31">
        <v>67.882698099999999</v>
      </c>
      <c r="K6722" s="31">
        <v>10.9074001</v>
      </c>
      <c r="L6722" s="31"/>
      <c r="M6722" s="31" t="s">
        <v>854</v>
      </c>
      <c r="N6722" s="6" t="s">
        <v>856</v>
      </c>
    </row>
    <row r="6723" spans="1:14" ht="15" customHeight="1" x14ac:dyDescent="0.2">
      <c r="A6723" s="31">
        <v>0.14711944713994571</v>
      </c>
      <c r="B6723" s="31"/>
      <c r="C6723" s="2" t="s">
        <v>855</v>
      </c>
      <c r="D6723" s="31">
        <f t="shared" si="199"/>
        <v>2.8835411639429358E-2</v>
      </c>
      <c r="F6723" s="2" t="s">
        <v>822</v>
      </c>
      <c r="G6723" s="23" t="s">
        <v>902</v>
      </c>
      <c r="H6723" s="2" t="s">
        <v>822</v>
      </c>
      <c r="J6723" s="31">
        <v>56.768001599999998</v>
      </c>
      <c r="K6723" s="31">
        <v>-41.891998299999997</v>
      </c>
      <c r="L6723" s="31"/>
      <c r="M6723" s="31" t="s">
        <v>854</v>
      </c>
      <c r="N6723" s="6" t="s">
        <v>856</v>
      </c>
    </row>
    <row r="6724" spans="1:14" ht="15" customHeight="1" x14ac:dyDescent="0.2">
      <c r="A6724" s="31">
        <v>0.1469569487120535</v>
      </c>
      <c r="B6724" s="31"/>
      <c r="C6724" s="2" t="s">
        <v>855</v>
      </c>
      <c r="D6724" s="31">
        <f t="shared" si="199"/>
        <v>2.8803561947562489E-2</v>
      </c>
      <c r="F6724" s="2" t="s">
        <v>822</v>
      </c>
      <c r="G6724" s="23" t="s">
        <v>902</v>
      </c>
      <c r="H6724" s="2" t="s">
        <v>822</v>
      </c>
      <c r="J6724" s="31">
        <v>64.783996599999995</v>
      </c>
      <c r="K6724" s="31">
        <v>4.1999997999999996</v>
      </c>
      <c r="L6724" s="31"/>
      <c r="M6724" s="31" t="s">
        <v>854</v>
      </c>
      <c r="N6724" s="6" t="s">
        <v>856</v>
      </c>
    </row>
    <row r="6725" spans="1:14" ht="15" customHeight="1" x14ac:dyDescent="0.2">
      <c r="A6725" s="31">
        <v>0.14683334240946791</v>
      </c>
      <c r="B6725" s="31"/>
      <c r="C6725" s="2" t="s">
        <v>855</v>
      </c>
      <c r="D6725" s="31">
        <f t="shared" si="199"/>
        <v>2.8779335112255711E-2</v>
      </c>
      <c r="F6725" s="2" t="s">
        <v>822</v>
      </c>
      <c r="G6725" s="23" t="s">
        <v>902</v>
      </c>
      <c r="H6725" s="2" t="s">
        <v>822</v>
      </c>
      <c r="J6725" s="31">
        <v>62.111999500000003</v>
      </c>
      <c r="K6725" s="31">
        <v>-38.551998099999999</v>
      </c>
      <c r="L6725" s="31"/>
      <c r="M6725" s="31" t="s">
        <v>854</v>
      </c>
      <c r="N6725" s="6" t="s">
        <v>856</v>
      </c>
    </row>
    <row r="6726" spans="1:14" ht="15" customHeight="1" x14ac:dyDescent="0.2">
      <c r="A6726" s="31">
        <v>0.1466277424301056</v>
      </c>
      <c r="B6726" s="31"/>
      <c r="C6726" s="2" t="s">
        <v>855</v>
      </c>
      <c r="D6726" s="31">
        <f t="shared" si="199"/>
        <v>2.8739037516300699E-2</v>
      </c>
      <c r="F6726" s="2" t="s">
        <v>822</v>
      </c>
      <c r="G6726" s="23" t="s">
        <v>902</v>
      </c>
      <c r="H6726" s="2" t="s">
        <v>822</v>
      </c>
      <c r="J6726" s="31">
        <v>57.436000800000002</v>
      </c>
      <c r="K6726" s="31">
        <v>-37.215999600000004</v>
      </c>
      <c r="L6726" s="31"/>
      <c r="M6726" s="31" t="s">
        <v>854</v>
      </c>
      <c r="N6726" s="6" t="s">
        <v>856</v>
      </c>
    </row>
    <row r="6727" spans="1:14" ht="15" customHeight="1" x14ac:dyDescent="0.2">
      <c r="A6727" s="31">
        <v>0.14645438205639319</v>
      </c>
      <c r="B6727" s="31"/>
      <c r="C6727" s="2" t="s">
        <v>855</v>
      </c>
      <c r="D6727" s="31">
        <f t="shared" si="199"/>
        <v>2.8705058883053067E-2</v>
      </c>
      <c r="F6727" s="2" t="s">
        <v>822</v>
      </c>
      <c r="G6727" s="23" t="s">
        <v>902</v>
      </c>
      <c r="H6727" s="2" t="s">
        <v>822</v>
      </c>
      <c r="J6727" s="31">
        <v>65.228202800000005</v>
      </c>
      <c r="K6727" s="31">
        <v>-32.451999700000002</v>
      </c>
      <c r="L6727" s="31"/>
      <c r="M6727" s="31" t="s">
        <v>854</v>
      </c>
      <c r="N6727" s="6" t="s">
        <v>856</v>
      </c>
    </row>
    <row r="6728" spans="1:14" ht="15" customHeight="1" x14ac:dyDescent="0.2">
      <c r="A6728" s="31">
        <v>0.14632334494876831</v>
      </c>
      <c r="B6728" s="31"/>
      <c r="C6728" s="2" t="s">
        <v>855</v>
      </c>
      <c r="D6728" s="31">
        <f t="shared" si="199"/>
        <v>2.8679375609958591E-2</v>
      </c>
      <c r="F6728" s="2" t="s">
        <v>822</v>
      </c>
      <c r="G6728" s="23" t="s">
        <v>902</v>
      </c>
      <c r="H6728" s="2" t="s">
        <v>822</v>
      </c>
      <c r="J6728" s="31">
        <v>63.671298999999998</v>
      </c>
      <c r="K6728" s="31">
        <v>-35.100700400000001</v>
      </c>
      <c r="L6728" s="31"/>
      <c r="M6728" s="31" t="s">
        <v>854</v>
      </c>
      <c r="N6728" s="6" t="s">
        <v>856</v>
      </c>
    </row>
    <row r="6729" spans="1:14" ht="15" customHeight="1" x14ac:dyDescent="0.2">
      <c r="A6729" s="31">
        <v>0.1462064681611778</v>
      </c>
      <c r="B6729" s="31"/>
      <c r="C6729" s="2" t="s">
        <v>855</v>
      </c>
      <c r="D6729" s="31">
        <f t="shared" si="199"/>
        <v>2.865646775959085E-2</v>
      </c>
      <c r="F6729" s="2" t="s">
        <v>822</v>
      </c>
      <c r="G6729" s="23" t="s">
        <v>902</v>
      </c>
      <c r="H6729" s="2" t="s">
        <v>822</v>
      </c>
      <c r="J6729" s="31">
        <v>67.596603400000006</v>
      </c>
      <c r="K6729" s="31">
        <v>12.7687998</v>
      </c>
      <c r="L6729" s="31"/>
      <c r="M6729" s="31" t="s">
        <v>854</v>
      </c>
      <c r="N6729" s="6" t="s">
        <v>856</v>
      </c>
    </row>
    <row r="6730" spans="1:14" ht="15" customHeight="1" x14ac:dyDescent="0.2">
      <c r="A6730" s="31">
        <v>0.14614858153441271</v>
      </c>
      <c r="B6730" s="31"/>
      <c r="C6730" s="2" t="s">
        <v>855</v>
      </c>
      <c r="D6730" s="31">
        <f t="shared" si="199"/>
        <v>2.8645121980744891E-2</v>
      </c>
      <c r="F6730" s="2" t="s">
        <v>822</v>
      </c>
      <c r="G6730" s="23" t="s">
        <v>902</v>
      </c>
      <c r="H6730" s="2" t="s">
        <v>822</v>
      </c>
      <c r="J6730" s="31">
        <v>65.754898100000005</v>
      </c>
      <c r="K6730" s="31">
        <v>-27.887300499999998</v>
      </c>
      <c r="L6730" s="31"/>
      <c r="M6730" s="31" t="s">
        <v>854</v>
      </c>
      <c r="N6730" s="6" t="s">
        <v>856</v>
      </c>
    </row>
    <row r="6731" spans="1:14" ht="15" customHeight="1" x14ac:dyDescent="0.2">
      <c r="A6731" s="31">
        <v>0.14607998098691449</v>
      </c>
      <c r="B6731" s="31"/>
      <c r="C6731" s="2" t="s">
        <v>855</v>
      </c>
      <c r="D6731" s="31">
        <f t="shared" si="199"/>
        <v>2.8631676273435241E-2</v>
      </c>
      <c r="F6731" s="2" t="s">
        <v>822</v>
      </c>
      <c r="G6731" s="23" t="s">
        <v>902</v>
      </c>
      <c r="H6731" s="2" t="s">
        <v>822</v>
      </c>
      <c r="J6731" s="31">
        <v>56.768001599999998</v>
      </c>
      <c r="K6731" s="31">
        <v>-40.555999800000002</v>
      </c>
      <c r="L6731" s="31"/>
      <c r="M6731" s="31" t="s">
        <v>854</v>
      </c>
      <c r="N6731" s="6" t="s">
        <v>856</v>
      </c>
    </row>
    <row r="6732" spans="1:14" ht="15" customHeight="1" x14ac:dyDescent="0.2">
      <c r="A6732" s="31">
        <v>0.1458977142038963</v>
      </c>
      <c r="B6732" s="31"/>
      <c r="C6732" s="2" t="s">
        <v>855</v>
      </c>
      <c r="D6732" s="31">
        <f t="shared" si="199"/>
        <v>2.8595951983963676E-2</v>
      </c>
      <c r="F6732" s="2" t="s">
        <v>822</v>
      </c>
      <c r="G6732" s="23" t="s">
        <v>902</v>
      </c>
      <c r="H6732" s="2" t="s">
        <v>822</v>
      </c>
      <c r="J6732" s="31">
        <v>67.971603400000006</v>
      </c>
      <c r="K6732" s="31">
        <v>12.3937998</v>
      </c>
      <c r="L6732" s="31"/>
      <c r="M6732" s="31" t="s">
        <v>854</v>
      </c>
      <c r="N6732" s="6" t="s">
        <v>856</v>
      </c>
    </row>
    <row r="6733" spans="1:14" ht="15" customHeight="1" x14ac:dyDescent="0.2">
      <c r="A6733" s="31">
        <v>0.14585166946825931</v>
      </c>
      <c r="B6733" s="31"/>
      <c r="C6733" s="2" t="s">
        <v>855</v>
      </c>
      <c r="D6733" s="31">
        <f t="shared" si="199"/>
        <v>2.8586927215778827E-2</v>
      </c>
      <c r="F6733" s="2" t="s">
        <v>822</v>
      </c>
      <c r="G6733" s="23" t="s">
        <v>902</v>
      </c>
      <c r="H6733" s="2" t="s">
        <v>822</v>
      </c>
      <c r="J6733" s="31">
        <v>61.444000199999998</v>
      </c>
      <c r="K6733" s="31">
        <v>-5.1520000000000001</v>
      </c>
      <c r="L6733" s="31"/>
      <c r="M6733" s="31" t="s">
        <v>854</v>
      </c>
      <c r="N6733" s="6" t="s">
        <v>856</v>
      </c>
    </row>
    <row r="6734" spans="1:14" ht="15" customHeight="1" x14ac:dyDescent="0.2">
      <c r="A6734" s="31">
        <v>0.14585145458948101</v>
      </c>
      <c r="B6734" s="31"/>
      <c r="C6734" s="2" t="s">
        <v>855</v>
      </c>
      <c r="D6734" s="31">
        <f t="shared" si="199"/>
        <v>2.858688509953828E-2</v>
      </c>
      <c r="F6734" s="2" t="s">
        <v>822</v>
      </c>
      <c r="G6734" s="23" t="s">
        <v>902</v>
      </c>
      <c r="H6734" s="2" t="s">
        <v>822</v>
      </c>
      <c r="J6734" s="31">
        <v>63.008598300000003</v>
      </c>
      <c r="K6734" s="31">
        <v>4.1999997999999996</v>
      </c>
      <c r="L6734" s="31"/>
      <c r="M6734" s="31" t="s">
        <v>854</v>
      </c>
      <c r="N6734" s="6" t="s">
        <v>856</v>
      </c>
    </row>
    <row r="6735" spans="1:14" ht="15" customHeight="1" x14ac:dyDescent="0.2">
      <c r="A6735" s="31">
        <v>0.1455097937269775</v>
      </c>
      <c r="B6735" s="31"/>
      <c r="C6735" s="2" t="s">
        <v>855</v>
      </c>
      <c r="D6735" s="31">
        <f t="shared" si="199"/>
        <v>2.8519919570487592E-2</v>
      </c>
      <c r="F6735" s="2" t="s">
        <v>822</v>
      </c>
      <c r="G6735" s="23" t="s">
        <v>902</v>
      </c>
      <c r="H6735" s="2" t="s">
        <v>822</v>
      </c>
      <c r="J6735" s="31">
        <v>65.864502000000002</v>
      </c>
      <c r="K6735" s="31">
        <v>-31.051799800000001</v>
      </c>
      <c r="L6735" s="31"/>
      <c r="M6735" s="31" t="s">
        <v>854</v>
      </c>
      <c r="N6735" s="6" t="s">
        <v>856</v>
      </c>
    </row>
    <row r="6736" spans="1:14" ht="15" customHeight="1" x14ac:dyDescent="0.2">
      <c r="A6736" s="31">
        <v>0.1455074379945536</v>
      </c>
      <c r="B6736" s="31"/>
      <c r="C6736" s="2" t="s">
        <v>855</v>
      </c>
      <c r="D6736" s="31">
        <f t="shared" si="199"/>
        <v>2.8519457846932505E-2</v>
      </c>
      <c r="F6736" s="2" t="s">
        <v>822</v>
      </c>
      <c r="G6736" s="23" t="s">
        <v>902</v>
      </c>
      <c r="H6736" s="2" t="s">
        <v>822</v>
      </c>
      <c r="J6736" s="31">
        <v>67.637702899999994</v>
      </c>
      <c r="K6736" s="31">
        <v>8.7778702000000006</v>
      </c>
      <c r="L6736" s="31"/>
      <c r="M6736" s="31" t="s">
        <v>854</v>
      </c>
      <c r="N6736" s="6" t="s">
        <v>856</v>
      </c>
    </row>
    <row r="6737" spans="1:14" ht="15" customHeight="1" x14ac:dyDescent="0.2">
      <c r="A6737" s="31">
        <v>0.14539999096903919</v>
      </c>
      <c r="B6737" s="31"/>
      <c r="C6737" s="2" t="s">
        <v>855</v>
      </c>
      <c r="D6737" s="31">
        <f t="shared" si="199"/>
        <v>2.8498398229931683E-2</v>
      </c>
      <c r="F6737" s="2" t="s">
        <v>822</v>
      </c>
      <c r="G6737" s="23" t="s">
        <v>902</v>
      </c>
      <c r="H6737" s="2" t="s">
        <v>822</v>
      </c>
      <c r="J6737" s="31">
        <v>60.108001700000003</v>
      </c>
      <c r="K6737" s="31">
        <v>-29.867999999999999</v>
      </c>
      <c r="L6737" s="31"/>
      <c r="M6737" s="31" t="s">
        <v>854</v>
      </c>
      <c r="N6737" s="6" t="s">
        <v>856</v>
      </c>
    </row>
    <row r="6738" spans="1:14" ht="15" customHeight="1" x14ac:dyDescent="0.2">
      <c r="A6738" s="31">
        <v>0.1452589998176114</v>
      </c>
      <c r="B6738" s="31"/>
      <c r="C6738" s="2" t="s">
        <v>855</v>
      </c>
      <c r="D6738" s="31">
        <f t="shared" si="199"/>
        <v>2.8470763964251834E-2</v>
      </c>
      <c r="F6738" s="2" t="s">
        <v>822</v>
      </c>
      <c r="G6738" s="23" t="s">
        <v>902</v>
      </c>
      <c r="H6738" s="2" t="s">
        <v>822</v>
      </c>
      <c r="J6738" s="31">
        <v>64.812599199999994</v>
      </c>
      <c r="K6738" s="31">
        <v>10.8418999</v>
      </c>
      <c r="L6738" s="31"/>
      <c r="M6738" s="31" t="s">
        <v>854</v>
      </c>
      <c r="N6738" s="6" t="s">
        <v>856</v>
      </c>
    </row>
    <row r="6739" spans="1:14" ht="15" customHeight="1" x14ac:dyDescent="0.2">
      <c r="A6739" s="31">
        <v>0.14490628579218789</v>
      </c>
      <c r="B6739" s="31"/>
      <c r="C6739" s="2" t="s">
        <v>855</v>
      </c>
      <c r="D6739" s="31">
        <f t="shared" si="199"/>
        <v>2.8401632015268827E-2</v>
      </c>
      <c r="F6739" s="2" t="s">
        <v>822</v>
      </c>
      <c r="G6739" s="23" t="s">
        <v>902</v>
      </c>
      <c r="H6739" s="2" t="s">
        <v>822</v>
      </c>
      <c r="J6739" s="31">
        <v>66.207000699999995</v>
      </c>
      <c r="K6739" s="31">
        <v>-27.887300499999998</v>
      </c>
      <c r="L6739" s="31"/>
      <c r="M6739" s="31" t="s">
        <v>854</v>
      </c>
      <c r="N6739" s="6" t="s">
        <v>856</v>
      </c>
    </row>
    <row r="6740" spans="1:14" ht="15" customHeight="1" x14ac:dyDescent="0.2">
      <c r="A6740" s="31">
        <v>0.144468949053357</v>
      </c>
      <c r="B6740" s="31"/>
      <c r="C6740" s="2" t="s">
        <v>855</v>
      </c>
      <c r="D6740" s="31">
        <f t="shared" si="199"/>
        <v>2.8315914014457974E-2</v>
      </c>
      <c r="F6740" s="2" t="s">
        <v>822</v>
      </c>
      <c r="G6740" s="23" t="s">
        <v>902</v>
      </c>
      <c r="H6740" s="2" t="s">
        <v>822</v>
      </c>
      <c r="J6740" s="31">
        <v>60.668598199999998</v>
      </c>
      <c r="K6740" s="31">
        <v>-41.695800800000001</v>
      </c>
      <c r="L6740" s="31"/>
      <c r="M6740" s="31" t="s">
        <v>854</v>
      </c>
      <c r="N6740" s="6" t="s">
        <v>856</v>
      </c>
    </row>
    <row r="6741" spans="1:14" ht="15" customHeight="1" x14ac:dyDescent="0.2">
      <c r="A6741" s="31">
        <v>0.14436191482569091</v>
      </c>
      <c r="B6741" s="31"/>
      <c r="C6741" s="2" t="s">
        <v>855</v>
      </c>
      <c r="D6741" s="31">
        <f t="shared" si="199"/>
        <v>2.829493530583542E-2</v>
      </c>
      <c r="F6741" s="2" t="s">
        <v>822</v>
      </c>
      <c r="G6741" s="23" t="s">
        <v>902</v>
      </c>
      <c r="H6741" s="2" t="s">
        <v>822</v>
      </c>
      <c r="J6741" s="31">
        <v>71.463996899999998</v>
      </c>
      <c r="K6741" s="31">
        <v>13.552</v>
      </c>
      <c r="L6741" s="31"/>
      <c r="M6741" s="31" t="s">
        <v>854</v>
      </c>
      <c r="N6741" s="6" t="s">
        <v>856</v>
      </c>
    </row>
    <row r="6742" spans="1:14" ht="15" customHeight="1" x14ac:dyDescent="0.2">
      <c r="A6742" s="31">
        <v>0.14435253341651391</v>
      </c>
      <c r="B6742" s="31"/>
      <c r="C6742" s="2" t="s">
        <v>855</v>
      </c>
      <c r="D6742" s="31">
        <f t="shared" si="199"/>
        <v>2.8293096549636729E-2</v>
      </c>
      <c r="F6742" s="2" t="s">
        <v>822</v>
      </c>
      <c r="G6742" s="23" t="s">
        <v>902</v>
      </c>
      <c r="H6742" s="2" t="s">
        <v>822</v>
      </c>
      <c r="J6742" s="31">
        <v>56.768001599999998</v>
      </c>
      <c r="K6742" s="31">
        <v>-39.220001199999999</v>
      </c>
      <c r="L6742" s="31"/>
      <c r="M6742" s="31" t="s">
        <v>854</v>
      </c>
      <c r="N6742" s="6" t="s">
        <v>856</v>
      </c>
    </row>
    <row r="6743" spans="1:14" ht="15" customHeight="1" x14ac:dyDescent="0.2">
      <c r="A6743" s="31">
        <v>0.1442540441985499</v>
      </c>
      <c r="B6743" s="31"/>
      <c r="C6743" s="2" t="s">
        <v>855</v>
      </c>
      <c r="D6743" s="31">
        <f t="shared" si="199"/>
        <v>2.827379266291578E-2</v>
      </c>
      <c r="F6743" s="2" t="s">
        <v>822</v>
      </c>
      <c r="G6743" s="23" t="s">
        <v>902</v>
      </c>
      <c r="H6743" s="2" t="s">
        <v>822</v>
      </c>
      <c r="J6743" s="31">
        <v>64.783996599999995</v>
      </c>
      <c r="K6743" s="31">
        <v>-31.204000499999999</v>
      </c>
      <c r="L6743" s="31"/>
      <c r="M6743" s="31" t="s">
        <v>854</v>
      </c>
      <c r="N6743" s="6" t="s">
        <v>856</v>
      </c>
    </row>
    <row r="6744" spans="1:14" ht="15" customHeight="1" x14ac:dyDescent="0.2">
      <c r="A6744" s="31">
        <v>0.1441650448936192</v>
      </c>
      <c r="B6744" s="31"/>
      <c r="C6744" s="2" t="s">
        <v>855</v>
      </c>
      <c r="D6744" s="31">
        <f t="shared" si="199"/>
        <v>2.8256348799149365E-2</v>
      </c>
      <c r="F6744" s="2" t="s">
        <v>822</v>
      </c>
      <c r="G6744" s="23" t="s">
        <v>902</v>
      </c>
      <c r="H6744" s="2" t="s">
        <v>822</v>
      </c>
      <c r="J6744" s="31">
        <v>64.765296899999996</v>
      </c>
      <c r="K6744" s="31">
        <v>7.5524997999999997</v>
      </c>
      <c r="L6744" s="31"/>
      <c r="M6744" s="31" t="s">
        <v>854</v>
      </c>
      <c r="N6744" s="6" t="s">
        <v>856</v>
      </c>
    </row>
    <row r="6745" spans="1:14" ht="15" customHeight="1" x14ac:dyDescent="0.2">
      <c r="A6745" s="31">
        <v>0.1437715835643732</v>
      </c>
      <c r="B6745" s="31"/>
      <c r="C6745" s="2" t="s">
        <v>855</v>
      </c>
      <c r="D6745" s="31">
        <f t="shared" si="199"/>
        <v>2.8179230378617148E-2</v>
      </c>
      <c r="F6745" s="2" t="s">
        <v>822</v>
      </c>
      <c r="G6745" s="23" t="s">
        <v>902</v>
      </c>
      <c r="H6745" s="2" t="s">
        <v>822</v>
      </c>
      <c r="J6745" s="31">
        <v>62.779998800000001</v>
      </c>
      <c r="K6745" s="31">
        <v>-35.880001100000001</v>
      </c>
      <c r="L6745" s="31"/>
      <c r="M6745" s="31" t="s">
        <v>854</v>
      </c>
      <c r="N6745" s="6" t="s">
        <v>856</v>
      </c>
    </row>
    <row r="6746" spans="1:14" ht="15" customHeight="1" x14ac:dyDescent="0.2">
      <c r="A6746" s="31">
        <v>0.14346377472413521</v>
      </c>
      <c r="B6746" s="31"/>
      <c r="C6746" s="2" t="s">
        <v>855</v>
      </c>
      <c r="D6746" s="31">
        <f t="shared" si="199"/>
        <v>2.8118899845930502E-2</v>
      </c>
      <c r="F6746" s="2" t="s">
        <v>822</v>
      </c>
      <c r="G6746" s="23" t="s">
        <v>902</v>
      </c>
      <c r="H6746" s="2" t="s">
        <v>822</v>
      </c>
      <c r="J6746" s="31">
        <v>62.111999500000003</v>
      </c>
      <c r="K6746" s="31">
        <v>-35.880001100000001</v>
      </c>
      <c r="L6746" s="31"/>
      <c r="M6746" s="31" t="s">
        <v>854</v>
      </c>
      <c r="N6746" s="6" t="s">
        <v>856</v>
      </c>
    </row>
    <row r="6747" spans="1:14" ht="15" customHeight="1" x14ac:dyDescent="0.2">
      <c r="A6747" s="31">
        <v>0.1433408581684012</v>
      </c>
      <c r="B6747" s="31"/>
      <c r="C6747" s="2" t="s">
        <v>855</v>
      </c>
      <c r="D6747" s="31">
        <f t="shared" si="199"/>
        <v>2.8094808201006637E-2</v>
      </c>
      <c r="F6747" s="2" t="s">
        <v>822</v>
      </c>
      <c r="G6747" s="23" t="s">
        <v>902</v>
      </c>
      <c r="H6747" s="2" t="s">
        <v>822</v>
      </c>
      <c r="J6747" s="31">
        <v>61.925998700000001</v>
      </c>
      <c r="K6747" s="31">
        <v>-40.979900399999998</v>
      </c>
      <c r="L6747" s="31"/>
      <c r="M6747" s="31" t="s">
        <v>854</v>
      </c>
      <c r="N6747" s="6" t="s">
        <v>856</v>
      </c>
    </row>
    <row r="6748" spans="1:14" ht="15" customHeight="1" x14ac:dyDescent="0.2">
      <c r="A6748" s="31">
        <v>0.14333204994774679</v>
      </c>
      <c r="B6748" s="31"/>
      <c r="C6748" s="2" t="s">
        <v>855</v>
      </c>
      <c r="D6748" s="31">
        <f t="shared" si="199"/>
        <v>2.8093081789758372E-2</v>
      </c>
      <c r="F6748" s="2" t="s">
        <v>822</v>
      </c>
      <c r="G6748" s="23" t="s">
        <v>902</v>
      </c>
      <c r="H6748" s="2" t="s">
        <v>822</v>
      </c>
      <c r="J6748" s="31">
        <v>61.444000199999998</v>
      </c>
      <c r="K6748" s="31">
        <v>-33.875999499999999</v>
      </c>
      <c r="L6748" s="31"/>
      <c r="M6748" s="31" t="s">
        <v>854</v>
      </c>
      <c r="N6748" s="6" t="s">
        <v>856</v>
      </c>
    </row>
    <row r="6749" spans="1:14" ht="15" customHeight="1" x14ac:dyDescent="0.2">
      <c r="A6749" s="31">
        <v>0.14277469953990429</v>
      </c>
      <c r="B6749" s="31"/>
      <c r="C6749" s="2" t="s">
        <v>855</v>
      </c>
      <c r="D6749" s="31">
        <f t="shared" si="199"/>
        <v>2.7983841109821241E-2</v>
      </c>
      <c r="F6749" s="2" t="s">
        <v>822</v>
      </c>
      <c r="G6749" s="23" t="s">
        <v>902</v>
      </c>
      <c r="H6749" s="2" t="s">
        <v>822</v>
      </c>
      <c r="J6749" s="31">
        <v>52.759998299999999</v>
      </c>
      <c r="K6749" s="31">
        <v>-36.548000299999998</v>
      </c>
      <c r="L6749" s="31"/>
      <c r="M6749" s="31" t="s">
        <v>854</v>
      </c>
      <c r="N6749" s="6" t="s">
        <v>856</v>
      </c>
    </row>
    <row r="6750" spans="1:14" ht="15" customHeight="1" x14ac:dyDescent="0.2">
      <c r="A6750" s="31">
        <v>0.14272250363226199</v>
      </c>
      <c r="B6750" s="31"/>
      <c r="C6750" s="2" t="s">
        <v>855</v>
      </c>
      <c r="D6750" s="31">
        <f t="shared" si="199"/>
        <v>2.7973610711923353E-2</v>
      </c>
      <c r="F6750" s="2" t="s">
        <v>822</v>
      </c>
      <c r="G6750" s="23" t="s">
        <v>902</v>
      </c>
      <c r="H6750" s="2" t="s">
        <v>822</v>
      </c>
      <c r="J6750" s="31">
        <v>65.452003500000004</v>
      </c>
      <c r="K6750" s="31">
        <v>4.1999997999999996</v>
      </c>
      <c r="L6750" s="31"/>
      <c r="M6750" s="31" t="s">
        <v>854</v>
      </c>
      <c r="N6750" s="6" t="s">
        <v>856</v>
      </c>
    </row>
    <row r="6751" spans="1:14" ht="15" customHeight="1" x14ac:dyDescent="0.2">
      <c r="A6751" s="31">
        <v>0.14269240682226869</v>
      </c>
      <c r="B6751" s="31"/>
      <c r="C6751" s="2" t="s">
        <v>855</v>
      </c>
      <c r="D6751" s="31">
        <f t="shared" si="199"/>
        <v>2.7967711737164665E-2</v>
      </c>
      <c r="F6751" s="2" t="s">
        <v>822</v>
      </c>
      <c r="G6751" s="23" t="s">
        <v>902</v>
      </c>
      <c r="H6751" s="2" t="s">
        <v>822</v>
      </c>
      <c r="J6751" s="31">
        <v>62.779998800000001</v>
      </c>
      <c r="K6751" s="31">
        <v>-11.1639996</v>
      </c>
      <c r="L6751" s="31"/>
      <c r="M6751" s="31" t="s">
        <v>854</v>
      </c>
      <c r="N6751" s="6" t="s">
        <v>856</v>
      </c>
    </row>
    <row r="6752" spans="1:14" ht="15" customHeight="1" x14ac:dyDescent="0.2">
      <c r="A6752" s="31">
        <v>0.14253290108180819</v>
      </c>
      <c r="B6752" s="31"/>
      <c r="C6752" s="2" t="s">
        <v>855</v>
      </c>
      <c r="D6752" s="31">
        <f t="shared" si="199"/>
        <v>2.7936448612034405E-2</v>
      </c>
      <c r="F6752" s="2" t="s">
        <v>822</v>
      </c>
      <c r="G6752" s="23" t="s">
        <v>902</v>
      </c>
      <c r="H6752" s="2" t="s">
        <v>822</v>
      </c>
      <c r="J6752" s="31">
        <v>61.444000199999998</v>
      </c>
      <c r="K6752" s="31">
        <v>-2.48</v>
      </c>
      <c r="L6752" s="31"/>
      <c r="M6752" s="31" t="s">
        <v>854</v>
      </c>
      <c r="N6752" s="6" t="s">
        <v>856</v>
      </c>
    </row>
    <row r="6753" spans="1:14" ht="15" customHeight="1" x14ac:dyDescent="0.2">
      <c r="A6753" s="31">
        <v>0.14250260140664769</v>
      </c>
      <c r="B6753" s="31"/>
      <c r="C6753" s="2" t="s">
        <v>855</v>
      </c>
      <c r="D6753" s="31">
        <f t="shared" si="199"/>
        <v>2.793050987570295E-2</v>
      </c>
      <c r="F6753" s="2" t="s">
        <v>822</v>
      </c>
      <c r="G6753" s="23" t="s">
        <v>902</v>
      </c>
      <c r="H6753" s="2" t="s">
        <v>822</v>
      </c>
      <c r="J6753" s="31">
        <v>64.063400299999998</v>
      </c>
      <c r="K6753" s="31">
        <v>-36.538398700000002</v>
      </c>
      <c r="L6753" s="31"/>
      <c r="M6753" s="31" t="s">
        <v>854</v>
      </c>
      <c r="N6753" s="6" t="s">
        <v>856</v>
      </c>
    </row>
    <row r="6754" spans="1:14" ht="15" customHeight="1" x14ac:dyDescent="0.2">
      <c r="A6754" s="31">
        <v>0.1422240389043713</v>
      </c>
      <c r="B6754" s="31"/>
      <c r="C6754" s="2" t="s">
        <v>855</v>
      </c>
      <c r="D6754" s="31">
        <f t="shared" si="199"/>
        <v>2.7875911625256777E-2</v>
      </c>
      <c r="F6754" s="2" t="s">
        <v>822</v>
      </c>
      <c r="G6754" s="23" t="s">
        <v>902</v>
      </c>
      <c r="H6754" s="2" t="s">
        <v>822</v>
      </c>
      <c r="J6754" s="31">
        <v>63.448001900000001</v>
      </c>
      <c r="K6754" s="31">
        <v>1.528</v>
      </c>
      <c r="L6754" s="31"/>
      <c r="M6754" s="31" t="s">
        <v>854</v>
      </c>
      <c r="N6754" s="6" t="s">
        <v>856</v>
      </c>
    </row>
    <row r="6755" spans="1:14" ht="15" customHeight="1" x14ac:dyDescent="0.2">
      <c r="A6755" s="31">
        <v>0.14194249061901959</v>
      </c>
      <c r="B6755" s="31"/>
      <c r="C6755" s="2" t="s">
        <v>855</v>
      </c>
      <c r="D6755" s="31">
        <f t="shared" si="199"/>
        <v>2.7820728161327839E-2</v>
      </c>
      <c r="F6755" s="2" t="s">
        <v>822</v>
      </c>
      <c r="G6755" s="23" t="s">
        <v>902</v>
      </c>
      <c r="H6755" s="2" t="s">
        <v>822</v>
      </c>
      <c r="J6755" s="31">
        <v>60.776001000000001</v>
      </c>
      <c r="K6755" s="31">
        <v>-8.4919995999999998</v>
      </c>
      <c r="L6755" s="31"/>
      <c r="M6755" s="31" t="s">
        <v>854</v>
      </c>
      <c r="N6755" s="6" t="s">
        <v>856</v>
      </c>
    </row>
    <row r="6756" spans="1:14" ht="15" customHeight="1" x14ac:dyDescent="0.2">
      <c r="A6756" s="31">
        <v>0.14189685209759201</v>
      </c>
      <c r="B6756" s="31"/>
      <c r="C6756" s="2" t="s">
        <v>855</v>
      </c>
      <c r="D6756" s="31">
        <f t="shared" si="199"/>
        <v>2.7811783011128036E-2</v>
      </c>
      <c r="F6756" s="2" t="s">
        <v>822</v>
      </c>
      <c r="G6756" s="23" t="s">
        <v>902</v>
      </c>
      <c r="H6756" s="2" t="s">
        <v>822</v>
      </c>
      <c r="J6756" s="31">
        <v>67.514297499999998</v>
      </c>
      <c r="K6756" s="31">
        <v>8.4173498000000002</v>
      </c>
      <c r="L6756" s="31"/>
      <c r="M6756" s="31" t="s">
        <v>854</v>
      </c>
      <c r="N6756" s="6" t="s">
        <v>856</v>
      </c>
    </row>
    <row r="6757" spans="1:14" ht="15" customHeight="1" x14ac:dyDescent="0.2">
      <c r="A6757" s="31">
        <v>0.14160877824491669</v>
      </c>
      <c r="B6757" s="31"/>
      <c r="C6757" s="2" t="s">
        <v>855</v>
      </c>
      <c r="D6757" s="31">
        <f t="shared" si="199"/>
        <v>2.7755320536003672E-2</v>
      </c>
      <c r="F6757" s="2" t="s">
        <v>822</v>
      </c>
      <c r="G6757" s="23" t="s">
        <v>902</v>
      </c>
      <c r="H6757" s="2" t="s">
        <v>822</v>
      </c>
      <c r="J6757" s="31">
        <v>60.108001700000003</v>
      </c>
      <c r="K6757" s="31">
        <v>-35.212001800000003</v>
      </c>
      <c r="L6757" s="31"/>
      <c r="M6757" s="31" t="s">
        <v>854</v>
      </c>
      <c r="N6757" s="6" t="s">
        <v>856</v>
      </c>
    </row>
    <row r="6758" spans="1:14" ht="15" customHeight="1" x14ac:dyDescent="0.2">
      <c r="A6758" s="31">
        <v>0.1415657025450959</v>
      </c>
      <c r="B6758" s="31"/>
      <c r="C6758" s="2" t="s">
        <v>855</v>
      </c>
      <c r="D6758" s="31">
        <f t="shared" si="199"/>
        <v>2.7746877698838799E-2</v>
      </c>
      <c r="F6758" s="2" t="s">
        <v>822</v>
      </c>
      <c r="G6758" s="23" t="s">
        <v>902</v>
      </c>
      <c r="H6758" s="2" t="s">
        <v>822</v>
      </c>
      <c r="J6758" s="31">
        <v>58.1040001</v>
      </c>
      <c r="K6758" s="31">
        <v>-40.555999800000002</v>
      </c>
      <c r="L6758" s="31"/>
      <c r="M6758" s="31" t="s">
        <v>854</v>
      </c>
      <c r="N6758" s="6" t="s">
        <v>856</v>
      </c>
    </row>
    <row r="6759" spans="1:14" ht="15" customHeight="1" x14ac:dyDescent="0.2">
      <c r="A6759" s="31">
        <v>0.14152593385510309</v>
      </c>
      <c r="B6759" s="31"/>
      <c r="C6759" s="2" t="s">
        <v>855</v>
      </c>
      <c r="D6759" s="31">
        <f t="shared" si="199"/>
        <v>2.7739083035600208E-2</v>
      </c>
      <c r="F6759" s="2" t="s">
        <v>822</v>
      </c>
      <c r="G6759" s="23" t="s">
        <v>902</v>
      </c>
      <c r="H6759" s="2" t="s">
        <v>822</v>
      </c>
      <c r="J6759" s="31">
        <v>58.1040001</v>
      </c>
      <c r="K6759" s="31">
        <v>-37.883998900000002</v>
      </c>
      <c r="L6759" s="31"/>
      <c r="M6759" s="31" t="s">
        <v>854</v>
      </c>
      <c r="N6759" s="6" t="s">
        <v>856</v>
      </c>
    </row>
    <row r="6760" spans="1:14" ht="15" customHeight="1" x14ac:dyDescent="0.2">
      <c r="A6760" s="31">
        <v>0.14108969105694491</v>
      </c>
      <c r="B6760" s="31"/>
      <c r="C6760" s="2" t="s">
        <v>855</v>
      </c>
      <c r="D6760" s="31">
        <f t="shared" si="199"/>
        <v>2.7653579447161205E-2</v>
      </c>
      <c r="F6760" s="2" t="s">
        <v>822</v>
      </c>
      <c r="G6760" s="23" t="s">
        <v>902</v>
      </c>
      <c r="H6760" s="2" t="s">
        <v>822</v>
      </c>
      <c r="J6760" s="31">
        <v>66.553596499999998</v>
      </c>
      <c r="K6760" s="31">
        <v>-23.856000900000002</v>
      </c>
      <c r="L6760" s="31"/>
      <c r="M6760" s="31" t="s">
        <v>854</v>
      </c>
      <c r="N6760" s="6" t="s">
        <v>856</v>
      </c>
    </row>
    <row r="6761" spans="1:14" ht="15" customHeight="1" x14ac:dyDescent="0.2">
      <c r="A6761" s="31">
        <v>0.14088440591814491</v>
      </c>
      <c r="B6761" s="31"/>
      <c r="C6761" s="2" t="s">
        <v>855</v>
      </c>
      <c r="D6761" s="31">
        <f t="shared" si="199"/>
        <v>2.7613343559956403E-2</v>
      </c>
      <c r="F6761" s="2" t="s">
        <v>822</v>
      </c>
      <c r="G6761" s="23" t="s">
        <v>902</v>
      </c>
      <c r="H6761" s="2" t="s">
        <v>822</v>
      </c>
      <c r="J6761" s="31">
        <v>66.529800399999999</v>
      </c>
      <c r="K6761" s="31">
        <v>-28.505399700000002</v>
      </c>
      <c r="L6761" s="31"/>
      <c r="M6761" s="31" t="s">
        <v>854</v>
      </c>
      <c r="N6761" s="6" t="s">
        <v>856</v>
      </c>
    </row>
    <row r="6762" spans="1:14" ht="15" customHeight="1" x14ac:dyDescent="0.2">
      <c r="A6762" s="31">
        <v>0.14086865169188459</v>
      </c>
      <c r="B6762" s="31"/>
      <c r="C6762" s="2" t="s">
        <v>855</v>
      </c>
      <c r="D6762" s="31">
        <f t="shared" si="199"/>
        <v>2.7610255731609381E-2</v>
      </c>
      <c r="F6762" s="2" t="s">
        <v>822</v>
      </c>
      <c r="G6762" s="23" t="s">
        <v>902</v>
      </c>
      <c r="H6762" s="2" t="s">
        <v>822</v>
      </c>
      <c r="J6762" s="31">
        <v>57.436000800000002</v>
      </c>
      <c r="K6762" s="31">
        <v>-41.223998999999999</v>
      </c>
      <c r="L6762" s="31"/>
      <c r="M6762" s="31" t="s">
        <v>854</v>
      </c>
      <c r="N6762" s="6" t="s">
        <v>856</v>
      </c>
    </row>
    <row r="6763" spans="1:14" ht="15" customHeight="1" x14ac:dyDescent="0.2">
      <c r="A6763" s="31">
        <v>0.14068626231110071</v>
      </c>
      <c r="B6763" s="31"/>
      <c r="C6763" s="2" t="s">
        <v>855</v>
      </c>
      <c r="D6763" s="31">
        <f t="shared" si="199"/>
        <v>2.7574507412975739E-2</v>
      </c>
      <c r="F6763" s="2" t="s">
        <v>822</v>
      </c>
      <c r="G6763" s="23" t="s">
        <v>902</v>
      </c>
      <c r="H6763" s="2" t="s">
        <v>822</v>
      </c>
      <c r="J6763" s="31">
        <v>65.340202300000001</v>
      </c>
      <c r="K6763" s="31">
        <v>-26.453899400000001</v>
      </c>
      <c r="L6763" s="31"/>
      <c r="M6763" s="31" t="s">
        <v>854</v>
      </c>
      <c r="N6763" s="6" t="s">
        <v>856</v>
      </c>
    </row>
    <row r="6764" spans="1:14" ht="15" customHeight="1" x14ac:dyDescent="0.2">
      <c r="A6764" s="31">
        <v>0.140492454662243</v>
      </c>
      <c r="B6764" s="31"/>
      <c r="C6764" s="2" t="s">
        <v>855</v>
      </c>
      <c r="D6764" s="31">
        <f t="shared" si="199"/>
        <v>2.7536521113799627E-2</v>
      </c>
      <c r="F6764" s="2" t="s">
        <v>822</v>
      </c>
      <c r="G6764" s="23" t="s">
        <v>902</v>
      </c>
      <c r="H6764" s="2" t="s">
        <v>822</v>
      </c>
      <c r="J6764" s="31">
        <v>60.7793007</v>
      </c>
      <c r="K6764" s="31">
        <v>-3.8206400999999999</v>
      </c>
      <c r="L6764" s="31"/>
      <c r="M6764" s="31" t="s">
        <v>854</v>
      </c>
      <c r="N6764" s="6" t="s">
        <v>856</v>
      </c>
    </row>
    <row r="6765" spans="1:14" ht="15" customHeight="1" x14ac:dyDescent="0.2">
      <c r="A6765" s="31">
        <v>0.14038542029929099</v>
      </c>
      <c r="B6765" s="31"/>
      <c r="C6765" s="2" t="s">
        <v>855</v>
      </c>
      <c r="D6765" s="31">
        <f t="shared" si="199"/>
        <v>2.7515542378661037E-2</v>
      </c>
      <c r="F6765" s="2" t="s">
        <v>822</v>
      </c>
      <c r="G6765" s="23" t="s">
        <v>902</v>
      </c>
      <c r="H6765" s="2" t="s">
        <v>822</v>
      </c>
      <c r="J6765" s="31">
        <v>54.096000699999998</v>
      </c>
      <c r="K6765" s="31">
        <v>-38.551998099999999</v>
      </c>
      <c r="L6765" s="31"/>
      <c r="M6765" s="31" t="s">
        <v>854</v>
      </c>
      <c r="N6765" s="6" t="s">
        <v>856</v>
      </c>
    </row>
    <row r="6766" spans="1:14" ht="15" customHeight="1" x14ac:dyDescent="0.2">
      <c r="A6766" s="31">
        <v>0.14010247890396341</v>
      </c>
      <c r="B6766" s="31"/>
      <c r="C6766" s="2" t="s">
        <v>855</v>
      </c>
      <c r="D6766" s="31">
        <f t="shared" si="199"/>
        <v>2.7460085865176828E-2</v>
      </c>
      <c r="F6766" s="2" t="s">
        <v>822</v>
      </c>
      <c r="G6766" s="23" t="s">
        <v>902</v>
      </c>
      <c r="H6766" s="2" t="s">
        <v>822</v>
      </c>
      <c r="J6766" s="31">
        <v>62.111999500000003</v>
      </c>
      <c r="K6766" s="31">
        <v>-35.212001800000003</v>
      </c>
      <c r="L6766" s="31"/>
      <c r="M6766" s="31" t="s">
        <v>854</v>
      </c>
      <c r="N6766" s="6" t="s">
        <v>856</v>
      </c>
    </row>
    <row r="6767" spans="1:14" ht="15" customHeight="1" x14ac:dyDescent="0.2">
      <c r="A6767" s="31">
        <v>0.14001840000149421</v>
      </c>
      <c r="B6767" s="31"/>
      <c r="C6767" s="2" t="s">
        <v>855</v>
      </c>
      <c r="D6767" s="31">
        <f t="shared" si="199"/>
        <v>2.7443606400292867E-2</v>
      </c>
      <c r="F6767" s="2" t="s">
        <v>822</v>
      </c>
      <c r="G6767" s="23" t="s">
        <v>902</v>
      </c>
      <c r="H6767" s="2" t="s">
        <v>822</v>
      </c>
      <c r="J6767" s="31">
        <v>66.120002700000001</v>
      </c>
      <c r="K6767" s="31">
        <v>-28.531999599999999</v>
      </c>
      <c r="L6767" s="31"/>
      <c r="M6767" s="31" t="s">
        <v>854</v>
      </c>
      <c r="N6767" s="6" t="s">
        <v>856</v>
      </c>
    </row>
    <row r="6768" spans="1:14" ht="15" customHeight="1" x14ac:dyDescent="0.2">
      <c r="A6768" s="31">
        <v>0.1398548523185601</v>
      </c>
      <c r="B6768" s="31"/>
      <c r="C6768" s="2" t="s">
        <v>855</v>
      </c>
      <c r="D6768" s="31">
        <f t="shared" si="199"/>
        <v>2.741155105443778E-2</v>
      </c>
      <c r="F6768" s="2" t="s">
        <v>822</v>
      </c>
      <c r="G6768" s="23" t="s">
        <v>902</v>
      </c>
      <c r="H6768" s="2" t="s">
        <v>822</v>
      </c>
      <c r="J6768" s="31">
        <v>58.771999399999999</v>
      </c>
      <c r="K6768" s="31">
        <v>-42.560001399999997</v>
      </c>
      <c r="L6768" s="31"/>
      <c r="M6768" s="31" t="s">
        <v>854</v>
      </c>
      <c r="N6768" s="6" t="s">
        <v>856</v>
      </c>
    </row>
    <row r="6769" spans="1:14" ht="15" customHeight="1" x14ac:dyDescent="0.2">
      <c r="A6769" s="31">
        <v>0.13967725443224591</v>
      </c>
      <c r="B6769" s="31"/>
      <c r="C6769" s="2" t="s">
        <v>855</v>
      </c>
      <c r="D6769" s="31">
        <f t="shared" si="199"/>
        <v>2.73767418687202E-2</v>
      </c>
      <c r="F6769" s="2" t="s">
        <v>822</v>
      </c>
      <c r="G6769" s="23" t="s">
        <v>902</v>
      </c>
      <c r="H6769" s="2" t="s">
        <v>822</v>
      </c>
      <c r="J6769" s="31">
        <v>57.436000800000002</v>
      </c>
      <c r="K6769" s="31">
        <v>-33.875999499999999</v>
      </c>
      <c r="L6769" s="31"/>
      <c r="M6769" s="31" t="s">
        <v>854</v>
      </c>
      <c r="N6769" s="6" t="s">
        <v>856</v>
      </c>
    </row>
    <row r="6770" spans="1:14" ht="15" customHeight="1" x14ac:dyDescent="0.2">
      <c r="A6770" s="31">
        <v>0.13967559113167979</v>
      </c>
      <c r="B6770" s="31"/>
      <c r="C6770" s="2" t="s">
        <v>855</v>
      </c>
      <c r="D6770" s="31">
        <f t="shared" si="199"/>
        <v>2.737641586180924E-2</v>
      </c>
      <c r="F6770" s="2" t="s">
        <v>822</v>
      </c>
      <c r="G6770" s="23" t="s">
        <v>902</v>
      </c>
      <c r="H6770" s="2" t="s">
        <v>822</v>
      </c>
      <c r="J6770" s="31">
        <v>66.120002700000001</v>
      </c>
      <c r="K6770" s="31">
        <v>3.5320000999999999</v>
      </c>
      <c r="L6770" s="31"/>
      <c r="M6770" s="31" t="s">
        <v>854</v>
      </c>
      <c r="N6770" s="6" t="s">
        <v>856</v>
      </c>
    </row>
    <row r="6771" spans="1:14" ht="15" customHeight="1" x14ac:dyDescent="0.2">
      <c r="A6771" s="31">
        <v>0.13962934984920769</v>
      </c>
      <c r="B6771" s="31"/>
      <c r="C6771" s="2" t="s">
        <v>855</v>
      </c>
      <c r="D6771" s="31">
        <f t="shared" si="199"/>
        <v>2.736735257044471E-2</v>
      </c>
      <c r="F6771" s="2" t="s">
        <v>822</v>
      </c>
      <c r="G6771" s="23" t="s">
        <v>902</v>
      </c>
      <c r="H6771" s="2" t="s">
        <v>822</v>
      </c>
      <c r="J6771" s="31">
        <v>62.129100800000003</v>
      </c>
      <c r="K6771" s="31">
        <v>1.5110399999999999</v>
      </c>
      <c r="L6771" s="31"/>
      <c r="M6771" s="31" t="s">
        <v>854</v>
      </c>
      <c r="N6771" s="6" t="s">
        <v>856</v>
      </c>
    </row>
    <row r="6772" spans="1:14" ht="15" customHeight="1" x14ac:dyDescent="0.2">
      <c r="A6772" s="31">
        <v>0.13936757580944839</v>
      </c>
      <c r="B6772" s="31"/>
      <c r="C6772" s="2" t="s">
        <v>855</v>
      </c>
      <c r="D6772" s="31">
        <f t="shared" si="199"/>
        <v>2.7316044858651887E-2</v>
      </c>
      <c r="F6772" s="2" t="s">
        <v>822</v>
      </c>
      <c r="G6772" s="23" t="s">
        <v>902</v>
      </c>
      <c r="H6772" s="2" t="s">
        <v>822</v>
      </c>
      <c r="J6772" s="31">
        <v>65.763099699999998</v>
      </c>
      <c r="K6772" s="31">
        <v>-18.179000899999998</v>
      </c>
      <c r="L6772" s="31"/>
      <c r="M6772" s="31" t="s">
        <v>854</v>
      </c>
      <c r="N6772" s="6" t="s">
        <v>856</v>
      </c>
    </row>
    <row r="6773" spans="1:14" ht="15" customHeight="1" x14ac:dyDescent="0.2">
      <c r="A6773" s="31">
        <v>0.13934200246741521</v>
      </c>
      <c r="B6773" s="31"/>
      <c r="C6773" s="2" t="s">
        <v>855</v>
      </c>
      <c r="D6773" s="31">
        <f t="shared" si="199"/>
        <v>2.7311032483613381E-2</v>
      </c>
      <c r="F6773" s="2" t="s">
        <v>822</v>
      </c>
      <c r="G6773" s="23" t="s">
        <v>902</v>
      </c>
      <c r="H6773" s="2" t="s">
        <v>822</v>
      </c>
      <c r="J6773" s="31">
        <v>63.448001900000001</v>
      </c>
      <c r="K6773" s="31">
        <v>-37.215999600000004</v>
      </c>
      <c r="L6773" s="31"/>
      <c r="M6773" s="31" t="s">
        <v>854</v>
      </c>
      <c r="N6773" s="6" t="s">
        <v>856</v>
      </c>
    </row>
    <row r="6774" spans="1:14" ht="15" customHeight="1" x14ac:dyDescent="0.2">
      <c r="A6774" s="31">
        <v>0.13921896170188061</v>
      </c>
      <c r="B6774" s="31"/>
      <c r="C6774" s="2" t="s">
        <v>855</v>
      </c>
      <c r="D6774" s="31">
        <f t="shared" si="199"/>
        <v>2.7286916493568601E-2</v>
      </c>
      <c r="F6774" s="2" t="s">
        <v>822</v>
      </c>
      <c r="G6774" s="23" t="s">
        <v>902</v>
      </c>
      <c r="H6774" s="2" t="s">
        <v>822</v>
      </c>
      <c r="J6774" s="31">
        <v>62.779998800000001</v>
      </c>
      <c r="K6774" s="31">
        <v>1.528</v>
      </c>
      <c r="L6774" s="31"/>
      <c r="M6774" s="31" t="s">
        <v>854</v>
      </c>
      <c r="N6774" s="6" t="s">
        <v>856</v>
      </c>
    </row>
    <row r="6775" spans="1:14" ht="15" customHeight="1" x14ac:dyDescent="0.2">
      <c r="A6775" s="31">
        <v>0.13893952051069619</v>
      </c>
      <c r="B6775" s="31"/>
      <c r="C6775" s="2" t="s">
        <v>855</v>
      </c>
      <c r="D6775" s="31">
        <f t="shared" si="199"/>
        <v>2.7232146020096454E-2</v>
      </c>
      <c r="F6775" s="2" t="s">
        <v>822</v>
      </c>
      <c r="G6775" s="23" t="s">
        <v>902</v>
      </c>
      <c r="H6775" s="2" t="s">
        <v>822</v>
      </c>
      <c r="J6775" s="31">
        <v>60.776001000000001</v>
      </c>
      <c r="K6775" s="31">
        <v>-36.548000299999998</v>
      </c>
      <c r="L6775" s="31"/>
      <c r="M6775" s="31" t="s">
        <v>854</v>
      </c>
      <c r="N6775" s="6" t="s">
        <v>856</v>
      </c>
    </row>
    <row r="6776" spans="1:14" ht="15" customHeight="1" x14ac:dyDescent="0.2">
      <c r="A6776" s="31">
        <v>0.13892504586678209</v>
      </c>
      <c r="B6776" s="31"/>
      <c r="C6776" s="2" t="s">
        <v>855</v>
      </c>
      <c r="D6776" s="31">
        <f t="shared" si="199"/>
        <v>2.7229308989889289E-2</v>
      </c>
      <c r="F6776" s="2" t="s">
        <v>822</v>
      </c>
      <c r="G6776" s="23" t="s">
        <v>902</v>
      </c>
      <c r="H6776" s="2" t="s">
        <v>822</v>
      </c>
      <c r="J6776" s="31">
        <v>65.4496994</v>
      </c>
      <c r="K6776" s="31">
        <v>-27.863800000000001</v>
      </c>
      <c r="L6776" s="31"/>
      <c r="M6776" s="31" t="s">
        <v>854</v>
      </c>
      <c r="N6776" s="6" t="s">
        <v>856</v>
      </c>
    </row>
    <row r="6777" spans="1:14" ht="15" customHeight="1" x14ac:dyDescent="0.2">
      <c r="A6777" s="31">
        <v>0.1388912875954412</v>
      </c>
      <c r="B6777" s="31"/>
      <c r="C6777" s="2" t="s">
        <v>855</v>
      </c>
      <c r="D6777" s="31">
        <f t="shared" si="199"/>
        <v>2.7222692368706475E-2</v>
      </c>
      <c r="F6777" s="2" t="s">
        <v>822</v>
      </c>
      <c r="G6777" s="23" t="s">
        <v>902</v>
      </c>
      <c r="H6777" s="2" t="s">
        <v>822</v>
      </c>
      <c r="J6777" s="31">
        <v>63.966598500000003</v>
      </c>
      <c r="K6777" s="31">
        <v>-37.869300799999998</v>
      </c>
      <c r="L6777" s="31"/>
      <c r="M6777" s="31" t="s">
        <v>854</v>
      </c>
      <c r="N6777" s="6" t="s">
        <v>856</v>
      </c>
    </row>
    <row r="6778" spans="1:14" ht="15" customHeight="1" x14ac:dyDescent="0.2">
      <c r="A6778" s="31">
        <v>0.13884722186455289</v>
      </c>
      <c r="B6778" s="31"/>
      <c r="C6778" s="2" t="s">
        <v>855</v>
      </c>
      <c r="D6778" s="31">
        <f t="shared" si="199"/>
        <v>2.7214055485452367E-2</v>
      </c>
      <c r="F6778" s="2" t="s">
        <v>822</v>
      </c>
      <c r="G6778" s="23" t="s">
        <v>902</v>
      </c>
      <c r="H6778" s="2" t="s">
        <v>822</v>
      </c>
      <c r="J6778" s="31">
        <v>64.115997300000004</v>
      </c>
      <c r="K6778" s="31">
        <v>8.2080002000000007</v>
      </c>
      <c r="L6778" s="31"/>
      <c r="M6778" s="31" t="s">
        <v>854</v>
      </c>
      <c r="N6778" s="6" t="s">
        <v>856</v>
      </c>
    </row>
    <row r="6779" spans="1:14" ht="15" customHeight="1" x14ac:dyDescent="0.2">
      <c r="A6779" s="31">
        <v>0.13856167113728671</v>
      </c>
      <c r="B6779" s="31"/>
      <c r="C6779" s="2" t="s">
        <v>855</v>
      </c>
      <c r="D6779" s="31">
        <f t="shared" si="199"/>
        <v>2.7158087542908195E-2</v>
      </c>
      <c r="F6779" s="2" t="s">
        <v>822</v>
      </c>
      <c r="G6779" s="23" t="s">
        <v>902</v>
      </c>
      <c r="H6779" s="2" t="s">
        <v>822</v>
      </c>
      <c r="J6779" s="31">
        <v>62.779998800000001</v>
      </c>
      <c r="K6779" s="31">
        <v>-8.4919995999999998</v>
      </c>
      <c r="L6779" s="31"/>
      <c r="M6779" s="31" t="s">
        <v>854</v>
      </c>
      <c r="N6779" s="6" t="s">
        <v>856</v>
      </c>
    </row>
    <row r="6780" spans="1:14" ht="15" customHeight="1" x14ac:dyDescent="0.2">
      <c r="A6780" s="31">
        <v>0.138492071729201</v>
      </c>
      <c r="B6780" s="31"/>
      <c r="C6780" s="2" t="s">
        <v>855</v>
      </c>
      <c r="D6780" s="31">
        <f t="shared" si="199"/>
        <v>2.7144446058923397E-2</v>
      </c>
      <c r="F6780" s="2" t="s">
        <v>822</v>
      </c>
      <c r="G6780" s="23" t="s">
        <v>902</v>
      </c>
      <c r="H6780" s="2" t="s">
        <v>822</v>
      </c>
      <c r="J6780" s="31">
        <v>67.444801299999995</v>
      </c>
      <c r="K6780" s="31">
        <v>8.16784</v>
      </c>
      <c r="L6780" s="31"/>
      <c r="M6780" s="31" t="s">
        <v>854</v>
      </c>
      <c r="N6780" s="6" t="s">
        <v>856</v>
      </c>
    </row>
    <row r="6781" spans="1:14" ht="15" customHeight="1" x14ac:dyDescent="0.2">
      <c r="A6781" s="31">
        <v>0.13849129384429951</v>
      </c>
      <c r="B6781" s="31"/>
      <c r="C6781" s="2" t="s">
        <v>855</v>
      </c>
      <c r="D6781" s="31">
        <f t="shared" si="199"/>
        <v>2.7144293593482704E-2</v>
      </c>
      <c r="F6781" s="2" t="s">
        <v>822</v>
      </c>
      <c r="G6781" s="23" t="s">
        <v>902</v>
      </c>
      <c r="H6781" s="2" t="s">
        <v>822</v>
      </c>
      <c r="J6781" s="31">
        <v>60.776001000000001</v>
      </c>
      <c r="K6781" s="31">
        <v>-38.551998099999999</v>
      </c>
      <c r="L6781" s="31"/>
      <c r="M6781" s="31" t="s">
        <v>854</v>
      </c>
      <c r="N6781" s="6" t="s">
        <v>856</v>
      </c>
    </row>
    <row r="6782" spans="1:14" ht="15" customHeight="1" x14ac:dyDescent="0.2">
      <c r="A6782" s="31">
        <v>0.13817756401802431</v>
      </c>
      <c r="B6782" s="31"/>
      <c r="C6782" s="2" t="s">
        <v>855</v>
      </c>
      <c r="D6782" s="31">
        <f t="shared" si="199"/>
        <v>2.7082802547532765E-2</v>
      </c>
      <c r="F6782" s="2" t="s">
        <v>822</v>
      </c>
      <c r="G6782" s="23" t="s">
        <v>902</v>
      </c>
      <c r="H6782" s="2" t="s">
        <v>822</v>
      </c>
      <c r="J6782" s="31">
        <v>65.844596899999999</v>
      </c>
      <c r="K6782" s="31">
        <v>-24.685199699999998</v>
      </c>
      <c r="L6782" s="31"/>
      <c r="M6782" s="31" t="s">
        <v>854</v>
      </c>
      <c r="N6782" s="6" t="s">
        <v>856</v>
      </c>
    </row>
    <row r="6783" spans="1:14" ht="15" customHeight="1" x14ac:dyDescent="0.2">
      <c r="A6783" s="31">
        <v>0.13805014422674511</v>
      </c>
      <c r="B6783" s="31"/>
      <c r="C6783" s="2" t="s">
        <v>855</v>
      </c>
      <c r="D6783" s="31">
        <f t="shared" si="199"/>
        <v>2.7057828268442042E-2</v>
      </c>
      <c r="F6783" s="2" t="s">
        <v>822</v>
      </c>
      <c r="G6783" s="23" t="s">
        <v>902</v>
      </c>
      <c r="H6783" s="2" t="s">
        <v>822</v>
      </c>
      <c r="J6783" s="31">
        <v>54.770599400000002</v>
      </c>
      <c r="K6783" s="31">
        <v>-38.536701200000003</v>
      </c>
      <c r="L6783" s="31"/>
      <c r="M6783" s="31" t="s">
        <v>854</v>
      </c>
      <c r="N6783" s="6" t="s">
        <v>856</v>
      </c>
    </row>
    <row r="6784" spans="1:14" ht="15" customHeight="1" x14ac:dyDescent="0.2">
      <c r="A6784" s="31">
        <v>0.13786318391762811</v>
      </c>
      <c r="B6784" s="31"/>
      <c r="C6784" s="2" t="s">
        <v>855</v>
      </c>
      <c r="D6784" s="31">
        <f t="shared" ref="D6784:D6847" si="200" xml:space="preserve"> A6784 * 0.196</f>
        <v>2.7021184047855112E-2</v>
      </c>
      <c r="F6784" s="2" t="s">
        <v>822</v>
      </c>
      <c r="G6784" s="23" t="s">
        <v>902</v>
      </c>
      <c r="H6784" s="2" t="s">
        <v>822</v>
      </c>
      <c r="J6784" s="31">
        <v>64.115997300000004</v>
      </c>
      <c r="K6784" s="31">
        <v>4.1999997999999996</v>
      </c>
      <c r="L6784" s="31"/>
      <c r="M6784" s="31" t="s">
        <v>854</v>
      </c>
      <c r="N6784" s="6" t="s">
        <v>856</v>
      </c>
    </row>
    <row r="6785" spans="1:14" ht="15" customHeight="1" x14ac:dyDescent="0.2">
      <c r="A6785" s="31">
        <v>0.13757753577721371</v>
      </c>
      <c r="B6785" s="31"/>
      <c r="C6785" s="2" t="s">
        <v>855</v>
      </c>
      <c r="D6785" s="31">
        <f t="shared" si="200"/>
        <v>2.6965197012333887E-2</v>
      </c>
      <c r="F6785" s="2" t="s">
        <v>822</v>
      </c>
      <c r="G6785" s="23" t="s">
        <v>902</v>
      </c>
      <c r="H6785" s="2" t="s">
        <v>822</v>
      </c>
      <c r="J6785" s="31">
        <v>62.779998800000001</v>
      </c>
      <c r="K6785" s="31">
        <v>0.86</v>
      </c>
      <c r="L6785" s="31"/>
      <c r="M6785" s="31" t="s">
        <v>854</v>
      </c>
      <c r="N6785" s="6" t="s">
        <v>856</v>
      </c>
    </row>
    <row r="6786" spans="1:14" ht="15" customHeight="1" x14ac:dyDescent="0.2">
      <c r="A6786" s="31">
        <v>0.1375757508200541</v>
      </c>
      <c r="B6786" s="31"/>
      <c r="C6786" s="2" t="s">
        <v>855</v>
      </c>
      <c r="D6786" s="31">
        <f t="shared" si="200"/>
        <v>2.6964847160730606E-2</v>
      </c>
      <c r="F6786" s="2" t="s">
        <v>822</v>
      </c>
      <c r="G6786" s="23" t="s">
        <v>902</v>
      </c>
      <c r="H6786" s="2" t="s">
        <v>822</v>
      </c>
      <c r="J6786" s="31">
        <v>61.444000199999998</v>
      </c>
      <c r="K6786" s="31">
        <v>-4.4840001999999997</v>
      </c>
      <c r="L6786" s="31"/>
      <c r="M6786" s="31" t="s">
        <v>854</v>
      </c>
      <c r="N6786" s="6" t="s">
        <v>856</v>
      </c>
    </row>
    <row r="6787" spans="1:14" ht="15" customHeight="1" x14ac:dyDescent="0.2">
      <c r="A6787" s="31">
        <v>0.1372580651141784</v>
      </c>
      <c r="B6787" s="31"/>
      <c r="C6787" s="2" t="s">
        <v>855</v>
      </c>
      <c r="D6787" s="31">
        <f t="shared" si="200"/>
        <v>2.6902580762378968E-2</v>
      </c>
      <c r="F6787" s="2" t="s">
        <v>822</v>
      </c>
      <c r="G6787" s="23" t="s">
        <v>902</v>
      </c>
      <c r="H6787" s="2" t="s">
        <v>822</v>
      </c>
      <c r="J6787" s="31">
        <v>69.459999100000005</v>
      </c>
      <c r="K6787" s="31">
        <v>-8.4919995999999998</v>
      </c>
      <c r="L6787" s="31"/>
      <c r="M6787" s="31" t="s">
        <v>854</v>
      </c>
      <c r="N6787" s="6" t="s">
        <v>856</v>
      </c>
    </row>
    <row r="6788" spans="1:14" ht="15" customHeight="1" x14ac:dyDescent="0.2">
      <c r="A6788" s="31">
        <v>0.13721829406748839</v>
      </c>
      <c r="B6788" s="31"/>
      <c r="C6788" s="2" t="s">
        <v>855</v>
      </c>
      <c r="D6788" s="31">
        <f t="shared" si="200"/>
        <v>2.6894785637227726E-2</v>
      </c>
      <c r="F6788" s="2" t="s">
        <v>822</v>
      </c>
      <c r="G6788" s="23" t="s">
        <v>902</v>
      </c>
      <c r="H6788" s="2" t="s">
        <v>822</v>
      </c>
      <c r="J6788" s="31">
        <v>64.783996599999995</v>
      </c>
      <c r="K6788" s="31">
        <v>8.8760004000000006</v>
      </c>
      <c r="L6788" s="31"/>
      <c r="M6788" s="31" t="s">
        <v>854</v>
      </c>
      <c r="N6788" s="6" t="s">
        <v>856</v>
      </c>
    </row>
    <row r="6789" spans="1:14" ht="15" customHeight="1" x14ac:dyDescent="0.2">
      <c r="A6789" s="31">
        <v>0.13693490780860981</v>
      </c>
      <c r="B6789" s="31"/>
      <c r="C6789" s="2" t="s">
        <v>855</v>
      </c>
      <c r="D6789" s="31">
        <f t="shared" si="200"/>
        <v>2.6839241930487524E-2</v>
      </c>
      <c r="F6789" s="2" t="s">
        <v>822</v>
      </c>
      <c r="G6789" s="23" t="s">
        <v>902</v>
      </c>
      <c r="H6789" s="2" t="s">
        <v>822</v>
      </c>
      <c r="J6789" s="31">
        <v>59.427501700000001</v>
      </c>
      <c r="K6789" s="31">
        <v>-42.548099499999999</v>
      </c>
      <c r="L6789" s="31"/>
      <c r="M6789" s="31" t="s">
        <v>854</v>
      </c>
      <c r="N6789" s="6" t="s">
        <v>856</v>
      </c>
    </row>
    <row r="6790" spans="1:14" ht="15" customHeight="1" x14ac:dyDescent="0.2">
      <c r="A6790" s="31">
        <v>0.13670898945421731</v>
      </c>
      <c r="B6790" s="31"/>
      <c r="C6790" s="2" t="s">
        <v>855</v>
      </c>
      <c r="D6790" s="31">
        <f t="shared" si="200"/>
        <v>2.6794961933026593E-2</v>
      </c>
      <c r="F6790" s="2" t="s">
        <v>822</v>
      </c>
      <c r="G6790" s="23" t="s">
        <v>902</v>
      </c>
      <c r="H6790" s="2" t="s">
        <v>822</v>
      </c>
      <c r="J6790" s="31">
        <v>54.166599300000001</v>
      </c>
      <c r="K6790" s="31">
        <v>-11.2552004</v>
      </c>
      <c r="L6790" s="31"/>
      <c r="M6790" s="31" t="s">
        <v>854</v>
      </c>
      <c r="N6790" s="6" t="s">
        <v>856</v>
      </c>
    </row>
    <row r="6791" spans="1:14" ht="15" customHeight="1" x14ac:dyDescent="0.2">
      <c r="A6791" s="31">
        <v>0.1365591277893132</v>
      </c>
      <c r="B6791" s="31"/>
      <c r="C6791" s="2" t="s">
        <v>855</v>
      </c>
      <c r="D6791" s="31">
        <f t="shared" si="200"/>
        <v>2.6765589046705389E-2</v>
      </c>
      <c r="F6791" s="2" t="s">
        <v>822</v>
      </c>
      <c r="G6791" s="23" t="s">
        <v>902</v>
      </c>
      <c r="H6791" s="2" t="s">
        <v>822</v>
      </c>
      <c r="J6791" s="31">
        <v>53.428001399999999</v>
      </c>
      <c r="K6791" s="31">
        <v>-37.883998900000002</v>
      </c>
      <c r="L6791" s="31"/>
      <c r="M6791" s="31" t="s">
        <v>854</v>
      </c>
      <c r="N6791" s="6" t="s">
        <v>856</v>
      </c>
    </row>
    <row r="6792" spans="1:14" ht="15" customHeight="1" x14ac:dyDescent="0.2">
      <c r="A6792" s="31">
        <v>0.13637481269163881</v>
      </c>
      <c r="B6792" s="31"/>
      <c r="C6792" s="2" t="s">
        <v>855</v>
      </c>
      <c r="D6792" s="31">
        <f t="shared" si="200"/>
        <v>2.6729463287561209E-2</v>
      </c>
      <c r="F6792" s="2" t="s">
        <v>822</v>
      </c>
      <c r="G6792" s="23" t="s">
        <v>902</v>
      </c>
      <c r="H6792" s="2" t="s">
        <v>822</v>
      </c>
      <c r="J6792" s="31">
        <v>65.844596899999999</v>
      </c>
      <c r="K6792" s="31">
        <v>-25.769199400000002</v>
      </c>
      <c r="L6792" s="31"/>
      <c r="M6792" s="31" t="s">
        <v>854</v>
      </c>
      <c r="N6792" s="6" t="s">
        <v>856</v>
      </c>
    </row>
    <row r="6793" spans="1:14" ht="15" customHeight="1" x14ac:dyDescent="0.2">
      <c r="A6793" s="31">
        <v>0.1363475993989442</v>
      </c>
      <c r="B6793" s="31"/>
      <c r="C6793" s="2" t="s">
        <v>855</v>
      </c>
      <c r="D6793" s="31">
        <f t="shared" si="200"/>
        <v>2.6724129482193063E-2</v>
      </c>
      <c r="F6793" s="2" t="s">
        <v>822</v>
      </c>
      <c r="G6793" s="23" t="s">
        <v>902</v>
      </c>
      <c r="H6793" s="2" t="s">
        <v>822</v>
      </c>
      <c r="J6793" s="31">
        <v>60.131401099999998</v>
      </c>
      <c r="K6793" s="31">
        <v>-5.8370398999999997</v>
      </c>
      <c r="L6793" s="31"/>
      <c r="M6793" s="31" t="s">
        <v>854</v>
      </c>
      <c r="N6793" s="6" t="s">
        <v>856</v>
      </c>
    </row>
    <row r="6794" spans="1:14" ht="15" customHeight="1" x14ac:dyDescent="0.2">
      <c r="A6794" s="31">
        <v>0.13618383040248749</v>
      </c>
      <c r="B6794" s="31"/>
      <c r="C6794" s="2" t="s">
        <v>855</v>
      </c>
      <c r="D6794" s="31">
        <f t="shared" si="200"/>
        <v>2.6692030758887549E-2</v>
      </c>
      <c r="F6794" s="2" t="s">
        <v>822</v>
      </c>
      <c r="G6794" s="23" t="s">
        <v>902</v>
      </c>
      <c r="H6794" s="2" t="s">
        <v>822</v>
      </c>
      <c r="J6794" s="31">
        <v>61.444000199999998</v>
      </c>
      <c r="K6794" s="31">
        <v>-34.543998700000003</v>
      </c>
      <c r="L6794" s="31"/>
      <c r="M6794" s="31" t="s">
        <v>854</v>
      </c>
      <c r="N6794" s="6" t="s">
        <v>856</v>
      </c>
    </row>
    <row r="6795" spans="1:14" ht="15" customHeight="1" x14ac:dyDescent="0.2">
      <c r="A6795" s="31">
        <v>0.1360996856573381</v>
      </c>
      <c r="B6795" s="31"/>
      <c r="C6795" s="2" t="s">
        <v>855</v>
      </c>
      <c r="D6795" s="31">
        <f t="shared" si="200"/>
        <v>2.6675538388838269E-2</v>
      </c>
      <c r="F6795" s="2" t="s">
        <v>822</v>
      </c>
      <c r="G6795" s="23" t="s">
        <v>902</v>
      </c>
      <c r="H6795" s="2" t="s">
        <v>822</v>
      </c>
      <c r="J6795" s="31">
        <v>63.448001900000001</v>
      </c>
      <c r="K6795" s="31">
        <v>-25.860000599999999</v>
      </c>
      <c r="L6795" s="31"/>
      <c r="M6795" s="31" t="s">
        <v>854</v>
      </c>
      <c r="N6795" s="6" t="s">
        <v>856</v>
      </c>
    </row>
    <row r="6796" spans="1:14" ht="15" customHeight="1" x14ac:dyDescent="0.2">
      <c r="A6796" s="31">
        <v>0.1360590935599926</v>
      </c>
      <c r="B6796" s="31"/>
      <c r="C6796" s="2" t="s">
        <v>855</v>
      </c>
      <c r="D6796" s="31">
        <f t="shared" si="200"/>
        <v>2.6667582337758549E-2</v>
      </c>
      <c r="F6796" s="2" t="s">
        <v>822</v>
      </c>
      <c r="G6796" s="23" t="s">
        <v>902</v>
      </c>
      <c r="H6796" s="2" t="s">
        <v>822</v>
      </c>
      <c r="J6796" s="31">
        <v>70.432601899999995</v>
      </c>
      <c r="K6796" s="31">
        <v>16.647800400000001</v>
      </c>
      <c r="L6796" s="31"/>
      <c r="M6796" s="31" t="s">
        <v>854</v>
      </c>
      <c r="N6796" s="6" t="s">
        <v>856</v>
      </c>
    </row>
    <row r="6797" spans="1:14" ht="15" customHeight="1" x14ac:dyDescent="0.2">
      <c r="A6797" s="31">
        <v>0.13602553446443261</v>
      </c>
      <c r="B6797" s="31"/>
      <c r="C6797" s="2" t="s">
        <v>855</v>
      </c>
      <c r="D6797" s="31">
        <f t="shared" si="200"/>
        <v>2.6661004755028792E-2</v>
      </c>
      <c r="F6797" s="2" t="s">
        <v>822</v>
      </c>
      <c r="G6797" s="23" t="s">
        <v>902</v>
      </c>
      <c r="H6797" s="2" t="s">
        <v>822</v>
      </c>
      <c r="J6797" s="31">
        <v>60.108001700000003</v>
      </c>
      <c r="K6797" s="31">
        <v>-36.548000299999998</v>
      </c>
      <c r="L6797" s="31"/>
      <c r="M6797" s="31" t="s">
        <v>854</v>
      </c>
      <c r="N6797" s="6" t="s">
        <v>856</v>
      </c>
    </row>
    <row r="6798" spans="1:14" ht="15" customHeight="1" x14ac:dyDescent="0.2">
      <c r="A6798" s="31">
        <v>0.1359382092830074</v>
      </c>
      <c r="B6798" s="31"/>
      <c r="C6798" s="2" t="s">
        <v>855</v>
      </c>
      <c r="D6798" s="31">
        <f t="shared" si="200"/>
        <v>2.6643889019469451E-2</v>
      </c>
      <c r="F6798" s="2" t="s">
        <v>822</v>
      </c>
      <c r="G6798" s="23" t="s">
        <v>902</v>
      </c>
      <c r="H6798" s="2" t="s">
        <v>822</v>
      </c>
      <c r="J6798" s="31">
        <v>60.108001700000003</v>
      </c>
      <c r="K6798" s="31">
        <v>-33.875999499999999</v>
      </c>
      <c r="L6798" s="31"/>
      <c r="M6798" s="31" t="s">
        <v>854</v>
      </c>
      <c r="N6798" s="6" t="s">
        <v>856</v>
      </c>
    </row>
    <row r="6799" spans="1:14" ht="15" customHeight="1" x14ac:dyDescent="0.2">
      <c r="A6799" s="31">
        <v>0.13579327897278079</v>
      </c>
      <c r="B6799" s="31"/>
      <c r="C6799" s="2" t="s">
        <v>855</v>
      </c>
      <c r="D6799" s="31">
        <f t="shared" si="200"/>
        <v>2.6615482678665037E-2</v>
      </c>
      <c r="F6799" s="2" t="s">
        <v>822</v>
      </c>
      <c r="G6799" s="23" t="s">
        <v>902</v>
      </c>
      <c r="H6799" s="2" t="s">
        <v>822</v>
      </c>
      <c r="J6799" s="31">
        <v>60.776001000000001</v>
      </c>
      <c r="K6799" s="31">
        <v>-37.883998900000002</v>
      </c>
      <c r="L6799" s="31"/>
      <c r="M6799" s="31" t="s">
        <v>854</v>
      </c>
      <c r="N6799" s="6" t="s">
        <v>856</v>
      </c>
    </row>
    <row r="6800" spans="1:14" ht="15" customHeight="1" x14ac:dyDescent="0.2">
      <c r="A6800" s="31">
        <v>0.1356630953127447</v>
      </c>
      <c r="B6800" s="31"/>
      <c r="C6800" s="2" t="s">
        <v>855</v>
      </c>
      <c r="D6800" s="31">
        <f t="shared" si="200"/>
        <v>2.6589966681297962E-2</v>
      </c>
      <c r="F6800" s="2" t="s">
        <v>822</v>
      </c>
      <c r="G6800" s="23" t="s">
        <v>902</v>
      </c>
      <c r="H6800" s="2" t="s">
        <v>822</v>
      </c>
      <c r="J6800" s="31">
        <v>71.910896300000005</v>
      </c>
      <c r="K6800" s="31">
        <v>15.4658003</v>
      </c>
      <c r="L6800" s="31"/>
      <c r="M6800" s="31" t="s">
        <v>854</v>
      </c>
      <c r="N6800" s="6" t="s">
        <v>856</v>
      </c>
    </row>
    <row r="6801" spans="1:14" ht="15" customHeight="1" x14ac:dyDescent="0.2">
      <c r="A6801" s="31">
        <v>0.13558384955359451</v>
      </c>
      <c r="B6801" s="31"/>
      <c r="C6801" s="2" t="s">
        <v>855</v>
      </c>
      <c r="D6801" s="31">
        <f t="shared" si="200"/>
        <v>2.6574434512504526E-2</v>
      </c>
      <c r="F6801" s="2" t="s">
        <v>822</v>
      </c>
      <c r="G6801" s="23" t="s">
        <v>902</v>
      </c>
      <c r="H6801" s="2" t="s">
        <v>822</v>
      </c>
      <c r="J6801" s="31">
        <v>71.346603400000006</v>
      </c>
      <c r="K6801" s="31">
        <v>14.8212996</v>
      </c>
      <c r="L6801" s="31"/>
      <c r="M6801" s="31" t="s">
        <v>854</v>
      </c>
      <c r="N6801" s="6" t="s">
        <v>856</v>
      </c>
    </row>
    <row r="6802" spans="1:14" ht="15" customHeight="1" x14ac:dyDescent="0.2">
      <c r="A6802" s="31">
        <v>0.13553143592653191</v>
      </c>
      <c r="B6802" s="31"/>
      <c r="C6802" s="2" t="s">
        <v>855</v>
      </c>
      <c r="D6802" s="31">
        <f t="shared" si="200"/>
        <v>2.6564161441600256E-2</v>
      </c>
      <c r="F6802" s="2" t="s">
        <v>822</v>
      </c>
      <c r="G6802" s="23" t="s">
        <v>902</v>
      </c>
      <c r="H6802" s="2" t="s">
        <v>822</v>
      </c>
      <c r="J6802" s="31">
        <v>61.444000199999998</v>
      </c>
      <c r="K6802" s="31">
        <v>-3.1480000000000001</v>
      </c>
      <c r="L6802" s="31"/>
      <c r="M6802" s="31" t="s">
        <v>854</v>
      </c>
      <c r="N6802" s="6" t="s">
        <v>856</v>
      </c>
    </row>
    <row r="6803" spans="1:14" ht="15" customHeight="1" x14ac:dyDescent="0.2">
      <c r="A6803" s="31">
        <v>0.13519766511235759</v>
      </c>
      <c r="B6803" s="31"/>
      <c r="C6803" s="2" t="s">
        <v>855</v>
      </c>
      <c r="D6803" s="31">
        <f t="shared" si="200"/>
        <v>2.6498742362022088E-2</v>
      </c>
      <c r="F6803" s="2" t="s">
        <v>822</v>
      </c>
      <c r="G6803" s="23" t="s">
        <v>902</v>
      </c>
      <c r="H6803" s="2" t="s">
        <v>822</v>
      </c>
      <c r="J6803" s="31">
        <v>73.468002299999995</v>
      </c>
      <c r="K6803" s="31">
        <v>45.616001099999998</v>
      </c>
      <c r="L6803" s="31"/>
      <c r="M6803" s="31" t="s">
        <v>854</v>
      </c>
      <c r="N6803" s="6" t="s">
        <v>856</v>
      </c>
    </row>
    <row r="6804" spans="1:14" ht="15" customHeight="1" x14ac:dyDescent="0.2">
      <c r="A6804" s="31">
        <v>0.1350647295438753</v>
      </c>
      <c r="B6804" s="31"/>
      <c r="C6804" s="2" t="s">
        <v>855</v>
      </c>
      <c r="D6804" s="31">
        <f t="shared" si="200"/>
        <v>2.6472686990599559E-2</v>
      </c>
      <c r="F6804" s="2" t="s">
        <v>822</v>
      </c>
      <c r="G6804" s="23" t="s">
        <v>902</v>
      </c>
      <c r="H6804" s="2" t="s">
        <v>822</v>
      </c>
      <c r="J6804" s="31">
        <v>60.776001000000001</v>
      </c>
      <c r="K6804" s="31">
        <v>-9.8280001000000006</v>
      </c>
      <c r="L6804" s="31"/>
      <c r="M6804" s="31" t="s">
        <v>854</v>
      </c>
      <c r="N6804" s="6" t="s">
        <v>856</v>
      </c>
    </row>
    <row r="6805" spans="1:14" ht="15" customHeight="1" x14ac:dyDescent="0.2">
      <c r="A6805" s="31">
        <v>0.13505858377081051</v>
      </c>
      <c r="B6805" s="31"/>
      <c r="C6805" s="2" t="s">
        <v>855</v>
      </c>
      <c r="D6805" s="31">
        <f t="shared" si="200"/>
        <v>2.6471482419078859E-2</v>
      </c>
      <c r="F6805" s="2" t="s">
        <v>822</v>
      </c>
      <c r="G6805" s="23" t="s">
        <v>902</v>
      </c>
      <c r="H6805" s="2" t="s">
        <v>822</v>
      </c>
      <c r="J6805" s="31">
        <v>62.662101700000001</v>
      </c>
      <c r="K6805" s="31">
        <v>-40.418300600000002</v>
      </c>
      <c r="L6805" s="31"/>
      <c r="M6805" s="31" t="s">
        <v>854</v>
      </c>
      <c r="N6805" s="6" t="s">
        <v>856</v>
      </c>
    </row>
    <row r="6806" spans="1:14" ht="15" customHeight="1" x14ac:dyDescent="0.2">
      <c r="A6806" s="31">
        <v>0.1349300023482202</v>
      </c>
      <c r="B6806" s="31"/>
      <c r="C6806" s="2" t="s">
        <v>855</v>
      </c>
      <c r="D6806" s="31">
        <f t="shared" si="200"/>
        <v>2.6446280460251159E-2</v>
      </c>
      <c r="F6806" s="2" t="s">
        <v>822</v>
      </c>
      <c r="G6806" s="23" t="s">
        <v>902</v>
      </c>
      <c r="H6806" s="2" t="s">
        <v>822</v>
      </c>
      <c r="J6806" s="31">
        <v>59.439998600000003</v>
      </c>
      <c r="K6806" s="31">
        <v>-38.551998099999999</v>
      </c>
      <c r="L6806" s="31"/>
      <c r="M6806" s="31" t="s">
        <v>854</v>
      </c>
      <c r="N6806" s="6" t="s">
        <v>856</v>
      </c>
    </row>
    <row r="6807" spans="1:14" ht="15" customHeight="1" x14ac:dyDescent="0.2">
      <c r="A6807" s="31">
        <v>0.13488494303364071</v>
      </c>
      <c r="B6807" s="31"/>
      <c r="C6807" s="2" t="s">
        <v>855</v>
      </c>
      <c r="D6807" s="31">
        <f t="shared" si="200"/>
        <v>2.6437448834593581E-2</v>
      </c>
      <c r="F6807" s="2" t="s">
        <v>822</v>
      </c>
      <c r="G6807" s="23" t="s">
        <v>902</v>
      </c>
      <c r="H6807" s="2" t="s">
        <v>822</v>
      </c>
      <c r="J6807" s="31">
        <v>66.788002000000006</v>
      </c>
      <c r="K6807" s="31">
        <v>8.2080002000000007</v>
      </c>
      <c r="L6807" s="31"/>
      <c r="M6807" s="31" t="s">
        <v>854</v>
      </c>
      <c r="N6807" s="6" t="s">
        <v>856</v>
      </c>
    </row>
    <row r="6808" spans="1:14" ht="15" customHeight="1" x14ac:dyDescent="0.2">
      <c r="A6808" s="31">
        <v>0.13480594454564909</v>
      </c>
      <c r="B6808" s="31"/>
      <c r="C6808" s="2" t="s">
        <v>855</v>
      </c>
      <c r="D6808" s="31">
        <f t="shared" si="200"/>
        <v>2.6421965130947224E-2</v>
      </c>
      <c r="F6808" s="2" t="s">
        <v>822</v>
      </c>
      <c r="G6808" s="23" t="s">
        <v>902</v>
      </c>
      <c r="H6808" s="2" t="s">
        <v>822</v>
      </c>
      <c r="J6808" s="31">
        <v>58.771999399999999</v>
      </c>
      <c r="K6808" s="31">
        <v>-8.4919995999999998</v>
      </c>
      <c r="L6808" s="31"/>
      <c r="M6808" s="31" t="s">
        <v>854</v>
      </c>
      <c r="N6808" s="6" t="s">
        <v>856</v>
      </c>
    </row>
    <row r="6809" spans="1:14" ht="15" customHeight="1" x14ac:dyDescent="0.2">
      <c r="A6809" s="31">
        <v>0.13441133919847709</v>
      </c>
      <c r="B6809" s="31"/>
      <c r="C6809" s="2" t="s">
        <v>855</v>
      </c>
      <c r="D6809" s="31">
        <f t="shared" si="200"/>
        <v>2.6344622482901509E-2</v>
      </c>
      <c r="F6809" s="2" t="s">
        <v>822</v>
      </c>
      <c r="G6809" s="23" t="s">
        <v>902</v>
      </c>
      <c r="H6809" s="2" t="s">
        <v>822</v>
      </c>
      <c r="J6809" s="31">
        <v>63.437698400000002</v>
      </c>
      <c r="K6809" s="31">
        <v>-9.8331900000000001</v>
      </c>
      <c r="L6809" s="31"/>
      <c r="M6809" s="31" t="s">
        <v>854</v>
      </c>
      <c r="N6809" s="6" t="s">
        <v>856</v>
      </c>
    </row>
    <row r="6810" spans="1:14" ht="15" customHeight="1" x14ac:dyDescent="0.2">
      <c r="A6810" s="31">
        <v>0.1343848267166359</v>
      </c>
      <c r="B6810" s="31"/>
      <c r="C6810" s="2" t="s">
        <v>855</v>
      </c>
      <c r="D6810" s="31">
        <f t="shared" si="200"/>
        <v>2.6339426036460639E-2</v>
      </c>
      <c r="F6810" s="2" t="s">
        <v>822</v>
      </c>
      <c r="G6810" s="23" t="s">
        <v>902</v>
      </c>
      <c r="H6810" s="2" t="s">
        <v>822</v>
      </c>
      <c r="J6810" s="31">
        <v>58.771999399999999</v>
      </c>
      <c r="K6810" s="31">
        <v>-41.891998299999997</v>
      </c>
      <c r="L6810" s="31"/>
      <c r="M6810" s="31" t="s">
        <v>854</v>
      </c>
      <c r="N6810" s="6" t="s">
        <v>856</v>
      </c>
    </row>
    <row r="6811" spans="1:14" ht="15" customHeight="1" x14ac:dyDescent="0.2">
      <c r="A6811" s="31">
        <v>0.13436622585943031</v>
      </c>
      <c r="B6811" s="31"/>
      <c r="C6811" s="2" t="s">
        <v>855</v>
      </c>
      <c r="D6811" s="31">
        <f t="shared" si="200"/>
        <v>2.6335780268448343E-2</v>
      </c>
      <c r="F6811" s="2" t="s">
        <v>822</v>
      </c>
      <c r="G6811" s="23" t="s">
        <v>902</v>
      </c>
      <c r="H6811" s="2" t="s">
        <v>822</v>
      </c>
      <c r="J6811" s="31">
        <v>61.444000199999998</v>
      </c>
      <c r="K6811" s="31">
        <v>-40.555999800000002</v>
      </c>
      <c r="L6811" s="31"/>
      <c r="M6811" s="31" t="s">
        <v>854</v>
      </c>
      <c r="N6811" s="6" t="s">
        <v>856</v>
      </c>
    </row>
    <row r="6812" spans="1:14" ht="15" customHeight="1" x14ac:dyDescent="0.2">
      <c r="A6812" s="31">
        <v>0.13388103305885829</v>
      </c>
      <c r="B6812" s="31"/>
      <c r="C6812" s="2" t="s">
        <v>855</v>
      </c>
      <c r="D6812" s="31">
        <f t="shared" si="200"/>
        <v>2.6240682479536225E-2</v>
      </c>
      <c r="F6812" s="2" t="s">
        <v>822</v>
      </c>
      <c r="G6812" s="23" t="s">
        <v>902</v>
      </c>
      <c r="H6812" s="2" t="s">
        <v>822</v>
      </c>
      <c r="J6812" s="31">
        <v>71.479698200000001</v>
      </c>
      <c r="K6812" s="31">
        <v>16.2297993</v>
      </c>
      <c r="L6812" s="31"/>
      <c r="M6812" s="31" t="s">
        <v>854</v>
      </c>
      <c r="N6812" s="6" t="s">
        <v>856</v>
      </c>
    </row>
    <row r="6813" spans="1:14" ht="15" customHeight="1" x14ac:dyDescent="0.2">
      <c r="A6813" s="31">
        <v>0.1337769056593292</v>
      </c>
      <c r="B6813" s="31"/>
      <c r="C6813" s="2" t="s">
        <v>855</v>
      </c>
      <c r="D6813" s="31">
        <f t="shared" si="200"/>
        <v>2.6220273509228526E-2</v>
      </c>
      <c r="F6813" s="2" t="s">
        <v>822</v>
      </c>
      <c r="G6813" s="23" t="s">
        <v>902</v>
      </c>
      <c r="H6813" s="2" t="s">
        <v>822</v>
      </c>
      <c r="J6813" s="31">
        <v>57.436000800000002</v>
      </c>
      <c r="K6813" s="31">
        <v>-38.551998099999999</v>
      </c>
      <c r="L6813" s="31"/>
      <c r="M6813" s="31" t="s">
        <v>854</v>
      </c>
      <c r="N6813" s="6" t="s">
        <v>856</v>
      </c>
    </row>
    <row r="6814" spans="1:14" ht="15" customHeight="1" x14ac:dyDescent="0.2">
      <c r="A6814" s="31">
        <v>0.13358326910122681</v>
      </c>
      <c r="B6814" s="31"/>
      <c r="C6814" s="2" t="s">
        <v>855</v>
      </c>
      <c r="D6814" s="31">
        <f t="shared" si="200"/>
        <v>2.6182320743840456E-2</v>
      </c>
      <c r="F6814" s="2" t="s">
        <v>822</v>
      </c>
      <c r="G6814" s="23" t="s">
        <v>902</v>
      </c>
      <c r="H6814" s="2" t="s">
        <v>822</v>
      </c>
      <c r="J6814" s="31">
        <v>64.041198699999995</v>
      </c>
      <c r="K6814" s="31">
        <v>-33.801200899999998</v>
      </c>
      <c r="L6814" s="31"/>
      <c r="M6814" s="31" t="s">
        <v>854</v>
      </c>
      <c r="N6814" s="6" t="s">
        <v>856</v>
      </c>
    </row>
    <row r="6815" spans="1:14" ht="15" customHeight="1" x14ac:dyDescent="0.2">
      <c r="A6815" s="31">
        <v>0.13339577573040329</v>
      </c>
      <c r="B6815" s="31"/>
      <c r="C6815" s="2" t="s">
        <v>855</v>
      </c>
      <c r="D6815" s="31">
        <f t="shared" si="200"/>
        <v>2.6145572043159045E-2</v>
      </c>
      <c r="F6815" s="2" t="s">
        <v>822</v>
      </c>
      <c r="G6815" s="23" t="s">
        <v>902</v>
      </c>
      <c r="H6815" s="2" t="s">
        <v>822</v>
      </c>
      <c r="J6815" s="31">
        <v>61.444000199999998</v>
      </c>
      <c r="K6815" s="31">
        <v>-39.220001199999999</v>
      </c>
      <c r="L6815" s="31"/>
      <c r="M6815" s="31" t="s">
        <v>854</v>
      </c>
      <c r="N6815" s="6" t="s">
        <v>856</v>
      </c>
    </row>
    <row r="6816" spans="1:14" ht="15" customHeight="1" x14ac:dyDescent="0.2">
      <c r="A6816" s="31">
        <v>0.13313944140595749</v>
      </c>
      <c r="B6816" s="31"/>
      <c r="C6816" s="2" t="s">
        <v>855</v>
      </c>
      <c r="D6816" s="31">
        <f t="shared" si="200"/>
        <v>2.6095330515567668E-2</v>
      </c>
      <c r="F6816" s="2" t="s">
        <v>822</v>
      </c>
      <c r="G6816" s="23" t="s">
        <v>902</v>
      </c>
      <c r="H6816" s="2" t="s">
        <v>822</v>
      </c>
      <c r="J6816" s="31">
        <v>63.448001900000001</v>
      </c>
      <c r="K6816" s="31">
        <v>6.2039999999999997</v>
      </c>
      <c r="L6816" s="31"/>
      <c r="M6816" s="31" t="s">
        <v>854</v>
      </c>
      <c r="N6816" s="6" t="s">
        <v>856</v>
      </c>
    </row>
    <row r="6817" spans="1:14" ht="15" customHeight="1" x14ac:dyDescent="0.2">
      <c r="A6817" s="31">
        <v>0.13295822525456141</v>
      </c>
      <c r="B6817" s="31"/>
      <c r="C6817" s="2" t="s">
        <v>855</v>
      </c>
      <c r="D6817" s="31">
        <f t="shared" si="200"/>
        <v>2.6059812149894036E-2</v>
      </c>
      <c r="F6817" s="2" t="s">
        <v>822</v>
      </c>
      <c r="G6817" s="23" t="s">
        <v>902</v>
      </c>
      <c r="H6817" s="2" t="s">
        <v>822</v>
      </c>
      <c r="J6817" s="31">
        <v>66.178596499999998</v>
      </c>
      <c r="K6817" s="31">
        <v>-25.060199699999998</v>
      </c>
      <c r="L6817" s="31"/>
      <c r="M6817" s="31" t="s">
        <v>854</v>
      </c>
      <c r="N6817" s="6" t="s">
        <v>856</v>
      </c>
    </row>
    <row r="6818" spans="1:14" ht="15" customHeight="1" x14ac:dyDescent="0.2">
      <c r="A6818" s="31">
        <v>0.1327533182932184</v>
      </c>
      <c r="B6818" s="31"/>
      <c r="C6818" s="2" t="s">
        <v>855</v>
      </c>
      <c r="D6818" s="31">
        <f t="shared" si="200"/>
        <v>2.6019650385470806E-2</v>
      </c>
      <c r="F6818" s="2" t="s">
        <v>822</v>
      </c>
      <c r="G6818" s="23" t="s">
        <v>902</v>
      </c>
      <c r="H6818" s="2" t="s">
        <v>822</v>
      </c>
      <c r="J6818" s="31">
        <v>64.671997099999999</v>
      </c>
      <c r="K6818" s="31">
        <v>6.8983401999999998</v>
      </c>
      <c r="L6818" s="31"/>
      <c r="M6818" s="31" t="s">
        <v>854</v>
      </c>
      <c r="N6818" s="6" t="s">
        <v>856</v>
      </c>
    </row>
    <row r="6819" spans="1:14" ht="15" customHeight="1" x14ac:dyDescent="0.2">
      <c r="A6819" s="31">
        <v>0.13274277912148311</v>
      </c>
      <c r="B6819" s="31"/>
      <c r="C6819" s="2" t="s">
        <v>855</v>
      </c>
      <c r="D6819" s="31">
        <f t="shared" si="200"/>
        <v>2.6017584707810688E-2</v>
      </c>
      <c r="F6819" s="2" t="s">
        <v>822</v>
      </c>
      <c r="G6819" s="23" t="s">
        <v>902</v>
      </c>
      <c r="H6819" s="2" t="s">
        <v>822</v>
      </c>
      <c r="J6819" s="31">
        <v>64.098197900000002</v>
      </c>
      <c r="K6819" s="31">
        <v>-10.4719</v>
      </c>
      <c r="L6819" s="31"/>
      <c r="M6819" s="31" t="s">
        <v>854</v>
      </c>
      <c r="N6819" s="6" t="s">
        <v>856</v>
      </c>
    </row>
    <row r="6820" spans="1:14" ht="15" customHeight="1" x14ac:dyDescent="0.2">
      <c r="A6820" s="31">
        <v>0.13270306564868009</v>
      </c>
      <c r="B6820" s="31"/>
      <c r="C6820" s="2" t="s">
        <v>855</v>
      </c>
      <c r="D6820" s="31">
        <f t="shared" si="200"/>
        <v>2.6009800867141299E-2</v>
      </c>
      <c r="F6820" s="2" t="s">
        <v>822</v>
      </c>
      <c r="G6820" s="23" t="s">
        <v>902</v>
      </c>
      <c r="H6820" s="2" t="s">
        <v>822</v>
      </c>
      <c r="J6820" s="31">
        <v>59.439998600000003</v>
      </c>
      <c r="K6820" s="31">
        <v>-7.8239998999999996</v>
      </c>
      <c r="L6820" s="31"/>
      <c r="M6820" s="31" t="s">
        <v>854</v>
      </c>
      <c r="N6820" s="6" t="s">
        <v>856</v>
      </c>
    </row>
    <row r="6821" spans="1:14" ht="15" customHeight="1" x14ac:dyDescent="0.2">
      <c r="A6821" s="31">
        <v>0.13266433347496329</v>
      </c>
      <c r="B6821" s="31"/>
      <c r="C6821" s="2" t="s">
        <v>855</v>
      </c>
      <c r="D6821" s="31">
        <f t="shared" si="200"/>
        <v>2.6002209361092807E-2</v>
      </c>
      <c r="F6821" s="2" t="s">
        <v>822</v>
      </c>
      <c r="G6821" s="23" t="s">
        <v>902</v>
      </c>
      <c r="H6821" s="2" t="s">
        <v>822</v>
      </c>
      <c r="J6821" s="31">
        <v>64.735397300000002</v>
      </c>
      <c r="K6821" s="31">
        <v>-33.180698399999997</v>
      </c>
      <c r="L6821" s="31"/>
      <c r="M6821" s="31" t="s">
        <v>854</v>
      </c>
      <c r="N6821" s="6" t="s">
        <v>856</v>
      </c>
    </row>
    <row r="6822" spans="1:14" ht="15" customHeight="1" x14ac:dyDescent="0.2">
      <c r="A6822" s="31">
        <v>0.13265981375886571</v>
      </c>
      <c r="B6822" s="31"/>
      <c r="C6822" s="2" t="s">
        <v>855</v>
      </c>
      <c r="D6822" s="31">
        <f t="shared" si="200"/>
        <v>2.6001323496737679E-2</v>
      </c>
      <c r="F6822" s="2" t="s">
        <v>822</v>
      </c>
      <c r="G6822" s="23" t="s">
        <v>902</v>
      </c>
      <c r="H6822" s="2" t="s">
        <v>822</v>
      </c>
      <c r="J6822" s="31">
        <v>56.099998499999998</v>
      </c>
      <c r="K6822" s="31">
        <v>-41.223998999999999</v>
      </c>
      <c r="L6822" s="31"/>
      <c r="M6822" s="31" t="s">
        <v>854</v>
      </c>
      <c r="N6822" s="6" t="s">
        <v>856</v>
      </c>
    </row>
    <row r="6823" spans="1:14" ht="15" customHeight="1" x14ac:dyDescent="0.2">
      <c r="A6823" s="31">
        <v>0.1325568578069897</v>
      </c>
      <c r="B6823" s="31"/>
      <c r="C6823" s="2" t="s">
        <v>855</v>
      </c>
      <c r="D6823" s="31">
        <f t="shared" si="200"/>
        <v>2.598114413016998E-2</v>
      </c>
      <c r="F6823" s="2" t="s">
        <v>822</v>
      </c>
      <c r="G6823" s="23" t="s">
        <v>902</v>
      </c>
      <c r="H6823" s="2" t="s">
        <v>822</v>
      </c>
      <c r="J6823" s="31">
        <v>66.120002700000001</v>
      </c>
      <c r="K6823" s="31">
        <v>4.1999997999999996</v>
      </c>
      <c r="L6823" s="31"/>
      <c r="M6823" s="31" t="s">
        <v>854</v>
      </c>
      <c r="N6823" s="6" t="s">
        <v>856</v>
      </c>
    </row>
    <row r="6824" spans="1:14" ht="15" customHeight="1" x14ac:dyDescent="0.2">
      <c r="A6824" s="31">
        <v>0.13250900957470749</v>
      </c>
      <c r="B6824" s="31"/>
      <c r="C6824" s="2" t="s">
        <v>855</v>
      </c>
      <c r="D6824" s="31">
        <f t="shared" si="200"/>
        <v>2.5971765876642669E-2</v>
      </c>
      <c r="F6824" s="2" t="s">
        <v>822</v>
      </c>
      <c r="G6824" s="23" t="s">
        <v>902</v>
      </c>
      <c r="H6824" s="2" t="s">
        <v>822</v>
      </c>
      <c r="J6824" s="31">
        <v>61.444000199999998</v>
      </c>
      <c r="K6824" s="31">
        <v>-32.540000900000003</v>
      </c>
      <c r="L6824" s="31"/>
      <c r="M6824" s="31" t="s">
        <v>854</v>
      </c>
      <c r="N6824" s="6" t="s">
        <v>856</v>
      </c>
    </row>
    <row r="6825" spans="1:14" ht="15" customHeight="1" x14ac:dyDescent="0.2">
      <c r="A6825" s="31">
        <v>0.13237860986912209</v>
      </c>
      <c r="B6825" s="31"/>
      <c r="C6825" s="2" t="s">
        <v>855</v>
      </c>
      <c r="D6825" s="31">
        <f t="shared" si="200"/>
        <v>2.5946207534347929E-2</v>
      </c>
      <c r="F6825" s="2" t="s">
        <v>822</v>
      </c>
      <c r="G6825" s="23" t="s">
        <v>902</v>
      </c>
      <c r="H6825" s="2" t="s">
        <v>822</v>
      </c>
      <c r="J6825" s="31">
        <v>62.779998800000001</v>
      </c>
      <c r="K6825" s="31">
        <v>-37.883998900000002</v>
      </c>
      <c r="L6825" s="31"/>
      <c r="M6825" s="31" t="s">
        <v>854</v>
      </c>
      <c r="N6825" s="6" t="s">
        <v>856</v>
      </c>
    </row>
    <row r="6826" spans="1:14" ht="15" customHeight="1" x14ac:dyDescent="0.2">
      <c r="A6826" s="31">
        <v>0.13225052811809479</v>
      </c>
      <c r="B6826" s="31"/>
      <c r="C6826" s="2" t="s">
        <v>855</v>
      </c>
      <c r="D6826" s="31">
        <f t="shared" si="200"/>
        <v>2.5921103511146581E-2</v>
      </c>
      <c r="F6826" s="2" t="s">
        <v>822</v>
      </c>
      <c r="G6826" s="23" t="s">
        <v>902</v>
      </c>
      <c r="H6826" s="2" t="s">
        <v>822</v>
      </c>
      <c r="J6826" s="31">
        <v>66.810600300000004</v>
      </c>
      <c r="K6826" s="31">
        <v>11.1684999</v>
      </c>
      <c r="L6826" s="31"/>
      <c r="M6826" s="31" t="s">
        <v>854</v>
      </c>
      <c r="N6826" s="6" t="s">
        <v>856</v>
      </c>
    </row>
    <row r="6827" spans="1:14" ht="15" customHeight="1" x14ac:dyDescent="0.2">
      <c r="A6827" s="31">
        <v>0.13209328787555469</v>
      </c>
      <c r="B6827" s="31"/>
      <c r="C6827" s="2" t="s">
        <v>855</v>
      </c>
      <c r="D6827" s="31">
        <f t="shared" si="200"/>
        <v>2.5890284423608721E-2</v>
      </c>
      <c r="F6827" s="2" t="s">
        <v>822</v>
      </c>
      <c r="G6827" s="23" t="s">
        <v>902</v>
      </c>
      <c r="H6827" s="2" t="s">
        <v>822</v>
      </c>
      <c r="J6827" s="31">
        <v>68.894096399999995</v>
      </c>
      <c r="K6827" s="31">
        <v>13.6504002</v>
      </c>
      <c r="L6827" s="31"/>
      <c r="M6827" s="31" t="s">
        <v>854</v>
      </c>
      <c r="N6827" s="6" t="s">
        <v>856</v>
      </c>
    </row>
    <row r="6828" spans="1:14" ht="15" customHeight="1" x14ac:dyDescent="0.2">
      <c r="A6828" s="31">
        <v>0.1320661109682956</v>
      </c>
      <c r="B6828" s="31"/>
      <c r="C6828" s="2" t="s">
        <v>855</v>
      </c>
      <c r="D6828" s="31">
        <f t="shared" si="200"/>
        <v>2.5884957749785938E-2</v>
      </c>
      <c r="F6828" s="2" t="s">
        <v>822</v>
      </c>
      <c r="G6828" s="23" t="s">
        <v>902</v>
      </c>
      <c r="H6828" s="2" t="s">
        <v>822</v>
      </c>
      <c r="J6828" s="31">
        <v>58.771999399999999</v>
      </c>
      <c r="K6828" s="31">
        <v>-31.8719997</v>
      </c>
      <c r="L6828" s="31"/>
      <c r="M6828" s="31" t="s">
        <v>854</v>
      </c>
      <c r="N6828" s="6" t="s">
        <v>856</v>
      </c>
    </row>
    <row r="6829" spans="1:14" ht="15" customHeight="1" x14ac:dyDescent="0.2">
      <c r="A6829" s="31">
        <v>0.1319733173937328</v>
      </c>
      <c r="B6829" s="31"/>
      <c r="C6829" s="2" t="s">
        <v>855</v>
      </c>
      <c r="D6829" s="31">
        <f t="shared" si="200"/>
        <v>2.5866770209171629E-2</v>
      </c>
      <c r="F6829" s="2" t="s">
        <v>822</v>
      </c>
      <c r="G6829" s="23" t="s">
        <v>902</v>
      </c>
      <c r="H6829" s="2" t="s">
        <v>822</v>
      </c>
      <c r="J6829" s="31">
        <v>69.018997200000001</v>
      </c>
      <c r="K6829" s="31">
        <v>16.6518993</v>
      </c>
      <c r="L6829" s="31"/>
      <c r="M6829" s="31" t="s">
        <v>854</v>
      </c>
      <c r="N6829" s="6" t="s">
        <v>856</v>
      </c>
    </row>
    <row r="6830" spans="1:14" ht="15" customHeight="1" x14ac:dyDescent="0.2">
      <c r="A6830" s="31">
        <v>0.13189703626430849</v>
      </c>
      <c r="B6830" s="31"/>
      <c r="C6830" s="2" t="s">
        <v>855</v>
      </c>
      <c r="D6830" s="31">
        <f t="shared" si="200"/>
        <v>2.5851819107804465E-2</v>
      </c>
      <c r="F6830" s="2" t="s">
        <v>822</v>
      </c>
      <c r="G6830" s="23" t="s">
        <v>902</v>
      </c>
      <c r="H6830" s="2" t="s">
        <v>822</v>
      </c>
      <c r="J6830" s="31">
        <v>64.783996599999995</v>
      </c>
      <c r="K6830" s="31">
        <v>4.8680000000000003</v>
      </c>
      <c r="L6830" s="31"/>
      <c r="M6830" s="31" t="s">
        <v>854</v>
      </c>
      <c r="N6830" s="6" t="s">
        <v>856</v>
      </c>
    </row>
    <row r="6831" spans="1:14" ht="15" customHeight="1" x14ac:dyDescent="0.2">
      <c r="A6831" s="31">
        <v>0.13179588649576729</v>
      </c>
      <c r="B6831" s="31"/>
      <c r="C6831" s="2" t="s">
        <v>855</v>
      </c>
      <c r="D6831" s="31">
        <f t="shared" si="200"/>
        <v>2.5831993753170388E-2</v>
      </c>
      <c r="F6831" s="2" t="s">
        <v>822</v>
      </c>
      <c r="G6831" s="23" t="s">
        <v>902</v>
      </c>
      <c r="H6831" s="2" t="s">
        <v>822</v>
      </c>
      <c r="J6831" s="31">
        <v>63.448001900000001</v>
      </c>
      <c r="K6831" s="31">
        <v>-32.540000900000003</v>
      </c>
      <c r="L6831" s="31"/>
      <c r="M6831" s="31" t="s">
        <v>854</v>
      </c>
      <c r="N6831" s="6" t="s">
        <v>856</v>
      </c>
    </row>
    <row r="6832" spans="1:14" ht="15" customHeight="1" x14ac:dyDescent="0.2">
      <c r="A6832" s="31">
        <v>0.13160367953101601</v>
      </c>
      <c r="B6832" s="31"/>
      <c r="C6832" s="2" t="s">
        <v>855</v>
      </c>
      <c r="D6832" s="31">
        <f t="shared" si="200"/>
        <v>2.5794321188079138E-2</v>
      </c>
      <c r="F6832" s="2" t="s">
        <v>822</v>
      </c>
      <c r="G6832" s="23" t="s">
        <v>902</v>
      </c>
      <c r="H6832" s="2" t="s">
        <v>822</v>
      </c>
      <c r="J6832" s="31">
        <v>60.776001000000001</v>
      </c>
      <c r="K6832" s="31">
        <v>-35.212001800000003</v>
      </c>
      <c r="L6832" s="31"/>
      <c r="M6832" s="31" t="s">
        <v>854</v>
      </c>
      <c r="N6832" s="6" t="s">
        <v>856</v>
      </c>
    </row>
    <row r="6833" spans="1:14" ht="15" customHeight="1" x14ac:dyDescent="0.2">
      <c r="A6833" s="31">
        <v>0.13153612053841221</v>
      </c>
      <c r="B6833" s="31"/>
      <c r="C6833" s="2" t="s">
        <v>855</v>
      </c>
      <c r="D6833" s="31">
        <f t="shared" si="200"/>
        <v>2.5781079625528794E-2</v>
      </c>
      <c r="F6833" s="2" t="s">
        <v>822</v>
      </c>
      <c r="G6833" s="23" t="s">
        <v>902</v>
      </c>
      <c r="H6833" s="2" t="s">
        <v>822</v>
      </c>
      <c r="J6833" s="31">
        <v>65.844596899999999</v>
      </c>
      <c r="K6833" s="31">
        <v>-24.3512001</v>
      </c>
      <c r="L6833" s="31"/>
      <c r="M6833" s="31" t="s">
        <v>854</v>
      </c>
      <c r="N6833" s="6" t="s">
        <v>856</v>
      </c>
    </row>
    <row r="6834" spans="1:14" ht="15" customHeight="1" x14ac:dyDescent="0.2">
      <c r="A6834" s="31">
        <v>0.131426984645658</v>
      </c>
      <c r="B6834" s="31"/>
      <c r="C6834" s="2" t="s">
        <v>855</v>
      </c>
      <c r="D6834" s="31">
        <f t="shared" si="200"/>
        <v>2.5759688990548969E-2</v>
      </c>
      <c r="F6834" s="2" t="s">
        <v>822</v>
      </c>
      <c r="G6834" s="23" t="s">
        <v>902</v>
      </c>
      <c r="H6834" s="2" t="s">
        <v>822</v>
      </c>
      <c r="J6834" s="31">
        <v>62.111999500000003</v>
      </c>
      <c r="K6834" s="31">
        <v>-33.875999499999999</v>
      </c>
      <c r="L6834" s="31"/>
      <c r="M6834" s="31" t="s">
        <v>854</v>
      </c>
      <c r="N6834" s="6" t="s">
        <v>856</v>
      </c>
    </row>
    <row r="6835" spans="1:14" ht="15" customHeight="1" x14ac:dyDescent="0.2">
      <c r="A6835" s="31">
        <v>0.1313489678999509</v>
      </c>
      <c r="B6835" s="31"/>
      <c r="C6835" s="2" t="s">
        <v>855</v>
      </c>
      <c r="D6835" s="31">
        <f t="shared" si="200"/>
        <v>2.5744397708390376E-2</v>
      </c>
      <c r="F6835" s="2" t="s">
        <v>822</v>
      </c>
      <c r="G6835" s="23" t="s">
        <v>902</v>
      </c>
      <c r="H6835" s="2" t="s">
        <v>822</v>
      </c>
      <c r="J6835" s="31">
        <v>64.783996599999995</v>
      </c>
      <c r="K6835" s="31">
        <v>-13.0481997</v>
      </c>
      <c r="L6835" s="31"/>
      <c r="M6835" s="31" t="s">
        <v>854</v>
      </c>
      <c r="N6835" s="6" t="s">
        <v>856</v>
      </c>
    </row>
    <row r="6836" spans="1:14" ht="15" customHeight="1" x14ac:dyDescent="0.2">
      <c r="A6836" s="31">
        <v>0.13122260918531309</v>
      </c>
      <c r="B6836" s="31"/>
      <c r="C6836" s="2" t="s">
        <v>855</v>
      </c>
      <c r="D6836" s="31">
        <f t="shared" si="200"/>
        <v>2.5719631400321366E-2</v>
      </c>
      <c r="F6836" s="2" t="s">
        <v>822</v>
      </c>
      <c r="G6836" s="23" t="s">
        <v>902</v>
      </c>
      <c r="H6836" s="2" t="s">
        <v>822</v>
      </c>
      <c r="J6836" s="31">
        <v>59.838600200000002</v>
      </c>
      <c r="K6836" s="31">
        <v>-4.5401601999999999</v>
      </c>
      <c r="L6836" s="31"/>
      <c r="M6836" s="31" t="s">
        <v>854</v>
      </c>
      <c r="N6836" s="6" t="s">
        <v>856</v>
      </c>
    </row>
    <row r="6837" spans="1:14" ht="15" customHeight="1" x14ac:dyDescent="0.2">
      <c r="A6837" s="31">
        <v>0.13099742218970281</v>
      </c>
      <c r="B6837" s="31"/>
      <c r="C6837" s="2" t="s">
        <v>855</v>
      </c>
      <c r="D6837" s="31">
        <f t="shared" si="200"/>
        <v>2.5675494749181751E-2</v>
      </c>
      <c r="F6837" s="2" t="s">
        <v>822</v>
      </c>
      <c r="G6837" s="23" t="s">
        <v>902</v>
      </c>
      <c r="H6837" s="2" t="s">
        <v>822</v>
      </c>
      <c r="J6837" s="31">
        <v>65.682403600000001</v>
      </c>
      <c r="K6837" s="31">
        <v>-20.538000100000001</v>
      </c>
      <c r="L6837" s="31"/>
      <c r="M6837" s="31" t="s">
        <v>854</v>
      </c>
      <c r="N6837" s="6" t="s">
        <v>856</v>
      </c>
    </row>
    <row r="6838" spans="1:14" ht="15" customHeight="1" x14ac:dyDescent="0.2">
      <c r="A6838" s="31">
        <v>0.13090769149877091</v>
      </c>
      <c r="B6838" s="31"/>
      <c r="C6838" s="2" t="s">
        <v>855</v>
      </c>
      <c r="D6838" s="31">
        <f t="shared" si="200"/>
        <v>2.56579075337591E-2</v>
      </c>
      <c r="F6838" s="2" t="s">
        <v>822</v>
      </c>
      <c r="G6838" s="23" t="s">
        <v>902</v>
      </c>
      <c r="H6838" s="2" t="s">
        <v>822</v>
      </c>
      <c r="J6838" s="31">
        <v>62.111999500000003</v>
      </c>
      <c r="K6838" s="31">
        <v>-5.1520000000000001</v>
      </c>
      <c r="L6838" s="31"/>
      <c r="M6838" s="31" t="s">
        <v>854</v>
      </c>
      <c r="N6838" s="6" t="s">
        <v>856</v>
      </c>
    </row>
    <row r="6839" spans="1:14" ht="15" customHeight="1" x14ac:dyDescent="0.2">
      <c r="A6839" s="31">
        <v>0.13088614315759359</v>
      </c>
      <c r="B6839" s="31"/>
      <c r="C6839" s="2" t="s">
        <v>855</v>
      </c>
      <c r="D6839" s="31">
        <f t="shared" si="200"/>
        <v>2.5653684058888345E-2</v>
      </c>
      <c r="F6839" s="2" t="s">
        <v>822</v>
      </c>
      <c r="G6839" s="23" t="s">
        <v>902</v>
      </c>
      <c r="H6839" s="2" t="s">
        <v>822</v>
      </c>
      <c r="J6839" s="31">
        <v>63.448001900000001</v>
      </c>
      <c r="K6839" s="31">
        <v>-30.5359993</v>
      </c>
      <c r="L6839" s="31"/>
      <c r="M6839" s="31" t="s">
        <v>854</v>
      </c>
      <c r="N6839" s="6" t="s">
        <v>856</v>
      </c>
    </row>
    <row r="6840" spans="1:14" ht="15" customHeight="1" x14ac:dyDescent="0.2">
      <c r="A6840" s="31">
        <v>0.1307346356363871</v>
      </c>
      <c r="B6840" s="31"/>
      <c r="C6840" s="2" t="s">
        <v>855</v>
      </c>
      <c r="D6840" s="31">
        <f t="shared" si="200"/>
        <v>2.5623988584731871E-2</v>
      </c>
      <c r="F6840" s="2" t="s">
        <v>822</v>
      </c>
      <c r="G6840" s="23" t="s">
        <v>902</v>
      </c>
      <c r="H6840" s="2" t="s">
        <v>822</v>
      </c>
      <c r="J6840" s="31">
        <v>68.791999799999999</v>
      </c>
      <c r="K6840" s="31">
        <v>11.5480003</v>
      </c>
      <c r="L6840" s="31"/>
      <c r="M6840" s="31" t="s">
        <v>854</v>
      </c>
      <c r="N6840" s="6" t="s">
        <v>856</v>
      </c>
    </row>
    <row r="6841" spans="1:14" ht="15" customHeight="1" x14ac:dyDescent="0.2">
      <c r="A6841" s="31">
        <v>0.13059796581886801</v>
      </c>
      <c r="B6841" s="31"/>
      <c r="C6841" s="2" t="s">
        <v>855</v>
      </c>
      <c r="D6841" s="31">
        <f t="shared" si="200"/>
        <v>2.559720130049813E-2</v>
      </c>
      <c r="F6841" s="2" t="s">
        <v>822</v>
      </c>
      <c r="G6841" s="23" t="s">
        <v>902</v>
      </c>
      <c r="H6841" s="2" t="s">
        <v>822</v>
      </c>
      <c r="J6841" s="31">
        <v>66.788002000000006</v>
      </c>
      <c r="K6841" s="31">
        <v>5.5359997999999999</v>
      </c>
      <c r="L6841" s="31"/>
      <c r="M6841" s="31" t="s">
        <v>854</v>
      </c>
      <c r="N6841" s="6" t="s">
        <v>856</v>
      </c>
    </row>
    <row r="6842" spans="1:14" ht="15" customHeight="1" x14ac:dyDescent="0.2">
      <c r="A6842" s="31">
        <v>0.13052403517598499</v>
      </c>
      <c r="B6842" s="31"/>
      <c r="C6842" s="2" t="s">
        <v>855</v>
      </c>
      <c r="D6842" s="31">
        <f t="shared" si="200"/>
        <v>2.5582710894493058E-2</v>
      </c>
      <c r="F6842" s="2" t="s">
        <v>822</v>
      </c>
      <c r="G6842" s="23" t="s">
        <v>902</v>
      </c>
      <c r="H6842" s="2" t="s">
        <v>822</v>
      </c>
      <c r="J6842" s="31">
        <v>65.386802700000004</v>
      </c>
      <c r="K6842" s="31">
        <v>-23.869300800000001</v>
      </c>
      <c r="L6842" s="31"/>
      <c r="M6842" s="31" t="s">
        <v>854</v>
      </c>
      <c r="N6842" s="6" t="s">
        <v>856</v>
      </c>
    </row>
    <row r="6843" spans="1:14" ht="15" customHeight="1" x14ac:dyDescent="0.2">
      <c r="A6843" s="31">
        <v>0.13044094879333801</v>
      </c>
      <c r="B6843" s="31"/>
      <c r="C6843" s="2" t="s">
        <v>855</v>
      </c>
      <c r="D6843" s="31">
        <f t="shared" si="200"/>
        <v>2.556642596349425E-2</v>
      </c>
      <c r="F6843" s="2" t="s">
        <v>822</v>
      </c>
      <c r="G6843" s="23" t="s">
        <v>902</v>
      </c>
      <c r="H6843" s="2" t="s">
        <v>822</v>
      </c>
      <c r="J6843" s="31">
        <v>58.087299299999998</v>
      </c>
      <c r="K6843" s="31">
        <v>-8.4598397999999992</v>
      </c>
      <c r="L6843" s="31"/>
      <c r="M6843" s="31" t="s">
        <v>854</v>
      </c>
      <c r="N6843" s="6" t="s">
        <v>856</v>
      </c>
    </row>
    <row r="6844" spans="1:14" ht="15" customHeight="1" x14ac:dyDescent="0.2">
      <c r="A6844" s="31">
        <v>0.13030822775040349</v>
      </c>
      <c r="B6844" s="31"/>
      <c r="C6844" s="2" t="s">
        <v>855</v>
      </c>
      <c r="D6844" s="31">
        <f t="shared" si="200"/>
        <v>2.5540412639079083E-2</v>
      </c>
      <c r="F6844" s="2" t="s">
        <v>822</v>
      </c>
      <c r="G6844" s="23" t="s">
        <v>902</v>
      </c>
      <c r="H6844" s="2" t="s">
        <v>822</v>
      </c>
      <c r="J6844" s="31">
        <v>71.462402299999994</v>
      </c>
      <c r="K6844" s="31">
        <v>14.203900300000001</v>
      </c>
      <c r="L6844" s="31"/>
      <c r="M6844" s="31" t="s">
        <v>854</v>
      </c>
      <c r="N6844" s="6" t="s">
        <v>856</v>
      </c>
    </row>
    <row r="6845" spans="1:14" ht="15" customHeight="1" x14ac:dyDescent="0.2">
      <c r="A6845" s="31">
        <v>0.13020208798771091</v>
      </c>
      <c r="B6845" s="31"/>
      <c r="C6845" s="2" t="s">
        <v>855</v>
      </c>
      <c r="D6845" s="31">
        <f t="shared" si="200"/>
        <v>2.5519609245591338E-2</v>
      </c>
      <c r="F6845" s="2" t="s">
        <v>822</v>
      </c>
      <c r="G6845" s="23" t="s">
        <v>902</v>
      </c>
      <c r="H6845" s="2" t="s">
        <v>822</v>
      </c>
      <c r="J6845" s="31">
        <v>50.751800500000002</v>
      </c>
      <c r="K6845" s="31">
        <v>-37.213001300000002</v>
      </c>
      <c r="L6845" s="31"/>
      <c r="M6845" s="31" t="s">
        <v>854</v>
      </c>
      <c r="N6845" s="6" t="s">
        <v>856</v>
      </c>
    </row>
    <row r="6846" spans="1:14" ht="15" customHeight="1" x14ac:dyDescent="0.2">
      <c r="A6846" s="31">
        <v>0.12995793988987681</v>
      </c>
      <c r="B6846" s="31"/>
      <c r="C6846" s="2" t="s">
        <v>855</v>
      </c>
      <c r="D6846" s="31">
        <f t="shared" si="200"/>
        <v>2.5471756218415856E-2</v>
      </c>
      <c r="F6846" s="2" t="s">
        <v>822</v>
      </c>
      <c r="G6846" s="23" t="s">
        <v>902</v>
      </c>
      <c r="H6846" s="2" t="s">
        <v>822</v>
      </c>
      <c r="J6846" s="31">
        <v>65.130798299999995</v>
      </c>
      <c r="K6846" s="31">
        <v>-32.903598799999997</v>
      </c>
      <c r="L6846" s="31"/>
      <c r="M6846" s="31" t="s">
        <v>854</v>
      </c>
      <c r="N6846" s="6" t="s">
        <v>856</v>
      </c>
    </row>
    <row r="6847" spans="1:14" ht="15" customHeight="1" x14ac:dyDescent="0.2">
      <c r="A6847" s="31">
        <v>0.12988919259932019</v>
      </c>
      <c r="B6847" s="31"/>
      <c r="C6847" s="2" t="s">
        <v>855</v>
      </c>
      <c r="D6847" s="31">
        <f t="shared" si="200"/>
        <v>2.5458281749466759E-2</v>
      </c>
      <c r="F6847" s="2" t="s">
        <v>822</v>
      </c>
      <c r="G6847" s="23" t="s">
        <v>902</v>
      </c>
      <c r="H6847" s="2" t="s">
        <v>822</v>
      </c>
      <c r="J6847" s="31">
        <v>61.444000199999998</v>
      </c>
      <c r="K6847" s="31">
        <v>-39.888000499999997</v>
      </c>
      <c r="L6847" s="31"/>
      <c r="M6847" s="31" t="s">
        <v>854</v>
      </c>
      <c r="N6847" s="6" t="s">
        <v>856</v>
      </c>
    </row>
    <row r="6848" spans="1:14" ht="15" customHeight="1" x14ac:dyDescent="0.2">
      <c r="A6848" s="31">
        <v>0.12977963068268819</v>
      </c>
      <c r="B6848" s="31"/>
      <c r="C6848" s="2" t="s">
        <v>855</v>
      </c>
      <c r="D6848" s="31">
        <f t="shared" ref="D6848:D6911" si="201" xml:space="preserve"> A6848 * 0.196</f>
        <v>2.5436807613806886E-2</v>
      </c>
      <c r="F6848" s="2" t="s">
        <v>822</v>
      </c>
      <c r="G6848" s="23" t="s">
        <v>902</v>
      </c>
      <c r="H6848" s="2" t="s">
        <v>822</v>
      </c>
      <c r="J6848" s="31">
        <v>66.553596499999998</v>
      </c>
      <c r="K6848" s="31">
        <v>12.0598001</v>
      </c>
      <c r="L6848" s="31"/>
      <c r="M6848" s="31" t="s">
        <v>854</v>
      </c>
      <c r="N6848" s="6" t="s">
        <v>856</v>
      </c>
    </row>
    <row r="6849" spans="1:14" ht="15" customHeight="1" x14ac:dyDescent="0.2">
      <c r="A6849" s="31">
        <v>0.12971965953775039</v>
      </c>
      <c r="B6849" s="31"/>
      <c r="C6849" s="2" t="s">
        <v>855</v>
      </c>
      <c r="D6849" s="31">
        <f t="shared" si="201"/>
        <v>2.5425053269399076E-2</v>
      </c>
      <c r="F6849" s="2" t="s">
        <v>822</v>
      </c>
      <c r="G6849" s="23" t="s">
        <v>902</v>
      </c>
      <c r="H6849" s="2" t="s">
        <v>822</v>
      </c>
      <c r="J6849" s="31">
        <v>70.750801100000004</v>
      </c>
      <c r="K6849" s="31">
        <v>-8.4437303999999997</v>
      </c>
      <c r="L6849" s="31"/>
      <c r="M6849" s="31" t="s">
        <v>854</v>
      </c>
      <c r="N6849" s="6" t="s">
        <v>856</v>
      </c>
    </row>
    <row r="6850" spans="1:14" ht="15" customHeight="1" x14ac:dyDescent="0.2">
      <c r="A6850" s="31">
        <v>0.12952418871328361</v>
      </c>
      <c r="B6850" s="31"/>
      <c r="C6850" s="2" t="s">
        <v>855</v>
      </c>
      <c r="D6850" s="31">
        <f t="shared" si="201"/>
        <v>2.538674098780359E-2</v>
      </c>
      <c r="F6850" s="2" t="s">
        <v>822</v>
      </c>
      <c r="G6850" s="23" t="s">
        <v>902</v>
      </c>
      <c r="H6850" s="2" t="s">
        <v>822</v>
      </c>
      <c r="J6850" s="31">
        <v>68.791999799999999</v>
      </c>
      <c r="K6850" s="31">
        <v>10.2119999</v>
      </c>
      <c r="L6850" s="31"/>
      <c r="M6850" s="31" t="s">
        <v>854</v>
      </c>
      <c r="N6850" s="6" t="s">
        <v>856</v>
      </c>
    </row>
    <row r="6851" spans="1:14" ht="15" customHeight="1" x14ac:dyDescent="0.2">
      <c r="A6851" s="31">
        <v>0.12900801172856599</v>
      </c>
      <c r="B6851" s="31"/>
      <c r="C6851" s="2" t="s">
        <v>855</v>
      </c>
      <c r="D6851" s="31">
        <f t="shared" si="201"/>
        <v>2.5285570298798934E-2</v>
      </c>
      <c r="F6851" s="2" t="s">
        <v>822</v>
      </c>
      <c r="G6851" s="23" t="s">
        <v>902</v>
      </c>
      <c r="H6851" s="2" t="s">
        <v>822</v>
      </c>
      <c r="J6851" s="31">
        <v>58.1040001</v>
      </c>
      <c r="K6851" s="31">
        <v>-42.560001399999997</v>
      </c>
      <c r="L6851" s="31"/>
      <c r="M6851" s="31" t="s">
        <v>854</v>
      </c>
      <c r="N6851" s="6" t="s">
        <v>856</v>
      </c>
    </row>
    <row r="6852" spans="1:14" ht="15" customHeight="1" x14ac:dyDescent="0.2">
      <c r="A6852" s="31">
        <v>0.12894518810732639</v>
      </c>
      <c r="B6852" s="31"/>
      <c r="C6852" s="2" t="s">
        <v>855</v>
      </c>
      <c r="D6852" s="31">
        <f t="shared" si="201"/>
        <v>2.5273256869035973E-2</v>
      </c>
      <c r="F6852" s="2" t="s">
        <v>822</v>
      </c>
      <c r="G6852" s="23" t="s">
        <v>902</v>
      </c>
      <c r="H6852" s="2" t="s">
        <v>822</v>
      </c>
      <c r="J6852" s="31">
        <v>60.776001000000001</v>
      </c>
      <c r="K6852" s="31">
        <v>-37.215999600000004</v>
      </c>
      <c r="L6852" s="31"/>
      <c r="M6852" s="31" t="s">
        <v>854</v>
      </c>
      <c r="N6852" s="6" t="s">
        <v>856</v>
      </c>
    </row>
    <row r="6853" spans="1:14" ht="15" customHeight="1" x14ac:dyDescent="0.2">
      <c r="A6853" s="31">
        <v>0.12832653238256381</v>
      </c>
      <c r="B6853" s="31"/>
      <c r="C6853" s="2" t="s">
        <v>855</v>
      </c>
      <c r="D6853" s="31">
        <f t="shared" si="201"/>
        <v>2.5152000346982506E-2</v>
      </c>
      <c r="F6853" s="2" t="s">
        <v>822</v>
      </c>
      <c r="G6853" s="23" t="s">
        <v>902</v>
      </c>
      <c r="H6853" s="2" t="s">
        <v>822</v>
      </c>
      <c r="J6853" s="31">
        <v>69.459999100000005</v>
      </c>
      <c r="K6853" s="31">
        <v>12.2159996</v>
      </c>
      <c r="L6853" s="31"/>
      <c r="M6853" s="31" t="s">
        <v>854</v>
      </c>
      <c r="N6853" s="6" t="s">
        <v>856</v>
      </c>
    </row>
    <row r="6854" spans="1:14" ht="15" customHeight="1" x14ac:dyDescent="0.2">
      <c r="A6854" s="31">
        <v>0.12827432726195079</v>
      </c>
      <c r="B6854" s="31"/>
      <c r="C6854" s="2" t="s">
        <v>855</v>
      </c>
      <c r="D6854" s="31">
        <f t="shared" si="201"/>
        <v>2.5141768143342354E-2</v>
      </c>
      <c r="F6854" s="2" t="s">
        <v>822</v>
      </c>
      <c r="G6854" s="23" t="s">
        <v>902</v>
      </c>
      <c r="H6854" s="2" t="s">
        <v>822</v>
      </c>
      <c r="J6854" s="31">
        <v>62.111999500000003</v>
      </c>
      <c r="K6854" s="31">
        <v>0.192</v>
      </c>
      <c r="L6854" s="31"/>
      <c r="M6854" s="31" t="s">
        <v>854</v>
      </c>
      <c r="N6854" s="6" t="s">
        <v>856</v>
      </c>
    </row>
    <row r="6855" spans="1:14" ht="15" customHeight="1" x14ac:dyDescent="0.2">
      <c r="A6855" s="31">
        <v>0.1282430845476438</v>
      </c>
      <c r="B6855" s="31"/>
      <c r="C6855" s="2" t="s">
        <v>855</v>
      </c>
      <c r="D6855" s="31">
        <f t="shared" si="201"/>
        <v>2.5135644571338187E-2</v>
      </c>
      <c r="F6855" s="2" t="s">
        <v>822</v>
      </c>
      <c r="G6855" s="23" t="s">
        <v>902</v>
      </c>
      <c r="H6855" s="2" t="s">
        <v>822</v>
      </c>
      <c r="J6855" s="31">
        <v>64.167602500000001</v>
      </c>
      <c r="K6855" s="31">
        <v>-11.1988001</v>
      </c>
      <c r="L6855" s="31"/>
      <c r="M6855" s="31" t="s">
        <v>854</v>
      </c>
      <c r="N6855" s="6" t="s">
        <v>856</v>
      </c>
    </row>
    <row r="6856" spans="1:14" ht="15" customHeight="1" x14ac:dyDescent="0.2">
      <c r="A6856" s="31">
        <v>0.12799891241560249</v>
      </c>
      <c r="B6856" s="31"/>
      <c r="C6856" s="2" t="s">
        <v>855</v>
      </c>
      <c r="D6856" s="31">
        <f t="shared" si="201"/>
        <v>2.5087786833458088E-2</v>
      </c>
      <c r="F6856" s="2" t="s">
        <v>822</v>
      </c>
      <c r="G6856" s="23" t="s">
        <v>902</v>
      </c>
      <c r="H6856" s="2" t="s">
        <v>822</v>
      </c>
      <c r="J6856" s="31">
        <v>65.606201200000001</v>
      </c>
      <c r="K6856" s="31">
        <v>-26.630199399999999</v>
      </c>
      <c r="L6856" s="31"/>
      <c r="M6856" s="31" t="s">
        <v>854</v>
      </c>
      <c r="N6856" s="6" t="s">
        <v>856</v>
      </c>
    </row>
    <row r="6857" spans="1:14" ht="15" customHeight="1" x14ac:dyDescent="0.2">
      <c r="A6857" s="31">
        <v>0.12785000555666601</v>
      </c>
      <c r="B6857" s="31"/>
      <c r="C6857" s="2" t="s">
        <v>855</v>
      </c>
      <c r="D6857" s="31">
        <f t="shared" si="201"/>
        <v>2.5058601089106538E-2</v>
      </c>
      <c r="F6857" s="2" t="s">
        <v>822</v>
      </c>
      <c r="G6857" s="23" t="s">
        <v>902</v>
      </c>
      <c r="H6857" s="2" t="s">
        <v>822</v>
      </c>
      <c r="J6857" s="31">
        <v>62.111999500000003</v>
      </c>
      <c r="K6857" s="31">
        <v>-37.215999600000004</v>
      </c>
      <c r="L6857" s="31"/>
      <c r="M6857" s="31" t="s">
        <v>854</v>
      </c>
      <c r="N6857" s="6" t="s">
        <v>856</v>
      </c>
    </row>
    <row r="6858" spans="1:14" ht="15" customHeight="1" x14ac:dyDescent="0.2">
      <c r="A6858" s="31">
        <v>0.12777863946265039</v>
      </c>
      <c r="B6858" s="31"/>
      <c r="C6858" s="2" t="s">
        <v>855</v>
      </c>
      <c r="D6858" s="31">
        <f t="shared" si="201"/>
        <v>2.5044613334679479E-2</v>
      </c>
      <c r="F6858" s="2" t="s">
        <v>822</v>
      </c>
      <c r="G6858" s="23" t="s">
        <v>902</v>
      </c>
      <c r="H6858" s="2" t="s">
        <v>822</v>
      </c>
      <c r="J6858" s="31">
        <v>64.263900800000002</v>
      </c>
      <c r="K6858" s="31">
        <v>-34.023899100000001</v>
      </c>
      <c r="L6858" s="31"/>
      <c r="M6858" s="31" t="s">
        <v>854</v>
      </c>
      <c r="N6858" s="6" t="s">
        <v>856</v>
      </c>
    </row>
    <row r="6859" spans="1:14" ht="15" customHeight="1" x14ac:dyDescent="0.2">
      <c r="A6859" s="31">
        <v>0.127622922769491</v>
      </c>
      <c r="B6859" s="31"/>
      <c r="C6859" s="2" t="s">
        <v>855</v>
      </c>
      <c r="D6859" s="31">
        <f t="shared" si="201"/>
        <v>2.5014092862820237E-2</v>
      </c>
      <c r="F6859" s="2" t="s">
        <v>822</v>
      </c>
      <c r="G6859" s="23" t="s">
        <v>902</v>
      </c>
      <c r="H6859" s="2" t="s">
        <v>822</v>
      </c>
      <c r="J6859" s="31">
        <v>54.770000500000002</v>
      </c>
      <c r="K6859" s="31">
        <v>-39.233001700000003</v>
      </c>
      <c r="L6859" s="31"/>
      <c r="M6859" s="31" t="s">
        <v>854</v>
      </c>
      <c r="N6859" s="6" t="s">
        <v>856</v>
      </c>
    </row>
    <row r="6860" spans="1:14" ht="15" customHeight="1" x14ac:dyDescent="0.2">
      <c r="A6860" s="31">
        <v>0.12730574956424931</v>
      </c>
      <c r="B6860" s="31"/>
      <c r="C6860" s="2" t="s">
        <v>855</v>
      </c>
      <c r="D6860" s="31">
        <f t="shared" si="201"/>
        <v>2.4951926914592866E-2</v>
      </c>
      <c r="F6860" s="2" t="s">
        <v>822</v>
      </c>
      <c r="G6860" s="23" t="s">
        <v>902</v>
      </c>
      <c r="H6860" s="2" t="s">
        <v>822</v>
      </c>
      <c r="J6860" s="31">
        <v>58.771999399999999</v>
      </c>
      <c r="K6860" s="31">
        <v>-40.555999800000002</v>
      </c>
      <c r="L6860" s="31"/>
      <c r="M6860" s="31" t="s">
        <v>854</v>
      </c>
      <c r="N6860" s="6" t="s">
        <v>856</v>
      </c>
    </row>
    <row r="6861" spans="1:14" ht="15" customHeight="1" x14ac:dyDescent="0.2">
      <c r="A6861" s="31">
        <v>0.1268826726010224</v>
      </c>
      <c r="B6861" s="31"/>
      <c r="C6861" s="2" t="s">
        <v>855</v>
      </c>
      <c r="D6861" s="31">
        <f t="shared" si="201"/>
        <v>2.4869003829800392E-2</v>
      </c>
      <c r="F6861" s="2" t="s">
        <v>822</v>
      </c>
      <c r="G6861" s="23" t="s">
        <v>902</v>
      </c>
      <c r="H6861" s="2" t="s">
        <v>822</v>
      </c>
      <c r="J6861" s="31">
        <v>64.220596299999997</v>
      </c>
      <c r="K6861" s="31">
        <v>-8.9623498999999995</v>
      </c>
      <c r="L6861" s="31"/>
      <c r="M6861" s="31" t="s">
        <v>854</v>
      </c>
      <c r="N6861" s="6" t="s">
        <v>856</v>
      </c>
    </row>
    <row r="6862" spans="1:14" ht="15" customHeight="1" x14ac:dyDescent="0.2">
      <c r="A6862" s="31">
        <v>0.12673246340945349</v>
      </c>
      <c r="B6862" s="31"/>
      <c r="C6862" s="2" t="s">
        <v>855</v>
      </c>
      <c r="D6862" s="31">
        <f t="shared" si="201"/>
        <v>2.4839562828252885E-2</v>
      </c>
      <c r="F6862" s="2" t="s">
        <v>822</v>
      </c>
      <c r="G6862" s="23" t="s">
        <v>902</v>
      </c>
      <c r="H6862" s="2" t="s">
        <v>822</v>
      </c>
      <c r="J6862" s="31">
        <v>63.788299600000002</v>
      </c>
      <c r="K6862" s="31">
        <v>-38.896801000000004</v>
      </c>
      <c r="L6862" s="31"/>
      <c r="M6862" s="31" t="s">
        <v>854</v>
      </c>
      <c r="N6862" s="6" t="s">
        <v>856</v>
      </c>
    </row>
    <row r="6863" spans="1:14" ht="15" customHeight="1" x14ac:dyDescent="0.2">
      <c r="A6863" s="31">
        <v>0.12670218164948199</v>
      </c>
      <c r="B6863" s="31"/>
      <c r="C6863" s="2" t="s">
        <v>855</v>
      </c>
      <c r="D6863" s="31">
        <f t="shared" si="201"/>
        <v>2.4833627603298471E-2</v>
      </c>
      <c r="F6863" s="2" t="s">
        <v>822</v>
      </c>
      <c r="G6863" s="23" t="s">
        <v>902</v>
      </c>
      <c r="H6863" s="2" t="s">
        <v>822</v>
      </c>
      <c r="J6863" s="31">
        <v>64.115997300000004</v>
      </c>
      <c r="K6863" s="31">
        <v>2.8640001000000002</v>
      </c>
      <c r="L6863" s="31"/>
      <c r="M6863" s="31" t="s">
        <v>854</v>
      </c>
      <c r="N6863" s="6" t="s">
        <v>856</v>
      </c>
    </row>
    <row r="6864" spans="1:14" ht="15" customHeight="1" x14ac:dyDescent="0.2">
      <c r="A6864" s="31">
        <v>0.12662553839804061</v>
      </c>
      <c r="B6864" s="31"/>
      <c r="C6864" s="2" t="s">
        <v>855</v>
      </c>
      <c r="D6864" s="31">
        <f t="shared" si="201"/>
        <v>2.481860552601596E-2</v>
      </c>
      <c r="F6864" s="2" t="s">
        <v>822</v>
      </c>
      <c r="G6864" s="23" t="s">
        <v>902</v>
      </c>
      <c r="H6864" s="2" t="s">
        <v>822</v>
      </c>
      <c r="J6864" s="31">
        <v>64.115997300000004</v>
      </c>
      <c r="K6864" s="31">
        <v>-34.543998700000003</v>
      </c>
      <c r="L6864" s="31"/>
      <c r="M6864" s="31" t="s">
        <v>854</v>
      </c>
      <c r="N6864" s="6" t="s">
        <v>856</v>
      </c>
    </row>
    <row r="6865" spans="1:14" ht="15" customHeight="1" x14ac:dyDescent="0.2">
      <c r="A6865" s="31">
        <v>0.12629043309669671</v>
      </c>
      <c r="B6865" s="31"/>
      <c r="C6865" s="2" t="s">
        <v>855</v>
      </c>
      <c r="D6865" s="31">
        <f t="shared" si="201"/>
        <v>2.4752924886952556E-2</v>
      </c>
      <c r="F6865" s="2" t="s">
        <v>822</v>
      </c>
      <c r="G6865" s="23" t="s">
        <v>902</v>
      </c>
      <c r="H6865" s="2" t="s">
        <v>822</v>
      </c>
      <c r="J6865" s="31">
        <v>62.779998800000001</v>
      </c>
      <c r="K6865" s="31">
        <v>-31.8719997</v>
      </c>
      <c r="L6865" s="31"/>
      <c r="M6865" s="31" t="s">
        <v>854</v>
      </c>
      <c r="N6865" s="6" t="s">
        <v>856</v>
      </c>
    </row>
    <row r="6866" spans="1:14" ht="15" customHeight="1" x14ac:dyDescent="0.2">
      <c r="A6866" s="31">
        <v>0.12610303762661701</v>
      </c>
      <c r="B6866" s="31"/>
      <c r="C6866" s="2" t="s">
        <v>855</v>
      </c>
      <c r="D6866" s="31">
        <f t="shared" si="201"/>
        <v>2.4716195374816934E-2</v>
      </c>
      <c r="F6866" s="2" t="s">
        <v>822</v>
      </c>
      <c r="G6866" s="23" t="s">
        <v>902</v>
      </c>
      <c r="H6866" s="2" t="s">
        <v>822</v>
      </c>
      <c r="J6866" s="31">
        <v>65.452003500000004</v>
      </c>
      <c r="K6866" s="31">
        <v>-29.200000800000002</v>
      </c>
      <c r="L6866" s="31"/>
      <c r="M6866" s="31" t="s">
        <v>854</v>
      </c>
      <c r="N6866" s="6" t="s">
        <v>856</v>
      </c>
    </row>
    <row r="6867" spans="1:14" ht="15" customHeight="1" x14ac:dyDescent="0.2">
      <c r="A6867" s="31">
        <v>0.1260503601167666</v>
      </c>
      <c r="B6867" s="31"/>
      <c r="C6867" s="2" t="s">
        <v>855</v>
      </c>
      <c r="D6867" s="31">
        <f t="shared" si="201"/>
        <v>2.4705870582886254E-2</v>
      </c>
      <c r="F6867" s="2" t="s">
        <v>822</v>
      </c>
      <c r="G6867" s="23" t="s">
        <v>902</v>
      </c>
      <c r="H6867" s="2" t="s">
        <v>822</v>
      </c>
      <c r="J6867" s="31">
        <v>61.867198899999998</v>
      </c>
      <c r="K6867" s="31">
        <v>1.77037</v>
      </c>
      <c r="L6867" s="31"/>
      <c r="M6867" s="31" t="s">
        <v>854</v>
      </c>
      <c r="N6867" s="6" t="s">
        <v>856</v>
      </c>
    </row>
    <row r="6868" spans="1:14" ht="15" customHeight="1" x14ac:dyDescent="0.2">
      <c r="A6868" s="31">
        <v>0.12578460241807279</v>
      </c>
      <c r="B6868" s="31"/>
      <c r="C6868" s="2" t="s">
        <v>855</v>
      </c>
      <c r="D6868" s="31">
        <f t="shared" si="201"/>
        <v>2.4653782073942268E-2</v>
      </c>
      <c r="F6868" s="2" t="s">
        <v>822</v>
      </c>
      <c r="G6868" s="23" t="s">
        <v>902</v>
      </c>
      <c r="H6868" s="2" t="s">
        <v>822</v>
      </c>
      <c r="J6868" s="31">
        <v>60.776001000000001</v>
      </c>
      <c r="K6868" s="31">
        <v>-5.1520000000000001</v>
      </c>
      <c r="L6868" s="31"/>
      <c r="M6868" s="31" t="s">
        <v>854</v>
      </c>
      <c r="N6868" s="6" t="s">
        <v>856</v>
      </c>
    </row>
    <row r="6869" spans="1:14" ht="15" customHeight="1" x14ac:dyDescent="0.2">
      <c r="A6869" s="31">
        <v>0.12553600596524059</v>
      </c>
      <c r="B6869" s="31"/>
      <c r="C6869" s="2" t="s">
        <v>855</v>
      </c>
      <c r="D6869" s="31">
        <f t="shared" si="201"/>
        <v>2.4605057169187157E-2</v>
      </c>
      <c r="F6869" s="2" t="s">
        <v>822</v>
      </c>
      <c r="G6869" s="23" t="s">
        <v>902</v>
      </c>
      <c r="H6869" s="2" t="s">
        <v>822</v>
      </c>
      <c r="J6869" s="31">
        <v>66.887603799999994</v>
      </c>
      <c r="K6869" s="31">
        <v>12.2159996</v>
      </c>
      <c r="L6869" s="31"/>
      <c r="M6869" s="31" t="s">
        <v>854</v>
      </c>
      <c r="N6869" s="6" t="s">
        <v>856</v>
      </c>
    </row>
    <row r="6870" spans="1:14" ht="15" customHeight="1" x14ac:dyDescent="0.2">
      <c r="A6870" s="31">
        <v>0.12551183527812451</v>
      </c>
      <c r="B6870" s="31"/>
      <c r="C6870" s="2" t="s">
        <v>855</v>
      </c>
      <c r="D6870" s="31">
        <f t="shared" si="201"/>
        <v>2.4600319714512407E-2</v>
      </c>
      <c r="F6870" s="2" t="s">
        <v>822</v>
      </c>
      <c r="G6870" s="23" t="s">
        <v>902</v>
      </c>
      <c r="H6870" s="2" t="s">
        <v>822</v>
      </c>
      <c r="J6870" s="31">
        <v>63.019699099999997</v>
      </c>
      <c r="K6870" s="31">
        <v>4.6878700000000002</v>
      </c>
      <c r="L6870" s="31"/>
      <c r="M6870" s="31" t="s">
        <v>854</v>
      </c>
      <c r="N6870" s="6" t="s">
        <v>856</v>
      </c>
    </row>
    <row r="6871" spans="1:14" ht="15" customHeight="1" x14ac:dyDescent="0.2">
      <c r="A6871" s="31">
        <v>0.12534537875044141</v>
      </c>
      <c r="B6871" s="31"/>
      <c r="C6871" s="2" t="s">
        <v>855</v>
      </c>
      <c r="D6871" s="31">
        <f t="shared" si="201"/>
        <v>2.4567694235086517E-2</v>
      </c>
      <c r="F6871" s="2" t="s">
        <v>822</v>
      </c>
      <c r="G6871" s="23" t="s">
        <v>902</v>
      </c>
      <c r="H6871" s="2" t="s">
        <v>822</v>
      </c>
      <c r="J6871" s="31">
        <v>54.096000699999998</v>
      </c>
      <c r="K6871" s="31">
        <v>-42.560001399999997</v>
      </c>
      <c r="L6871" s="31"/>
      <c r="M6871" s="31" t="s">
        <v>854</v>
      </c>
      <c r="N6871" s="6" t="s">
        <v>856</v>
      </c>
    </row>
    <row r="6872" spans="1:14" ht="15" customHeight="1" x14ac:dyDescent="0.2">
      <c r="A6872" s="31">
        <v>0.12526534177991541</v>
      </c>
      <c r="B6872" s="31"/>
      <c r="C6872" s="2" t="s">
        <v>855</v>
      </c>
      <c r="D6872" s="31">
        <f t="shared" si="201"/>
        <v>2.4552006988863423E-2</v>
      </c>
      <c r="F6872" s="2" t="s">
        <v>822</v>
      </c>
      <c r="G6872" s="23" t="s">
        <v>902</v>
      </c>
      <c r="H6872" s="2" t="s">
        <v>822</v>
      </c>
      <c r="J6872" s="31">
        <v>62.779998800000001</v>
      </c>
      <c r="K6872" s="31">
        <v>0.192</v>
      </c>
      <c r="L6872" s="31"/>
      <c r="M6872" s="31" t="s">
        <v>854</v>
      </c>
      <c r="N6872" s="6" t="s">
        <v>856</v>
      </c>
    </row>
    <row r="6873" spans="1:14" ht="15" customHeight="1" x14ac:dyDescent="0.2">
      <c r="A6873" s="31">
        <v>0.12523913236009859</v>
      </c>
      <c r="B6873" s="31"/>
      <c r="C6873" s="2" t="s">
        <v>855</v>
      </c>
      <c r="D6873" s="31">
        <f t="shared" si="201"/>
        <v>2.4546869942579326E-2</v>
      </c>
      <c r="F6873" s="2" t="s">
        <v>822</v>
      </c>
      <c r="G6873" s="23" t="s">
        <v>902</v>
      </c>
      <c r="H6873" s="2" t="s">
        <v>822</v>
      </c>
      <c r="J6873" s="31">
        <v>60.776001000000001</v>
      </c>
      <c r="K6873" s="31">
        <v>-35.880001100000001</v>
      </c>
      <c r="L6873" s="31"/>
      <c r="M6873" s="31" t="s">
        <v>854</v>
      </c>
      <c r="N6873" s="6" t="s">
        <v>856</v>
      </c>
    </row>
    <row r="6874" spans="1:14" ht="15" customHeight="1" x14ac:dyDescent="0.2">
      <c r="A6874" s="31">
        <v>0.1251117662144306</v>
      </c>
      <c r="B6874" s="31"/>
      <c r="C6874" s="2" t="s">
        <v>855</v>
      </c>
      <c r="D6874" s="31">
        <f t="shared" si="201"/>
        <v>2.4521906178028397E-2</v>
      </c>
      <c r="F6874" s="2" t="s">
        <v>822</v>
      </c>
      <c r="G6874" s="23" t="s">
        <v>902</v>
      </c>
      <c r="H6874" s="2" t="s">
        <v>822</v>
      </c>
      <c r="J6874" s="31">
        <v>68.374496500000006</v>
      </c>
      <c r="K6874" s="31">
        <v>13.4785995</v>
      </c>
      <c r="L6874" s="31"/>
      <c r="M6874" s="31" t="s">
        <v>854</v>
      </c>
      <c r="N6874" s="6" t="s">
        <v>856</v>
      </c>
    </row>
    <row r="6875" spans="1:14" ht="15" customHeight="1" x14ac:dyDescent="0.2">
      <c r="A6875" s="31">
        <v>0.12504625438547209</v>
      </c>
      <c r="B6875" s="31"/>
      <c r="C6875" s="2" t="s">
        <v>855</v>
      </c>
      <c r="D6875" s="31">
        <f t="shared" si="201"/>
        <v>2.450906585955253E-2</v>
      </c>
      <c r="F6875" s="2" t="s">
        <v>822</v>
      </c>
      <c r="G6875" s="23" t="s">
        <v>902</v>
      </c>
      <c r="H6875" s="2" t="s">
        <v>822</v>
      </c>
      <c r="J6875" s="31">
        <v>66.788002000000006</v>
      </c>
      <c r="K6875" s="31">
        <v>3.5320000999999999</v>
      </c>
      <c r="L6875" s="31"/>
      <c r="M6875" s="31" t="s">
        <v>854</v>
      </c>
      <c r="N6875" s="6" t="s">
        <v>856</v>
      </c>
    </row>
    <row r="6876" spans="1:14" ht="15" customHeight="1" x14ac:dyDescent="0.2">
      <c r="A6876" s="31">
        <v>0.12500596204931849</v>
      </c>
      <c r="B6876" s="31"/>
      <c r="C6876" s="2" t="s">
        <v>855</v>
      </c>
      <c r="D6876" s="31">
        <f t="shared" si="201"/>
        <v>2.4501168561666425E-2</v>
      </c>
      <c r="F6876" s="2" t="s">
        <v>822</v>
      </c>
      <c r="G6876" s="23" t="s">
        <v>902</v>
      </c>
      <c r="H6876" s="2" t="s">
        <v>822</v>
      </c>
      <c r="J6876" s="31">
        <v>62.779998800000001</v>
      </c>
      <c r="K6876" s="31">
        <v>-33.875999499999999</v>
      </c>
      <c r="L6876" s="31"/>
      <c r="M6876" s="31" t="s">
        <v>854</v>
      </c>
      <c r="N6876" s="6" t="s">
        <v>856</v>
      </c>
    </row>
    <row r="6877" spans="1:14" ht="15" customHeight="1" x14ac:dyDescent="0.2">
      <c r="A6877" s="31">
        <v>0.1246787057927821</v>
      </c>
      <c r="B6877" s="31"/>
      <c r="C6877" s="2" t="s">
        <v>855</v>
      </c>
      <c r="D6877" s="31">
        <f t="shared" si="201"/>
        <v>2.4437026335385293E-2</v>
      </c>
      <c r="F6877" s="2" t="s">
        <v>822</v>
      </c>
      <c r="G6877" s="23" t="s">
        <v>902</v>
      </c>
      <c r="H6877" s="2" t="s">
        <v>822</v>
      </c>
      <c r="J6877" s="31">
        <v>68.305603000000005</v>
      </c>
      <c r="K6877" s="31">
        <v>47.386798900000002</v>
      </c>
      <c r="L6877" s="31"/>
      <c r="M6877" s="31" t="s">
        <v>854</v>
      </c>
      <c r="N6877" s="6" t="s">
        <v>856</v>
      </c>
    </row>
    <row r="6878" spans="1:14" ht="15" customHeight="1" x14ac:dyDescent="0.2">
      <c r="A6878" s="31">
        <v>0.12447366999390699</v>
      </c>
      <c r="B6878" s="31"/>
      <c r="C6878" s="2" t="s">
        <v>855</v>
      </c>
      <c r="D6878" s="31">
        <f t="shared" si="201"/>
        <v>2.439683931880577E-2</v>
      </c>
      <c r="F6878" s="2" t="s">
        <v>822</v>
      </c>
      <c r="G6878" s="23" t="s">
        <v>902</v>
      </c>
      <c r="H6878" s="2" t="s">
        <v>822</v>
      </c>
      <c r="J6878" s="31">
        <v>59.439998600000003</v>
      </c>
      <c r="K6878" s="31">
        <v>-40.555999800000002</v>
      </c>
      <c r="L6878" s="31"/>
      <c r="M6878" s="31" t="s">
        <v>854</v>
      </c>
      <c r="N6878" s="6" t="s">
        <v>856</v>
      </c>
    </row>
    <row r="6879" spans="1:14" ht="15" customHeight="1" x14ac:dyDescent="0.2">
      <c r="A6879" s="31">
        <v>0.1244332107820236</v>
      </c>
      <c r="B6879" s="31"/>
      <c r="C6879" s="2" t="s">
        <v>855</v>
      </c>
      <c r="D6879" s="31">
        <f t="shared" si="201"/>
        <v>2.4388909313276627E-2</v>
      </c>
      <c r="F6879" s="2" t="s">
        <v>822</v>
      </c>
      <c r="G6879" s="23" t="s">
        <v>902</v>
      </c>
      <c r="H6879" s="2" t="s">
        <v>822</v>
      </c>
      <c r="J6879" s="31">
        <v>62.779998800000001</v>
      </c>
      <c r="K6879" s="31">
        <v>-37.215999600000004</v>
      </c>
      <c r="L6879" s="31"/>
      <c r="M6879" s="31" t="s">
        <v>854</v>
      </c>
      <c r="N6879" s="6" t="s">
        <v>856</v>
      </c>
    </row>
    <row r="6880" spans="1:14" ht="15" customHeight="1" x14ac:dyDescent="0.2">
      <c r="A6880" s="31">
        <v>0.12437814828711111</v>
      </c>
      <c r="B6880" s="31"/>
      <c r="C6880" s="2" t="s">
        <v>855</v>
      </c>
      <c r="D6880" s="31">
        <f t="shared" si="201"/>
        <v>2.4378117064273779E-2</v>
      </c>
      <c r="F6880" s="2" t="s">
        <v>822</v>
      </c>
      <c r="G6880" s="23" t="s">
        <v>902</v>
      </c>
      <c r="H6880" s="2" t="s">
        <v>822</v>
      </c>
      <c r="J6880" s="31">
        <v>62.111999500000003</v>
      </c>
      <c r="K6880" s="31">
        <v>-39.220001199999999</v>
      </c>
      <c r="L6880" s="31"/>
      <c r="M6880" s="31" t="s">
        <v>854</v>
      </c>
      <c r="N6880" s="6" t="s">
        <v>856</v>
      </c>
    </row>
    <row r="6881" spans="1:14" ht="15" customHeight="1" x14ac:dyDescent="0.2">
      <c r="A6881" s="31">
        <v>0.1243075013079821</v>
      </c>
      <c r="B6881" s="31"/>
      <c r="C6881" s="2" t="s">
        <v>855</v>
      </c>
      <c r="D6881" s="31">
        <f t="shared" si="201"/>
        <v>2.4364270256364493E-2</v>
      </c>
      <c r="F6881" s="2" t="s">
        <v>822</v>
      </c>
      <c r="G6881" s="23" t="s">
        <v>902</v>
      </c>
      <c r="H6881" s="2" t="s">
        <v>822</v>
      </c>
      <c r="J6881" s="31">
        <v>64.783996599999995</v>
      </c>
      <c r="K6881" s="31">
        <v>-32.540000900000003</v>
      </c>
      <c r="L6881" s="31"/>
      <c r="M6881" s="31" t="s">
        <v>854</v>
      </c>
      <c r="N6881" s="6" t="s">
        <v>856</v>
      </c>
    </row>
    <row r="6882" spans="1:14" ht="15" customHeight="1" x14ac:dyDescent="0.2">
      <c r="A6882" s="31">
        <v>0.1241645129646972</v>
      </c>
      <c r="B6882" s="31"/>
      <c r="C6882" s="2" t="s">
        <v>855</v>
      </c>
      <c r="D6882" s="31">
        <f t="shared" si="201"/>
        <v>2.4336244541080652E-2</v>
      </c>
      <c r="F6882" s="2" t="s">
        <v>822</v>
      </c>
      <c r="G6882" s="23" t="s">
        <v>902</v>
      </c>
      <c r="H6882" s="2" t="s">
        <v>822</v>
      </c>
      <c r="J6882" s="31">
        <v>60.082500500000002</v>
      </c>
      <c r="K6882" s="31">
        <v>-41.863899199999999</v>
      </c>
      <c r="L6882" s="31"/>
      <c r="M6882" s="31" t="s">
        <v>854</v>
      </c>
      <c r="N6882" s="6" t="s">
        <v>856</v>
      </c>
    </row>
    <row r="6883" spans="1:14" ht="15" customHeight="1" x14ac:dyDescent="0.2">
      <c r="A6883" s="31">
        <v>0.1241597158370855</v>
      </c>
      <c r="B6883" s="31"/>
      <c r="C6883" s="2" t="s">
        <v>855</v>
      </c>
      <c r="D6883" s="31">
        <f t="shared" si="201"/>
        <v>2.4335304304068758E-2</v>
      </c>
      <c r="F6883" s="2" t="s">
        <v>822</v>
      </c>
      <c r="G6883" s="23" t="s">
        <v>902</v>
      </c>
      <c r="H6883" s="2" t="s">
        <v>822</v>
      </c>
      <c r="J6883" s="31">
        <v>65.452003500000004</v>
      </c>
      <c r="K6883" s="31">
        <v>6.2039999999999997</v>
      </c>
      <c r="L6883" s="31"/>
      <c r="M6883" s="31" t="s">
        <v>854</v>
      </c>
      <c r="N6883" s="6" t="s">
        <v>856</v>
      </c>
    </row>
    <row r="6884" spans="1:14" ht="15" customHeight="1" x14ac:dyDescent="0.2">
      <c r="A6884" s="31">
        <v>0.1240063374207222</v>
      </c>
      <c r="B6884" s="31"/>
      <c r="C6884" s="2" t="s">
        <v>855</v>
      </c>
      <c r="D6884" s="31">
        <f t="shared" si="201"/>
        <v>2.4305242134461551E-2</v>
      </c>
      <c r="F6884" s="2" t="s">
        <v>822</v>
      </c>
      <c r="G6884" s="23" t="s">
        <v>902</v>
      </c>
      <c r="H6884" s="2" t="s">
        <v>822</v>
      </c>
      <c r="J6884" s="31">
        <v>63.448001900000001</v>
      </c>
      <c r="K6884" s="31">
        <v>-27.195999100000002</v>
      </c>
      <c r="L6884" s="31"/>
      <c r="M6884" s="31" t="s">
        <v>854</v>
      </c>
      <c r="N6884" s="6" t="s">
        <v>856</v>
      </c>
    </row>
    <row r="6885" spans="1:14" ht="15" customHeight="1" x14ac:dyDescent="0.2">
      <c r="A6885" s="31">
        <v>0.12389253990548731</v>
      </c>
      <c r="B6885" s="31"/>
      <c r="C6885" s="2" t="s">
        <v>855</v>
      </c>
      <c r="D6885" s="31">
        <f t="shared" si="201"/>
        <v>2.4282937821475514E-2</v>
      </c>
      <c r="F6885" s="2" t="s">
        <v>822</v>
      </c>
      <c r="G6885" s="23" t="s">
        <v>902</v>
      </c>
      <c r="H6885" s="2" t="s">
        <v>822</v>
      </c>
      <c r="J6885" s="31">
        <v>65.868499799999995</v>
      </c>
      <c r="K6885" s="31">
        <v>-23.384000799999999</v>
      </c>
      <c r="L6885" s="31"/>
      <c r="M6885" s="31" t="s">
        <v>854</v>
      </c>
      <c r="N6885" s="6" t="s">
        <v>856</v>
      </c>
    </row>
    <row r="6886" spans="1:14" ht="15" customHeight="1" x14ac:dyDescent="0.2">
      <c r="A6886" s="31">
        <v>0.1238883296133735</v>
      </c>
      <c r="B6886" s="31"/>
      <c r="C6886" s="2" t="s">
        <v>855</v>
      </c>
      <c r="D6886" s="31">
        <f t="shared" si="201"/>
        <v>2.4282112604221206E-2</v>
      </c>
      <c r="F6886" s="2" t="s">
        <v>822</v>
      </c>
      <c r="G6886" s="23" t="s">
        <v>902</v>
      </c>
      <c r="H6886" s="2" t="s">
        <v>822</v>
      </c>
      <c r="J6886" s="31">
        <v>71.2350998</v>
      </c>
      <c r="K6886" s="31">
        <v>15.9225998</v>
      </c>
      <c r="L6886" s="31"/>
      <c r="M6886" s="31" t="s">
        <v>854</v>
      </c>
      <c r="N6886" s="6" t="s">
        <v>856</v>
      </c>
    </row>
    <row r="6887" spans="1:14" ht="15" customHeight="1" x14ac:dyDescent="0.2">
      <c r="A6887" s="31">
        <v>0.12353810620441549</v>
      </c>
      <c r="B6887" s="31"/>
      <c r="C6887" s="2" t="s">
        <v>855</v>
      </c>
      <c r="D6887" s="31">
        <f t="shared" si="201"/>
        <v>2.4213468816065439E-2</v>
      </c>
      <c r="F6887" s="2" t="s">
        <v>822</v>
      </c>
      <c r="G6887" s="23" t="s">
        <v>902</v>
      </c>
      <c r="H6887" s="2" t="s">
        <v>822</v>
      </c>
      <c r="J6887" s="31">
        <v>66.178596499999998</v>
      </c>
      <c r="K6887" s="31">
        <v>11.6848001</v>
      </c>
      <c r="L6887" s="31"/>
      <c r="M6887" s="31" t="s">
        <v>854</v>
      </c>
      <c r="N6887" s="6" t="s">
        <v>856</v>
      </c>
    </row>
    <row r="6888" spans="1:14" ht="15" customHeight="1" x14ac:dyDescent="0.2">
      <c r="A6888" s="31">
        <v>0.1234925666438787</v>
      </c>
      <c r="B6888" s="31"/>
      <c r="C6888" s="2" t="s">
        <v>855</v>
      </c>
      <c r="D6888" s="31">
        <f t="shared" si="201"/>
        <v>2.4204543062200226E-2</v>
      </c>
      <c r="F6888" s="2" t="s">
        <v>822</v>
      </c>
      <c r="G6888" s="23" t="s">
        <v>902</v>
      </c>
      <c r="H6888" s="2" t="s">
        <v>822</v>
      </c>
      <c r="J6888" s="31">
        <v>62.111999500000003</v>
      </c>
      <c r="K6888" s="31">
        <v>-1.8120000000000001</v>
      </c>
      <c r="L6888" s="31"/>
      <c r="M6888" s="31" t="s">
        <v>854</v>
      </c>
      <c r="N6888" s="6" t="s">
        <v>856</v>
      </c>
    </row>
    <row r="6889" spans="1:14" ht="15" customHeight="1" x14ac:dyDescent="0.2">
      <c r="A6889" s="31">
        <v>0.1234049541508247</v>
      </c>
      <c r="B6889" s="31"/>
      <c r="C6889" s="2" t="s">
        <v>855</v>
      </c>
      <c r="D6889" s="31">
        <f t="shared" si="201"/>
        <v>2.4187371013561641E-2</v>
      </c>
      <c r="F6889" s="2" t="s">
        <v>822</v>
      </c>
      <c r="G6889" s="23" t="s">
        <v>902</v>
      </c>
      <c r="H6889" s="2" t="s">
        <v>822</v>
      </c>
      <c r="J6889" s="31">
        <v>61.444000199999998</v>
      </c>
      <c r="K6889" s="31">
        <v>-25.860000599999999</v>
      </c>
      <c r="L6889" s="31"/>
      <c r="M6889" s="31" t="s">
        <v>854</v>
      </c>
      <c r="N6889" s="6" t="s">
        <v>856</v>
      </c>
    </row>
    <row r="6890" spans="1:14" ht="15" customHeight="1" x14ac:dyDescent="0.2">
      <c r="A6890" s="31">
        <v>0.12312392241160661</v>
      </c>
      <c r="B6890" s="31"/>
      <c r="C6890" s="2" t="s">
        <v>855</v>
      </c>
      <c r="D6890" s="31">
        <f t="shared" si="201"/>
        <v>2.4132288792674896E-2</v>
      </c>
      <c r="F6890" s="2" t="s">
        <v>822</v>
      </c>
      <c r="G6890" s="23" t="s">
        <v>902</v>
      </c>
      <c r="H6890" s="2" t="s">
        <v>822</v>
      </c>
      <c r="J6890" s="31">
        <v>56.768001599999998</v>
      </c>
      <c r="K6890" s="31">
        <v>-39.888000499999997</v>
      </c>
      <c r="L6890" s="31"/>
      <c r="M6890" s="31" t="s">
        <v>854</v>
      </c>
      <c r="N6890" s="6" t="s">
        <v>856</v>
      </c>
    </row>
    <row r="6891" spans="1:14" ht="15" customHeight="1" x14ac:dyDescent="0.2">
      <c r="A6891" s="31">
        <v>0.1229275414582193</v>
      </c>
      <c r="B6891" s="31"/>
      <c r="C6891" s="2" t="s">
        <v>855</v>
      </c>
      <c r="D6891" s="31">
        <f t="shared" si="201"/>
        <v>2.4093798125810983E-2</v>
      </c>
      <c r="F6891" s="2" t="s">
        <v>822</v>
      </c>
      <c r="G6891" s="23" t="s">
        <v>902</v>
      </c>
      <c r="H6891" s="2" t="s">
        <v>822</v>
      </c>
      <c r="J6891" s="31">
        <v>65.768600500000005</v>
      </c>
      <c r="K6891" s="31">
        <v>-19.5848999</v>
      </c>
      <c r="L6891" s="31"/>
      <c r="M6891" s="31" t="s">
        <v>854</v>
      </c>
      <c r="N6891" s="6" t="s">
        <v>856</v>
      </c>
    </row>
    <row r="6892" spans="1:14" ht="15" customHeight="1" x14ac:dyDescent="0.2">
      <c r="A6892" s="31">
        <v>0.1227505254140635</v>
      </c>
      <c r="B6892" s="31"/>
      <c r="C6892" s="2" t="s">
        <v>855</v>
      </c>
      <c r="D6892" s="31">
        <f t="shared" si="201"/>
        <v>2.4059102981156447E-2</v>
      </c>
      <c r="F6892" s="2" t="s">
        <v>822</v>
      </c>
      <c r="G6892" s="23" t="s">
        <v>902</v>
      </c>
      <c r="H6892" s="2" t="s">
        <v>822</v>
      </c>
      <c r="J6892" s="31">
        <v>63.448001900000001</v>
      </c>
      <c r="K6892" s="31">
        <v>-5.8200002</v>
      </c>
      <c r="L6892" s="31"/>
      <c r="M6892" s="31" t="s">
        <v>854</v>
      </c>
      <c r="N6892" s="6" t="s">
        <v>856</v>
      </c>
    </row>
    <row r="6893" spans="1:14" ht="15" customHeight="1" x14ac:dyDescent="0.2">
      <c r="A6893" s="31">
        <v>0.12270351761804971</v>
      </c>
      <c r="B6893" s="31"/>
      <c r="C6893" s="2" t="s">
        <v>855</v>
      </c>
      <c r="D6893" s="31">
        <f t="shared" si="201"/>
        <v>2.4049889453137744E-2</v>
      </c>
      <c r="F6893" s="2" t="s">
        <v>822</v>
      </c>
      <c r="G6893" s="23" t="s">
        <v>902</v>
      </c>
      <c r="H6893" s="2" t="s">
        <v>822</v>
      </c>
      <c r="J6893" s="31">
        <v>63.448001900000001</v>
      </c>
      <c r="K6893" s="31">
        <v>-6.4879999000000002</v>
      </c>
      <c r="L6893" s="31"/>
      <c r="M6893" s="31" t="s">
        <v>854</v>
      </c>
      <c r="N6893" s="6" t="s">
        <v>856</v>
      </c>
    </row>
    <row r="6894" spans="1:14" ht="15" customHeight="1" x14ac:dyDescent="0.2">
      <c r="A6894" s="31">
        <v>0.1223048630885554</v>
      </c>
      <c r="B6894" s="31"/>
      <c r="C6894" s="2" t="s">
        <v>855</v>
      </c>
      <c r="D6894" s="31">
        <f t="shared" si="201"/>
        <v>2.3971753165356859E-2</v>
      </c>
      <c r="F6894" s="2" t="s">
        <v>822</v>
      </c>
      <c r="G6894" s="23" t="s">
        <v>902</v>
      </c>
      <c r="H6894" s="2" t="s">
        <v>822</v>
      </c>
      <c r="J6894" s="31">
        <v>68.311897299999998</v>
      </c>
      <c r="K6894" s="31">
        <v>13.1197996</v>
      </c>
      <c r="L6894" s="31"/>
      <c r="M6894" s="31" t="s">
        <v>854</v>
      </c>
      <c r="N6894" s="6" t="s">
        <v>856</v>
      </c>
    </row>
    <row r="6895" spans="1:14" ht="15" customHeight="1" x14ac:dyDescent="0.2">
      <c r="A6895" s="31">
        <v>0.1223027970436711</v>
      </c>
      <c r="B6895" s="31"/>
      <c r="C6895" s="2" t="s">
        <v>855</v>
      </c>
      <c r="D6895" s="31">
        <f t="shared" si="201"/>
        <v>2.3971348220559536E-2</v>
      </c>
      <c r="F6895" s="2" t="s">
        <v>822</v>
      </c>
      <c r="G6895" s="23" t="s">
        <v>902</v>
      </c>
      <c r="H6895" s="2" t="s">
        <v>822</v>
      </c>
      <c r="J6895" s="31">
        <v>66.330299400000001</v>
      </c>
      <c r="K6895" s="31">
        <v>-16.644199400000002</v>
      </c>
      <c r="L6895" s="31"/>
      <c r="M6895" s="31" t="s">
        <v>854</v>
      </c>
      <c r="N6895" s="6" t="s">
        <v>856</v>
      </c>
    </row>
    <row r="6896" spans="1:14" ht="15" customHeight="1" x14ac:dyDescent="0.2">
      <c r="A6896" s="31">
        <v>0.1219500273744594</v>
      </c>
      <c r="B6896" s="31"/>
      <c r="C6896" s="2" t="s">
        <v>855</v>
      </c>
      <c r="D6896" s="31">
        <f t="shared" si="201"/>
        <v>2.3902205365394044E-2</v>
      </c>
      <c r="F6896" s="2" t="s">
        <v>822</v>
      </c>
      <c r="G6896" s="23" t="s">
        <v>902</v>
      </c>
      <c r="H6896" s="2" t="s">
        <v>822</v>
      </c>
      <c r="J6896" s="31">
        <v>65.452003500000004</v>
      </c>
      <c r="K6896" s="31">
        <v>5.5359997999999999</v>
      </c>
      <c r="L6896" s="31"/>
      <c r="M6896" s="31" t="s">
        <v>854</v>
      </c>
      <c r="N6896" s="6" t="s">
        <v>856</v>
      </c>
    </row>
    <row r="6897" spans="1:14" ht="15" customHeight="1" x14ac:dyDescent="0.2">
      <c r="A6897" s="31">
        <v>0.12189676521387401</v>
      </c>
      <c r="B6897" s="31"/>
      <c r="C6897" s="2" t="s">
        <v>855</v>
      </c>
      <c r="D6897" s="31">
        <f t="shared" si="201"/>
        <v>2.3891765981919305E-2</v>
      </c>
      <c r="F6897" s="2" t="s">
        <v>822</v>
      </c>
      <c r="G6897" s="23" t="s">
        <v>902</v>
      </c>
      <c r="H6897" s="2" t="s">
        <v>822</v>
      </c>
      <c r="J6897" s="31">
        <v>72.143897999999993</v>
      </c>
      <c r="K6897" s="31">
        <v>14.8780003</v>
      </c>
      <c r="L6897" s="31"/>
      <c r="M6897" s="31" t="s">
        <v>854</v>
      </c>
      <c r="N6897" s="6" t="s">
        <v>856</v>
      </c>
    </row>
    <row r="6898" spans="1:14" ht="15" customHeight="1" x14ac:dyDescent="0.2">
      <c r="A6898" s="31">
        <v>0.1218227935405144</v>
      </c>
      <c r="B6898" s="31"/>
      <c r="C6898" s="2" t="s">
        <v>855</v>
      </c>
      <c r="D6898" s="31">
        <f t="shared" si="201"/>
        <v>2.3877267533940823E-2</v>
      </c>
      <c r="F6898" s="2" t="s">
        <v>822</v>
      </c>
      <c r="G6898" s="23" t="s">
        <v>902</v>
      </c>
      <c r="H6898" s="2" t="s">
        <v>822</v>
      </c>
      <c r="J6898" s="31">
        <v>72.194900500000003</v>
      </c>
      <c r="K6898" s="31">
        <v>15.5817003</v>
      </c>
      <c r="L6898" s="31"/>
      <c r="M6898" s="31" t="s">
        <v>854</v>
      </c>
      <c r="N6898" s="6" t="s">
        <v>856</v>
      </c>
    </row>
    <row r="6899" spans="1:14" ht="15" customHeight="1" x14ac:dyDescent="0.2">
      <c r="A6899" s="31">
        <v>0.1214926536897476</v>
      </c>
      <c r="B6899" s="31"/>
      <c r="C6899" s="2" t="s">
        <v>855</v>
      </c>
      <c r="D6899" s="31">
        <f t="shared" si="201"/>
        <v>2.3812560123190531E-2</v>
      </c>
      <c r="F6899" s="2" t="s">
        <v>822</v>
      </c>
      <c r="G6899" s="23" t="s">
        <v>902</v>
      </c>
      <c r="H6899" s="2" t="s">
        <v>822</v>
      </c>
      <c r="J6899" s="31">
        <v>63.448001900000001</v>
      </c>
      <c r="K6899" s="31">
        <v>3.5320000999999999</v>
      </c>
      <c r="L6899" s="31"/>
      <c r="M6899" s="31" t="s">
        <v>854</v>
      </c>
      <c r="N6899" s="6" t="s">
        <v>856</v>
      </c>
    </row>
    <row r="6900" spans="1:14" ht="15" customHeight="1" x14ac:dyDescent="0.2">
      <c r="A6900" s="31">
        <v>0.12148761782965679</v>
      </c>
      <c r="B6900" s="31"/>
      <c r="C6900" s="2" t="s">
        <v>855</v>
      </c>
      <c r="D6900" s="31">
        <f t="shared" si="201"/>
        <v>2.3811573094612733E-2</v>
      </c>
      <c r="F6900" s="2" t="s">
        <v>822</v>
      </c>
      <c r="G6900" s="23" t="s">
        <v>902</v>
      </c>
      <c r="H6900" s="2" t="s">
        <v>822</v>
      </c>
      <c r="J6900" s="31">
        <v>64.115997300000004</v>
      </c>
      <c r="K6900" s="31">
        <v>3.5320000999999999</v>
      </c>
      <c r="L6900" s="31"/>
      <c r="M6900" s="31" t="s">
        <v>854</v>
      </c>
      <c r="N6900" s="6" t="s">
        <v>856</v>
      </c>
    </row>
    <row r="6901" spans="1:14" ht="15" customHeight="1" x14ac:dyDescent="0.2">
      <c r="A6901" s="31">
        <v>0.12132288919186381</v>
      </c>
      <c r="B6901" s="31"/>
      <c r="C6901" s="2" t="s">
        <v>855</v>
      </c>
      <c r="D6901" s="31">
        <f t="shared" si="201"/>
        <v>2.3779286281605305E-2</v>
      </c>
      <c r="F6901" s="2" t="s">
        <v>822</v>
      </c>
      <c r="G6901" s="23" t="s">
        <v>902</v>
      </c>
      <c r="H6901" s="2" t="s">
        <v>822</v>
      </c>
      <c r="J6901" s="31">
        <v>60.108001700000003</v>
      </c>
      <c r="K6901" s="31">
        <v>-41.223998999999999</v>
      </c>
      <c r="L6901" s="31"/>
      <c r="M6901" s="31" t="s">
        <v>854</v>
      </c>
      <c r="N6901" s="6" t="s">
        <v>856</v>
      </c>
    </row>
    <row r="6902" spans="1:14" ht="15" customHeight="1" x14ac:dyDescent="0.2">
      <c r="A6902" s="31">
        <v>0.1213207101944061</v>
      </c>
      <c r="B6902" s="31"/>
      <c r="C6902" s="2" t="s">
        <v>855</v>
      </c>
      <c r="D6902" s="31">
        <f t="shared" si="201"/>
        <v>2.3778859198103595E-2</v>
      </c>
      <c r="F6902" s="2" t="s">
        <v>822</v>
      </c>
      <c r="G6902" s="23" t="s">
        <v>902</v>
      </c>
      <c r="H6902" s="2" t="s">
        <v>822</v>
      </c>
      <c r="J6902" s="31">
        <v>69.459999100000005</v>
      </c>
      <c r="K6902" s="31">
        <v>10.8800001</v>
      </c>
      <c r="L6902" s="31"/>
      <c r="M6902" s="31" t="s">
        <v>854</v>
      </c>
      <c r="N6902" s="6" t="s">
        <v>856</v>
      </c>
    </row>
    <row r="6903" spans="1:14" ht="15" customHeight="1" x14ac:dyDescent="0.2">
      <c r="A6903" s="31">
        <v>0.12126095239166949</v>
      </c>
      <c r="B6903" s="31"/>
      <c r="C6903" s="2" t="s">
        <v>855</v>
      </c>
      <c r="D6903" s="31">
        <f t="shared" si="201"/>
        <v>2.3767146668767222E-2</v>
      </c>
      <c r="F6903" s="2" t="s">
        <v>822</v>
      </c>
      <c r="G6903" s="23" t="s">
        <v>902</v>
      </c>
      <c r="H6903" s="2" t="s">
        <v>822</v>
      </c>
      <c r="J6903" s="31">
        <v>63.448001900000001</v>
      </c>
      <c r="K6903" s="31">
        <v>-11.8319998</v>
      </c>
      <c r="L6903" s="31"/>
      <c r="M6903" s="31" t="s">
        <v>854</v>
      </c>
      <c r="N6903" s="6" t="s">
        <v>856</v>
      </c>
    </row>
    <row r="6904" spans="1:14" ht="15" customHeight="1" x14ac:dyDescent="0.2">
      <c r="A6904" s="31">
        <v>0.12080937200608011</v>
      </c>
      <c r="B6904" s="31"/>
      <c r="C6904" s="2" t="s">
        <v>855</v>
      </c>
      <c r="D6904" s="31">
        <f t="shared" si="201"/>
        <v>2.3678636913191702E-2</v>
      </c>
      <c r="F6904" s="2" t="s">
        <v>822</v>
      </c>
      <c r="G6904" s="23" t="s">
        <v>902</v>
      </c>
      <c r="H6904" s="2" t="s">
        <v>822</v>
      </c>
      <c r="J6904" s="31">
        <v>62.774299599999999</v>
      </c>
      <c r="K6904" s="31">
        <v>-39.882801100000002</v>
      </c>
      <c r="L6904" s="31"/>
      <c r="M6904" s="31" t="s">
        <v>854</v>
      </c>
      <c r="N6904" s="6" t="s">
        <v>856</v>
      </c>
    </row>
    <row r="6905" spans="1:14" ht="15" customHeight="1" x14ac:dyDescent="0.2">
      <c r="A6905" s="31">
        <v>0.1207155086152687</v>
      </c>
      <c r="B6905" s="31"/>
      <c r="C6905" s="2" t="s">
        <v>855</v>
      </c>
      <c r="D6905" s="31">
        <f t="shared" si="201"/>
        <v>2.3660239688592665E-2</v>
      </c>
      <c r="F6905" s="2" t="s">
        <v>822</v>
      </c>
      <c r="G6905" s="23" t="s">
        <v>902</v>
      </c>
      <c r="H6905" s="2" t="s">
        <v>822</v>
      </c>
      <c r="J6905" s="31">
        <v>66.320999099999995</v>
      </c>
      <c r="K6905" s="31">
        <v>9.7406597000000001</v>
      </c>
      <c r="L6905" s="31"/>
      <c r="M6905" s="31" t="s">
        <v>854</v>
      </c>
      <c r="N6905" s="6" t="s">
        <v>856</v>
      </c>
    </row>
    <row r="6906" spans="1:14" ht="15" customHeight="1" x14ac:dyDescent="0.2">
      <c r="A6906" s="31">
        <v>0.12064106428599231</v>
      </c>
      <c r="B6906" s="31"/>
      <c r="C6906" s="2" t="s">
        <v>855</v>
      </c>
      <c r="D6906" s="31">
        <f t="shared" si="201"/>
        <v>2.3645648600054494E-2</v>
      </c>
      <c r="F6906" s="2" t="s">
        <v>822</v>
      </c>
      <c r="G6906" s="23" t="s">
        <v>902</v>
      </c>
      <c r="H6906" s="2" t="s">
        <v>822</v>
      </c>
      <c r="J6906" s="31">
        <v>63.2953987</v>
      </c>
      <c r="K6906" s="31">
        <v>-34.497398400000002</v>
      </c>
      <c r="L6906" s="31"/>
      <c r="M6906" s="31" t="s">
        <v>854</v>
      </c>
      <c r="N6906" s="6" t="s">
        <v>856</v>
      </c>
    </row>
    <row r="6907" spans="1:14" ht="15" customHeight="1" x14ac:dyDescent="0.2">
      <c r="A6907" s="31">
        <v>0.1205355851682304</v>
      </c>
      <c r="B6907" s="31"/>
      <c r="C6907" s="2" t="s">
        <v>855</v>
      </c>
      <c r="D6907" s="31">
        <f t="shared" si="201"/>
        <v>2.3624974692973161E-2</v>
      </c>
      <c r="F6907" s="2" t="s">
        <v>822</v>
      </c>
      <c r="G6907" s="23" t="s">
        <v>902</v>
      </c>
      <c r="H6907" s="2" t="s">
        <v>822</v>
      </c>
      <c r="J6907" s="31">
        <v>68.204902599999997</v>
      </c>
      <c r="K6907" s="31">
        <v>12.8957005</v>
      </c>
      <c r="L6907" s="31"/>
      <c r="M6907" s="31" t="s">
        <v>854</v>
      </c>
      <c r="N6907" s="6" t="s">
        <v>856</v>
      </c>
    </row>
    <row r="6908" spans="1:14" ht="15" customHeight="1" x14ac:dyDescent="0.2">
      <c r="A6908" s="31">
        <v>0.12032964544445381</v>
      </c>
      <c r="B6908" s="31"/>
      <c r="C6908" s="2" t="s">
        <v>855</v>
      </c>
      <c r="D6908" s="31">
        <f t="shared" si="201"/>
        <v>2.3584610507112948E-2</v>
      </c>
      <c r="F6908" s="2" t="s">
        <v>822</v>
      </c>
      <c r="G6908" s="23" t="s">
        <v>902</v>
      </c>
      <c r="H6908" s="2" t="s">
        <v>822</v>
      </c>
      <c r="J6908" s="31">
        <v>64.410201999999998</v>
      </c>
      <c r="K6908" s="31">
        <v>-26.2928009</v>
      </c>
      <c r="L6908" s="31"/>
      <c r="M6908" s="31" t="s">
        <v>854</v>
      </c>
      <c r="N6908" s="6" t="s">
        <v>856</v>
      </c>
    </row>
    <row r="6909" spans="1:14" ht="15" customHeight="1" x14ac:dyDescent="0.2">
      <c r="A6909" s="31">
        <v>0.1203149151754986</v>
      </c>
      <c r="B6909" s="31"/>
      <c r="C6909" s="2" t="s">
        <v>855</v>
      </c>
      <c r="D6909" s="31">
        <f t="shared" si="201"/>
        <v>2.3581723374397727E-2</v>
      </c>
      <c r="F6909" s="2" t="s">
        <v>822</v>
      </c>
      <c r="G6909" s="23" t="s">
        <v>902</v>
      </c>
      <c r="H6909" s="2" t="s">
        <v>822</v>
      </c>
      <c r="J6909" s="31">
        <v>52.091999100000002</v>
      </c>
      <c r="K6909" s="31">
        <v>-28.531999599999999</v>
      </c>
      <c r="L6909" s="31"/>
      <c r="M6909" s="31" t="s">
        <v>854</v>
      </c>
      <c r="N6909" s="6" t="s">
        <v>856</v>
      </c>
    </row>
    <row r="6910" spans="1:14" ht="15" customHeight="1" x14ac:dyDescent="0.2">
      <c r="A6910" s="31">
        <v>0.1198734303844765</v>
      </c>
      <c r="B6910" s="31"/>
      <c r="C6910" s="2" t="s">
        <v>855</v>
      </c>
      <c r="D6910" s="31">
        <f t="shared" si="201"/>
        <v>2.3495192355357394E-2</v>
      </c>
      <c r="F6910" s="2" t="s">
        <v>822</v>
      </c>
      <c r="G6910" s="23" t="s">
        <v>902</v>
      </c>
      <c r="H6910" s="2" t="s">
        <v>822</v>
      </c>
      <c r="J6910" s="31">
        <v>64.053298999999996</v>
      </c>
      <c r="K6910" s="31">
        <v>-11.1216002</v>
      </c>
      <c r="L6910" s="31"/>
      <c r="M6910" s="31" t="s">
        <v>854</v>
      </c>
      <c r="N6910" s="6" t="s">
        <v>856</v>
      </c>
    </row>
    <row r="6911" spans="1:14" ht="15" customHeight="1" x14ac:dyDescent="0.2">
      <c r="A6911" s="31">
        <v>0.11975337819143959</v>
      </c>
      <c r="B6911" s="31"/>
      <c r="C6911" s="2" t="s">
        <v>855</v>
      </c>
      <c r="D6911" s="31">
        <f t="shared" si="201"/>
        <v>2.3471662125522163E-2</v>
      </c>
      <c r="F6911" s="2" t="s">
        <v>822</v>
      </c>
      <c r="G6911" s="23" t="s">
        <v>902</v>
      </c>
      <c r="H6911" s="2" t="s">
        <v>822</v>
      </c>
      <c r="J6911" s="31">
        <v>64.783996599999995</v>
      </c>
      <c r="K6911" s="31">
        <v>-31.8719997</v>
      </c>
      <c r="L6911" s="31"/>
      <c r="M6911" s="31" t="s">
        <v>854</v>
      </c>
      <c r="N6911" s="6" t="s">
        <v>856</v>
      </c>
    </row>
    <row r="6912" spans="1:14" ht="15" customHeight="1" x14ac:dyDescent="0.2">
      <c r="A6912" s="31">
        <v>0.11953619849768719</v>
      </c>
      <c r="B6912" s="31"/>
      <c r="C6912" s="2" t="s">
        <v>855</v>
      </c>
      <c r="D6912" s="31">
        <f t="shared" ref="D6912:D6975" si="202" xml:space="preserve"> A6912 * 0.196</f>
        <v>2.3429094905546691E-2</v>
      </c>
      <c r="F6912" s="2" t="s">
        <v>822</v>
      </c>
      <c r="G6912" s="23" t="s">
        <v>902</v>
      </c>
      <c r="H6912" s="2" t="s">
        <v>822</v>
      </c>
      <c r="J6912" s="31">
        <v>54.096000699999998</v>
      </c>
      <c r="K6912" s="31">
        <v>-39.888000499999997</v>
      </c>
      <c r="L6912" s="31"/>
      <c r="M6912" s="31" t="s">
        <v>854</v>
      </c>
      <c r="N6912" s="6" t="s">
        <v>856</v>
      </c>
    </row>
    <row r="6913" spans="1:14" ht="15" customHeight="1" x14ac:dyDescent="0.2">
      <c r="A6913" s="31">
        <v>0.1194120994562877</v>
      </c>
      <c r="B6913" s="31"/>
      <c r="C6913" s="2" t="s">
        <v>855</v>
      </c>
      <c r="D6913" s="31">
        <f t="shared" si="202"/>
        <v>2.340477149343239E-2</v>
      </c>
      <c r="F6913" s="2" t="s">
        <v>822</v>
      </c>
      <c r="G6913" s="23" t="s">
        <v>902</v>
      </c>
      <c r="H6913" s="2" t="s">
        <v>822</v>
      </c>
      <c r="J6913" s="31">
        <v>63.448001900000001</v>
      </c>
      <c r="K6913" s="31">
        <v>2.8640001000000002</v>
      </c>
      <c r="L6913" s="31"/>
      <c r="M6913" s="31" t="s">
        <v>854</v>
      </c>
      <c r="N6913" s="6" t="s">
        <v>856</v>
      </c>
    </row>
    <row r="6914" spans="1:14" ht="15" customHeight="1" x14ac:dyDescent="0.2">
      <c r="A6914" s="31">
        <v>0.11934564477202279</v>
      </c>
      <c r="B6914" s="31"/>
      <c r="C6914" s="2" t="s">
        <v>855</v>
      </c>
      <c r="D6914" s="31">
        <f t="shared" si="202"/>
        <v>2.3391746375316467E-2</v>
      </c>
      <c r="F6914" s="2" t="s">
        <v>822</v>
      </c>
      <c r="G6914" s="23" t="s">
        <v>902</v>
      </c>
      <c r="H6914" s="2" t="s">
        <v>822</v>
      </c>
      <c r="J6914" s="31">
        <v>64.783996599999995</v>
      </c>
      <c r="K6914" s="31">
        <v>1.528</v>
      </c>
      <c r="L6914" s="31"/>
      <c r="M6914" s="31" t="s">
        <v>854</v>
      </c>
      <c r="N6914" s="6" t="s">
        <v>856</v>
      </c>
    </row>
    <row r="6915" spans="1:14" ht="15" customHeight="1" x14ac:dyDescent="0.2">
      <c r="A6915" s="31">
        <v>0.11920783348348191</v>
      </c>
      <c r="B6915" s="31"/>
      <c r="C6915" s="2" t="s">
        <v>855</v>
      </c>
      <c r="D6915" s="31">
        <f t="shared" si="202"/>
        <v>2.3364735362762453E-2</v>
      </c>
      <c r="F6915" s="2" t="s">
        <v>822</v>
      </c>
      <c r="G6915" s="23" t="s">
        <v>902</v>
      </c>
      <c r="H6915" s="2" t="s">
        <v>822</v>
      </c>
      <c r="J6915" s="31">
        <v>66.788002000000006</v>
      </c>
      <c r="K6915" s="31">
        <v>2.1960001</v>
      </c>
      <c r="L6915" s="31"/>
      <c r="M6915" s="31" t="s">
        <v>854</v>
      </c>
      <c r="N6915" s="6" t="s">
        <v>856</v>
      </c>
    </row>
    <row r="6916" spans="1:14" ht="15" customHeight="1" x14ac:dyDescent="0.2">
      <c r="A6916" s="31">
        <v>0.1191958229084121</v>
      </c>
      <c r="B6916" s="31"/>
      <c r="C6916" s="2" t="s">
        <v>855</v>
      </c>
      <c r="D6916" s="31">
        <f t="shared" si="202"/>
        <v>2.3362381290048771E-2</v>
      </c>
      <c r="F6916" s="2" t="s">
        <v>822</v>
      </c>
      <c r="G6916" s="23" t="s">
        <v>902</v>
      </c>
      <c r="H6916" s="2" t="s">
        <v>822</v>
      </c>
      <c r="J6916" s="31">
        <v>70.855300900000003</v>
      </c>
      <c r="K6916" s="31">
        <v>23.562400799999999</v>
      </c>
      <c r="L6916" s="31"/>
      <c r="M6916" s="31" t="s">
        <v>854</v>
      </c>
      <c r="N6916" s="6" t="s">
        <v>856</v>
      </c>
    </row>
    <row r="6917" spans="1:14" ht="15" customHeight="1" x14ac:dyDescent="0.2">
      <c r="A6917" s="31">
        <v>0.1190437353634633</v>
      </c>
      <c r="B6917" s="31"/>
      <c r="C6917" s="2" t="s">
        <v>855</v>
      </c>
      <c r="D6917" s="31">
        <f t="shared" si="202"/>
        <v>2.3332572131238807E-2</v>
      </c>
      <c r="F6917" s="2" t="s">
        <v>822</v>
      </c>
      <c r="G6917" s="23" t="s">
        <v>902</v>
      </c>
      <c r="H6917" s="2" t="s">
        <v>822</v>
      </c>
      <c r="J6917" s="31">
        <v>66.1222992</v>
      </c>
      <c r="K6917" s="31">
        <v>11.3498001</v>
      </c>
      <c r="L6917" s="31"/>
      <c r="M6917" s="31" t="s">
        <v>854</v>
      </c>
      <c r="N6917" s="6" t="s">
        <v>856</v>
      </c>
    </row>
    <row r="6918" spans="1:14" ht="15" customHeight="1" x14ac:dyDescent="0.2">
      <c r="A6918" s="31">
        <v>0.1188332744106977</v>
      </c>
      <c r="B6918" s="31"/>
      <c r="C6918" s="2" t="s">
        <v>855</v>
      </c>
      <c r="D6918" s="31">
        <f t="shared" si="202"/>
        <v>2.3291321784496749E-2</v>
      </c>
      <c r="F6918" s="2" t="s">
        <v>822</v>
      </c>
      <c r="G6918" s="23" t="s">
        <v>902</v>
      </c>
      <c r="H6918" s="2" t="s">
        <v>822</v>
      </c>
      <c r="J6918" s="31">
        <v>64.499900800000006</v>
      </c>
      <c r="K6918" s="31">
        <v>-26.7381992</v>
      </c>
      <c r="L6918" s="31"/>
      <c r="M6918" s="31" t="s">
        <v>854</v>
      </c>
      <c r="N6918" s="6" t="s">
        <v>856</v>
      </c>
    </row>
    <row r="6919" spans="1:14" ht="15" customHeight="1" x14ac:dyDescent="0.2">
      <c r="A6919" s="31">
        <v>0.1186148060294706</v>
      </c>
      <c r="B6919" s="31"/>
      <c r="C6919" s="2" t="s">
        <v>855</v>
      </c>
      <c r="D6919" s="31">
        <f t="shared" si="202"/>
        <v>2.3248501981776238E-2</v>
      </c>
      <c r="F6919" s="2" t="s">
        <v>822</v>
      </c>
      <c r="G6919" s="23" t="s">
        <v>902</v>
      </c>
      <c r="H6919" s="2" t="s">
        <v>822</v>
      </c>
      <c r="J6919" s="31">
        <v>72.132003800000007</v>
      </c>
      <c r="K6919" s="31">
        <v>17.5599995</v>
      </c>
      <c r="L6919" s="31"/>
      <c r="M6919" s="31" t="s">
        <v>854</v>
      </c>
      <c r="N6919" s="6" t="s">
        <v>856</v>
      </c>
    </row>
    <row r="6920" spans="1:14" ht="15" customHeight="1" x14ac:dyDescent="0.2">
      <c r="A6920" s="31">
        <v>0.1184624827073489</v>
      </c>
      <c r="B6920" s="31"/>
      <c r="C6920" s="2" t="s">
        <v>855</v>
      </c>
      <c r="D6920" s="31">
        <f t="shared" si="202"/>
        <v>2.3218646610640385E-2</v>
      </c>
      <c r="F6920" s="2" t="s">
        <v>822</v>
      </c>
      <c r="G6920" s="23" t="s">
        <v>902</v>
      </c>
      <c r="H6920" s="2" t="s">
        <v>822</v>
      </c>
      <c r="J6920" s="31">
        <v>65.452003500000004</v>
      </c>
      <c r="K6920" s="31">
        <v>3.5320000999999999</v>
      </c>
      <c r="L6920" s="31"/>
      <c r="M6920" s="31" t="s">
        <v>854</v>
      </c>
      <c r="N6920" s="6" t="s">
        <v>856</v>
      </c>
    </row>
    <row r="6921" spans="1:14" ht="15" customHeight="1" x14ac:dyDescent="0.2">
      <c r="A6921" s="31">
        <v>0.1184140034465674</v>
      </c>
      <c r="B6921" s="31"/>
      <c r="C6921" s="2" t="s">
        <v>855</v>
      </c>
      <c r="D6921" s="31">
        <f t="shared" si="202"/>
        <v>2.3209144675527212E-2</v>
      </c>
      <c r="F6921" s="2" t="s">
        <v>822</v>
      </c>
      <c r="G6921" s="23" t="s">
        <v>902</v>
      </c>
      <c r="H6921" s="2" t="s">
        <v>822</v>
      </c>
      <c r="J6921" s="31">
        <v>61.444000199999998</v>
      </c>
      <c r="K6921" s="31">
        <v>-33.208000200000001</v>
      </c>
      <c r="L6921" s="31"/>
      <c r="M6921" s="31" t="s">
        <v>854</v>
      </c>
      <c r="N6921" s="6" t="s">
        <v>856</v>
      </c>
    </row>
    <row r="6922" spans="1:14" ht="15" customHeight="1" x14ac:dyDescent="0.2">
      <c r="A6922" s="31">
        <v>0.1183161248819368</v>
      </c>
      <c r="B6922" s="31"/>
      <c r="C6922" s="2" t="s">
        <v>855</v>
      </c>
      <c r="D6922" s="31">
        <f t="shared" si="202"/>
        <v>2.3189960476859613E-2</v>
      </c>
      <c r="F6922" s="2" t="s">
        <v>822</v>
      </c>
      <c r="G6922" s="23" t="s">
        <v>902</v>
      </c>
      <c r="H6922" s="2" t="s">
        <v>822</v>
      </c>
      <c r="J6922" s="31">
        <v>65.639099099999996</v>
      </c>
      <c r="K6922" s="31">
        <v>8.8351697999999992</v>
      </c>
      <c r="L6922" s="31"/>
      <c r="M6922" s="31" t="s">
        <v>854</v>
      </c>
      <c r="N6922" s="6" t="s">
        <v>856</v>
      </c>
    </row>
    <row r="6923" spans="1:14" ht="15" customHeight="1" x14ac:dyDescent="0.2">
      <c r="A6923" s="31">
        <v>0.1177852480645625</v>
      </c>
      <c r="B6923" s="31"/>
      <c r="C6923" s="2" t="s">
        <v>855</v>
      </c>
      <c r="D6923" s="31">
        <f t="shared" si="202"/>
        <v>2.3085908620654252E-2</v>
      </c>
      <c r="F6923" s="2" t="s">
        <v>822</v>
      </c>
      <c r="G6923" s="23" t="s">
        <v>902</v>
      </c>
      <c r="H6923" s="2" t="s">
        <v>822</v>
      </c>
      <c r="J6923" s="31">
        <v>69.459999100000005</v>
      </c>
      <c r="K6923" s="31">
        <v>12.8839998</v>
      </c>
      <c r="L6923" s="31"/>
      <c r="M6923" s="31" t="s">
        <v>854</v>
      </c>
      <c r="N6923" s="6" t="s">
        <v>856</v>
      </c>
    </row>
    <row r="6924" spans="1:14" ht="15" customHeight="1" x14ac:dyDescent="0.2">
      <c r="A6924" s="31">
        <v>0.1175965524454945</v>
      </c>
      <c r="B6924" s="31"/>
      <c r="C6924" s="2" t="s">
        <v>855</v>
      </c>
      <c r="D6924" s="31">
        <f t="shared" si="202"/>
        <v>2.3048924279316922E-2</v>
      </c>
      <c r="F6924" s="2" t="s">
        <v>822</v>
      </c>
      <c r="G6924" s="23" t="s">
        <v>902</v>
      </c>
      <c r="H6924" s="2" t="s">
        <v>822</v>
      </c>
      <c r="J6924" s="31">
        <v>63.212100999999997</v>
      </c>
      <c r="K6924" s="31">
        <v>-39.720901499999997</v>
      </c>
      <c r="L6924" s="31"/>
      <c r="M6924" s="31" t="s">
        <v>854</v>
      </c>
      <c r="N6924" s="6" t="s">
        <v>856</v>
      </c>
    </row>
    <row r="6925" spans="1:14" ht="15" customHeight="1" x14ac:dyDescent="0.2">
      <c r="A6925" s="31">
        <v>0.1175904759410558</v>
      </c>
      <c r="B6925" s="31"/>
      <c r="C6925" s="2" t="s">
        <v>855</v>
      </c>
      <c r="D6925" s="31">
        <f t="shared" si="202"/>
        <v>2.3047733284446939E-2</v>
      </c>
      <c r="F6925" s="2" t="s">
        <v>822</v>
      </c>
      <c r="G6925" s="23" t="s">
        <v>902</v>
      </c>
      <c r="H6925" s="2" t="s">
        <v>822</v>
      </c>
      <c r="J6925" s="31">
        <v>66.178596499999998</v>
      </c>
      <c r="K6925" s="31">
        <v>-24.5240002</v>
      </c>
      <c r="L6925" s="31"/>
      <c r="M6925" s="31" t="s">
        <v>854</v>
      </c>
      <c r="N6925" s="6" t="s">
        <v>856</v>
      </c>
    </row>
    <row r="6926" spans="1:14" ht="15" customHeight="1" x14ac:dyDescent="0.2">
      <c r="A6926" s="31">
        <v>0.1175809045120456</v>
      </c>
      <c r="B6926" s="31"/>
      <c r="C6926" s="2" t="s">
        <v>855</v>
      </c>
      <c r="D6926" s="31">
        <f t="shared" si="202"/>
        <v>2.3045857284360937E-2</v>
      </c>
      <c r="F6926" s="2" t="s">
        <v>822</v>
      </c>
      <c r="G6926" s="23" t="s">
        <v>902</v>
      </c>
      <c r="H6926" s="2" t="s">
        <v>822</v>
      </c>
      <c r="J6926" s="31">
        <v>66.304100000000005</v>
      </c>
      <c r="K6926" s="31">
        <v>-21.7933998</v>
      </c>
      <c r="L6926" s="31"/>
      <c r="M6926" s="31" t="s">
        <v>854</v>
      </c>
      <c r="N6926" s="6" t="s">
        <v>856</v>
      </c>
    </row>
    <row r="6927" spans="1:14" ht="15" customHeight="1" x14ac:dyDescent="0.2">
      <c r="A6927" s="31">
        <v>0.1175784774887438</v>
      </c>
      <c r="B6927" s="31"/>
      <c r="C6927" s="2" t="s">
        <v>855</v>
      </c>
      <c r="D6927" s="31">
        <f t="shared" si="202"/>
        <v>2.3045381587793786E-2</v>
      </c>
      <c r="F6927" s="2" t="s">
        <v>822</v>
      </c>
      <c r="G6927" s="23" t="s">
        <v>902</v>
      </c>
      <c r="H6927" s="2" t="s">
        <v>822</v>
      </c>
      <c r="J6927" s="31">
        <v>72.132003800000007</v>
      </c>
      <c r="K6927" s="31">
        <v>14.220000300000001</v>
      </c>
      <c r="L6927" s="31"/>
      <c r="M6927" s="31" t="s">
        <v>854</v>
      </c>
      <c r="N6927" s="6" t="s">
        <v>856</v>
      </c>
    </row>
    <row r="6928" spans="1:14" ht="15" customHeight="1" x14ac:dyDescent="0.2">
      <c r="A6928" s="31">
        <v>0.11744987681447649</v>
      </c>
      <c r="B6928" s="31"/>
      <c r="C6928" s="2" t="s">
        <v>855</v>
      </c>
      <c r="D6928" s="31">
        <f t="shared" si="202"/>
        <v>2.3020175855637395E-2</v>
      </c>
      <c r="F6928" s="2" t="s">
        <v>822</v>
      </c>
      <c r="G6928" s="23" t="s">
        <v>902</v>
      </c>
      <c r="H6928" s="2" t="s">
        <v>822</v>
      </c>
      <c r="J6928" s="31">
        <v>65.731102000000007</v>
      </c>
      <c r="K6928" s="31">
        <v>-14.4024</v>
      </c>
      <c r="L6928" s="31"/>
      <c r="M6928" s="31" t="s">
        <v>854</v>
      </c>
      <c r="N6928" s="6" t="s">
        <v>856</v>
      </c>
    </row>
    <row r="6929" spans="1:14" ht="15" customHeight="1" x14ac:dyDescent="0.2">
      <c r="A6929" s="31">
        <v>0.11731904355806989</v>
      </c>
      <c r="B6929" s="31"/>
      <c r="C6929" s="2" t="s">
        <v>855</v>
      </c>
      <c r="D6929" s="31">
        <f t="shared" si="202"/>
        <v>2.29945325373817E-2</v>
      </c>
      <c r="F6929" s="2" t="s">
        <v>822</v>
      </c>
      <c r="G6929" s="23" t="s">
        <v>902</v>
      </c>
      <c r="H6929" s="2" t="s">
        <v>822</v>
      </c>
      <c r="J6929" s="31">
        <v>58.1040001</v>
      </c>
      <c r="K6929" s="31">
        <v>-39.888000499999997</v>
      </c>
      <c r="L6929" s="31"/>
      <c r="M6929" s="31" t="s">
        <v>854</v>
      </c>
      <c r="N6929" s="6" t="s">
        <v>856</v>
      </c>
    </row>
    <row r="6930" spans="1:14" ht="15" customHeight="1" x14ac:dyDescent="0.2">
      <c r="A6930" s="31">
        <v>0.1172129291184891</v>
      </c>
      <c r="B6930" s="31"/>
      <c r="C6930" s="2" t="s">
        <v>855</v>
      </c>
      <c r="D6930" s="31">
        <f t="shared" si="202"/>
        <v>2.2973734107223864E-2</v>
      </c>
      <c r="F6930" s="2" t="s">
        <v>822</v>
      </c>
      <c r="G6930" s="23" t="s">
        <v>902</v>
      </c>
      <c r="H6930" s="2" t="s">
        <v>822</v>
      </c>
      <c r="J6930" s="31">
        <v>66.033203099999994</v>
      </c>
      <c r="K6930" s="31">
        <v>-27.840700099999999</v>
      </c>
      <c r="L6930" s="31"/>
      <c r="M6930" s="31" t="s">
        <v>854</v>
      </c>
      <c r="N6930" s="6" t="s">
        <v>856</v>
      </c>
    </row>
    <row r="6931" spans="1:14" ht="15" customHeight="1" x14ac:dyDescent="0.2">
      <c r="A6931" s="31">
        <v>0.1170535626683694</v>
      </c>
      <c r="B6931" s="31"/>
      <c r="C6931" s="2" t="s">
        <v>855</v>
      </c>
      <c r="D6931" s="31">
        <f t="shared" si="202"/>
        <v>2.2942498283000403E-2</v>
      </c>
      <c r="F6931" s="2" t="s">
        <v>822</v>
      </c>
      <c r="G6931" s="23" t="s">
        <v>902</v>
      </c>
      <c r="H6931" s="2" t="s">
        <v>822</v>
      </c>
      <c r="J6931" s="31">
        <v>64.994300800000005</v>
      </c>
      <c r="K6931" s="31">
        <v>6.8225198000000002</v>
      </c>
      <c r="L6931" s="31"/>
      <c r="M6931" s="31" t="s">
        <v>854</v>
      </c>
      <c r="N6931" s="6" t="s">
        <v>856</v>
      </c>
    </row>
    <row r="6932" spans="1:14" ht="15" customHeight="1" x14ac:dyDescent="0.2">
      <c r="A6932" s="31">
        <v>0.1168804625144525</v>
      </c>
      <c r="B6932" s="31"/>
      <c r="C6932" s="2" t="s">
        <v>855</v>
      </c>
      <c r="D6932" s="31">
        <f t="shared" si="202"/>
        <v>2.290857065283269E-2</v>
      </c>
      <c r="F6932" s="2" t="s">
        <v>822</v>
      </c>
      <c r="G6932" s="23" t="s">
        <v>902</v>
      </c>
      <c r="H6932" s="2" t="s">
        <v>822</v>
      </c>
      <c r="J6932" s="31">
        <v>67.456001299999997</v>
      </c>
      <c r="K6932" s="31">
        <v>7.54</v>
      </c>
      <c r="L6932" s="31"/>
      <c r="M6932" s="31" t="s">
        <v>854</v>
      </c>
      <c r="N6932" s="6" t="s">
        <v>856</v>
      </c>
    </row>
    <row r="6933" spans="1:14" ht="15" customHeight="1" x14ac:dyDescent="0.2">
      <c r="A6933" s="31">
        <v>0.11681981385433129</v>
      </c>
      <c r="B6933" s="31"/>
      <c r="C6933" s="2" t="s">
        <v>855</v>
      </c>
      <c r="D6933" s="31">
        <f t="shared" si="202"/>
        <v>2.2896683515448935E-2</v>
      </c>
      <c r="F6933" s="2" t="s">
        <v>822</v>
      </c>
      <c r="G6933" s="23" t="s">
        <v>902</v>
      </c>
      <c r="H6933" s="2" t="s">
        <v>822</v>
      </c>
      <c r="J6933" s="31">
        <v>60.776001000000001</v>
      </c>
      <c r="K6933" s="31">
        <v>-39.888000499999997</v>
      </c>
      <c r="L6933" s="31"/>
      <c r="M6933" s="31" t="s">
        <v>854</v>
      </c>
      <c r="N6933" s="6" t="s">
        <v>856</v>
      </c>
    </row>
    <row r="6934" spans="1:14" ht="15" customHeight="1" x14ac:dyDescent="0.2">
      <c r="A6934" s="31">
        <v>0.1167608965624784</v>
      </c>
      <c r="B6934" s="31"/>
      <c r="C6934" s="2" t="s">
        <v>855</v>
      </c>
      <c r="D6934" s="31">
        <f t="shared" si="202"/>
        <v>2.2885135726245766E-2</v>
      </c>
      <c r="F6934" s="2" t="s">
        <v>822</v>
      </c>
      <c r="G6934" s="23" t="s">
        <v>902</v>
      </c>
      <c r="H6934" s="2" t="s">
        <v>822</v>
      </c>
      <c r="J6934" s="31">
        <v>64.115997300000004</v>
      </c>
      <c r="K6934" s="31">
        <v>0.86</v>
      </c>
      <c r="L6934" s="31"/>
      <c r="M6934" s="31" t="s">
        <v>854</v>
      </c>
      <c r="N6934" s="6" t="s">
        <v>856</v>
      </c>
    </row>
    <row r="6935" spans="1:14" ht="15" customHeight="1" x14ac:dyDescent="0.2">
      <c r="A6935" s="31">
        <v>0.11642320054072509</v>
      </c>
      <c r="B6935" s="31"/>
      <c r="C6935" s="2" t="s">
        <v>855</v>
      </c>
      <c r="D6935" s="31">
        <f t="shared" si="202"/>
        <v>2.2818947305982121E-2</v>
      </c>
      <c r="F6935" s="2" t="s">
        <v>822</v>
      </c>
      <c r="G6935" s="23" t="s">
        <v>902</v>
      </c>
      <c r="H6935" s="2" t="s">
        <v>822</v>
      </c>
      <c r="J6935" s="31">
        <v>70.127998399999996</v>
      </c>
      <c r="K6935" s="31">
        <v>9.5439997000000005</v>
      </c>
      <c r="L6935" s="31"/>
      <c r="M6935" s="31" t="s">
        <v>854</v>
      </c>
      <c r="N6935" s="6" t="s">
        <v>856</v>
      </c>
    </row>
    <row r="6936" spans="1:14" ht="15" customHeight="1" x14ac:dyDescent="0.2">
      <c r="A6936" s="31">
        <v>0.1163090107023684</v>
      </c>
      <c r="B6936" s="31"/>
      <c r="C6936" s="2" t="s">
        <v>855</v>
      </c>
      <c r="D6936" s="31">
        <f t="shared" si="202"/>
        <v>2.2796566097664207E-2</v>
      </c>
      <c r="F6936" s="2" t="s">
        <v>822</v>
      </c>
      <c r="G6936" s="23" t="s">
        <v>902</v>
      </c>
      <c r="H6936" s="2" t="s">
        <v>822</v>
      </c>
      <c r="J6936" s="31">
        <v>71.487899799999994</v>
      </c>
      <c r="K6936" s="31">
        <v>14.4569998</v>
      </c>
      <c r="L6936" s="31"/>
      <c r="M6936" s="31" t="s">
        <v>854</v>
      </c>
      <c r="N6936" s="6" t="s">
        <v>856</v>
      </c>
    </row>
    <row r="6937" spans="1:14" ht="15" customHeight="1" x14ac:dyDescent="0.2">
      <c r="A6937" s="31">
        <v>0.11607876049301399</v>
      </c>
      <c r="B6937" s="31"/>
      <c r="C6937" s="2" t="s">
        <v>855</v>
      </c>
      <c r="D6937" s="31">
        <f t="shared" si="202"/>
        <v>2.2751437056630745E-2</v>
      </c>
      <c r="F6937" s="2" t="s">
        <v>822</v>
      </c>
      <c r="G6937" s="23" t="s">
        <v>902</v>
      </c>
      <c r="H6937" s="2" t="s">
        <v>822</v>
      </c>
      <c r="J6937" s="31">
        <v>66.133796700000005</v>
      </c>
      <c r="K6937" s="31">
        <v>10.2305002</v>
      </c>
      <c r="L6937" s="31"/>
      <c r="M6937" s="31" t="s">
        <v>854</v>
      </c>
      <c r="N6937" s="6" t="s">
        <v>856</v>
      </c>
    </row>
    <row r="6938" spans="1:14" ht="15" customHeight="1" x14ac:dyDescent="0.2">
      <c r="A6938" s="31">
        <v>0.116077733913245</v>
      </c>
      <c r="B6938" s="31"/>
      <c r="C6938" s="2" t="s">
        <v>855</v>
      </c>
      <c r="D6938" s="31">
        <f t="shared" si="202"/>
        <v>2.275123584699602E-2</v>
      </c>
      <c r="F6938" s="2" t="s">
        <v>822</v>
      </c>
      <c r="G6938" s="23" t="s">
        <v>902</v>
      </c>
      <c r="H6938" s="2" t="s">
        <v>822</v>
      </c>
      <c r="J6938" s="31">
        <v>61.444000199999998</v>
      </c>
      <c r="K6938" s="31">
        <v>-36.659301800000001</v>
      </c>
      <c r="L6938" s="31"/>
      <c r="M6938" s="31" t="s">
        <v>854</v>
      </c>
      <c r="N6938" s="6" t="s">
        <v>856</v>
      </c>
    </row>
    <row r="6939" spans="1:14" ht="15" customHeight="1" x14ac:dyDescent="0.2">
      <c r="A6939" s="31">
        <v>0.11598780583380409</v>
      </c>
      <c r="B6939" s="31"/>
      <c r="C6939" s="2" t="s">
        <v>855</v>
      </c>
      <c r="D6939" s="31">
        <f t="shared" si="202"/>
        <v>2.2733609943425603E-2</v>
      </c>
      <c r="F6939" s="2" t="s">
        <v>822</v>
      </c>
      <c r="G6939" s="23" t="s">
        <v>902</v>
      </c>
      <c r="H6939" s="2" t="s">
        <v>822</v>
      </c>
      <c r="J6939" s="31">
        <v>59.439998600000003</v>
      </c>
      <c r="K6939" s="31">
        <v>-37.215999600000004</v>
      </c>
      <c r="L6939" s="31"/>
      <c r="M6939" s="31" t="s">
        <v>854</v>
      </c>
      <c r="N6939" s="6" t="s">
        <v>856</v>
      </c>
    </row>
    <row r="6940" spans="1:14" ht="15" customHeight="1" x14ac:dyDescent="0.2">
      <c r="A6940" s="31">
        <v>0.11568755012616461</v>
      </c>
      <c r="B6940" s="31"/>
      <c r="C6940" s="2" t="s">
        <v>855</v>
      </c>
      <c r="D6940" s="31">
        <f t="shared" si="202"/>
        <v>2.2674759824728264E-2</v>
      </c>
      <c r="F6940" s="2" t="s">
        <v>822</v>
      </c>
      <c r="G6940" s="23" t="s">
        <v>902</v>
      </c>
      <c r="H6940" s="2" t="s">
        <v>822</v>
      </c>
      <c r="J6940" s="31">
        <v>64.544700599999999</v>
      </c>
      <c r="K6940" s="31">
        <v>-34.514800999999999</v>
      </c>
      <c r="L6940" s="31"/>
      <c r="M6940" s="31" t="s">
        <v>854</v>
      </c>
      <c r="N6940" s="6" t="s">
        <v>856</v>
      </c>
    </row>
    <row r="6941" spans="1:14" ht="15" customHeight="1" x14ac:dyDescent="0.2">
      <c r="A6941" s="31">
        <v>0.1155418724351203</v>
      </c>
      <c r="B6941" s="31"/>
      <c r="C6941" s="2" t="s">
        <v>855</v>
      </c>
      <c r="D6941" s="31">
        <f t="shared" si="202"/>
        <v>2.2646206997283581E-2</v>
      </c>
      <c r="F6941" s="2" t="s">
        <v>822</v>
      </c>
      <c r="G6941" s="23" t="s">
        <v>902</v>
      </c>
      <c r="H6941" s="2" t="s">
        <v>822</v>
      </c>
      <c r="J6941" s="31">
        <v>59.893501299999997</v>
      </c>
      <c r="K6941" s="31">
        <v>-42.375198400000002</v>
      </c>
      <c r="L6941" s="31"/>
      <c r="M6941" s="31" t="s">
        <v>854</v>
      </c>
      <c r="N6941" s="6" t="s">
        <v>856</v>
      </c>
    </row>
    <row r="6942" spans="1:14" ht="15" customHeight="1" x14ac:dyDescent="0.2">
      <c r="A6942" s="31">
        <v>0.1153317076912206</v>
      </c>
      <c r="B6942" s="31"/>
      <c r="C6942" s="2" t="s">
        <v>855</v>
      </c>
      <c r="D6942" s="31">
        <f t="shared" si="202"/>
        <v>2.2605014707479238E-2</v>
      </c>
      <c r="F6942" s="2" t="s">
        <v>822</v>
      </c>
      <c r="G6942" s="23" t="s">
        <v>902</v>
      </c>
      <c r="H6942" s="2" t="s">
        <v>822</v>
      </c>
      <c r="J6942" s="31">
        <v>64.399299600000006</v>
      </c>
      <c r="K6942" s="31">
        <v>-24.164699599999999</v>
      </c>
      <c r="L6942" s="31"/>
      <c r="M6942" s="31" t="s">
        <v>854</v>
      </c>
      <c r="N6942" s="6" t="s">
        <v>856</v>
      </c>
    </row>
    <row r="6943" spans="1:14" ht="15" customHeight="1" x14ac:dyDescent="0.2">
      <c r="A6943" s="31">
        <v>0.1152276709963603</v>
      </c>
      <c r="B6943" s="31"/>
      <c r="C6943" s="2" t="s">
        <v>855</v>
      </c>
      <c r="D6943" s="31">
        <f t="shared" si="202"/>
        <v>2.2584623515286621E-2</v>
      </c>
      <c r="F6943" s="2" t="s">
        <v>822</v>
      </c>
      <c r="G6943" s="23" t="s">
        <v>902</v>
      </c>
      <c r="H6943" s="2" t="s">
        <v>822</v>
      </c>
      <c r="J6943" s="31">
        <v>63.575000799999998</v>
      </c>
      <c r="K6943" s="31">
        <v>-34.582801799999999</v>
      </c>
      <c r="L6943" s="31"/>
      <c r="M6943" s="31" t="s">
        <v>854</v>
      </c>
      <c r="N6943" s="6" t="s">
        <v>856</v>
      </c>
    </row>
    <row r="6944" spans="1:14" ht="15" customHeight="1" x14ac:dyDescent="0.2">
      <c r="A6944" s="31">
        <v>0.1152144799487671</v>
      </c>
      <c r="B6944" s="31"/>
      <c r="C6944" s="2" t="s">
        <v>855</v>
      </c>
      <c r="D6944" s="31">
        <f t="shared" si="202"/>
        <v>2.2582038069958354E-2</v>
      </c>
      <c r="F6944" s="2" t="s">
        <v>822</v>
      </c>
      <c r="G6944" s="23" t="s">
        <v>902</v>
      </c>
      <c r="H6944" s="2" t="s">
        <v>822</v>
      </c>
      <c r="J6944" s="31">
        <v>64.115997300000004</v>
      </c>
      <c r="K6944" s="31">
        <v>1.528</v>
      </c>
      <c r="L6944" s="31"/>
      <c r="M6944" s="31" t="s">
        <v>854</v>
      </c>
      <c r="N6944" s="6" t="s">
        <v>856</v>
      </c>
    </row>
    <row r="6945" spans="1:14" ht="15" customHeight="1" x14ac:dyDescent="0.2">
      <c r="A6945" s="31">
        <v>0.1147123090833667</v>
      </c>
      <c r="B6945" s="31"/>
      <c r="C6945" s="2" t="s">
        <v>855</v>
      </c>
      <c r="D6945" s="31">
        <f t="shared" si="202"/>
        <v>2.2483612580339873E-2</v>
      </c>
      <c r="F6945" s="2" t="s">
        <v>822</v>
      </c>
      <c r="G6945" s="23" t="s">
        <v>902</v>
      </c>
      <c r="H6945" s="2" t="s">
        <v>822</v>
      </c>
      <c r="J6945" s="31">
        <v>71.463996899999998</v>
      </c>
      <c r="K6945" s="31">
        <v>23.572000500000001</v>
      </c>
      <c r="L6945" s="31"/>
      <c r="M6945" s="31" t="s">
        <v>854</v>
      </c>
      <c r="N6945" s="6" t="s">
        <v>856</v>
      </c>
    </row>
    <row r="6946" spans="1:14" ht="15" customHeight="1" x14ac:dyDescent="0.2">
      <c r="A6946" s="31">
        <v>0.1146846721606872</v>
      </c>
      <c r="B6946" s="31"/>
      <c r="C6946" s="2" t="s">
        <v>855</v>
      </c>
      <c r="D6946" s="31">
        <f t="shared" si="202"/>
        <v>2.2478195743494692E-2</v>
      </c>
      <c r="F6946" s="2" t="s">
        <v>822</v>
      </c>
      <c r="G6946" s="23" t="s">
        <v>902</v>
      </c>
      <c r="H6946" s="2" t="s">
        <v>822</v>
      </c>
      <c r="J6946" s="31">
        <v>72.132003800000007</v>
      </c>
      <c r="K6946" s="31">
        <v>16.2240009</v>
      </c>
      <c r="L6946" s="31"/>
      <c r="M6946" s="31" t="s">
        <v>854</v>
      </c>
      <c r="N6946" s="6" t="s">
        <v>856</v>
      </c>
    </row>
    <row r="6947" spans="1:14" ht="15" customHeight="1" x14ac:dyDescent="0.2">
      <c r="A6947" s="31">
        <v>0.114458000052308</v>
      </c>
      <c r="B6947" s="31"/>
      <c r="C6947" s="2" t="s">
        <v>855</v>
      </c>
      <c r="D6947" s="31">
        <f t="shared" si="202"/>
        <v>2.2433768010252368E-2</v>
      </c>
      <c r="F6947" s="2" t="s">
        <v>822</v>
      </c>
      <c r="G6947" s="23" t="s">
        <v>902</v>
      </c>
      <c r="H6947" s="2" t="s">
        <v>822</v>
      </c>
      <c r="J6947" s="31">
        <v>70.098602299999996</v>
      </c>
      <c r="K6947" s="31">
        <v>16.981800100000001</v>
      </c>
      <c r="L6947" s="31"/>
      <c r="M6947" s="31" t="s">
        <v>854</v>
      </c>
      <c r="N6947" s="6" t="s">
        <v>856</v>
      </c>
    </row>
    <row r="6948" spans="1:14" ht="15" customHeight="1" x14ac:dyDescent="0.2">
      <c r="A6948" s="31">
        <v>0.11444103830448341</v>
      </c>
      <c r="B6948" s="31"/>
      <c r="C6948" s="2" t="s">
        <v>855</v>
      </c>
      <c r="D6948" s="31">
        <f t="shared" si="202"/>
        <v>2.2430443507678748E-2</v>
      </c>
      <c r="F6948" s="2" t="s">
        <v>822</v>
      </c>
      <c r="G6948" s="23" t="s">
        <v>902</v>
      </c>
      <c r="H6948" s="2" t="s">
        <v>822</v>
      </c>
      <c r="J6948" s="31">
        <v>63.448001900000001</v>
      </c>
      <c r="K6948" s="31">
        <v>0.192</v>
      </c>
      <c r="L6948" s="31"/>
      <c r="M6948" s="31" t="s">
        <v>854</v>
      </c>
      <c r="N6948" s="6" t="s">
        <v>856</v>
      </c>
    </row>
    <row r="6949" spans="1:14" ht="15" customHeight="1" x14ac:dyDescent="0.2">
      <c r="A6949" s="31">
        <v>0.1135122218198058</v>
      </c>
      <c r="B6949" s="31"/>
      <c r="C6949" s="2" t="s">
        <v>855</v>
      </c>
      <c r="D6949" s="31">
        <f t="shared" si="202"/>
        <v>2.2248395476681938E-2</v>
      </c>
      <c r="F6949" s="2" t="s">
        <v>822</v>
      </c>
      <c r="G6949" s="23" t="s">
        <v>902</v>
      </c>
      <c r="H6949" s="2" t="s">
        <v>822</v>
      </c>
      <c r="J6949" s="31">
        <v>62.779998800000001</v>
      </c>
      <c r="K6949" s="31">
        <v>-3.8159999999999998</v>
      </c>
      <c r="L6949" s="31"/>
      <c r="M6949" s="31" t="s">
        <v>854</v>
      </c>
      <c r="N6949" s="6" t="s">
        <v>856</v>
      </c>
    </row>
    <row r="6950" spans="1:14" ht="15" customHeight="1" x14ac:dyDescent="0.2">
      <c r="A6950" s="31">
        <v>0.1134182539526892</v>
      </c>
      <c r="B6950" s="31"/>
      <c r="C6950" s="2" t="s">
        <v>855</v>
      </c>
      <c r="D6950" s="31">
        <f t="shared" si="202"/>
        <v>2.2229977774727086E-2</v>
      </c>
      <c r="F6950" s="2" t="s">
        <v>822</v>
      </c>
      <c r="G6950" s="23" t="s">
        <v>902</v>
      </c>
      <c r="H6950" s="2" t="s">
        <v>822</v>
      </c>
      <c r="J6950" s="31">
        <v>58.1040001</v>
      </c>
      <c r="K6950" s="31">
        <v>-41.891998299999997</v>
      </c>
      <c r="L6950" s="31"/>
      <c r="M6950" s="31" t="s">
        <v>854</v>
      </c>
      <c r="N6950" s="6" t="s">
        <v>856</v>
      </c>
    </row>
    <row r="6951" spans="1:14" ht="15" customHeight="1" x14ac:dyDescent="0.2">
      <c r="A6951" s="31">
        <v>0.11315253153143071</v>
      </c>
      <c r="B6951" s="31"/>
      <c r="C6951" s="2" t="s">
        <v>855</v>
      </c>
      <c r="D6951" s="31">
        <f t="shared" si="202"/>
        <v>2.217789618016042E-2</v>
      </c>
      <c r="F6951" s="2" t="s">
        <v>822</v>
      </c>
      <c r="G6951" s="23" t="s">
        <v>902</v>
      </c>
      <c r="H6951" s="2" t="s">
        <v>822</v>
      </c>
      <c r="J6951" s="31">
        <v>66.887603799999994</v>
      </c>
      <c r="K6951" s="31">
        <v>-23.187999699999999</v>
      </c>
      <c r="L6951" s="31"/>
      <c r="M6951" s="31" t="s">
        <v>854</v>
      </c>
      <c r="N6951" s="6" t="s">
        <v>856</v>
      </c>
    </row>
    <row r="6952" spans="1:14" ht="15" customHeight="1" x14ac:dyDescent="0.2">
      <c r="A6952" s="31">
        <v>0.11277665765380721</v>
      </c>
      <c r="B6952" s="31"/>
      <c r="C6952" s="2" t="s">
        <v>855</v>
      </c>
      <c r="D6952" s="31">
        <f t="shared" si="202"/>
        <v>2.2104224900146213E-2</v>
      </c>
      <c r="F6952" s="2" t="s">
        <v>822</v>
      </c>
      <c r="G6952" s="23" t="s">
        <v>902</v>
      </c>
      <c r="H6952" s="2" t="s">
        <v>822</v>
      </c>
      <c r="J6952" s="31">
        <v>65.844596899999999</v>
      </c>
      <c r="K6952" s="31">
        <v>-25.1919994</v>
      </c>
      <c r="L6952" s="31"/>
      <c r="M6952" s="31" t="s">
        <v>854</v>
      </c>
      <c r="N6952" s="6" t="s">
        <v>856</v>
      </c>
    </row>
    <row r="6953" spans="1:14" ht="15" customHeight="1" x14ac:dyDescent="0.2">
      <c r="A6953" s="31">
        <v>0.1127751324785338</v>
      </c>
      <c r="B6953" s="31"/>
      <c r="C6953" s="2" t="s">
        <v>855</v>
      </c>
      <c r="D6953" s="31">
        <f t="shared" si="202"/>
        <v>2.2103925965792626E-2</v>
      </c>
      <c r="F6953" s="2" t="s">
        <v>822</v>
      </c>
      <c r="G6953" s="23" t="s">
        <v>902</v>
      </c>
      <c r="H6953" s="2" t="s">
        <v>822</v>
      </c>
      <c r="J6953" s="31">
        <v>63.448001900000001</v>
      </c>
      <c r="K6953" s="31">
        <v>-2.48</v>
      </c>
      <c r="L6953" s="31"/>
      <c r="M6953" s="31" t="s">
        <v>854</v>
      </c>
      <c r="N6953" s="6" t="s">
        <v>856</v>
      </c>
    </row>
    <row r="6954" spans="1:14" ht="15" customHeight="1" x14ac:dyDescent="0.2">
      <c r="A6954" s="31">
        <v>0.1126635320406936</v>
      </c>
      <c r="B6954" s="31"/>
      <c r="C6954" s="2" t="s">
        <v>855</v>
      </c>
      <c r="D6954" s="31">
        <f t="shared" si="202"/>
        <v>2.2082052279975947E-2</v>
      </c>
      <c r="F6954" s="2" t="s">
        <v>822</v>
      </c>
      <c r="G6954" s="23" t="s">
        <v>902</v>
      </c>
      <c r="H6954" s="2" t="s">
        <v>822</v>
      </c>
      <c r="J6954" s="31">
        <v>57.436000800000002</v>
      </c>
      <c r="K6954" s="31">
        <v>-33.208000200000001</v>
      </c>
      <c r="L6954" s="31"/>
      <c r="M6954" s="31" t="s">
        <v>854</v>
      </c>
      <c r="N6954" s="6" t="s">
        <v>856</v>
      </c>
    </row>
    <row r="6955" spans="1:14" ht="15" customHeight="1" x14ac:dyDescent="0.2">
      <c r="A6955" s="31">
        <v>0.1126190631428544</v>
      </c>
      <c r="B6955" s="31"/>
      <c r="C6955" s="2" t="s">
        <v>855</v>
      </c>
      <c r="D6955" s="31">
        <f t="shared" si="202"/>
        <v>2.2073336375999463E-2</v>
      </c>
      <c r="F6955" s="2" t="s">
        <v>822</v>
      </c>
      <c r="G6955" s="23" t="s">
        <v>902</v>
      </c>
      <c r="H6955" s="2" t="s">
        <v>822</v>
      </c>
      <c r="J6955" s="31">
        <v>66.598297099999996</v>
      </c>
      <c r="K6955" s="31">
        <v>-28.219400400000001</v>
      </c>
      <c r="L6955" s="31"/>
      <c r="M6955" s="31" t="s">
        <v>854</v>
      </c>
      <c r="N6955" s="6" t="s">
        <v>856</v>
      </c>
    </row>
    <row r="6956" spans="1:14" ht="15" customHeight="1" x14ac:dyDescent="0.2">
      <c r="A6956" s="31">
        <v>0.112577194844638</v>
      </c>
      <c r="B6956" s="31"/>
      <c r="C6956" s="2" t="s">
        <v>855</v>
      </c>
      <c r="D6956" s="31">
        <f t="shared" si="202"/>
        <v>2.2065130189549049E-2</v>
      </c>
      <c r="F6956" s="2" t="s">
        <v>822</v>
      </c>
      <c r="G6956" s="23" t="s">
        <v>902</v>
      </c>
      <c r="H6956" s="2" t="s">
        <v>822</v>
      </c>
      <c r="J6956" s="31">
        <v>71.496803299999996</v>
      </c>
      <c r="K6956" s="31">
        <v>15.5389996</v>
      </c>
      <c r="L6956" s="31"/>
      <c r="M6956" s="31" t="s">
        <v>854</v>
      </c>
      <c r="N6956" s="6" t="s">
        <v>856</v>
      </c>
    </row>
    <row r="6957" spans="1:14" ht="15" customHeight="1" x14ac:dyDescent="0.2">
      <c r="A6957" s="31">
        <v>0.112231481407159</v>
      </c>
      <c r="B6957" s="31"/>
      <c r="C6957" s="2" t="s">
        <v>855</v>
      </c>
      <c r="D6957" s="31">
        <f t="shared" si="202"/>
        <v>2.1997370355803163E-2</v>
      </c>
      <c r="F6957" s="2" t="s">
        <v>822</v>
      </c>
      <c r="G6957" s="23" t="s">
        <v>902</v>
      </c>
      <c r="H6957" s="2" t="s">
        <v>822</v>
      </c>
      <c r="J6957" s="31">
        <v>58.1040001</v>
      </c>
      <c r="K6957" s="31">
        <v>-41.223998999999999</v>
      </c>
      <c r="L6957" s="31"/>
      <c r="M6957" s="31" t="s">
        <v>854</v>
      </c>
      <c r="N6957" s="6" t="s">
        <v>856</v>
      </c>
    </row>
    <row r="6958" spans="1:14" ht="15" customHeight="1" x14ac:dyDescent="0.2">
      <c r="A6958" s="31">
        <v>0.1120179391788219</v>
      </c>
      <c r="B6958" s="31"/>
      <c r="C6958" s="2" t="s">
        <v>855</v>
      </c>
      <c r="D6958" s="31">
        <f t="shared" si="202"/>
        <v>2.1955516079049091E-2</v>
      </c>
      <c r="F6958" s="2" t="s">
        <v>822</v>
      </c>
      <c r="G6958" s="23" t="s">
        <v>902</v>
      </c>
      <c r="H6958" s="2" t="s">
        <v>822</v>
      </c>
      <c r="J6958" s="31">
        <v>64.116699199999999</v>
      </c>
      <c r="K6958" s="31">
        <v>-9.8272200000000005</v>
      </c>
      <c r="L6958" s="31"/>
      <c r="M6958" s="31" t="s">
        <v>854</v>
      </c>
      <c r="N6958" s="6" t="s">
        <v>856</v>
      </c>
    </row>
    <row r="6959" spans="1:14" ht="15" customHeight="1" x14ac:dyDescent="0.2">
      <c r="A6959" s="31">
        <v>0.1115089853115314</v>
      </c>
      <c r="B6959" s="31"/>
      <c r="C6959" s="2" t="s">
        <v>855</v>
      </c>
      <c r="D6959" s="31">
        <f t="shared" si="202"/>
        <v>2.1855761121060156E-2</v>
      </c>
      <c r="F6959" s="2" t="s">
        <v>822</v>
      </c>
      <c r="G6959" s="23" t="s">
        <v>902</v>
      </c>
      <c r="H6959" s="2" t="s">
        <v>822</v>
      </c>
      <c r="J6959" s="31">
        <v>60.108001700000003</v>
      </c>
      <c r="K6959" s="31">
        <v>-37.215999600000004</v>
      </c>
      <c r="L6959" s="31"/>
      <c r="M6959" s="31" t="s">
        <v>854</v>
      </c>
      <c r="N6959" s="6" t="s">
        <v>856</v>
      </c>
    </row>
    <row r="6960" spans="1:14" ht="15" customHeight="1" x14ac:dyDescent="0.2">
      <c r="A6960" s="31">
        <v>0.1115067046028463</v>
      </c>
      <c r="B6960" s="31"/>
      <c r="C6960" s="2" t="s">
        <v>855</v>
      </c>
      <c r="D6960" s="31">
        <f t="shared" si="202"/>
        <v>2.1855314102157877E-2</v>
      </c>
      <c r="F6960" s="2" t="s">
        <v>822</v>
      </c>
      <c r="G6960" s="23" t="s">
        <v>902</v>
      </c>
      <c r="H6960" s="2" t="s">
        <v>822</v>
      </c>
      <c r="J6960" s="31">
        <v>69.459999100000005</v>
      </c>
      <c r="K6960" s="31">
        <v>9.5439997000000005</v>
      </c>
      <c r="L6960" s="31"/>
      <c r="M6960" s="31" t="s">
        <v>854</v>
      </c>
      <c r="N6960" s="6" t="s">
        <v>856</v>
      </c>
    </row>
    <row r="6961" spans="1:14" ht="15" customHeight="1" x14ac:dyDescent="0.2">
      <c r="A6961" s="31">
        <v>0.1114628006973508</v>
      </c>
      <c r="B6961" s="31"/>
      <c r="C6961" s="2" t="s">
        <v>855</v>
      </c>
      <c r="D6961" s="31">
        <f t="shared" si="202"/>
        <v>2.1846708936680757E-2</v>
      </c>
      <c r="F6961" s="2" t="s">
        <v>822</v>
      </c>
      <c r="G6961" s="23" t="s">
        <v>902</v>
      </c>
      <c r="H6961" s="2" t="s">
        <v>822</v>
      </c>
      <c r="J6961" s="31">
        <v>65.452003500000004</v>
      </c>
      <c r="K6961" s="31">
        <v>10.2119999</v>
      </c>
      <c r="L6961" s="31"/>
      <c r="M6961" s="31" t="s">
        <v>854</v>
      </c>
      <c r="N6961" s="6" t="s">
        <v>856</v>
      </c>
    </row>
    <row r="6962" spans="1:14" ht="15" customHeight="1" x14ac:dyDescent="0.2">
      <c r="A6962" s="31">
        <v>0.1110985740885715</v>
      </c>
      <c r="B6962" s="31"/>
      <c r="C6962" s="2" t="s">
        <v>855</v>
      </c>
      <c r="D6962" s="31">
        <f t="shared" si="202"/>
        <v>2.1775320521360015E-2</v>
      </c>
      <c r="F6962" s="2" t="s">
        <v>822</v>
      </c>
      <c r="G6962" s="23" t="s">
        <v>902</v>
      </c>
      <c r="H6962" s="2" t="s">
        <v>822</v>
      </c>
      <c r="J6962" s="31">
        <v>61.396198300000002</v>
      </c>
      <c r="K6962" s="31">
        <v>-41.140701300000003</v>
      </c>
      <c r="L6962" s="31"/>
      <c r="M6962" s="31" t="s">
        <v>854</v>
      </c>
      <c r="N6962" s="6" t="s">
        <v>856</v>
      </c>
    </row>
    <row r="6963" spans="1:14" ht="15" customHeight="1" x14ac:dyDescent="0.2">
      <c r="A6963" s="31">
        <v>0.1110845247150293</v>
      </c>
      <c r="B6963" s="31"/>
      <c r="C6963" s="2" t="s">
        <v>855</v>
      </c>
      <c r="D6963" s="31">
        <f t="shared" si="202"/>
        <v>2.1772566844145743E-2</v>
      </c>
      <c r="F6963" s="2" t="s">
        <v>822</v>
      </c>
      <c r="G6963" s="23" t="s">
        <v>902</v>
      </c>
      <c r="H6963" s="2" t="s">
        <v>822</v>
      </c>
      <c r="J6963" s="31">
        <v>59.439998600000003</v>
      </c>
      <c r="K6963" s="31">
        <v>-36.548000299999998</v>
      </c>
      <c r="L6963" s="31"/>
      <c r="M6963" s="31" t="s">
        <v>854</v>
      </c>
      <c r="N6963" s="6" t="s">
        <v>856</v>
      </c>
    </row>
    <row r="6964" spans="1:14" ht="15" customHeight="1" x14ac:dyDescent="0.2">
      <c r="A6964" s="31">
        <v>0.1108903084726342</v>
      </c>
      <c r="B6964" s="31"/>
      <c r="C6964" s="2" t="s">
        <v>855</v>
      </c>
      <c r="D6964" s="31">
        <f t="shared" si="202"/>
        <v>2.1734500460636304E-2</v>
      </c>
      <c r="F6964" s="2" t="s">
        <v>822</v>
      </c>
      <c r="G6964" s="23" t="s">
        <v>902</v>
      </c>
      <c r="H6964" s="2" t="s">
        <v>822</v>
      </c>
      <c r="J6964" s="31">
        <v>65.764099099999996</v>
      </c>
      <c r="K6964" s="31">
        <v>-19.459600399999999</v>
      </c>
      <c r="L6964" s="31"/>
      <c r="M6964" s="31" t="s">
        <v>854</v>
      </c>
      <c r="N6964" s="6" t="s">
        <v>856</v>
      </c>
    </row>
    <row r="6965" spans="1:14" ht="15" customHeight="1" x14ac:dyDescent="0.2">
      <c r="A6965" s="31">
        <v>0.1107335641845119</v>
      </c>
      <c r="B6965" s="31"/>
      <c r="C6965" s="2" t="s">
        <v>855</v>
      </c>
      <c r="D6965" s="31">
        <f t="shared" si="202"/>
        <v>2.1703778580164333E-2</v>
      </c>
      <c r="F6965" s="2" t="s">
        <v>822</v>
      </c>
      <c r="G6965" s="23" t="s">
        <v>902</v>
      </c>
      <c r="H6965" s="2" t="s">
        <v>822</v>
      </c>
      <c r="J6965" s="31">
        <v>69.015701300000003</v>
      </c>
      <c r="K6965" s="31">
        <v>15.452500300000001</v>
      </c>
      <c r="L6965" s="31"/>
      <c r="M6965" s="31" t="s">
        <v>854</v>
      </c>
      <c r="N6965" s="6" t="s">
        <v>856</v>
      </c>
    </row>
    <row r="6966" spans="1:14" ht="15" customHeight="1" x14ac:dyDescent="0.2">
      <c r="A6966" s="31">
        <v>0.11067660577824209</v>
      </c>
      <c r="B6966" s="31"/>
      <c r="C6966" s="2" t="s">
        <v>855</v>
      </c>
      <c r="D6966" s="31">
        <f t="shared" si="202"/>
        <v>2.1692614732535451E-2</v>
      </c>
      <c r="F6966" s="2" t="s">
        <v>822</v>
      </c>
      <c r="G6966" s="23" t="s">
        <v>902</v>
      </c>
      <c r="H6966" s="2" t="s">
        <v>822</v>
      </c>
      <c r="J6966" s="31">
        <v>67.040100100000004</v>
      </c>
      <c r="K6966" s="31">
        <v>14.0776997</v>
      </c>
      <c r="L6966" s="31"/>
      <c r="M6966" s="31" t="s">
        <v>854</v>
      </c>
      <c r="N6966" s="6" t="s">
        <v>856</v>
      </c>
    </row>
    <row r="6967" spans="1:14" ht="15" customHeight="1" x14ac:dyDescent="0.2">
      <c r="A6967" s="31">
        <v>0.11051396964266361</v>
      </c>
      <c r="B6967" s="31"/>
      <c r="C6967" s="2" t="s">
        <v>855</v>
      </c>
      <c r="D6967" s="31">
        <f t="shared" si="202"/>
        <v>2.1660738049962068E-2</v>
      </c>
      <c r="F6967" s="2" t="s">
        <v>822</v>
      </c>
      <c r="G6967" s="23" t="s">
        <v>902</v>
      </c>
      <c r="H6967" s="2" t="s">
        <v>822</v>
      </c>
      <c r="J6967" s="31">
        <v>65.360801699999996</v>
      </c>
      <c r="K6967" s="31">
        <v>-31.8379002</v>
      </c>
      <c r="L6967" s="31"/>
      <c r="M6967" s="31" t="s">
        <v>854</v>
      </c>
      <c r="N6967" s="6" t="s">
        <v>856</v>
      </c>
    </row>
    <row r="6968" spans="1:14" ht="15" customHeight="1" x14ac:dyDescent="0.2">
      <c r="A6968" s="31">
        <v>0.1104873277770822</v>
      </c>
      <c r="B6968" s="31"/>
      <c r="C6968" s="2" t="s">
        <v>855</v>
      </c>
      <c r="D6968" s="31">
        <f t="shared" si="202"/>
        <v>2.1655516244308112E-2</v>
      </c>
      <c r="F6968" s="2" t="s">
        <v>822</v>
      </c>
      <c r="G6968" s="23" t="s">
        <v>902</v>
      </c>
      <c r="H6968" s="2" t="s">
        <v>822</v>
      </c>
      <c r="J6968" s="31">
        <v>66.485397300000002</v>
      </c>
      <c r="K6968" s="31">
        <v>-29.0464001</v>
      </c>
      <c r="L6968" s="31"/>
      <c r="M6968" s="31" t="s">
        <v>854</v>
      </c>
      <c r="N6968" s="6" t="s">
        <v>856</v>
      </c>
    </row>
    <row r="6969" spans="1:14" ht="15" customHeight="1" x14ac:dyDescent="0.2">
      <c r="A6969" s="31">
        <v>0.1101458276031141</v>
      </c>
      <c r="B6969" s="31"/>
      <c r="C6969" s="2" t="s">
        <v>855</v>
      </c>
      <c r="D6969" s="31">
        <f t="shared" si="202"/>
        <v>2.1588582210210365E-2</v>
      </c>
      <c r="F6969" s="2" t="s">
        <v>822</v>
      </c>
      <c r="G6969" s="23" t="s">
        <v>902</v>
      </c>
      <c r="H6969" s="2" t="s">
        <v>822</v>
      </c>
      <c r="J6969" s="31">
        <v>58.771999399999999</v>
      </c>
      <c r="K6969" s="31">
        <v>-41.223998999999999</v>
      </c>
      <c r="L6969" s="31"/>
      <c r="M6969" s="31" t="s">
        <v>854</v>
      </c>
      <c r="N6969" s="6" t="s">
        <v>856</v>
      </c>
    </row>
    <row r="6970" spans="1:14" ht="15" customHeight="1" x14ac:dyDescent="0.2">
      <c r="A6970" s="31">
        <v>0.1100997006213225</v>
      </c>
      <c r="B6970" s="31"/>
      <c r="C6970" s="2" t="s">
        <v>855</v>
      </c>
      <c r="D6970" s="31">
        <f t="shared" si="202"/>
        <v>2.1579541321779212E-2</v>
      </c>
      <c r="F6970" s="2" t="s">
        <v>822</v>
      </c>
      <c r="G6970" s="23" t="s">
        <v>902</v>
      </c>
      <c r="H6970" s="2" t="s">
        <v>822</v>
      </c>
      <c r="J6970" s="31">
        <v>65.568000799999993</v>
      </c>
      <c r="K6970" s="31">
        <v>-13.7420998</v>
      </c>
      <c r="L6970" s="31"/>
      <c r="M6970" s="31" t="s">
        <v>854</v>
      </c>
      <c r="N6970" s="6" t="s">
        <v>856</v>
      </c>
    </row>
    <row r="6971" spans="1:14" ht="15" customHeight="1" x14ac:dyDescent="0.2">
      <c r="A6971" s="31">
        <v>0.1099595135835009</v>
      </c>
      <c r="B6971" s="31"/>
      <c r="C6971" s="2" t="s">
        <v>855</v>
      </c>
      <c r="D6971" s="31">
        <f t="shared" si="202"/>
        <v>2.1552064662366175E-2</v>
      </c>
      <c r="F6971" s="2" t="s">
        <v>822</v>
      </c>
      <c r="G6971" s="23" t="s">
        <v>902</v>
      </c>
      <c r="H6971" s="2" t="s">
        <v>822</v>
      </c>
      <c r="J6971" s="31">
        <v>62.779998800000001</v>
      </c>
      <c r="K6971" s="31">
        <v>-7.8239998999999996</v>
      </c>
      <c r="L6971" s="31"/>
      <c r="M6971" s="31" t="s">
        <v>854</v>
      </c>
      <c r="N6971" s="6" t="s">
        <v>856</v>
      </c>
    </row>
    <row r="6972" spans="1:14" ht="15" customHeight="1" x14ac:dyDescent="0.2">
      <c r="A6972" s="31">
        <v>0.1098074158692456</v>
      </c>
      <c r="B6972" s="31"/>
      <c r="C6972" s="2" t="s">
        <v>855</v>
      </c>
      <c r="D6972" s="31">
        <f t="shared" si="202"/>
        <v>2.1522253510372139E-2</v>
      </c>
      <c r="F6972" s="2" t="s">
        <v>822</v>
      </c>
      <c r="G6972" s="23" t="s">
        <v>902</v>
      </c>
      <c r="H6972" s="2" t="s">
        <v>822</v>
      </c>
      <c r="J6972" s="31">
        <v>59.439998600000003</v>
      </c>
      <c r="K6972" s="31">
        <v>-34.543998700000003</v>
      </c>
      <c r="L6972" s="31"/>
      <c r="M6972" s="31" t="s">
        <v>854</v>
      </c>
      <c r="N6972" s="6" t="s">
        <v>856</v>
      </c>
    </row>
    <row r="6973" spans="1:14" ht="15" customHeight="1" x14ac:dyDescent="0.2">
      <c r="A6973" s="31">
        <v>0.1096525713272834</v>
      </c>
      <c r="B6973" s="31"/>
      <c r="C6973" s="2" t="s">
        <v>855</v>
      </c>
      <c r="D6973" s="31">
        <f t="shared" si="202"/>
        <v>2.1491903980147546E-2</v>
      </c>
      <c r="F6973" s="2" t="s">
        <v>822</v>
      </c>
      <c r="G6973" s="23" t="s">
        <v>902</v>
      </c>
      <c r="H6973" s="2" t="s">
        <v>822</v>
      </c>
      <c r="J6973" s="31">
        <v>67.456001299999997</v>
      </c>
      <c r="K6973" s="31">
        <v>6.2039999999999997</v>
      </c>
      <c r="L6973" s="31"/>
      <c r="M6973" s="31" t="s">
        <v>854</v>
      </c>
      <c r="N6973" s="6" t="s">
        <v>856</v>
      </c>
    </row>
    <row r="6974" spans="1:14" ht="15" customHeight="1" x14ac:dyDescent="0.2">
      <c r="A6974" s="31">
        <v>0.1096299548358671</v>
      </c>
      <c r="B6974" s="31"/>
      <c r="C6974" s="2" t="s">
        <v>855</v>
      </c>
      <c r="D6974" s="31">
        <f t="shared" si="202"/>
        <v>2.1487471147829951E-2</v>
      </c>
      <c r="F6974" s="2" t="s">
        <v>822</v>
      </c>
      <c r="G6974" s="23" t="s">
        <v>902</v>
      </c>
      <c r="H6974" s="2" t="s">
        <v>822</v>
      </c>
      <c r="J6974" s="31">
        <v>70.875</v>
      </c>
      <c r="K6974" s="31">
        <v>24.2290001</v>
      </c>
      <c r="L6974" s="31"/>
      <c r="M6974" s="31" t="s">
        <v>854</v>
      </c>
      <c r="N6974" s="6" t="s">
        <v>856</v>
      </c>
    </row>
    <row r="6975" spans="1:14" ht="15" customHeight="1" x14ac:dyDescent="0.2">
      <c r="A6975" s="31">
        <v>0.1096243224763437</v>
      </c>
      <c r="B6975" s="31"/>
      <c r="C6975" s="2" t="s">
        <v>855</v>
      </c>
      <c r="D6975" s="31">
        <f t="shared" si="202"/>
        <v>2.1486367205363364E-2</v>
      </c>
      <c r="F6975" s="2" t="s">
        <v>822</v>
      </c>
      <c r="G6975" s="23" t="s">
        <v>902</v>
      </c>
      <c r="H6975" s="2" t="s">
        <v>822</v>
      </c>
      <c r="J6975" s="31">
        <v>63.904701199999998</v>
      </c>
      <c r="K6975" s="31">
        <v>-38.462398499999999</v>
      </c>
      <c r="L6975" s="31"/>
      <c r="M6975" s="31" t="s">
        <v>854</v>
      </c>
      <c r="N6975" s="6" t="s">
        <v>856</v>
      </c>
    </row>
    <row r="6976" spans="1:14" ht="15" customHeight="1" x14ac:dyDescent="0.2">
      <c r="A6976" s="31">
        <v>0.1095358584575932</v>
      </c>
      <c r="B6976" s="31"/>
      <c r="C6976" s="2" t="s">
        <v>855</v>
      </c>
      <c r="D6976" s="31">
        <f t="shared" ref="D6976:D7039" si="203" xml:space="preserve"> A6976 * 0.196</f>
        <v>2.1469028257688268E-2</v>
      </c>
      <c r="F6976" s="2" t="s">
        <v>822</v>
      </c>
      <c r="G6976" s="23" t="s">
        <v>902</v>
      </c>
      <c r="H6976" s="2" t="s">
        <v>822</v>
      </c>
      <c r="J6976" s="31">
        <v>66.411300699999998</v>
      </c>
      <c r="K6976" s="31">
        <v>-17.929599799999998</v>
      </c>
      <c r="L6976" s="31"/>
      <c r="M6976" s="31" t="s">
        <v>854</v>
      </c>
      <c r="N6976" s="6" t="s">
        <v>856</v>
      </c>
    </row>
    <row r="6977" spans="1:14" ht="15" customHeight="1" x14ac:dyDescent="0.2">
      <c r="A6977" s="31">
        <v>0.1092611352847549</v>
      </c>
      <c r="B6977" s="31"/>
      <c r="C6977" s="2" t="s">
        <v>855</v>
      </c>
      <c r="D6977" s="31">
        <f t="shared" si="203"/>
        <v>2.141518251581196E-2</v>
      </c>
      <c r="F6977" s="2" t="s">
        <v>822</v>
      </c>
      <c r="G6977" s="23" t="s">
        <v>902</v>
      </c>
      <c r="H6977" s="2" t="s">
        <v>822</v>
      </c>
      <c r="J6977" s="31">
        <v>66.158996599999995</v>
      </c>
      <c r="K6977" s="31">
        <v>-22.6163998</v>
      </c>
      <c r="L6977" s="31"/>
      <c r="M6977" s="31" t="s">
        <v>854</v>
      </c>
      <c r="N6977" s="6" t="s">
        <v>856</v>
      </c>
    </row>
    <row r="6978" spans="1:14" ht="15" customHeight="1" x14ac:dyDescent="0.2">
      <c r="A6978" s="31">
        <v>0.10914586014144199</v>
      </c>
      <c r="B6978" s="31"/>
      <c r="C6978" s="2" t="s">
        <v>855</v>
      </c>
      <c r="D6978" s="31">
        <f t="shared" si="203"/>
        <v>2.1392588587722632E-2</v>
      </c>
      <c r="F6978" s="2" t="s">
        <v>822</v>
      </c>
      <c r="G6978" s="23" t="s">
        <v>902</v>
      </c>
      <c r="H6978" s="2" t="s">
        <v>822</v>
      </c>
      <c r="J6978" s="31">
        <v>68.124000499999994</v>
      </c>
      <c r="K6978" s="31">
        <v>8.8760004000000006</v>
      </c>
      <c r="L6978" s="31"/>
      <c r="M6978" s="31" t="s">
        <v>854</v>
      </c>
      <c r="N6978" s="6" t="s">
        <v>856</v>
      </c>
    </row>
    <row r="6979" spans="1:14" ht="15" customHeight="1" x14ac:dyDescent="0.2">
      <c r="A6979" s="31">
        <v>0.109087952490137</v>
      </c>
      <c r="B6979" s="31"/>
      <c r="C6979" s="2" t="s">
        <v>855</v>
      </c>
      <c r="D6979" s="31">
        <f t="shared" si="203"/>
        <v>2.1381238688066854E-2</v>
      </c>
      <c r="F6979" s="2" t="s">
        <v>822</v>
      </c>
      <c r="G6979" s="23" t="s">
        <v>902</v>
      </c>
      <c r="H6979" s="2" t="s">
        <v>822</v>
      </c>
      <c r="J6979" s="31">
        <v>66.120002700000001</v>
      </c>
      <c r="K6979" s="31">
        <v>6.2039999999999997</v>
      </c>
      <c r="L6979" s="31"/>
      <c r="M6979" s="31" t="s">
        <v>854</v>
      </c>
      <c r="N6979" s="6" t="s">
        <v>856</v>
      </c>
    </row>
    <row r="6980" spans="1:14" ht="15" customHeight="1" x14ac:dyDescent="0.2">
      <c r="A6980" s="31">
        <v>0.1088423273304651</v>
      </c>
      <c r="B6980" s="31"/>
      <c r="C6980" s="2" t="s">
        <v>855</v>
      </c>
      <c r="D6980" s="31">
        <f t="shared" si="203"/>
        <v>2.1333096156771161E-2</v>
      </c>
      <c r="F6980" s="2" t="s">
        <v>822</v>
      </c>
      <c r="G6980" s="23" t="s">
        <v>902</v>
      </c>
      <c r="H6980" s="2" t="s">
        <v>822</v>
      </c>
      <c r="J6980" s="31">
        <v>65.557403600000001</v>
      </c>
      <c r="K6980" s="31">
        <v>-14.4876003</v>
      </c>
      <c r="L6980" s="31"/>
      <c r="M6980" s="31" t="s">
        <v>854</v>
      </c>
      <c r="N6980" s="6" t="s">
        <v>856</v>
      </c>
    </row>
    <row r="6981" spans="1:14" ht="15" customHeight="1" x14ac:dyDescent="0.2">
      <c r="A6981" s="31">
        <v>0.10882862549123359</v>
      </c>
      <c r="B6981" s="31"/>
      <c r="C6981" s="2" t="s">
        <v>855</v>
      </c>
      <c r="D6981" s="31">
        <f t="shared" si="203"/>
        <v>2.1330410596281785E-2</v>
      </c>
      <c r="F6981" s="2" t="s">
        <v>822</v>
      </c>
      <c r="G6981" s="23" t="s">
        <v>902</v>
      </c>
      <c r="H6981" s="2" t="s">
        <v>822</v>
      </c>
      <c r="J6981" s="31">
        <v>66.200698900000006</v>
      </c>
      <c r="K6981" s="31">
        <v>-23.8855</v>
      </c>
      <c r="L6981" s="31"/>
      <c r="M6981" s="31" t="s">
        <v>854</v>
      </c>
      <c r="N6981" s="6" t="s">
        <v>856</v>
      </c>
    </row>
    <row r="6982" spans="1:14" ht="15" customHeight="1" x14ac:dyDescent="0.2">
      <c r="A6982" s="31">
        <v>0.1088270583830586</v>
      </c>
      <c r="B6982" s="31"/>
      <c r="C6982" s="2" t="s">
        <v>855</v>
      </c>
      <c r="D6982" s="31">
        <f t="shared" si="203"/>
        <v>2.1330103443079486E-2</v>
      </c>
      <c r="F6982" s="2" t="s">
        <v>822</v>
      </c>
      <c r="G6982" s="23" t="s">
        <v>902</v>
      </c>
      <c r="H6982" s="2" t="s">
        <v>822</v>
      </c>
      <c r="J6982" s="31">
        <v>65.416297900000004</v>
      </c>
      <c r="K6982" s="31">
        <v>9.5624398999999993</v>
      </c>
      <c r="L6982" s="31"/>
      <c r="M6982" s="31" t="s">
        <v>854</v>
      </c>
      <c r="N6982" s="6" t="s">
        <v>856</v>
      </c>
    </row>
    <row r="6983" spans="1:14" ht="15" customHeight="1" x14ac:dyDescent="0.2">
      <c r="A6983" s="31">
        <v>0.10877609872945269</v>
      </c>
      <c r="B6983" s="31"/>
      <c r="C6983" s="2" t="s">
        <v>855</v>
      </c>
      <c r="D6983" s="31">
        <f t="shared" si="203"/>
        <v>2.1320115350972731E-2</v>
      </c>
      <c r="F6983" s="2" t="s">
        <v>822</v>
      </c>
      <c r="G6983" s="23" t="s">
        <v>902</v>
      </c>
      <c r="H6983" s="2" t="s">
        <v>822</v>
      </c>
      <c r="J6983" s="31">
        <v>56.099998499999998</v>
      </c>
      <c r="K6983" s="31">
        <v>-39.220001199999999</v>
      </c>
      <c r="L6983" s="31"/>
      <c r="M6983" s="31" t="s">
        <v>854</v>
      </c>
      <c r="N6983" s="6" t="s">
        <v>856</v>
      </c>
    </row>
    <row r="6984" spans="1:14" ht="15" customHeight="1" x14ac:dyDescent="0.2">
      <c r="A6984" s="31">
        <v>0.1085827694833144</v>
      </c>
      <c r="B6984" s="31"/>
      <c r="C6984" s="2" t="s">
        <v>855</v>
      </c>
      <c r="D6984" s="31">
        <f t="shared" si="203"/>
        <v>2.1282222818729622E-2</v>
      </c>
      <c r="F6984" s="2" t="s">
        <v>822</v>
      </c>
      <c r="G6984" s="23" t="s">
        <v>902</v>
      </c>
      <c r="H6984" s="2" t="s">
        <v>822</v>
      </c>
      <c r="J6984" s="31">
        <v>66.638198900000006</v>
      </c>
      <c r="K6984" s="31">
        <v>-27.5240993</v>
      </c>
      <c r="L6984" s="31"/>
      <c r="M6984" s="31" t="s">
        <v>854</v>
      </c>
      <c r="N6984" s="6" t="s">
        <v>856</v>
      </c>
    </row>
    <row r="6985" spans="1:14" ht="15" customHeight="1" x14ac:dyDescent="0.2">
      <c r="A6985" s="31">
        <v>0.1085789372558931</v>
      </c>
      <c r="B6985" s="31"/>
      <c r="C6985" s="2" t="s">
        <v>855</v>
      </c>
      <c r="D6985" s="31">
        <f t="shared" si="203"/>
        <v>2.1281471702155049E-2</v>
      </c>
      <c r="F6985" s="2" t="s">
        <v>822</v>
      </c>
      <c r="G6985" s="23" t="s">
        <v>902</v>
      </c>
      <c r="H6985" s="2" t="s">
        <v>822</v>
      </c>
      <c r="J6985" s="31">
        <v>71.860496499999996</v>
      </c>
      <c r="K6985" s="31">
        <v>11.5480003</v>
      </c>
      <c r="L6985" s="31"/>
      <c r="M6985" s="31" t="s">
        <v>854</v>
      </c>
      <c r="N6985" s="6" t="s">
        <v>856</v>
      </c>
    </row>
    <row r="6986" spans="1:14" ht="15" customHeight="1" x14ac:dyDescent="0.2">
      <c r="A6986" s="31">
        <v>0.10854079669207151</v>
      </c>
      <c r="B6986" s="31"/>
      <c r="C6986" s="2" t="s">
        <v>855</v>
      </c>
      <c r="D6986" s="31">
        <f t="shared" si="203"/>
        <v>2.1273996151646015E-2</v>
      </c>
      <c r="F6986" s="2" t="s">
        <v>822</v>
      </c>
      <c r="G6986" s="23" t="s">
        <v>902</v>
      </c>
      <c r="H6986" s="2" t="s">
        <v>822</v>
      </c>
      <c r="J6986" s="31">
        <v>68.667098999999993</v>
      </c>
      <c r="K6986" s="31">
        <v>13.4315996</v>
      </c>
      <c r="L6986" s="31"/>
      <c r="M6986" s="31" t="s">
        <v>854</v>
      </c>
      <c r="N6986" s="6" t="s">
        <v>856</v>
      </c>
    </row>
    <row r="6987" spans="1:14" ht="15" customHeight="1" x14ac:dyDescent="0.2">
      <c r="A6987" s="31">
        <v>0.10838614782305191</v>
      </c>
      <c r="B6987" s="31"/>
      <c r="C6987" s="2" t="s">
        <v>855</v>
      </c>
      <c r="D6987" s="31">
        <f t="shared" si="203"/>
        <v>2.1243684973318175E-2</v>
      </c>
      <c r="F6987" s="2" t="s">
        <v>822</v>
      </c>
      <c r="G6987" s="23" t="s">
        <v>902</v>
      </c>
      <c r="H6987" s="2" t="s">
        <v>822</v>
      </c>
      <c r="J6987" s="31">
        <v>64.783996599999995</v>
      </c>
      <c r="K6987" s="31">
        <v>3.5320000999999999</v>
      </c>
      <c r="L6987" s="31"/>
      <c r="M6987" s="31" t="s">
        <v>854</v>
      </c>
      <c r="N6987" s="6" t="s">
        <v>856</v>
      </c>
    </row>
    <row r="6988" spans="1:14" ht="15" customHeight="1" x14ac:dyDescent="0.2">
      <c r="A6988" s="31">
        <v>0.1083789520796761</v>
      </c>
      <c r="B6988" s="31"/>
      <c r="C6988" s="2" t="s">
        <v>855</v>
      </c>
      <c r="D6988" s="31">
        <f t="shared" si="203"/>
        <v>2.1242274607616515E-2</v>
      </c>
      <c r="F6988" s="2" t="s">
        <v>822</v>
      </c>
      <c r="G6988" s="23" t="s">
        <v>902</v>
      </c>
      <c r="H6988" s="2" t="s">
        <v>822</v>
      </c>
      <c r="J6988" s="31">
        <v>64.783996599999995</v>
      </c>
      <c r="K6988" s="31">
        <v>-13.3822002</v>
      </c>
      <c r="L6988" s="31"/>
      <c r="M6988" s="31" t="s">
        <v>854</v>
      </c>
      <c r="N6988" s="6" t="s">
        <v>856</v>
      </c>
    </row>
    <row r="6989" spans="1:14" ht="15" customHeight="1" x14ac:dyDescent="0.2">
      <c r="A6989" s="31">
        <v>0.10831363961165349</v>
      </c>
      <c r="B6989" s="31"/>
      <c r="C6989" s="2" t="s">
        <v>855</v>
      </c>
      <c r="D6989" s="31">
        <f t="shared" si="203"/>
        <v>2.1229473363884085E-2</v>
      </c>
      <c r="F6989" s="2" t="s">
        <v>822</v>
      </c>
      <c r="G6989" s="23" t="s">
        <v>902</v>
      </c>
      <c r="H6989" s="2" t="s">
        <v>822</v>
      </c>
      <c r="J6989" s="31">
        <v>72.132003800000007</v>
      </c>
      <c r="K6989" s="31">
        <v>16.892000199999998</v>
      </c>
      <c r="L6989" s="31"/>
      <c r="M6989" s="31" t="s">
        <v>854</v>
      </c>
      <c r="N6989" s="6" t="s">
        <v>856</v>
      </c>
    </row>
    <row r="6990" spans="1:14" ht="15" customHeight="1" x14ac:dyDescent="0.2">
      <c r="A6990" s="31">
        <v>0.108276403015823</v>
      </c>
      <c r="B6990" s="31"/>
      <c r="C6990" s="2" t="s">
        <v>855</v>
      </c>
      <c r="D6990" s="31">
        <f t="shared" si="203"/>
        <v>2.1222174991101309E-2</v>
      </c>
      <c r="F6990" s="2" t="s">
        <v>822</v>
      </c>
      <c r="G6990" s="23" t="s">
        <v>902</v>
      </c>
      <c r="H6990" s="2" t="s">
        <v>822</v>
      </c>
      <c r="J6990" s="31">
        <v>68.124000499999994</v>
      </c>
      <c r="K6990" s="31">
        <v>6.8720001999999996</v>
      </c>
      <c r="L6990" s="31"/>
      <c r="M6990" s="31" t="s">
        <v>854</v>
      </c>
      <c r="N6990" s="6" t="s">
        <v>856</v>
      </c>
    </row>
    <row r="6991" spans="1:14" ht="15" customHeight="1" x14ac:dyDescent="0.2">
      <c r="A6991" s="31">
        <v>0.10797352766736081</v>
      </c>
      <c r="B6991" s="31"/>
      <c r="C6991" s="2" t="s">
        <v>855</v>
      </c>
      <c r="D6991" s="31">
        <f t="shared" si="203"/>
        <v>2.116281142280272E-2</v>
      </c>
      <c r="F6991" s="2" t="s">
        <v>822</v>
      </c>
      <c r="G6991" s="23" t="s">
        <v>902</v>
      </c>
      <c r="H6991" s="2" t="s">
        <v>822</v>
      </c>
      <c r="J6991" s="31">
        <v>62.111999500000003</v>
      </c>
      <c r="K6991" s="31">
        <v>-9.8280001000000006</v>
      </c>
      <c r="L6991" s="31"/>
      <c r="M6991" s="31" t="s">
        <v>854</v>
      </c>
      <c r="N6991" s="6" t="s">
        <v>856</v>
      </c>
    </row>
    <row r="6992" spans="1:14" ht="15" customHeight="1" x14ac:dyDescent="0.2">
      <c r="A6992" s="31">
        <v>0.1078020792489101</v>
      </c>
      <c r="B6992" s="31"/>
      <c r="C6992" s="2" t="s">
        <v>855</v>
      </c>
      <c r="D6992" s="31">
        <f t="shared" si="203"/>
        <v>2.1129207532786378E-2</v>
      </c>
      <c r="F6992" s="2" t="s">
        <v>822</v>
      </c>
      <c r="G6992" s="23" t="s">
        <v>902</v>
      </c>
      <c r="H6992" s="2" t="s">
        <v>822</v>
      </c>
      <c r="J6992" s="31">
        <v>66.120002700000001</v>
      </c>
      <c r="K6992" s="31">
        <v>6.8720001999999996</v>
      </c>
      <c r="L6992" s="31"/>
      <c r="M6992" s="31" t="s">
        <v>854</v>
      </c>
      <c r="N6992" s="6" t="s">
        <v>856</v>
      </c>
    </row>
    <row r="6993" spans="1:14" ht="15" customHeight="1" x14ac:dyDescent="0.2">
      <c r="A6993" s="31">
        <v>0.1077868723140302</v>
      </c>
      <c r="B6993" s="31"/>
      <c r="C6993" s="2" t="s">
        <v>855</v>
      </c>
      <c r="D6993" s="31">
        <f t="shared" si="203"/>
        <v>2.1126226973549919E-2</v>
      </c>
      <c r="F6993" s="2" t="s">
        <v>822</v>
      </c>
      <c r="G6993" s="23" t="s">
        <v>902</v>
      </c>
      <c r="H6993" s="2" t="s">
        <v>822</v>
      </c>
      <c r="J6993" s="31">
        <v>63.448001900000001</v>
      </c>
      <c r="K6993" s="31">
        <v>-11.1639996</v>
      </c>
      <c r="L6993" s="31"/>
      <c r="M6993" s="31" t="s">
        <v>854</v>
      </c>
      <c r="N6993" s="6" t="s">
        <v>856</v>
      </c>
    </row>
    <row r="6994" spans="1:14" ht="15" customHeight="1" x14ac:dyDescent="0.2">
      <c r="A6994" s="31">
        <v>0.10760648502911981</v>
      </c>
      <c r="B6994" s="31"/>
      <c r="C6994" s="2" t="s">
        <v>855</v>
      </c>
      <c r="D6994" s="31">
        <f t="shared" si="203"/>
        <v>2.1090871065707482E-2</v>
      </c>
      <c r="F6994" s="2" t="s">
        <v>822</v>
      </c>
      <c r="G6994" s="23" t="s">
        <v>902</v>
      </c>
      <c r="H6994" s="2" t="s">
        <v>822</v>
      </c>
      <c r="J6994" s="31">
        <v>66.553596499999998</v>
      </c>
      <c r="K6994" s="31">
        <v>-24.5240002</v>
      </c>
      <c r="L6994" s="31"/>
      <c r="M6994" s="31" t="s">
        <v>854</v>
      </c>
      <c r="N6994" s="6" t="s">
        <v>856</v>
      </c>
    </row>
    <row r="6995" spans="1:14" ht="15" customHeight="1" x14ac:dyDescent="0.2">
      <c r="A6995" s="31">
        <v>0.107591885012008</v>
      </c>
      <c r="B6995" s="31"/>
      <c r="C6995" s="2" t="s">
        <v>855</v>
      </c>
      <c r="D6995" s="31">
        <f t="shared" si="203"/>
        <v>2.108800946235357E-2</v>
      </c>
      <c r="F6995" s="2" t="s">
        <v>822</v>
      </c>
      <c r="G6995" s="23" t="s">
        <v>902</v>
      </c>
      <c r="H6995" s="2" t="s">
        <v>822</v>
      </c>
      <c r="J6995" s="31">
        <v>62.111999500000003</v>
      </c>
      <c r="K6995" s="31">
        <v>-3.1480000000000001</v>
      </c>
      <c r="L6995" s="31"/>
      <c r="M6995" s="31" t="s">
        <v>854</v>
      </c>
      <c r="N6995" s="6" t="s">
        <v>856</v>
      </c>
    </row>
    <row r="6996" spans="1:14" ht="15" customHeight="1" x14ac:dyDescent="0.2">
      <c r="A6996" s="31">
        <v>0.10754929844430899</v>
      </c>
      <c r="B6996" s="31"/>
      <c r="C6996" s="2" t="s">
        <v>855</v>
      </c>
      <c r="D6996" s="31">
        <f t="shared" si="203"/>
        <v>2.1079662495084563E-2</v>
      </c>
      <c r="F6996" s="2" t="s">
        <v>822</v>
      </c>
      <c r="G6996" s="23" t="s">
        <v>902</v>
      </c>
      <c r="H6996" s="2" t="s">
        <v>822</v>
      </c>
      <c r="J6996" s="31">
        <v>62.111999500000003</v>
      </c>
      <c r="K6996" s="31">
        <v>-0.47599999999999998</v>
      </c>
      <c r="L6996" s="31"/>
      <c r="M6996" s="31" t="s">
        <v>854</v>
      </c>
      <c r="N6996" s="6" t="s">
        <v>856</v>
      </c>
    </row>
    <row r="6997" spans="1:14" ht="15" customHeight="1" x14ac:dyDescent="0.2">
      <c r="A6997" s="31">
        <v>0.1074824159734261</v>
      </c>
      <c r="B6997" s="31"/>
      <c r="C6997" s="2" t="s">
        <v>855</v>
      </c>
      <c r="D6997" s="31">
        <f t="shared" si="203"/>
        <v>2.1066553530791517E-2</v>
      </c>
      <c r="F6997" s="2" t="s">
        <v>822</v>
      </c>
      <c r="G6997" s="23" t="s">
        <v>902</v>
      </c>
      <c r="H6997" s="2" t="s">
        <v>822</v>
      </c>
      <c r="J6997" s="31">
        <v>67.978996300000006</v>
      </c>
      <c r="K6997" s="31">
        <v>12.7509003</v>
      </c>
      <c r="L6997" s="31"/>
      <c r="M6997" s="31" t="s">
        <v>854</v>
      </c>
      <c r="N6997" s="6" t="s">
        <v>856</v>
      </c>
    </row>
    <row r="6998" spans="1:14" ht="15" customHeight="1" x14ac:dyDescent="0.2">
      <c r="A6998" s="31">
        <v>0.10715994156048821</v>
      </c>
      <c r="B6998" s="31"/>
      <c r="C6998" s="2" t="s">
        <v>855</v>
      </c>
      <c r="D6998" s="31">
        <f t="shared" si="203"/>
        <v>2.1003348545855689E-2</v>
      </c>
      <c r="F6998" s="2" t="s">
        <v>822</v>
      </c>
      <c r="G6998" s="23" t="s">
        <v>902</v>
      </c>
      <c r="H6998" s="2" t="s">
        <v>822</v>
      </c>
      <c r="J6998" s="31">
        <v>67.456001299999997</v>
      </c>
      <c r="K6998" s="31">
        <v>3.5320000999999999</v>
      </c>
      <c r="L6998" s="31"/>
      <c r="M6998" s="31" t="s">
        <v>854</v>
      </c>
      <c r="N6998" s="6" t="s">
        <v>856</v>
      </c>
    </row>
    <row r="6999" spans="1:14" ht="15" customHeight="1" x14ac:dyDescent="0.2">
      <c r="A6999" s="31">
        <v>0.1066151596427599</v>
      </c>
      <c r="B6999" s="31"/>
      <c r="C6999" s="2" t="s">
        <v>855</v>
      </c>
      <c r="D6999" s="31">
        <f t="shared" si="203"/>
        <v>2.0896571289980941E-2</v>
      </c>
      <c r="F6999" s="2" t="s">
        <v>822</v>
      </c>
      <c r="G6999" s="23" t="s">
        <v>902</v>
      </c>
      <c r="H6999" s="2" t="s">
        <v>822</v>
      </c>
      <c r="J6999" s="31">
        <v>65.595703099999994</v>
      </c>
      <c r="K6999" s="31">
        <v>-21.131200799999998</v>
      </c>
      <c r="L6999" s="31"/>
      <c r="M6999" s="31" t="s">
        <v>854</v>
      </c>
      <c r="N6999" s="6" t="s">
        <v>856</v>
      </c>
    </row>
    <row r="7000" spans="1:14" ht="15" customHeight="1" x14ac:dyDescent="0.2">
      <c r="A7000" s="31">
        <v>0.10654977548013871</v>
      </c>
      <c r="B7000" s="31"/>
      <c r="C7000" s="2" t="s">
        <v>855</v>
      </c>
      <c r="D7000" s="31">
        <f t="shared" si="203"/>
        <v>2.0883755994107186E-2</v>
      </c>
      <c r="F7000" s="2" t="s">
        <v>822</v>
      </c>
      <c r="G7000" s="23" t="s">
        <v>902</v>
      </c>
      <c r="H7000" s="2" t="s">
        <v>822</v>
      </c>
      <c r="J7000" s="31">
        <v>66.119003300000003</v>
      </c>
      <c r="K7000" s="31">
        <v>-29.1991005</v>
      </c>
      <c r="L7000" s="31"/>
      <c r="M7000" s="31" t="s">
        <v>854</v>
      </c>
      <c r="N7000" s="6" t="s">
        <v>856</v>
      </c>
    </row>
    <row r="7001" spans="1:14" ht="15" customHeight="1" x14ac:dyDescent="0.2">
      <c r="A7001" s="31">
        <v>0.10638505172376719</v>
      </c>
      <c r="B7001" s="31"/>
      <c r="C7001" s="2" t="s">
        <v>855</v>
      </c>
      <c r="D7001" s="31">
        <f t="shared" si="203"/>
        <v>2.0851470137858371E-2</v>
      </c>
      <c r="F7001" s="2" t="s">
        <v>822</v>
      </c>
      <c r="G7001" s="23" t="s">
        <v>902</v>
      </c>
      <c r="H7001" s="2" t="s">
        <v>822</v>
      </c>
      <c r="J7001" s="31">
        <v>59.439998600000003</v>
      </c>
      <c r="K7001" s="31">
        <v>-39.220001199999999</v>
      </c>
      <c r="L7001" s="31"/>
      <c r="M7001" s="31" t="s">
        <v>854</v>
      </c>
      <c r="N7001" s="6" t="s">
        <v>856</v>
      </c>
    </row>
    <row r="7002" spans="1:14" ht="15" customHeight="1" x14ac:dyDescent="0.2">
      <c r="A7002" s="31">
        <v>0.10605387185090059</v>
      </c>
      <c r="B7002" s="31"/>
      <c r="C7002" s="2" t="s">
        <v>855</v>
      </c>
      <c r="D7002" s="31">
        <f t="shared" si="203"/>
        <v>2.0786558882776519E-2</v>
      </c>
      <c r="F7002" s="2" t="s">
        <v>822</v>
      </c>
      <c r="G7002" s="23" t="s">
        <v>902</v>
      </c>
      <c r="H7002" s="2" t="s">
        <v>822</v>
      </c>
      <c r="J7002" s="31">
        <v>70.795997600000007</v>
      </c>
      <c r="K7002" s="31">
        <v>16.981800100000001</v>
      </c>
      <c r="L7002" s="31"/>
      <c r="M7002" s="31" t="s">
        <v>854</v>
      </c>
      <c r="N7002" s="6" t="s">
        <v>856</v>
      </c>
    </row>
    <row r="7003" spans="1:14" ht="15" customHeight="1" x14ac:dyDescent="0.2">
      <c r="A7003" s="31">
        <v>0.1060519440275067</v>
      </c>
      <c r="B7003" s="31"/>
      <c r="C7003" s="2" t="s">
        <v>855</v>
      </c>
      <c r="D7003" s="31">
        <f t="shared" si="203"/>
        <v>2.0786181029391313E-2</v>
      </c>
      <c r="F7003" s="2" t="s">
        <v>822</v>
      </c>
      <c r="G7003" s="23" t="s">
        <v>902</v>
      </c>
      <c r="H7003" s="2" t="s">
        <v>822</v>
      </c>
      <c r="J7003" s="31">
        <v>70.795997600000007</v>
      </c>
      <c r="K7003" s="31">
        <v>14.220000300000001</v>
      </c>
      <c r="L7003" s="31"/>
      <c r="M7003" s="31" t="s">
        <v>854</v>
      </c>
      <c r="N7003" s="6" t="s">
        <v>856</v>
      </c>
    </row>
    <row r="7004" spans="1:14" ht="15" customHeight="1" x14ac:dyDescent="0.2">
      <c r="A7004" s="31">
        <v>0.1060340017145939</v>
      </c>
      <c r="B7004" s="31"/>
      <c r="C7004" s="2" t="s">
        <v>855</v>
      </c>
      <c r="D7004" s="31">
        <f t="shared" si="203"/>
        <v>2.0782664336060405E-2</v>
      </c>
      <c r="F7004" s="2" t="s">
        <v>822</v>
      </c>
      <c r="G7004" s="23" t="s">
        <v>902</v>
      </c>
      <c r="H7004" s="2" t="s">
        <v>822</v>
      </c>
      <c r="J7004" s="31">
        <v>64.950599699999998</v>
      </c>
      <c r="K7004" s="31">
        <v>11.254799800000001</v>
      </c>
      <c r="L7004" s="31"/>
      <c r="M7004" s="31" t="s">
        <v>854</v>
      </c>
      <c r="N7004" s="6" t="s">
        <v>856</v>
      </c>
    </row>
    <row r="7005" spans="1:14" ht="15" customHeight="1" x14ac:dyDescent="0.2">
      <c r="A7005" s="31">
        <v>0.105884725190213</v>
      </c>
      <c r="B7005" s="31"/>
      <c r="C7005" s="2" t="s">
        <v>855</v>
      </c>
      <c r="D7005" s="31">
        <f t="shared" si="203"/>
        <v>2.0753406137281747E-2</v>
      </c>
      <c r="F7005" s="2" t="s">
        <v>822</v>
      </c>
      <c r="G7005" s="23" t="s">
        <v>902</v>
      </c>
      <c r="H7005" s="2" t="s">
        <v>822</v>
      </c>
      <c r="J7005" s="31">
        <v>66.788398700000002</v>
      </c>
      <c r="K7005" s="31">
        <v>-17.843700399999999</v>
      </c>
      <c r="L7005" s="31"/>
      <c r="M7005" s="31" t="s">
        <v>854</v>
      </c>
      <c r="N7005" s="6" t="s">
        <v>856</v>
      </c>
    </row>
    <row r="7006" spans="1:14" ht="15" customHeight="1" x14ac:dyDescent="0.2">
      <c r="A7006" s="31">
        <v>0.1058474267578951</v>
      </c>
      <c r="B7006" s="31"/>
      <c r="C7006" s="2" t="s">
        <v>855</v>
      </c>
      <c r="D7006" s="31">
        <f t="shared" si="203"/>
        <v>2.0746095644547442E-2</v>
      </c>
      <c r="F7006" s="2" t="s">
        <v>822</v>
      </c>
      <c r="G7006" s="23" t="s">
        <v>902</v>
      </c>
      <c r="H7006" s="2" t="s">
        <v>822</v>
      </c>
      <c r="J7006" s="31">
        <v>60.108001700000003</v>
      </c>
      <c r="K7006" s="31">
        <v>-39.888000499999997</v>
      </c>
      <c r="L7006" s="31"/>
      <c r="M7006" s="31" t="s">
        <v>854</v>
      </c>
      <c r="N7006" s="6" t="s">
        <v>856</v>
      </c>
    </row>
    <row r="7007" spans="1:14" ht="15" customHeight="1" x14ac:dyDescent="0.2">
      <c r="A7007" s="31">
        <v>0.105490523602849</v>
      </c>
      <c r="B7007" s="31"/>
      <c r="C7007" s="2" t="s">
        <v>855</v>
      </c>
      <c r="D7007" s="31">
        <f t="shared" si="203"/>
        <v>2.0676142626158404E-2</v>
      </c>
      <c r="F7007" s="2" t="s">
        <v>822</v>
      </c>
      <c r="G7007" s="23" t="s">
        <v>902</v>
      </c>
      <c r="H7007" s="2" t="s">
        <v>822</v>
      </c>
      <c r="J7007" s="31">
        <v>64.783996599999995</v>
      </c>
      <c r="K7007" s="31">
        <v>-10.4960003</v>
      </c>
      <c r="L7007" s="31"/>
      <c r="M7007" s="31" t="s">
        <v>854</v>
      </c>
      <c r="N7007" s="6" t="s">
        <v>856</v>
      </c>
    </row>
    <row r="7008" spans="1:14" ht="15" customHeight="1" x14ac:dyDescent="0.2">
      <c r="A7008" s="31">
        <v>0.1054627209525091</v>
      </c>
      <c r="B7008" s="31"/>
      <c r="C7008" s="2" t="s">
        <v>855</v>
      </c>
      <c r="D7008" s="31">
        <f t="shared" si="203"/>
        <v>2.0670693306691783E-2</v>
      </c>
      <c r="F7008" s="2" t="s">
        <v>822</v>
      </c>
      <c r="G7008" s="23" t="s">
        <v>902</v>
      </c>
      <c r="H7008" s="2" t="s">
        <v>822</v>
      </c>
      <c r="J7008" s="31">
        <v>68.791999799999999</v>
      </c>
      <c r="K7008" s="31">
        <v>10.8800001</v>
      </c>
      <c r="L7008" s="31"/>
      <c r="M7008" s="31" t="s">
        <v>854</v>
      </c>
      <c r="N7008" s="6" t="s">
        <v>856</v>
      </c>
    </row>
    <row r="7009" spans="1:14" ht="15" customHeight="1" x14ac:dyDescent="0.2">
      <c r="A7009" s="31">
        <v>0.10545003067940779</v>
      </c>
      <c r="B7009" s="31"/>
      <c r="C7009" s="2" t="s">
        <v>855</v>
      </c>
      <c r="D7009" s="31">
        <f t="shared" si="203"/>
        <v>2.066820601316393E-2</v>
      </c>
      <c r="F7009" s="2" t="s">
        <v>822</v>
      </c>
      <c r="G7009" s="23" t="s">
        <v>902</v>
      </c>
      <c r="H7009" s="2" t="s">
        <v>822</v>
      </c>
      <c r="J7009" s="31">
        <v>63.448001900000001</v>
      </c>
      <c r="K7009" s="31">
        <v>-1.1440001</v>
      </c>
      <c r="L7009" s="31"/>
      <c r="M7009" s="31" t="s">
        <v>854</v>
      </c>
      <c r="N7009" s="6" t="s">
        <v>856</v>
      </c>
    </row>
    <row r="7010" spans="1:14" ht="15" customHeight="1" x14ac:dyDescent="0.2">
      <c r="A7010" s="31">
        <v>0.1054380345127769</v>
      </c>
      <c r="B7010" s="31"/>
      <c r="C7010" s="2" t="s">
        <v>855</v>
      </c>
      <c r="D7010" s="31">
        <f t="shared" si="203"/>
        <v>2.0665854764504273E-2</v>
      </c>
      <c r="F7010" s="2" t="s">
        <v>822</v>
      </c>
      <c r="G7010" s="23" t="s">
        <v>902</v>
      </c>
      <c r="H7010" s="2" t="s">
        <v>822</v>
      </c>
      <c r="J7010" s="31">
        <v>70.127998399999996</v>
      </c>
      <c r="K7010" s="31">
        <v>10.8800001</v>
      </c>
      <c r="L7010" s="31"/>
      <c r="M7010" s="31" t="s">
        <v>854</v>
      </c>
      <c r="N7010" s="6" t="s">
        <v>856</v>
      </c>
    </row>
    <row r="7011" spans="1:14" ht="15" customHeight="1" x14ac:dyDescent="0.2">
      <c r="A7011" s="31">
        <v>0.1054245543536388</v>
      </c>
      <c r="B7011" s="31"/>
      <c r="C7011" s="2" t="s">
        <v>855</v>
      </c>
      <c r="D7011" s="31">
        <f t="shared" si="203"/>
        <v>2.0663212653313206E-2</v>
      </c>
      <c r="F7011" s="2" t="s">
        <v>822</v>
      </c>
      <c r="G7011" s="23" t="s">
        <v>902</v>
      </c>
      <c r="H7011" s="2" t="s">
        <v>822</v>
      </c>
      <c r="J7011" s="31">
        <v>64.115997300000004</v>
      </c>
      <c r="K7011" s="31">
        <v>-6.4879999000000002</v>
      </c>
      <c r="L7011" s="31"/>
      <c r="M7011" s="31" t="s">
        <v>854</v>
      </c>
      <c r="N7011" s="6" t="s">
        <v>856</v>
      </c>
    </row>
    <row r="7012" spans="1:14" ht="15" customHeight="1" x14ac:dyDescent="0.2">
      <c r="A7012" s="31">
        <v>0.1053590484496064</v>
      </c>
      <c r="B7012" s="31"/>
      <c r="C7012" s="2" t="s">
        <v>855</v>
      </c>
      <c r="D7012" s="31">
        <f t="shared" si="203"/>
        <v>2.0650373496122858E-2</v>
      </c>
      <c r="F7012" s="2" t="s">
        <v>822</v>
      </c>
      <c r="G7012" s="23" t="s">
        <v>902</v>
      </c>
      <c r="H7012" s="2" t="s">
        <v>822</v>
      </c>
      <c r="J7012" s="31">
        <v>56.768001599999998</v>
      </c>
      <c r="K7012" s="31">
        <v>-38.551998099999999</v>
      </c>
      <c r="L7012" s="31"/>
      <c r="M7012" s="31" t="s">
        <v>854</v>
      </c>
      <c r="N7012" s="6" t="s">
        <v>856</v>
      </c>
    </row>
    <row r="7013" spans="1:14" ht="15" customHeight="1" x14ac:dyDescent="0.2">
      <c r="A7013" s="31">
        <v>0.10514171785549339</v>
      </c>
      <c r="B7013" s="31"/>
      <c r="C7013" s="2" t="s">
        <v>855</v>
      </c>
      <c r="D7013" s="31">
        <f t="shared" si="203"/>
        <v>2.0607776699676707E-2</v>
      </c>
      <c r="F7013" s="2" t="s">
        <v>822</v>
      </c>
      <c r="G7013" s="23" t="s">
        <v>902</v>
      </c>
      <c r="H7013" s="2" t="s">
        <v>822</v>
      </c>
      <c r="J7013" s="31">
        <v>70.127998399999996</v>
      </c>
      <c r="K7013" s="31">
        <v>12.2159996</v>
      </c>
      <c r="L7013" s="31"/>
      <c r="M7013" s="31" t="s">
        <v>854</v>
      </c>
      <c r="N7013" s="6" t="s">
        <v>856</v>
      </c>
    </row>
    <row r="7014" spans="1:14" ht="15" customHeight="1" x14ac:dyDescent="0.2">
      <c r="A7014" s="31">
        <v>0.10507309565381109</v>
      </c>
      <c r="B7014" s="31"/>
      <c r="C7014" s="2" t="s">
        <v>855</v>
      </c>
      <c r="D7014" s="31">
        <f t="shared" si="203"/>
        <v>2.0594326748146975E-2</v>
      </c>
      <c r="F7014" s="2" t="s">
        <v>822</v>
      </c>
      <c r="G7014" s="23" t="s">
        <v>902</v>
      </c>
      <c r="H7014" s="2" t="s">
        <v>822</v>
      </c>
      <c r="J7014" s="31">
        <v>69.022102399999994</v>
      </c>
      <c r="K7014" s="31">
        <v>16.207500499999998</v>
      </c>
      <c r="L7014" s="31"/>
      <c r="M7014" s="31" t="s">
        <v>854</v>
      </c>
      <c r="N7014" s="6" t="s">
        <v>856</v>
      </c>
    </row>
    <row r="7015" spans="1:14" ht="15" customHeight="1" x14ac:dyDescent="0.2">
      <c r="A7015" s="31">
        <v>0.1048591808600364</v>
      </c>
      <c r="B7015" s="31"/>
      <c r="C7015" s="2" t="s">
        <v>855</v>
      </c>
      <c r="D7015" s="31">
        <f t="shared" si="203"/>
        <v>2.0552399448567134E-2</v>
      </c>
      <c r="F7015" s="2" t="s">
        <v>822</v>
      </c>
      <c r="G7015" s="23" t="s">
        <v>902</v>
      </c>
      <c r="H7015" s="2" t="s">
        <v>822</v>
      </c>
      <c r="J7015" s="31">
        <v>66.2130966</v>
      </c>
      <c r="K7015" s="31">
        <v>-20.548799500000001</v>
      </c>
      <c r="L7015" s="31"/>
      <c r="M7015" s="31" t="s">
        <v>854</v>
      </c>
      <c r="N7015" s="6" t="s">
        <v>856</v>
      </c>
    </row>
    <row r="7016" spans="1:14" ht="15" customHeight="1" x14ac:dyDescent="0.2">
      <c r="A7016" s="31">
        <v>0.1046393519574093</v>
      </c>
      <c r="B7016" s="31"/>
      <c r="C7016" s="2" t="s">
        <v>855</v>
      </c>
      <c r="D7016" s="31">
        <f t="shared" si="203"/>
        <v>2.0509312983652224E-2</v>
      </c>
      <c r="F7016" s="2" t="s">
        <v>822</v>
      </c>
      <c r="G7016" s="23" t="s">
        <v>902</v>
      </c>
      <c r="H7016" s="2" t="s">
        <v>822</v>
      </c>
      <c r="J7016" s="31">
        <v>66.788002000000006</v>
      </c>
      <c r="K7016" s="31">
        <v>2.8640001000000002</v>
      </c>
      <c r="L7016" s="31"/>
      <c r="M7016" s="31" t="s">
        <v>854</v>
      </c>
      <c r="N7016" s="6" t="s">
        <v>856</v>
      </c>
    </row>
    <row r="7017" spans="1:14" ht="15" customHeight="1" x14ac:dyDescent="0.2">
      <c r="A7017" s="31">
        <v>0.1046290200893908</v>
      </c>
      <c r="B7017" s="31"/>
      <c r="C7017" s="2" t="s">
        <v>855</v>
      </c>
      <c r="D7017" s="31">
        <f t="shared" si="203"/>
        <v>2.0507287937520598E-2</v>
      </c>
      <c r="F7017" s="2" t="s">
        <v>822</v>
      </c>
      <c r="G7017" s="23" t="s">
        <v>902</v>
      </c>
      <c r="H7017" s="2" t="s">
        <v>822</v>
      </c>
      <c r="J7017" s="31">
        <v>62.779998800000001</v>
      </c>
      <c r="K7017" s="31">
        <v>-38.551998099999999</v>
      </c>
      <c r="L7017" s="31"/>
      <c r="M7017" s="31" t="s">
        <v>854</v>
      </c>
      <c r="N7017" s="6" t="s">
        <v>856</v>
      </c>
    </row>
    <row r="7018" spans="1:14" ht="15" customHeight="1" x14ac:dyDescent="0.2">
      <c r="A7018" s="31">
        <v>0.1045688486071836</v>
      </c>
      <c r="B7018" s="31"/>
      <c r="C7018" s="2" t="s">
        <v>855</v>
      </c>
      <c r="D7018" s="31">
        <f t="shared" si="203"/>
        <v>2.0495494327007986E-2</v>
      </c>
      <c r="F7018" s="2" t="s">
        <v>822</v>
      </c>
      <c r="G7018" s="23" t="s">
        <v>902</v>
      </c>
      <c r="H7018" s="2" t="s">
        <v>822</v>
      </c>
      <c r="J7018" s="31">
        <v>68.791999799999999</v>
      </c>
      <c r="K7018" s="31">
        <v>8.8760004000000006</v>
      </c>
      <c r="L7018" s="31"/>
      <c r="M7018" s="31" t="s">
        <v>854</v>
      </c>
      <c r="N7018" s="6" t="s">
        <v>856</v>
      </c>
    </row>
    <row r="7019" spans="1:14" ht="15" customHeight="1" x14ac:dyDescent="0.2">
      <c r="A7019" s="31">
        <v>0.1045337985330223</v>
      </c>
      <c r="B7019" s="31"/>
      <c r="C7019" s="2" t="s">
        <v>855</v>
      </c>
      <c r="D7019" s="31">
        <f t="shared" si="203"/>
        <v>2.0488624512472374E-2</v>
      </c>
      <c r="F7019" s="2" t="s">
        <v>822</v>
      </c>
      <c r="G7019" s="23" t="s">
        <v>902</v>
      </c>
      <c r="H7019" s="2" t="s">
        <v>822</v>
      </c>
      <c r="J7019" s="31">
        <v>67.456001299999997</v>
      </c>
      <c r="K7019" s="31">
        <v>4.8680000000000003</v>
      </c>
      <c r="L7019" s="31"/>
      <c r="M7019" s="31" t="s">
        <v>854</v>
      </c>
      <c r="N7019" s="6" t="s">
        <v>856</v>
      </c>
    </row>
    <row r="7020" spans="1:14" ht="15" customHeight="1" x14ac:dyDescent="0.2">
      <c r="A7020" s="31">
        <v>0.10448651992805839</v>
      </c>
      <c r="B7020" s="31"/>
      <c r="C7020" s="2" t="s">
        <v>855</v>
      </c>
      <c r="D7020" s="31">
        <f t="shared" si="203"/>
        <v>2.0479357905899446E-2</v>
      </c>
      <c r="F7020" s="2" t="s">
        <v>822</v>
      </c>
      <c r="G7020" s="23" t="s">
        <v>902</v>
      </c>
      <c r="H7020" s="2" t="s">
        <v>822</v>
      </c>
      <c r="J7020" s="31">
        <v>58.771999399999999</v>
      </c>
      <c r="K7020" s="31">
        <v>-37.883998900000002</v>
      </c>
      <c r="L7020" s="31"/>
      <c r="M7020" s="31" t="s">
        <v>854</v>
      </c>
      <c r="N7020" s="6" t="s">
        <v>856</v>
      </c>
    </row>
    <row r="7021" spans="1:14" ht="15" customHeight="1" x14ac:dyDescent="0.2">
      <c r="A7021" s="31">
        <v>0.1044366941227895</v>
      </c>
      <c r="B7021" s="31"/>
      <c r="C7021" s="2" t="s">
        <v>855</v>
      </c>
      <c r="D7021" s="31">
        <f t="shared" si="203"/>
        <v>2.0469592048066743E-2</v>
      </c>
      <c r="F7021" s="2" t="s">
        <v>822</v>
      </c>
      <c r="G7021" s="23" t="s">
        <v>902</v>
      </c>
      <c r="H7021" s="2" t="s">
        <v>822</v>
      </c>
      <c r="J7021" s="31">
        <v>66.3777008</v>
      </c>
      <c r="K7021" s="31">
        <v>-22.219100999999998</v>
      </c>
      <c r="L7021" s="31"/>
      <c r="M7021" s="31" t="s">
        <v>854</v>
      </c>
      <c r="N7021" s="6" t="s">
        <v>856</v>
      </c>
    </row>
    <row r="7022" spans="1:14" ht="15" customHeight="1" x14ac:dyDescent="0.2">
      <c r="A7022" s="31">
        <v>0.10407463160610279</v>
      </c>
      <c r="B7022" s="31"/>
      <c r="C7022" s="2" t="s">
        <v>855</v>
      </c>
      <c r="D7022" s="31">
        <f t="shared" si="203"/>
        <v>2.0398627794796148E-2</v>
      </c>
      <c r="F7022" s="2" t="s">
        <v>822</v>
      </c>
      <c r="G7022" s="23" t="s">
        <v>902</v>
      </c>
      <c r="H7022" s="2" t="s">
        <v>822</v>
      </c>
      <c r="J7022" s="31">
        <v>64.616996799999995</v>
      </c>
      <c r="K7022" s="31">
        <v>-14.0876999</v>
      </c>
      <c r="L7022" s="31"/>
      <c r="M7022" s="31" t="s">
        <v>854</v>
      </c>
      <c r="N7022" s="6" t="s">
        <v>856</v>
      </c>
    </row>
    <row r="7023" spans="1:14" ht="15" customHeight="1" x14ac:dyDescent="0.2">
      <c r="A7023" s="31">
        <v>0.1039025787814033</v>
      </c>
      <c r="B7023" s="31"/>
      <c r="C7023" s="2" t="s">
        <v>855</v>
      </c>
      <c r="D7023" s="31">
        <f t="shared" si="203"/>
        <v>2.0364905441155046E-2</v>
      </c>
      <c r="F7023" s="2" t="s">
        <v>822</v>
      </c>
      <c r="G7023" s="23" t="s">
        <v>902</v>
      </c>
      <c r="H7023" s="2" t="s">
        <v>822</v>
      </c>
      <c r="J7023" s="31">
        <v>72.478202800000005</v>
      </c>
      <c r="K7023" s="31">
        <v>-12.888500199999999</v>
      </c>
      <c r="L7023" s="31"/>
      <c r="M7023" s="31" t="s">
        <v>854</v>
      </c>
      <c r="N7023" s="6" t="s">
        <v>856</v>
      </c>
    </row>
    <row r="7024" spans="1:14" ht="15" customHeight="1" x14ac:dyDescent="0.2">
      <c r="A7024" s="31">
        <v>0.1035653298107663</v>
      </c>
      <c r="B7024" s="31"/>
      <c r="C7024" s="2" t="s">
        <v>855</v>
      </c>
      <c r="D7024" s="31">
        <f t="shared" si="203"/>
        <v>2.0298804642910194E-2</v>
      </c>
      <c r="F7024" s="2" t="s">
        <v>822</v>
      </c>
      <c r="G7024" s="23" t="s">
        <v>902</v>
      </c>
      <c r="H7024" s="2" t="s">
        <v>822</v>
      </c>
      <c r="J7024" s="31">
        <v>62.779998800000001</v>
      </c>
      <c r="K7024" s="31">
        <v>-3.1480000000000001</v>
      </c>
      <c r="L7024" s="31"/>
      <c r="M7024" s="31" t="s">
        <v>854</v>
      </c>
      <c r="N7024" s="6" t="s">
        <v>856</v>
      </c>
    </row>
    <row r="7025" spans="1:14" ht="15" customHeight="1" x14ac:dyDescent="0.2">
      <c r="A7025" s="31">
        <v>0.1035161105669722</v>
      </c>
      <c r="B7025" s="31"/>
      <c r="C7025" s="2" t="s">
        <v>855</v>
      </c>
      <c r="D7025" s="31">
        <f t="shared" si="203"/>
        <v>2.0289157671126552E-2</v>
      </c>
      <c r="F7025" s="2" t="s">
        <v>822</v>
      </c>
      <c r="G7025" s="23" t="s">
        <v>902</v>
      </c>
      <c r="H7025" s="2" t="s">
        <v>822</v>
      </c>
      <c r="J7025" s="31">
        <v>66.394302400000001</v>
      </c>
      <c r="K7025" s="31">
        <v>-17.061700800000001</v>
      </c>
      <c r="L7025" s="31"/>
      <c r="M7025" s="31" t="s">
        <v>854</v>
      </c>
      <c r="N7025" s="6" t="s">
        <v>856</v>
      </c>
    </row>
    <row r="7026" spans="1:14" ht="15" customHeight="1" x14ac:dyDescent="0.2">
      <c r="A7026" s="31">
        <v>0.1033255868351224</v>
      </c>
      <c r="B7026" s="31"/>
      <c r="C7026" s="2" t="s">
        <v>855</v>
      </c>
      <c r="D7026" s="31">
        <f t="shared" si="203"/>
        <v>2.025181501968399E-2</v>
      </c>
      <c r="F7026" s="2" t="s">
        <v>822</v>
      </c>
      <c r="G7026" s="23" t="s">
        <v>902</v>
      </c>
      <c r="H7026" s="2" t="s">
        <v>822</v>
      </c>
      <c r="J7026" s="31">
        <v>64.115997300000004</v>
      </c>
      <c r="K7026" s="31">
        <v>-32.540000900000003</v>
      </c>
      <c r="L7026" s="31"/>
      <c r="M7026" s="31" t="s">
        <v>854</v>
      </c>
      <c r="N7026" s="6" t="s">
        <v>856</v>
      </c>
    </row>
    <row r="7027" spans="1:14" ht="15" customHeight="1" x14ac:dyDescent="0.2">
      <c r="A7027" s="31">
        <v>0.1029103813845634</v>
      </c>
      <c r="B7027" s="31"/>
      <c r="C7027" s="2" t="s">
        <v>855</v>
      </c>
      <c r="D7027" s="31">
        <f t="shared" si="203"/>
        <v>2.0170434751374429E-2</v>
      </c>
      <c r="F7027" s="2" t="s">
        <v>822</v>
      </c>
      <c r="G7027" s="23" t="s">
        <v>902</v>
      </c>
      <c r="H7027" s="2" t="s">
        <v>822</v>
      </c>
      <c r="J7027" s="31">
        <v>69.729301500000005</v>
      </c>
      <c r="K7027" s="31">
        <v>17.684699999999999</v>
      </c>
      <c r="L7027" s="31"/>
      <c r="M7027" s="31" t="s">
        <v>854</v>
      </c>
      <c r="N7027" s="6" t="s">
        <v>856</v>
      </c>
    </row>
    <row r="7028" spans="1:14" ht="15" customHeight="1" x14ac:dyDescent="0.2">
      <c r="A7028" s="31">
        <v>0.10290962408476929</v>
      </c>
      <c r="B7028" s="31"/>
      <c r="C7028" s="2" t="s">
        <v>855</v>
      </c>
      <c r="D7028" s="31">
        <f t="shared" si="203"/>
        <v>2.0170286320614784E-2</v>
      </c>
      <c r="F7028" s="2" t="s">
        <v>822</v>
      </c>
      <c r="G7028" s="23" t="s">
        <v>902</v>
      </c>
      <c r="H7028" s="2" t="s">
        <v>822</v>
      </c>
      <c r="J7028" s="31">
        <v>66.788002000000006</v>
      </c>
      <c r="K7028" s="31">
        <v>6.2039999999999997</v>
      </c>
      <c r="L7028" s="31"/>
      <c r="M7028" s="31" t="s">
        <v>854</v>
      </c>
      <c r="N7028" s="6" t="s">
        <v>856</v>
      </c>
    </row>
    <row r="7029" spans="1:14" ht="15" customHeight="1" x14ac:dyDescent="0.2">
      <c r="A7029" s="31">
        <v>0.10209435731141819</v>
      </c>
      <c r="B7029" s="31"/>
      <c r="C7029" s="2" t="s">
        <v>855</v>
      </c>
      <c r="D7029" s="31">
        <f t="shared" si="203"/>
        <v>2.0010494033037968E-2</v>
      </c>
      <c r="F7029" s="2" t="s">
        <v>822</v>
      </c>
      <c r="G7029" s="23" t="s">
        <v>902</v>
      </c>
      <c r="H7029" s="2" t="s">
        <v>822</v>
      </c>
      <c r="J7029" s="31">
        <v>70.127998399999996</v>
      </c>
      <c r="K7029" s="31">
        <v>10.2119999</v>
      </c>
      <c r="L7029" s="31"/>
      <c r="M7029" s="31" t="s">
        <v>854</v>
      </c>
      <c r="N7029" s="6" t="s">
        <v>856</v>
      </c>
    </row>
    <row r="7030" spans="1:14" ht="15" customHeight="1" x14ac:dyDescent="0.2">
      <c r="A7030" s="31">
        <v>0.1020876907748933</v>
      </c>
      <c r="B7030" s="31"/>
      <c r="C7030" s="2" t="s">
        <v>855</v>
      </c>
      <c r="D7030" s="31">
        <f t="shared" si="203"/>
        <v>2.0009187391879086E-2</v>
      </c>
      <c r="F7030" s="2" t="s">
        <v>822</v>
      </c>
      <c r="G7030" s="23" t="s">
        <v>902</v>
      </c>
      <c r="H7030" s="2" t="s">
        <v>822</v>
      </c>
      <c r="J7030" s="31">
        <v>64.128997799999993</v>
      </c>
      <c r="K7030" s="31">
        <v>-11.8515997</v>
      </c>
      <c r="L7030" s="31"/>
      <c r="M7030" s="31" t="s">
        <v>854</v>
      </c>
      <c r="N7030" s="6" t="s">
        <v>856</v>
      </c>
    </row>
    <row r="7031" spans="1:14" ht="15" customHeight="1" x14ac:dyDescent="0.2">
      <c r="A7031" s="31">
        <v>0.10202810230665001</v>
      </c>
      <c r="B7031" s="31"/>
      <c r="C7031" s="2" t="s">
        <v>855</v>
      </c>
      <c r="D7031" s="31">
        <f t="shared" si="203"/>
        <v>1.9997508052103402E-2</v>
      </c>
      <c r="F7031" s="2" t="s">
        <v>822</v>
      </c>
      <c r="G7031" s="23" t="s">
        <v>902</v>
      </c>
      <c r="H7031" s="2" t="s">
        <v>822</v>
      </c>
      <c r="J7031" s="31">
        <v>66.120002700000001</v>
      </c>
      <c r="K7031" s="31">
        <v>4.8680000000000003</v>
      </c>
      <c r="L7031" s="31"/>
      <c r="M7031" s="31" t="s">
        <v>854</v>
      </c>
      <c r="N7031" s="6" t="s">
        <v>856</v>
      </c>
    </row>
    <row r="7032" spans="1:14" ht="15" customHeight="1" x14ac:dyDescent="0.2">
      <c r="A7032" s="31">
        <v>0.1019409250722548</v>
      </c>
      <c r="B7032" s="31"/>
      <c r="C7032" s="2" t="s">
        <v>855</v>
      </c>
      <c r="D7032" s="31">
        <f t="shared" si="203"/>
        <v>1.9980421314161941E-2</v>
      </c>
      <c r="F7032" s="2" t="s">
        <v>822</v>
      </c>
      <c r="G7032" s="23" t="s">
        <v>902</v>
      </c>
      <c r="H7032" s="2" t="s">
        <v>822</v>
      </c>
      <c r="J7032" s="31">
        <v>66.178596499999998</v>
      </c>
      <c r="K7032" s="31">
        <v>12.0598001</v>
      </c>
      <c r="L7032" s="31"/>
      <c r="M7032" s="31" t="s">
        <v>854</v>
      </c>
      <c r="N7032" s="6" t="s">
        <v>856</v>
      </c>
    </row>
    <row r="7033" spans="1:14" ht="15" customHeight="1" x14ac:dyDescent="0.2">
      <c r="A7033" s="31">
        <v>0.10193571964157</v>
      </c>
      <c r="B7033" s="31"/>
      <c r="C7033" s="2" t="s">
        <v>855</v>
      </c>
      <c r="D7033" s="31">
        <f t="shared" si="203"/>
        <v>1.9979401049747721E-2</v>
      </c>
      <c r="F7033" s="2" t="s">
        <v>822</v>
      </c>
      <c r="G7033" s="23" t="s">
        <v>902</v>
      </c>
      <c r="H7033" s="2" t="s">
        <v>822</v>
      </c>
      <c r="J7033" s="31">
        <v>68.124000499999994</v>
      </c>
      <c r="K7033" s="31">
        <v>5.5359997999999999</v>
      </c>
      <c r="L7033" s="31"/>
      <c r="M7033" s="31" t="s">
        <v>854</v>
      </c>
      <c r="N7033" s="6" t="s">
        <v>856</v>
      </c>
    </row>
    <row r="7034" spans="1:14" ht="15" customHeight="1" x14ac:dyDescent="0.2">
      <c r="A7034" s="31">
        <v>0.1016135216642344</v>
      </c>
      <c r="B7034" s="31"/>
      <c r="C7034" s="2" t="s">
        <v>855</v>
      </c>
      <c r="D7034" s="31">
        <f t="shared" si="203"/>
        <v>1.9916250246189943E-2</v>
      </c>
      <c r="F7034" s="2" t="s">
        <v>822</v>
      </c>
      <c r="G7034" s="23" t="s">
        <v>902</v>
      </c>
      <c r="H7034" s="2" t="s">
        <v>822</v>
      </c>
      <c r="J7034" s="31">
        <v>62.779998800000001</v>
      </c>
      <c r="K7034" s="31">
        <v>-39.220001199999999</v>
      </c>
      <c r="L7034" s="31"/>
      <c r="M7034" s="31" t="s">
        <v>854</v>
      </c>
      <c r="N7034" s="6" t="s">
        <v>856</v>
      </c>
    </row>
    <row r="7035" spans="1:14" ht="15" customHeight="1" x14ac:dyDescent="0.2">
      <c r="A7035" s="31">
        <v>0.1015862725943867</v>
      </c>
      <c r="B7035" s="31"/>
      <c r="C7035" s="2" t="s">
        <v>855</v>
      </c>
      <c r="D7035" s="31">
        <f t="shared" si="203"/>
        <v>1.9910909428499792E-2</v>
      </c>
      <c r="F7035" s="2" t="s">
        <v>822</v>
      </c>
      <c r="G7035" s="23" t="s">
        <v>902</v>
      </c>
      <c r="H7035" s="2" t="s">
        <v>822</v>
      </c>
      <c r="J7035" s="31">
        <v>65.356697100000005</v>
      </c>
      <c r="K7035" s="31">
        <v>-23.178800599999999</v>
      </c>
      <c r="L7035" s="31"/>
      <c r="M7035" s="31" t="s">
        <v>854</v>
      </c>
      <c r="N7035" s="6" t="s">
        <v>856</v>
      </c>
    </row>
    <row r="7036" spans="1:14" ht="15" customHeight="1" x14ac:dyDescent="0.2">
      <c r="A7036" s="31">
        <v>0.10158453599911101</v>
      </c>
      <c r="B7036" s="31"/>
      <c r="C7036" s="2" t="s">
        <v>855</v>
      </c>
      <c r="D7036" s="31">
        <f t="shared" si="203"/>
        <v>1.9910569055825757E-2</v>
      </c>
      <c r="F7036" s="2" t="s">
        <v>822</v>
      </c>
      <c r="G7036" s="23" t="s">
        <v>902</v>
      </c>
      <c r="H7036" s="2" t="s">
        <v>822</v>
      </c>
      <c r="J7036" s="31">
        <v>62.779998800000001</v>
      </c>
      <c r="K7036" s="31">
        <v>-34.543998700000003</v>
      </c>
      <c r="L7036" s="31"/>
      <c r="M7036" s="31" t="s">
        <v>854</v>
      </c>
      <c r="N7036" s="6" t="s">
        <v>856</v>
      </c>
    </row>
    <row r="7037" spans="1:14" ht="15" customHeight="1" x14ac:dyDescent="0.2">
      <c r="A7037" s="31">
        <v>0.1010446411077696</v>
      </c>
      <c r="B7037" s="31"/>
      <c r="C7037" s="2" t="s">
        <v>855</v>
      </c>
      <c r="D7037" s="31">
        <f t="shared" si="203"/>
        <v>1.9804749657122842E-2</v>
      </c>
      <c r="F7037" s="2" t="s">
        <v>822</v>
      </c>
      <c r="G7037" s="23" t="s">
        <v>902</v>
      </c>
      <c r="H7037" s="2" t="s">
        <v>822</v>
      </c>
      <c r="J7037" s="31">
        <v>68.629898100000005</v>
      </c>
      <c r="K7037" s="31">
        <v>13.169699700000001</v>
      </c>
      <c r="L7037" s="31"/>
      <c r="M7037" s="31" t="s">
        <v>854</v>
      </c>
      <c r="N7037" s="6" t="s">
        <v>856</v>
      </c>
    </row>
    <row r="7038" spans="1:14" ht="15" customHeight="1" x14ac:dyDescent="0.2">
      <c r="A7038" s="31">
        <v>0.1009487702578299</v>
      </c>
      <c r="B7038" s="31"/>
      <c r="C7038" s="2" t="s">
        <v>855</v>
      </c>
      <c r="D7038" s="31">
        <f t="shared" si="203"/>
        <v>1.9785958970534662E-2</v>
      </c>
      <c r="F7038" s="2" t="s">
        <v>822</v>
      </c>
      <c r="G7038" s="23" t="s">
        <v>902</v>
      </c>
      <c r="H7038" s="2" t="s">
        <v>822</v>
      </c>
      <c r="J7038" s="31">
        <v>67.456001299999997</v>
      </c>
      <c r="K7038" s="31">
        <v>1.528</v>
      </c>
      <c r="L7038" s="31"/>
      <c r="M7038" s="31" t="s">
        <v>854</v>
      </c>
      <c r="N7038" s="6" t="s">
        <v>856</v>
      </c>
    </row>
    <row r="7039" spans="1:14" ht="15" customHeight="1" x14ac:dyDescent="0.2">
      <c r="A7039" s="31">
        <v>0.1009426151889877</v>
      </c>
      <c r="B7039" s="31"/>
      <c r="C7039" s="2" t="s">
        <v>855</v>
      </c>
      <c r="D7039" s="31">
        <f t="shared" si="203"/>
        <v>1.9784752577041591E-2</v>
      </c>
      <c r="F7039" s="2" t="s">
        <v>822</v>
      </c>
      <c r="G7039" s="23" t="s">
        <v>902</v>
      </c>
      <c r="H7039" s="2" t="s">
        <v>822</v>
      </c>
      <c r="J7039" s="31">
        <v>62.637000999999998</v>
      </c>
      <c r="K7039" s="31">
        <v>6.0653500999999999</v>
      </c>
      <c r="L7039" s="31"/>
      <c r="M7039" s="31" t="s">
        <v>854</v>
      </c>
      <c r="N7039" s="6" t="s">
        <v>856</v>
      </c>
    </row>
    <row r="7040" spans="1:14" ht="15" customHeight="1" x14ac:dyDescent="0.2">
      <c r="A7040" s="31">
        <v>0.1006550004472659</v>
      </c>
      <c r="B7040" s="31"/>
      <c r="C7040" s="2" t="s">
        <v>855</v>
      </c>
      <c r="D7040" s="31">
        <f t="shared" ref="D7040:D7103" si="204" xml:space="preserve"> A7040 * 0.196</f>
        <v>1.9728380087664116E-2</v>
      </c>
      <c r="F7040" s="2" t="s">
        <v>822</v>
      </c>
      <c r="G7040" s="23" t="s">
        <v>902</v>
      </c>
      <c r="H7040" s="2" t="s">
        <v>822</v>
      </c>
      <c r="J7040" s="31">
        <v>67.776100200000002</v>
      </c>
      <c r="K7040" s="31">
        <v>9.3138799999999993</v>
      </c>
      <c r="L7040" s="31"/>
      <c r="M7040" s="31" t="s">
        <v>854</v>
      </c>
      <c r="N7040" s="6" t="s">
        <v>856</v>
      </c>
    </row>
    <row r="7041" spans="1:14" ht="15" customHeight="1" x14ac:dyDescent="0.2">
      <c r="A7041" s="31">
        <v>0.1004025116885712</v>
      </c>
      <c r="B7041" s="31"/>
      <c r="C7041" s="2" t="s">
        <v>855</v>
      </c>
      <c r="D7041" s="31">
        <f t="shared" si="204"/>
        <v>1.9678892290959957E-2</v>
      </c>
      <c r="F7041" s="2" t="s">
        <v>822</v>
      </c>
      <c r="G7041" s="23" t="s">
        <v>902</v>
      </c>
      <c r="H7041" s="2" t="s">
        <v>822</v>
      </c>
      <c r="J7041" s="31">
        <v>63.448001900000001</v>
      </c>
      <c r="K7041" s="31">
        <v>0.86</v>
      </c>
      <c r="L7041" s="31"/>
      <c r="M7041" s="31" t="s">
        <v>854</v>
      </c>
      <c r="N7041" s="6" t="s">
        <v>856</v>
      </c>
    </row>
    <row r="7042" spans="1:14" ht="15" customHeight="1" x14ac:dyDescent="0.2">
      <c r="A7042" s="31">
        <v>0.10030807362211561</v>
      </c>
      <c r="B7042" s="31"/>
      <c r="C7042" s="2" t="s">
        <v>855</v>
      </c>
      <c r="D7042" s="31">
        <f t="shared" si="204"/>
        <v>1.9660382429934661E-2</v>
      </c>
      <c r="F7042" s="2" t="s">
        <v>822</v>
      </c>
      <c r="G7042" s="23" t="s">
        <v>902</v>
      </c>
      <c r="H7042" s="2" t="s">
        <v>822</v>
      </c>
      <c r="J7042" s="31">
        <v>68.791999799999999</v>
      </c>
      <c r="K7042" s="31">
        <v>3.5320000999999999</v>
      </c>
      <c r="L7042" s="31"/>
      <c r="M7042" s="31" t="s">
        <v>854</v>
      </c>
      <c r="N7042" s="6" t="s">
        <v>856</v>
      </c>
    </row>
    <row r="7043" spans="1:14" ht="15" customHeight="1" x14ac:dyDescent="0.2">
      <c r="A7043" s="31">
        <v>0.10021031193420329</v>
      </c>
      <c r="B7043" s="31"/>
      <c r="C7043" s="2" t="s">
        <v>855</v>
      </c>
      <c r="D7043" s="31">
        <f t="shared" si="204"/>
        <v>1.9641221139103847E-2</v>
      </c>
      <c r="F7043" s="2" t="s">
        <v>822</v>
      </c>
      <c r="G7043" s="23" t="s">
        <v>902</v>
      </c>
      <c r="H7043" s="2" t="s">
        <v>822</v>
      </c>
      <c r="J7043" s="31">
        <v>75.253501900000003</v>
      </c>
      <c r="K7043" s="31">
        <v>13.548600199999999</v>
      </c>
      <c r="L7043" s="31"/>
      <c r="M7043" s="31" t="s">
        <v>854</v>
      </c>
      <c r="N7043" s="6" t="s">
        <v>856</v>
      </c>
    </row>
    <row r="7044" spans="1:14" ht="15" customHeight="1" x14ac:dyDescent="0.2">
      <c r="A7044" s="31">
        <v>0.1001653645611774</v>
      </c>
      <c r="B7044" s="31"/>
      <c r="C7044" s="2" t="s">
        <v>855</v>
      </c>
      <c r="D7044" s="31">
        <f t="shared" si="204"/>
        <v>1.9632411453990771E-2</v>
      </c>
      <c r="F7044" s="2" t="s">
        <v>822</v>
      </c>
      <c r="G7044" s="23" t="s">
        <v>902</v>
      </c>
      <c r="H7044" s="2" t="s">
        <v>822</v>
      </c>
      <c r="J7044" s="31">
        <v>60.108001700000003</v>
      </c>
      <c r="K7044" s="31">
        <v>-40.555999800000002</v>
      </c>
      <c r="L7044" s="31"/>
      <c r="M7044" s="31" t="s">
        <v>854</v>
      </c>
      <c r="N7044" s="6" t="s">
        <v>856</v>
      </c>
    </row>
    <row r="7045" spans="1:14" ht="15" customHeight="1" x14ac:dyDescent="0.2">
      <c r="A7045" s="31">
        <v>0.10014525093163799</v>
      </c>
      <c r="B7045" s="31"/>
      <c r="C7045" s="2" t="s">
        <v>855</v>
      </c>
      <c r="D7045" s="31">
        <f t="shared" si="204"/>
        <v>1.9628469182601048E-2</v>
      </c>
      <c r="F7045" s="2" t="s">
        <v>822</v>
      </c>
      <c r="G7045" s="23" t="s">
        <v>902</v>
      </c>
      <c r="H7045" s="2" t="s">
        <v>822</v>
      </c>
      <c r="J7045" s="31">
        <v>66.872200000000007</v>
      </c>
      <c r="K7045" s="31">
        <v>-22.5063</v>
      </c>
      <c r="L7045" s="31"/>
      <c r="M7045" s="31" t="s">
        <v>854</v>
      </c>
      <c r="N7045" s="6" t="s">
        <v>856</v>
      </c>
    </row>
    <row r="7046" spans="1:14" ht="15" customHeight="1" x14ac:dyDescent="0.2">
      <c r="A7046" s="31">
        <v>0.100071011068571</v>
      </c>
      <c r="B7046" s="31"/>
      <c r="C7046" s="2" t="s">
        <v>855</v>
      </c>
      <c r="D7046" s="31">
        <f t="shared" si="204"/>
        <v>1.9613918169439918E-2</v>
      </c>
      <c r="F7046" s="2" t="s">
        <v>822</v>
      </c>
      <c r="G7046" s="23" t="s">
        <v>902</v>
      </c>
      <c r="H7046" s="2" t="s">
        <v>822</v>
      </c>
      <c r="J7046" s="31">
        <v>70.793800399999995</v>
      </c>
      <c r="K7046" s="31">
        <v>-9.1747999</v>
      </c>
      <c r="L7046" s="31"/>
      <c r="M7046" s="31" t="s">
        <v>854</v>
      </c>
      <c r="N7046" s="6" t="s">
        <v>856</v>
      </c>
    </row>
    <row r="7047" spans="1:14" ht="15" customHeight="1" x14ac:dyDescent="0.2">
      <c r="A7047" s="31">
        <v>9.9934485865169342E-2</v>
      </c>
      <c r="B7047" s="31"/>
      <c r="C7047" s="2" t="s">
        <v>855</v>
      </c>
      <c r="D7047" s="31">
        <f t="shared" si="204"/>
        <v>1.958715922957319E-2</v>
      </c>
      <c r="F7047" s="2" t="s">
        <v>822</v>
      </c>
      <c r="G7047" s="23" t="s">
        <v>902</v>
      </c>
      <c r="H7047" s="2" t="s">
        <v>822</v>
      </c>
      <c r="J7047" s="31">
        <v>70.127998399999996</v>
      </c>
      <c r="K7047" s="31">
        <v>6.8720001999999996</v>
      </c>
      <c r="L7047" s="31"/>
      <c r="M7047" s="31" t="s">
        <v>854</v>
      </c>
      <c r="N7047" s="6" t="s">
        <v>856</v>
      </c>
    </row>
    <row r="7048" spans="1:14" ht="15" customHeight="1" x14ac:dyDescent="0.2">
      <c r="A7048" s="31">
        <v>9.9907075303851345E-2</v>
      </c>
      <c r="B7048" s="31"/>
      <c r="C7048" s="2" t="s">
        <v>855</v>
      </c>
      <c r="D7048" s="31">
        <f t="shared" si="204"/>
        <v>1.9581786759554864E-2</v>
      </c>
      <c r="F7048" s="2" t="s">
        <v>822</v>
      </c>
      <c r="G7048" s="23" t="s">
        <v>902</v>
      </c>
      <c r="H7048" s="2" t="s">
        <v>822</v>
      </c>
      <c r="J7048" s="31">
        <v>64.605903600000005</v>
      </c>
      <c r="K7048" s="31">
        <v>-33.842899299999999</v>
      </c>
      <c r="L7048" s="31"/>
      <c r="M7048" s="31" t="s">
        <v>854</v>
      </c>
      <c r="N7048" s="6" t="s">
        <v>856</v>
      </c>
    </row>
    <row r="7049" spans="1:14" ht="15" customHeight="1" x14ac:dyDescent="0.2">
      <c r="A7049" s="31">
        <v>9.9695463275930263E-2</v>
      </c>
      <c r="B7049" s="31"/>
      <c r="C7049" s="2" t="s">
        <v>855</v>
      </c>
      <c r="D7049" s="31">
        <f t="shared" si="204"/>
        <v>1.9540310802082333E-2</v>
      </c>
      <c r="F7049" s="2" t="s">
        <v>822</v>
      </c>
      <c r="G7049" s="23" t="s">
        <v>902</v>
      </c>
      <c r="H7049" s="2" t="s">
        <v>822</v>
      </c>
      <c r="J7049" s="31">
        <v>66.788002000000006</v>
      </c>
      <c r="K7049" s="31">
        <v>6.8720001999999996</v>
      </c>
      <c r="L7049" s="31"/>
      <c r="M7049" s="31" t="s">
        <v>854</v>
      </c>
      <c r="N7049" s="6" t="s">
        <v>856</v>
      </c>
    </row>
    <row r="7050" spans="1:14" ht="15" customHeight="1" x14ac:dyDescent="0.2">
      <c r="A7050" s="31">
        <v>9.9648355037638373E-2</v>
      </c>
      <c r="B7050" s="31"/>
      <c r="C7050" s="2" t="s">
        <v>855</v>
      </c>
      <c r="D7050" s="31">
        <f t="shared" si="204"/>
        <v>1.9531077587377123E-2</v>
      </c>
      <c r="F7050" s="2" t="s">
        <v>822</v>
      </c>
      <c r="G7050" s="23" t="s">
        <v>902</v>
      </c>
      <c r="H7050" s="2" t="s">
        <v>822</v>
      </c>
      <c r="J7050" s="31">
        <v>62.111999500000003</v>
      </c>
      <c r="K7050" s="31">
        <v>-36.548000299999998</v>
      </c>
      <c r="L7050" s="31"/>
      <c r="M7050" s="31" t="s">
        <v>854</v>
      </c>
      <c r="N7050" s="6" t="s">
        <v>856</v>
      </c>
    </row>
    <row r="7051" spans="1:14" ht="15" customHeight="1" x14ac:dyDescent="0.2">
      <c r="A7051" s="31">
        <v>9.9564710911847418E-2</v>
      </c>
      <c r="B7051" s="31"/>
      <c r="C7051" s="2" t="s">
        <v>855</v>
      </c>
      <c r="D7051" s="31">
        <f t="shared" si="204"/>
        <v>1.9514683338722093E-2</v>
      </c>
      <c r="F7051" s="2" t="s">
        <v>822</v>
      </c>
      <c r="G7051" s="23" t="s">
        <v>902</v>
      </c>
      <c r="H7051" s="2" t="s">
        <v>822</v>
      </c>
      <c r="J7051" s="31">
        <v>64.833297700000003</v>
      </c>
      <c r="K7051" s="31">
        <v>6.15977</v>
      </c>
      <c r="L7051" s="31"/>
      <c r="M7051" s="31" t="s">
        <v>854</v>
      </c>
      <c r="N7051" s="6" t="s">
        <v>856</v>
      </c>
    </row>
    <row r="7052" spans="1:14" ht="15" customHeight="1" x14ac:dyDescent="0.2">
      <c r="A7052" s="31">
        <v>9.9121196406359427E-2</v>
      </c>
      <c r="B7052" s="31"/>
      <c r="C7052" s="2" t="s">
        <v>855</v>
      </c>
      <c r="D7052" s="31">
        <f t="shared" si="204"/>
        <v>1.9427754495646449E-2</v>
      </c>
      <c r="F7052" s="2" t="s">
        <v>822</v>
      </c>
      <c r="G7052" s="23" t="s">
        <v>902</v>
      </c>
      <c r="H7052" s="2" t="s">
        <v>822</v>
      </c>
      <c r="J7052" s="31">
        <v>66.788002000000006</v>
      </c>
      <c r="K7052" s="31">
        <v>-21.184000000000001</v>
      </c>
      <c r="L7052" s="31"/>
      <c r="M7052" s="31" t="s">
        <v>854</v>
      </c>
      <c r="N7052" s="6" t="s">
        <v>856</v>
      </c>
    </row>
    <row r="7053" spans="1:14" ht="15" customHeight="1" x14ac:dyDescent="0.2">
      <c r="A7053" s="31">
        <v>9.9007765364244993E-2</v>
      </c>
      <c r="B7053" s="31"/>
      <c r="C7053" s="2" t="s">
        <v>855</v>
      </c>
      <c r="D7053" s="31">
        <f t="shared" si="204"/>
        <v>1.9405522011392021E-2</v>
      </c>
      <c r="F7053" s="2" t="s">
        <v>822</v>
      </c>
      <c r="G7053" s="23" t="s">
        <v>902</v>
      </c>
      <c r="H7053" s="2" t="s">
        <v>822</v>
      </c>
      <c r="J7053" s="31">
        <v>71.467002899999997</v>
      </c>
      <c r="K7053" s="31">
        <v>16.8943005</v>
      </c>
      <c r="L7053" s="31"/>
      <c r="M7053" s="31" t="s">
        <v>854</v>
      </c>
      <c r="N7053" s="6" t="s">
        <v>856</v>
      </c>
    </row>
    <row r="7054" spans="1:14" ht="15" customHeight="1" x14ac:dyDescent="0.2">
      <c r="A7054" s="31">
        <v>9.8902074486709443E-2</v>
      </c>
      <c r="B7054" s="31"/>
      <c r="C7054" s="2" t="s">
        <v>855</v>
      </c>
      <c r="D7054" s="31">
        <f t="shared" si="204"/>
        <v>1.9384806599395052E-2</v>
      </c>
      <c r="F7054" s="2" t="s">
        <v>822</v>
      </c>
      <c r="G7054" s="23" t="s">
        <v>902</v>
      </c>
      <c r="H7054" s="2" t="s">
        <v>822</v>
      </c>
      <c r="J7054" s="31">
        <v>66.178596499999998</v>
      </c>
      <c r="K7054" s="31">
        <v>-25.394199400000002</v>
      </c>
      <c r="L7054" s="31"/>
      <c r="M7054" s="31" t="s">
        <v>854</v>
      </c>
      <c r="N7054" s="6" t="s">
        <v>856</v>
      </c>
    </row>
    <row r="7055" spans="1:14" ht="15" customHeight="1" x14ac:dyDescent="0.2">
      <c r="A7055" s="31">
        <v>9.8684704352072716E-2</v>
      </c>
      <c r="B7055" s="31"/>
      <c r="C7055" s="2" t="s">
        <v>855</v>
      </c>
      <c r="D7055" s="31">
        <f t="shared" si="204"/>
        <v>1.9342202053006251E-2</v>
      </c>
      <c r="F7055" s="2" t="s">
        <v>822</v>
      </c>
      <c r="G7055" s="23" t="s">
        <v>902</v>
      </c>
      <c r="H7055" s="2" t="s">
        <v>822</v>
      </c>
      <c r="J7055" s="31">
        <v>72.800003099999998</v>
      </c>
      <c r="K7055" s="31">
        <v>12.8839998</v>
      </c>
      <c r="L7055" s="31"/>
      <c r="M7055" s="31" t="s">
        <v>854</v>
      </c>
      <c r="N7055" s="6" t="s">
        <v>856</v>
      </c>
    </row>
    <row r="7056" spans="1:14" ht="15" customHeight="1" x14ac:dyDescent="0.2">
      <c r="A7056" s="31">
        <v>9.8464007799503137E-2</v>
      </c>
      <c r="B7056" s="31"/>
      <c r="C7056" s="2" t="s">
        <v>855</v>
      </c>
      <c r="D7056" s="31">
        <f t="shared" si="204"/>
        <v>1.9298945528702614E-2</v>
      </c>
      <c r="F7056" s="2" t="s">
        <v>822</v>
      </c>
      <c r="G7056" s="23" t="s">
        <v>902</v>
      </c>
      <c r="H7056" s="2" t="s">
        <v>822</v>
      </c>
      <c r="J7056" s="31">
        <v>65.452003500000004</v>
      </c>
      <c r="K7056" s="31">
        <v>1.528</v>
      </c>
      <c r="L7056" s="31"/>
      <c r="M7056" s="31" t="s">
        <v>854</v>
      </c>
      <c r="N7056" s="6" t="s">
        <v>856</v>
      </c>
    </row>
    <row r="7057" spans="1:14" ht="15" customHeight="1" x14ac:dyDescent="0.2">
      <c r="A7057" s="31">
        <v>9.7698847270934142E-2</v>
      </c>
      <c r="B7057" s="31"/>
      <c r="C7057" s="2" t="s">
        <v>855</v>
      </c>
      <c r="D7057" s="31">
        <f t="shared" si="204"/>
        <v>1.9148974065103092E-2</v>
      </c>
      <c r="F7057" s="2" t="s">
        <v>822</v>
      </c>
      <c r="G7057" s="23" t="s">
        <v>902</v>
      </c>
      <c r="H7057" s="2" t="s">
        <v>822</v>
      </c>
      <c r="J7057" s="31">
        <v>66.788002000000006</v>
      </c>
      <c r="K7057" s="31">
        <v>1.528</v>
      </c>
      <c r="L7057" s="31"/>
      <c r="M7057" s="31" t="s">
        <v>854</v>
      </c>
      <c r="N7057" s="6" t="s">
        <v>856</v>
      </c>
    </row>
    <row r="7058" spans="1:14" ht="15" customHeight="1" x14ac:dyDescent="0.2">
      <c r="A7058" s="31">
        <v>9.7624584054942273E-2</v>
      </c>
      <c r="B7058" s="31"/>
      <c r="C7058" s="2" t="s">
        <v>855</v>
      </c>
      <c r="D7058" s="31">
        <f t="shared" si="204"/>
        <v>1.9134418474768686E-2</v>
      </c>
      <c r="F7058" s="2" t="s">
        <v>822</v>
      </c>
      <c r="G7058" s="23" t="s">
        <v>902</v>
      </c>
      <c r="H7058" s="2" t="s">
        <v>822</v>
      </c>
      <c r="J7058" s="31">
        <v>66.554298399999993</v>
      </c>
      <c r="K7058" s="31">
        <v>-23.190300000000001</v>
      </c>
      <c r="L7058" s="31"/>
      <c r="M7058" s="31" t="s">
        <v>854</v>
      </c>
      <c r="N7058" s="6" t="s">
        <v>856</v>
      </c>
    </row>
    <row r="7059" spans="1:14" ht="15" customHeight="1" x14ac:dyDescent="0.2">
      <c r="A7059" s="31">
        <v>9.7489404101465407E-2</v>
      </c>
      <c r="B7059" s="31"/>
      <c r="C7059" s="2" t="s">
        <v>855</v>
      </c>
      <c r="D7059" s="31">
        <f t="shared" si="204"/>
        <v>1.9107923203887222E-2</v>
      </c>
      <c r="F7059" s="2" t="s">
        <v>822</v>
      </c>
      <c r="G7059" s="23" t="s">
        <v>902</v>
      </c>
      <c r="H7059" s="2" t="s">
        <v>822</v>
      </c>
      <c r="J7059" s="31">
        <v>66.120002700000001</v>
      </c>
      <c r="K7059" s="31">
        <v>5.5359997999999999</v>
      </c>
      <c r="L7059" s="31"/>
      <c r="M7059" s="31" t="s">
        <v>854</v>
      </c>
      <c r="N7059" s="6" t="s">
        <v>856</v>
      </c>
    </row>
    <row r="7060" spans="1:14" ht="15" customHeight="1" x14ac:dyDescent="0.2">
      <c r="A7060" s="31">
        <v>9.7305362310568577E-2</v>
      </c>
      <c r="B7060" s="31"/>
      <c r="C7060" s="2" t="s">
        <v>855</v>
      </c>
      <c r="D7060" s="31">
        <f t="shared" si="204"/>
        <v>1.9071851012871441E-2</v>
      </c>
      <c r="F7060" s="2" t="s">
        <v>822</v>
      </c>
      <c r="G7060" s="23" t="s">
        <v>902</v>
      </c>
      <c r="H7060" s="2" t="s">
        <v>822</v>
      </c>
      <c r="J7060" s="31">
        <v>60.776001000000001</v>
      </c>
      <c r="K7060" s="31">
        <v>-39.220001199999999</v>
      </c>
      <c r="L7060" s="31"/>
      <c r="M7060" s="31" t="s">
        <v>854</v>
      </c>
      <c r="N7060" s="6" t="s">
        <v>856</v>
      </c>
    </row>
    <row r="7061" spans="1:14" ht="15" customHeight="1" x14ac:dyDescent="0.2">
      <c r="A7061" s="31">
        <v>9.6882268317587519E-2</v>
      </c>
      <c r="B7061" s="31"/>
      <c r="C7061" s="2" t="s">
        <v>855</v>
      </c>
      <c r="D7061" s="31">
        <f t="shared" si="204"/>
        <v>1.8988924590247154E-2</v>
      </c>
      <c r="F7061" s="2" t="s">
        <v>822</v>
      </c>
      <c r="G7061" s="23" t="s">
        <v>902</v>
      </c>
      <c r="H7061" s="2" t="s">
        <v>822</v>
      </c>
      <c r="J7061" s="31">
        <v>68.791999799999999</v>
      </c>
      <c r="K7061" s="31">
        <v>7.54</v>
      </c>
      <c r="L7061" s="31"/>
      <c r="M7061" s="31" t="s">
        <v>854</v>
      </c>
      <c r="N7061" s="6" t="s">
        <v>856</v>
      </c>
    </row>
    <row r="7062" spans="1:14" ht="15" customHeight="1" x14ac:dyDescent="0.2">
      <c r="A7062" s="31">
        <v>9.6726085520123781E-2</v>
      </c>
      <c r="B7062" s="31"/>
      <c r="C7062" s="2" t="s">
        <v>855</v>
      </c>
      <c r="D7062" s="31">
        <f t="shared" si="204"/>
        <v>1.8958312761944263E-2</v>
      </c>
      <c r="F7062" s="2" t="s">
        <v>822</v>
      </c>
      <c r="G7062" s="23" t="s">
        <v>902</v>
      </c>
      <c r="H7062" s="2" t="s">
        <v>822</v>
      </c>
      <c r="J7062" s="31">
        <v>69.459999100000005</v>
      </c>
      <c r="K7062" s="31">
        <v>6.2039999999999997</v>
      </c>
      <c r="L7062" s="31"/>
      <c r="M7062" s="31" t="s">
        <v>854</v>
      </c>
      <c r="N7062" s="6" t="s">
        <v>856</v>
      </c>
    </row>
    <row r="7063" spans="1:14" ht="15" customHeight="1" x14ac:dyDescent="0.2">
      <c r="A7063" s="31">
        <v>9.6505390991293044E-2</v>
      </c>
      <c r="B7063" s="31"/>
      <c r="C7063" s="2" t="s">
        <v>855</v>
      </c>
      <c r="D7063" s="31">
        <f t="shared" si="204"/>
        <v>1.8915056634293437E-2</v>
      </c>
      <c r="F7063" s="2" t="s">
        <v>822</v>
      </c>
      <c r="G7063" s="23" t="s">
        <v>902</v>
      </c>
      <c r="H7063" s="2" t="s">
        <v>822</v>
      </c>
      <c r="J7063" s="31">
        <v>69.459999100000005</v>
      </c>
      <c r="K7063" s="31">
        <v>8.2080002000000007</v>
      </c>
      <c r="L7063" s="31"/>
      <c r="M7063" s="31" t="s">
        <v>854</v>
      </c>
      <c r="N7063" s="6" t="s">
        <v>856</v>
      </c>
    </row>
    <row r="7064" spans="1:14" ht="15" customHeight="1" x14ac:dyDescent="0.2">
      <c r="A7064" s="31">
        <v>9.6422724601852347E-2</v>
      </c>
      <c r="B7064" s="31"/>
      <c r="C7064" s="2" t="s">
        <v>855</v>
      </c>
      <c r="D7064" s="31">
        <f t="shared" si="204"/>
        <v>1.8898854021963059E-2</v>
      </c>
      <c r="F7064" s="2" t="s">
        <v>822</v>
      </c>
      <c r="G7064" s="23" t="s">
        <v>902</v>
      </c>
      <c r="H7064" s="2" t="s">
        <v>822</v>
      </c>
      <c r="J7064" s="31">
        <v>66.553596499999998</v>
      </c>
      <c r="K7064" s="31">
        <v>11.6848001</v>
      </c>
      <c r="L7064" s="31"/>
      <c r="M7064" s="31" t="s">
        <v>854</v>
      </c>
      <c r="N7064" s="6" t="s">
        <v>856</v>
      </c>
    </row>
    <row r="7065" spans="1:14" ht="15" customHeight="1" x14ac:dyDescent="0.2">
      <c r="A7065" s="31">
        <v>9.6380819335292786E-2</v>
      </c>
      <c r="B7065" s="31"/>
      <c r="C7065" s="2" t="s">
        <v>855</v>
      </c>
      <c r="D7065" s="31">
        <f t="shared" si="204"/>
        <v>1.8890640589717386E-2</v>
      </c>
      <c r="F7065" s="2" t="s">
        <v>822</v>
      </c>
      <c r="G7065" s="23" t="s">
        <v>902</v>
      </c>
      <c r="H7065" s="2" t="s">
        <v>822</v>
      </c>
      <c r="J7065" s="31">
        <v>66.887901299999996</v>
      </c>
      <c r="K7065" s="31">
        <v>12.8836002</v>
      </c>
      <c r="L7065" s="31"/>
      <c r="M7065" s="31" t="s">
        <v>854</v>
      </c>
      <c r="N7065" s="6" t="s">
        <v>856</v>
      </c>
    </row>
    <row r="7066" spans="1:14" ht="15" customHeight="1" x14ac:dyDescent="0.2">
      <c r="A7066" s="31">
        <v>9.5868280522091093E-2</v>
      </c>
      <c r="B7066" s="31"/>
      <c r="C7066" s="2" t="s">
        <v>855</v>
      </c>
      <c r="D7066" s="31">
        <f t="shared" si="204"/>
        <v>1.8790182982329855E-2</v>
      </c>
      <c r="F7066" s="2" t="s">
        <v>822</v>
      </c>
      <c r="G7066" s="23" t="s">
        <v>902</v>
      </c>
      <c r="H7066" s="2" t="s">
        <v>822</v>
      </c>
      <c r="J7066" s="31">
        <v>70.442398100000005</v>
      </c>
      <c r="K7066" s="31">
        <v>18.912399300000001</v>
      </c>
      <c r="L7066" s="31"/>
      <c r="M7066" s="31" t="s">
        <v>854</v>
      </c>
      <c r="N7066" s="6" t="s">
        <v>856</v>
      </c>
    </row>
    <row r="7067" spans="1:14" ht="15" customHeight="1" x14ac:dyDescent="0.2">
      <c r="A7067" s="31">
        <v>9.5855283184510504E-2</v>
      </c>
      <c r="B7067" s="31"/>
      <c r="C7067" s="2" t="s">
        <v>855</v>
      </c>
      <c r="D7067" s="31">
        <f t="shared" si="204"/>
        <v>1.8787635504164058E-2</v>
      </c>
      <c r="F7067" s="2" t="s">
        <v>822</v>
      </c>
      <c r="G7067" s="23" t="s">
        <v>902</v>
      </c>
      <c r="H7067" s="2" t="s">
        <v>822</v>
      </c>
      <c r="J7067" s="31">
        <v>68.124000499999994</v>
      </c>
      <c r="K7067" s="31">
        <v>4.1999997999999996</v>
      </c>
      <c r="L7067" s="31"/>
      <c r="M7067" s="31" t="s">
        <v>854</v>
      </c>
      <c r="N7067" s="6" t="s">
        <v>856</v>
      </c>
    </row>
    <row r="7068" spans="1:14" ht="15" customHeight="1" x14ac:dyDescent="0.2">
      <c r="A7068" s="31">
        <v>9.5766998811768173E-2</v>
      </c>
      <c r="B7068" s="31"/>
      <c r="C7068" s="2" t="s">
        <v>855</v>
      </c>
      <c r="D7068" s="31">
        <f t="shared" si="204"/>
        <v>1.8770331767106564E-2</v>
      </c>
      <c r="F7068" s="2" t="s">
        <v>822</v>
      </c>
      <c r="G7068" s="23" t="s">
        <v>902</v>
      </c>
      <c r="H7068" s="2" t="s">
        <v>822</v>
      </c>
      <c r="J7068" s="31">
        <v>71.463996899999998</v>
      </c>
      <c r="K7068" s="31">
        <v>10.2119999</v>
      </c>
      <c r="L7068" s="31"/>
      <c r="M7068" s="31" t="s">
        <v>854</v>
      </c>
      <c r="N7068" s="6" t="s">
        <v>856</v>
      </c>
    </row>
    <row r="7069" spans="1:14" ht="15" customHeight="1" x14ac:dyDescent="0.2">
      <c r="A7069" s="31">
        <v>9.5583530393903327E-2</v>
      </c>
      <c r="B7069" s="31"/>
      <c r="C7069" s="2" t="s">
        <v>855</v>
      </c>
      <c r="D7069" s="31">
        <f t="shared" si="204"/>
        <v>1.8734371957205051E-2</v>
      </c>
      <c r="F7069" s="2" t="s">
        <v>822</v>
      </c>
      <c r="G7069" s="23" t="s">
        <v>902</v>
      </c>
      <c r="H7069" s="2" t="s">
        <v>822</v>
      </c>
      <c r="J7069" s="31">
        <v>52.091999100000002</v>
      </c>
      <c r="K7069" s="31">
        <v>-41.223998999999999</v>
      </c>
      <c r="L7069" s="31"/>
      <c r="M7069" s="31" t="s">
        <v>854</v>
      </c>
      <c r="N7069" s="6" t="s">
        <v>856</v>
      </c>
    </row>
    <row r="7070" spans="1:14" ht="15" customHeight="1" x14ac:dyDescent="0.2">
      <c r="A7070" s="31">
        <v>9.5535022869682476E-2</v>
      </c>
      <c r="B7070" s="31"/>
      <c r="C7070" s="2" t="s">
        <v>855</v>
      </c>
      <c r="D7070" s="31">
        <f t="shared" si="204"/>
        <v>1.8724864482457765E-2</v>
      </c>
      <c r="F7070" s="2" t="s">
        <v>822</v>
      </c>
      <c r="G7070" s="23" t="s">
        <v>902</v>
      </c>
      <c r="H7070" s="2" t="s">
        <v>822</v>
      </c>
      <c r="J7070" s="31">
        <v>64.115997300000004</v>
      </c>
      <c r="K7070" s="31">
        <v>-1.1440001</v>
      </c>
      <c r="L7070" s="31"/>
      <c r="M7070" s="31" t="s">
        <v>854</v>
      </c>
      <c r="N7070" s="6" t="s">
        <v>856</v>
      </c>
    </row>
    <row r="7071" spans="1:14" ht="15" customHeight="1" x14ac:dyDescent="0.2">
      <c r="A7071" s="31">
        <v>9.5482916198866993E-2</v>
      </c>
      <c r="B7071" s="31"/>
      <c r="C7071" s="2" t="s">
        <v>855</v>
      </c>
      <c r="D7071" s="31">
        <f t="shared" si="204"/>
        <v>1.8714651574977932E-2</v>
      </c>
      <c r="F7071" s="2" t="s">
        <v>822</v>
      </c>
      <c r="G7071" s="23" t="s">
        <v>902</v>
      </c>
      <c r="H7071" s="2" t="s">
        <v>822</v>
      </c>
      <c r="J7071" s="31">
        <v>72.132003800000007</v>
      </c>
      <c r="K7071" s="31">
        <v>24.2399998</v>
      </c>
      <c r="L7071" s="31"/>
      <c r="M7071" s="31" t="s">
        <v>854</v>
      </c>
      <c r="N7071" s="6" t="s">
        <v>856</v>
      </c>
    </row>
    <row r="7072" spans="1:14" ht="15" customHeight="1" x14ac:dyDescent="0.2">
      <c r="A7072" s="31">
        <v>9.5479262024686845E-2</v>
      </c>
      <c r="B7072" s="31"/>
      <c r="C7072" s="2" t="s">
        <v>855</v>
      </c>
      <c r="D7072" s="31">
        <f t="shared" si="204"/>
        <v>1.8713935356838622E-2</v>
      </c>
      <c r="F7072" s="2" t="s">
        <v>822</v>
      </c>
      <c r="G7072" s="23" t="s">
        <v>902</v>
      </c>
      <c r="H7072" s="2" t="s">
        <v>822</v>
      </c>
      <c r="J7072" s="31">
        <v>68.124000499999994</v>
      </c>
      <c r="K7072" s="31">
        <v>8.2080002000000007</v>
      </c>
      <c r="L7072" s="31"/>
      <c r="M7072" s="31" t="s">
        <v>854</v>
      </c>
      <c r="N7072" s="6" t="s">
        <v>856</v>
      </c>
    </row>
    <row r="7073" spans="1:14" ht="15" customHeight="1" x14ac:dyDescent="0.2">
      <c r="A7073" s="31">
        <v>9.5450283605291245E-2</v>
      </c>
      <c r="B7073" s="31"/>
      <c r="C7073" s="2" t="s">
        <v>855</v>
      </c>
      <c r="D7073" s="31">
        <f t="shared" si="204"/>
        <v>1.8708255586637086E-2</v>
      </c>
      <c r="F7073" s="2" t="s">
        <v>822</v>
      </c>
      <c r="G7073" s="23" t="s">
        <v>902</v>
      </c>
      <c r="H7073" s="2" t="s">
        <v>822</v>
      </c>
      <c r="J7073" s="31">
        <v>68.124000499999994</v>
      </c>
      <c r="K7073" s="31">
        <v>7.54</v>
      </c>
      <c r="L7073" s="31"/>
      <c r="M7073" s="31" t="s">
        <v>854</v>
      </c>
      <c r="N7073" s="6" t="s">
        <v>856</v>
      </c>
    </row>
    <row r="7074" spans="1:14" ht="15" customHeight="1" x14ac:dyDescent="0.2">
      <c r="A7074" s="31">
        <v>9.5449150646324962E-2</v>
      </c>
      <c r="B7074" s="31"/>
      <c r="C7074" s="2" t="s">
        <v>855</v>
      </c>
      <c r="D7074" s="31">
        <f t="shared" si="204"/>
        <v>1.8708033526679692E-2</v>
      </c>
      <c r="F7074" s="2" t="s">
        <v>822</v>
      </c>
      <c r="G7074" s="23" t="s">
        <v>902</v>
      </c>
      <c r="H7074" s="2" t="s">
        <v>822</v>
      </c>
      <c r="J7074" s="31">
        <v>62.779998800000001</v>
      </c>
      <c r="K7074" s="31">
        <v>-1.1440001</v>
      </c>
      <c r="L7074" s="31"/>
      <c r="M7074" s="31" t="s">
        <v>854</v>
      </c>
      <c r="N7074" s="6" t="s">
        <v>856</v>
      </c>
    </row>
    <row r="7075" spans="1:14" ht="15" customHeight="1" x14ac:dyDescent="0.2">
      <c r="A7075" s="31">
        <v>9.5235586389588067E-2</v>
      </c>
      <c r="B7075" s="31"/>
      <c r="C7075" s="2" t="s">
        <v>855</v>
      </c>
      <c r="D7075" s="31">
        <f t="shared" si="204"/>
        <v>1.8666174932359263E-2</v>
      </c>
      <c r="F7075" s="2" t="s">
        <v>822</v>
      </c>
      <c r="G7075" s="23" t="s">
        <v>902</v>
      </c>
      <c r="H7075" s="2" t="s">
        <v>822</v>
      </c>
      <c r="J7075" s="31">
        <v>64.580703700000001</v>
      </c>
      <c r="K7075" s="31">
        <v>-14.328300499999999</v>
      </c>
      <c r="L7075" s="31"/>
      <c r="M7075" s="31" t="s">
        <v>854</v>
      </c>
      <c r="N7075" s="6" t="s">
        <v>856</v>
      </c>
    </row>
    <row r="7076" spans="1:14" ht="15" customHeight="1" x14ac:dyDescent="0.2">
      <c r="A7076" s="31">
        <v>9.5219622164136222E-2</v>
      </c>
      <c r="B7076" s="31"/>
      <c r="C7076" s="2" t="s">
        <v>855</v>
      </c>
      <c r="D7076" s="31">
        <f t="shared" si="204"/>
        <v>1.86630459441707E-2</v>
      </c>
      <c r="F7076" s="2" t="s">
        <v>822</v>
      </c>
      <c r="G7076" s="23" t="s">
        <v>902</v>
      </c>
      <c r="H7076" s="2" t="s">
        <v>822</v>
      </c>
      <c r="J7076" s="31">
        <v>71.463996899999998</v>
      </c>
      <c r="K7076" s="31">
        <v>12.8839998</v>
      </c>
      <c r="L7076" s="31"/>
      <c r="M7076" s="31" t="s">
        <v>854</v>
      </c>
      <c r="N7076" s="6" t="s">
        <v>856</v>
      </c>
    </row>
    <row r="7077" spans="1:14" ht="15" customHeight="1" x14ac:dyDescent="0.2">
      <c r="A7077" s="31">
        <v>9.5059297630596631E-2</v>
      </c>
      <c r="B7077" s="31"/>
      <c r="C7077" s="2" t="s">
        <v>855</v>
      </c>
      <c r="D7077" s="31">
        <f t="shared" si="204"/>
        <v>1.863162233559694E-2</v>
      </c>
      <c r="F7077" s="2" t="s">
        <v>822</v>
      </c>
      <c r="G7077" s="23" t="s">
        <v>902</v>
      </c>
      <c r="H7077" s="2" t="s">
        <v>822</v>
      </c>
      <c r="J7077" s="31">
        <v>70.795997600000007</v>
      </c>
      <c r="K7077" s="31">
        <v>8.2080002000000007</v>
      </c>
      <c r="L7077" s="31"/>
      <c r="M7077" s="31" t="s">
        <v>854</v>
      </c>
      <c r="N7077" s="6" t="s">
        <v>856</v>
      </c>
    </row>
    <row r="7078" spans="1:14" ht="15" customHeight="1" x14ac:dyDescent="0.2">
      <c r="A7078" s="31">
        <v>9.4763408646017691E-2</v>
      </c>
      <c r="B7078" s="31"/>
      <c r="C7078" s="2" t="s">
        <v>855</v>
      </c>
      <c r="D7078" s="31">
        <f t="shared" si="204"/>
        <v>1.8573628094619467E-2</v>
      </c>
      <c r="F7078" s="2" t="s">
        <v>822</v>
      </c>
      <c r="G7078" s="23" t="s">
        <v>902</v>
      </c>
      <c r="H7078" s="2" t="s">
        <v>822</v>
      </c>
      <c r="J7078" s="31">
        <v>66.120002700000001</v>
      </c>
      <c r="K7078" s="31">
        <v>2.1960001</v>
      </c>
      <c r="L7078" s="31"/>
      <c r="M7078" s="31" t="s">
        <v>854</v>
      </c>
      <c r="N7078" s="6" t="s">
        <v>856</v>
      </c>
    </row>
    <row r="7079" spans="1:14" ht="15" customHeight="1" x14ac:dyDescent="0.2">
      <c r="A7079" s="31">
        <v>9.4310101726469781E-2</v>
      </c>
      <c r="B7079" s="31"/>
      <c r="C7079" s="2" t="s">
        <v>855</v>
      </c>
      <c r="D7079" s="31">
        <f t="shared" si="204"/>
        <v>1.8484779938388079E-2</v>
      </c>
      <c r="F7079" s="2" t="s">
        <v>822</v>
      </c>
      <c r="G7079" s="23" t="s">
        <v>902</v>
      </c>
      <c r="H7079" s="2" t="s">
        <v>822</v>
      </c>
      <c r="J7079" s="31">
        <v>64.501098600000006</v>
      </c>
      <c r="K7079" s="31">
        <v>-9.7059897999999993</v>
      </c>
      <c r="L7079" s="31"/>
      <c r="M7079" s="31" t="s">
        <v>854</v>
      </c>
      <c r="N7079" s="6" t="s">
        <v>856</v>
      </c>
    </row>
    <row r="7080" spans="1:14" ht="15" customHeight="1" x14ac:dyDescent="0.2">
      <c r="A7080" s="31">
        <v>9.4094831173202276E-2</v>
      </c>
      <c r="B7080" s="31"/>
      <c r="C7080" s="2" t="s">
        <v>855</v>
      </c>
      <c r="D7080" s="31">
        <f t="shared" si="204"/>
        <v>1.8442586909947645E-2</v>
      </c>
      <c r="F7080" s="2" t="s">
        <v>822</v>
      </c>
      <c r="G7080" s="23" t="s">
        <v>902</v>
      </c>
      <c r="H7080" s="2" t="s">
        <v>822</v>
      </c>
      <c r="J7080" s="31">
        <v>68.413902300000004</v>
      </c>
      <c r="K7080" s="31">
        <v>13.891400300000001</v>
      </c>
      <c r="L7080" s="31"/>
      <c r="M7080" s="31" t="s">
        <v>854</v>
      </c>
      <c r="N7080" s="6" t="s">
        <v>856</v>
      </c>
    </row>
    <row r="7081" spans="1:14" ht="15" customHeight="1" x14ac:dyDescent="0.2">
      <c r="A7081" s="31">
        <v>9.4075228819453016E-2</v>
      </c>
      <c r="B7081" s="31"/>
      <c r="C7081" s="2" t="s">
        <v>855</v>
      </c>
      <c r="D7081" s="31">
        <f t="shared" si="204"/>
        <v>1.8438744848612791E-2</v>
      </c>
      <c r="F7081" s="2" t="s">
        <v>822</v>
      </c>
      <c r="G7081" s="23" t="s">
        <v>902</v>
      </c>
      <c r="H7081" s="2" t="s">
        <v>822</v>
      </c>
      <c r="J7081" s="31">
        <v>69.459999100000005</v>
      </c>
      <c r="K7081" s="31">
        <v>13.552</v>
      </c>
      <c r="L7081" s="31"/>
      <c r="M7081" s="31" t="s">
        <v>854</v>
      </c>
      <c r="N7081" s="6" t="s">
        <v>856</v>
      </c>
    </row>
    <row r="7082" spans="1:14" ht="15" customHeight="1" x14ac:dyDescent="0.2">
      <c r="A7082" s="31">
        <v>9.4043818277485772E-2</v>
      </c>
      <c r="B7082" s="31"/>
      <c r="C7082" s="2" t="s">
        <v>855</v>
      </c>
      <c r="D7082" s="31">
        <f t="shared" si="204"/>
        <v>1.8432588382387212E-2</v>
      </c>
      <c r="F7082" s="2" t="s">
        <v>822</v>
      </c>
      <c r="G7082" s="23" t="s">
        <v>902</v>
      </c>
      <c r="H7082" s="2" t="s">
        <v>822</v>
      </c>
      <c r="J7082" s="31">
        <v>60.108001700000003</v>
      </c>
      <c r="K7082" s="31">
        <v>-37.883998900000002</v>
      </c>
      <c r="L7082" s="31"/>
      <c r="M7082" s="31" t="s">
        <v>854</v>
      </c>
      <c r="N7082" s="6" t="s">
        <v>856</v>
      </c>
    </row>
    <row r="7083" spans="1:14" ht="15" customHeight="1" x14ac:dyDescent="0.2">
      <c r="A7083" s="31">
        <v>9.4025967639092739E-2</v>
      </c>
      <c r="B7083" s="31"/>
      <c r="C7083" s="2" t="s">
        <v>855</v>
      </c>
      <c r="D7083" s="31">
        <f t="shared" si="204"/>
        <v>1.8429089657262178E-2</v>
      </c>
      <c r="F7083" s="2" t="s">
        <v>822</v>
      </c>
      <c r="G7083" s="23" t="s">
        <v>902</v>
      </c>
      <c r="H7083" s="2" t="s">
        <v>822</v>
      </c>
      <c r="J7083" s="31">
        <v>67.456001299999997</v>
      </c>
      <c r="K7083" s="31">
        <v>10.8800001</v>
      </c>
      <c r="L7083" s="31"/>
      <c r="M7083" s="31" t="s">
        <v>854</v>
      </c>
      <c r="N7083" s="6" t="s">
        <v>856</v>
      </c>
    </row>
    <row r="7084" spans="1:14" ht="15" customHeight="1" x14ac:dyDescent="0.2">
      <c r="A7084" s="31">
        <v>9.3956944078416552E-2</v>
      </c>
      <c r="B7084" s="31"/>
      <c r="C7084" s="2" t="s">
        <v>855</v>
      </c>
      <c r="D7084" s="31">
        <f t="shared" si="204"/>
        <v>1.8415561039369643E-2</v>
      </c>
      <c r="F7084" s="2" t="s">
        <v>822</v>
      </c>
      <c r="G7084" s="23" t="s">
        <v>902</v>
      </c>
      <c r="H7084" s="2" t="s">
        <v>822</v>
      </c>
      <c r="J7084" s="31">
        <v>66.120002700000001</v>
      </c>
      <c r="K7084" s="31">
        <v>-27.195999100000002</v>
      </c>
      <c r="L7084" s="31"/>
      <c r="M7084" s="31" t="s">
        <v>854</v>
      </c>
      <c r="N7084" s="6" t="s">
        <v>856</v>
      </c>
    </row>
    <row r="7085" spans="1:14" ht="15" customHeight="1" x14ac:dyDescent="0.2">
      <c r="A7085" s="31">
        <v>9.3868284377810945E-2</v>
      </c>
      <c r="B7085" s="31"/>
      <c r="C7085" s="2" t="s">
        <v>855</v>
      </c>
      <c r="D7085" s="31">
        <f t="shared" si="204"/>
        <v>1.8398183738050945E-2</v>
      </c>
      <c r="F7085" s="2" t="s">
        <v>822</v>
      </c>
      <c r="G7085" s="23" t="s">
        <v>902</v>
      </c>
      <c r="H7085" s="2" t="s">
        <v>822</v>
      </c>
      <c r="J7085" s="31">
        <v>63.448001900000001</v>
      </c>
      <c r="K7085" s="31">
        <v>-0.47599999999999998</v>
      </c>
      <c r="L7085" s="31"/>
      <c r="M7085" s="31" t="s">
        <v>854</v>
      </c>
      <c r="N7085" s="6" t="s">
        <v>856</v>
      </c>
    </row>
    <row r="7086" spans="1:14" ht="15" customHeight="1" x14ac:dyDescent="0.2">
      <c r="A7086" s="31">
        <v>9.38356019794995E-2</v>
      </c>
      <c r="B7086" s="31"/>
      <c r="C7086" s="2" t="s">
        <v>855</v>
      </c>
      <c r="D7086" s="31">
        <f t="shared" si="204"/>
        <v>1.8391777987981903E-2</v>
      </c>
      <c r="F7086" s="2" t="s">
        <v>822</v>
      </c>
      <c r="G7086" s="23" t="s">
        <v>902</v>
      </c>
      <c r="H7086" s="2" t="s">
        <v>822</v>
      </c>
      <c r="J7086" s="31">
        <v>63.448001900000001</v>
      </c>
      <c r="K7086" s="31">
        <v>-4.4840001999999997</v>
      </c>
      <c r="L7086" s="31"/>
      <c r="M7086" s="31" t="s">
        <v>854</v>
      </c>
      <c r="N7086" s="6" t="s">
        <v>856</v>
      </c>
    </row>
    <row r="7087" spans="1:14" ht="15" customHeight="1" x14ac:dyDescent="0.2">
      <c r="A7087" s="31">
        <v>9.3821317448260874E-2</v>
      </c>
      <c r="B7087" s="31"/>
      <c r="C7087" s="2" t="s">
        <v>855</v>
      </c>
      <c r="D7087" s="31">
        <f t="shared" si="204"/>
        <v>1.8388978219859131E-2</v>
      </c>
      <c r="F7087" s="2" t="s">
        <v>822</v>
      </c>
      <c r="G7087" s="23" t="s">
        <v>902</v>
      </c>
      <c r="H7087" s="2" t="s">
        <v>822</v>
      </c>
      <c r="J7087" s="31">
        <v>68.124000499999994</v>
      </c>
      <c r="K7087" s="31">
        <v>3.5320000999999999</v>
      </c>
      <c r="L7087" s="31"/>
      <c r="M7087" s="31" t="s">
        <v>854</v>
      </c>
      <c r="N7087" s="6" t="s">
        <v>856</v>
      </c>
    </row>
    <row r="7088" spans="1:14" ht="15" customHeight="1" x14ac:dyDescent="0.2">
      <c r="A7088" s="31">
        <v>9.3716098438885495E-2</v>
      </c>
      <c r="B7088" s="31"/>
      <c r="C7088" s="2" t="s">
        <v>855</v>
      </c>
      <c r="D7088" s="31">
        <f t="shared" si="204"/>
        <v>1.8368355294021557E-2</v>
      </c>
      <c r="F7088" s="2" t="s">
        <v>822</v>
      </c>
      <c r="G7088" s="23" t="s">
        <v>902</v>
      </c>
      <c r="H7088" s="2" t="s">
        <v>822</v>
      </c>
      <c r="J7088" s="31">
        <v>69.459999100000005</v>
      </c>
      <c r="K7088" s="31">
        <v>14.887999499999999</v>
      </c>
      <c r="L7088" s="31"/>
      <c r="M7088" s="31" t="s">
        <v>854</v>
      </c>
      <c r="N7088" s="6" t="s">
        <v>856</v>
      </c>
    </row>
    <row r="7089" spans="1:14" ht="15" customHeight="1" x14ac:dyDescent="0.2">
      <c r="A7089" s="31">
        <v>9.3604821195792887E-2</v>
      </c>
      <c r="B7089" s="31"/>
      <c r="C7089" s="2" t="s">
        <v>855</v>
      </c>
      <c r="D7089" s="31">
        <f t="shared" si="204"/>
        <v>1.8346544954375408E-2</v>
      </c>
      <c r="F7089" s="2" t="s">
        <v>822</v>
      </c>
      <c r="G7089" s="23" t="s">
        <v>902</v>
      </c>
      <c r="H7089" s="2" t="s">
        <v>822</v>
      </c>
      <c r="J7089" s="31">
        <v>68.680603000000005</v>
      </c>
      <c r="K7089" s="31">
        <v>47.386798900000002</v>
      </c>
      <c r="L7089" s="31"/>
      <c r="M7089" s="31" t="s">
        <v>854</v>
      </c>
      <c r="N7089" s="6" t="s">
        <v>856</v>
      </c>
    </row>
    <row r="7090" spans="1:14" ht="15" customHeight="1" x14ac:dyDescent="0.2">
      <c r="A7090" s="31">
        <v>9.3351311189352887E-2</v>
      </c>
      <c r="B7090" s="31"/>
      <c r="C7090" s="2" t="s">
        <v>855</v>
      </c>
      <c r="D7090" s="31">
        <f t="shared" si="204"/>
        <v>1.8296856993113165E-2</v>
      </c>
      <c r="F7090" s="2" t="s">
        <v>822</v>
      </c>
      <c r="G7090" s="23" t="s">
        <v>902</v>
      </c>
      <c r="H7090" s="2" t="s">
        <v>822</v>
      </c>
      <c r="J7090" s="31">
        <v>70.771896400000003</v>
      </c>
      <c r="K7090" s="31">
        <v>18.7273006</v>
      </c>
      <c r="L7090" s="31"/>
      <c r="M7090" s="31" t="s">
        <v>854</v>
      </c>
      <c r="N7090" s="6" t="s">
        <v>856</v>
      </c>
    </row>
    <row r="7091" spans="1:14" ht="15" customHeight="1" x14ac:dyDescent="0.2">
      <c r="A7091" s="31">
        <v>9.3176084614086191E-2</v>
      </c>
      <c r="B7091" s="31"/>
      <c r="C7091" s="2" t="s">
        <v>855</v>
      </c>
      <c r="D7091" s="31">
        <f t="shared" si="204"/>
        <v>1.8262512584360895E-2</v>
      </c>
      <c r="F7091" s="2" t="s">
        <v>822</v>
      </c>
      <c r="G7091" s="23" t="s">
        <v>902</v>
      </c>
      <c r="H7091" s="2" t="s">
        <v>822</v>
      </c>
      <c r="J7091" s="31">
        <v>71.141601600000001</v>
      </c>
      <c r="K7091" s="31">
        <v>16.272800400000001</v>
      </c>
      <c r="L7091" s="31"/>
      <c r="M7091" s="31" t="s">
        <v>854</v>
      </c>
      <c r="N7091" s="6" t="s">
        <v>856</v>
      </c>
    </row>
    <row r="7092" spans="1:14" ht="15" customHeight="1" x14ac:dyDescent="0.2">
      <c r="A7092" s="31">
        <v>9.2978080851508563E-2</v>
      </c>
      <c r="B7092" s="31"/>
      <c r="C7092" s="2" t="s">
        <v>855</v>
      </c>
      <c r="D7092" s="31">
        <f t="shared" si="204"/>
        <v>1.8223703846895679E-2</v>
      </c>
      <c r="F7092" s="2" t="s">
        <v>822</v>
      </c>
      <c r="G7092" s="23" t="s">
        <v>902</v>
      </c>
      <c r="H7092" s="2" t="s">
        <v>822</v>
      </c>
      <c r="J7092" s="31">
        <v>67.403801000000001</v>
      </c>
      <c r="K7092" s="31">
        <v>12.149999599999999</v>
      </c>
      <c r="L7092" s="31"/>
      <c r="M7092" s="31" t="s">
        <v>854</v>
      </c>
      <c r="N7092" s="6" t="s">
        <v>856</v>
      </c>
    </row>
    <row r="7093" spans="1:14" ht="15" customHeight="1" x14ac:dyDescent="0.2">
      <c r="A7093" s="31">
        <v>9.2951027747197712E-2</v>
      </c>
      <c r="B7093" s="31"/>
      <c r="C7093" s="2" t="s">
        <v>855</v>
      </c>
      <c r="D7093" s="31">
        <f t="shared" si="204"/>
        <v>1.8218401438450754E-2</v>
      </c>
      <c r="F7093" s="2" t="s">
        <v>822</v>
      </c>
      <c r="G7093" s="23" t="s">
        <v>902</v>
      </c>
      <c r="H7093" s="2" t="s">
        <v>822</v>
      </c>
      <c r="J7093" s="31">
        <v>62.111999500000003</v>
      </c>
      <c r="K7093" s="31">
        <v>-2.48</v>
      </c>
      <c r="L7093" s="31"/>
      <c r="M7093" s="31" t="s">
        <v>854</v>
      </c>
      <c r="N7093" s="6" t="s">
        <v>856</v>
      </c>
    </row>
    <row r="7094" spans="1:14" ht="15" customHeight="1" x14ac:dyDescent="0.2">
      <c r="A7094" s="31">
        <v>9.2795543153684212E-2</v>
      </c>
      <c r="B7094" s="31"/>
      <c r="C7094" s="2" t="s">
        <v>855</v>
      </c>
      <c r="D7094" s="31">
        <f t="shared" si="204"/>
        <v>1.8187926458122106E-2</v>
      </c>
      <c r="F7094" s="2" t="s">
        <v>822</v>
      </c>
      <c r="G7094" s="23" t="s">
        <v>902</v>
      </c>
      <c r="H7094" s="2" t="s">
        <v>822</v>
      </c>
      <c r="J7094" s="31">
        <v>62.102798499999999</v>
      </c>
      <c r="K7094" s="31">
        <v>-40.545799299999999</v>
      </c>
      <c r="L7094" s="31"/>
      <c r="M7094" s="31" t="s">
        <v>854</v>
      </c>
      <c r="N7094" s="6" t="s">
        <v>856</v>
      </c>
    </row>
    <row r="7095" spans="1:14" ht="15" customHeight="1" x14ac:dyDescent="0.2">
      <c r="A7095" s="31">
        <v>9.2679594275817193E-2</v>
      </c>
      <c r="B7095" s="31"/>
      <c r="C7095" s="2" t="s">
        <v>855</v>
      </c>
      <c r="D7095" s="31">
        <f t="shared" si="204"/>
        <v>1.8165200478060171E-2</v>
      </c>
      <c r="F7095" s="2" t="s">
        <v>822</v>
      </c>
      <c r="G7095" s="23" t="s">
        <v>902</v>
      </c>
      <c r="H7095" s="2" t="s">
        <v>822</v>
      </c>
      <c r="J7095" s="31">
        <v>63.691200299999998</v>
      </c>
      <c r="K7095" s="31">
        <v>-8.8047799999999992</v>
      </c>
      <c r="L7095" s="31"/>
      <c r="M7095" s="31" t="s">
        <v>854</v>
      </c>
      <c r="N7095" s="6" t="s">
        <v>856</v>
      </c>
    </row>
    <row r="7096" spans="1:14" ht="15" customHeight="1" x14ac:dyDescent="0.2">
      <c r="A7096" s="31">
        <v>9.2585941978317363E-2</v>
      </c>
      <c r="B7096" s="31"/>
      <c r="C7096" s="2" t="s">
        <v>855</v>
      </c>
      <c r="D7096" s="31">
        <f t="shared" si="204"/>
        <v>1.8146844627750205E-2</v>
      </c>
      <c r="F7096" s="2" t="s">
        <v>822</v>
      </c>
      <c r="G7096" s="23" t="s">
        <v>902</v>
      </c>
      <c r="H7096" s="2" t="s">
        <v>822</v>
      </c>
      <c r="J7096" s="31">
        <v>69.723602299999996</v>
      </c>
      <c r="K7096" s="31">
        <v>48.287998199999997</v>
      </c>
      <c r="L7096" s="31"/>
      <c r="M7096" s="31" t="s">
        <v>854</v>
      </c>
      <c r="N7096" s="6" t="s">
        <v>856</v>
      </c>
    </row>
    <row r="7097" spans="1:14" ht="15" customHeight="1" x14ac:dyDescent="0.2">
      <c r="A7097" s="31">
        <v>9.2577419731801655E-2</v>
      </c>
      <c r="B7097" s="31"/>
      <c r="C7097" s="2" t="s">
        <v>855</v>
      </c>
      <c r="D7097" s="31">
        <f t="shared" si="204"/>
        <v>1.8145174267433124E-2</v>
      </c>
      <c r="F7097" s="2" t="s">
        <v>822</v>
      </c>
      <c r="G7097" s="23" t="s">
        <v>902</v>
      </c>
      <c r="H7097" s="2" t="s">
        <v>822</v>
      </c>
      <c r="J7097" s="31">
        <v>68.791999799999999</v>
      </c>
      <c r="K7097" s="31">
        <v>6.2039999999999997</v>
      </c>
      <c r="L7097" s="31"/>
      <c r="M7097" s="31" t="s">
        <v>854</v>
      </c>
      <c r="N7097" s="6" t="s">
        <v>856</v>
      </c>
    </row>
    <row r="7098" spans="1:14" ht="15" customHeight="1" x14ac:dyDescent="0.2">
      <c r="A7098" s="31">
        <v>9.2518111112987703E-2</v>
      </c>
      <c r="B7098" s="31"/>
      <c r="C7098" s="2" t="s">
        <v>855</v>
      </c>
      <c r="D7098" s="31">
        <f t="shared" si="204"/>
        <v>1.8133549778145592E-2</v>
      </c>
      <c r="F7098" s="2" t="s">
        <v>822</v>
      </c>
      <c r="G7098" s="23" t="s">
        <v>902</v>
      </c>
      <c r="H7098" s="2" t="s">
        <v>822</v>
      </c>
      <c r="J7098" s="31">
        <v>65.452003500000004</v>
      </c>
      <c r="K7098" s="31">
        <v>2.1960001</v>
      </c>
      <c r="L7098" s="31"/>
      <c r="M7098" s="31" t="s">
        <v>854</v>
      </c>
      <c r="N7098" s="6" t="s">
        <v>856</v>
      </c>
    </row>
    <row r="7099" spans="1:14" ht="15" customHeight="1" x14ac:dyDescent="0.2">
      <c r="A7099" s="31">
        <v>9.244413312882023E-2</v>
      </c>
      <c r="B7099" s="31"/>
      <c r="C7099" s="2" t="s">
        <v>855</v>
      </c>
      <c r="D7099" s="31">
        <f t="shared" si="204"/>
        <v>1.8119050093248767E-2</v>
      </c>
      <c r="F7099" s="2" t="s">
        <v>822</v>
      </c>
      <c r="G7099" s="23" t="s">
        <v>902</v>
      </c>
      <c r="H7099" s="2" t="s">
        <v>822</v>
      </c>
      <c r="J7099" s="31">
        <v>62.960498800000003</v>
      </c>
      <c r="K7099" s="31">
        <v>7.5265899000000003</v>
      </c>
      <c r="L7099" s="31"/>
      <c r="M7099" s="31" t="s">
        <v>854</v>
      </c>
      <c r="N7099" s="6" t="s">
        <v>856</v>
      </c>
    </row>
    <row r="7100" spans="1:14" ht="15" customHeight="1" x14ac:dyDescent="0.2">
      <c r="A7100" s="31">
        <v>9.2420286818703026E-2</v>
      </c>
      <c r="B7100" s="31"/>
      <c r="C7100" s="2" t="s">
        <v>855</v>
      </c>
      <c r="D7100" s="31">
        <f t="shared" si="204"/>
        <v>1.8114376216465795E-2</v>
      </c>
      <c r="F7100" s="2" t="s">
        <v>822</v>
      </c>
      <c r="G7100" s="23" t="s">
        <v>902</v>
      </c>
      <c r="H7100" s="2" t="s">
        <v>822</v>
      </c>
      <c r="J7100" s="31">
        <v>62.779998800000001</v>
      </c>
      <c r="K7100" s="31">
        <v>-36.548000299999998</v>
      </c>
      <c r="L7100" s="31"/>
      <c r="M7100" s="31" t="s">
        <v>854</v>
      </c>
      <c r="N7100" s="6" t="s">
        <v>856</v>
      </c>
    </row>
    <row r="7101" spans="1:14" ht="15" customHeight="1" x14ac:dyDescent="0.2">
      <c r="A7101" s="31">
        <v>9.2109451416765478E-2</v>
      </c>
      <c r="B7101" s="31"/>
      <c r="C7101" s="2" t="s">
        <v>855</v>
      </c>
      <c r="D7101" s="31">
        <f t="shared" si="204"/>
        <v>1.8053452477686034E-2</v>
      </c>
      <c r="F7101" s="2" t="s">
        <v>822</v>
      </c>
      <c r="G7101" s="23" t="s">
        <v>902</v>
      </c>
      <c r="H7101" s="2" t="s">
        <v>822</v>
      </c>
      <c r="J7101" s="31">
        <v>63.448001900000001</v>
      </c>
      <c r="K7101" s="31">
        <v>-7.1560001</v>
      </c>
      <c r="L7101" s="31"/>
      <c r="M7101" s="31" t="s">
        <v>854</v>
      </c>
      <c r="N7101" s="6" t="s">
        <v>856</v>
      </c>
    </row>
    <row r="7102" spans="1:14" ht="15" customHeight="1" x14ac:dyDescent="0.2">
      <c r="A7102" s="31">
        <v>9.2076411961910715E-2</v>
      </c>
      <c r="B7102" s="31"/>
      <c r="C7102" s="2" t="s">
        <v>855</v>
      </c>
      <c r="D7102" s="31">
        <f t="shared" si="204"/>
        <v>1.8046976744534499E-2</v>
      </c>
      <c r="F7102" s="2" t="s">
        <v>822</v>
      </c>
      <c r="G7102" s="23" t="s">
        <v>902</v>
      </c>
      <c r="H7102" s="2" t="s">
        <v>822</v>
      </c>
      <c r="J7102" s="31">
        <v>63.374099700000002</v>
      </c>
      <c r="K7102" s="31">
        <v>-35.248798399999998</v>
      </c>
      <c r="L7102" s="31"/>
      <c r="M7102" s="31" t="s">
        <v>854</v>
      </c>
      <c r="N7102" s="6" t="s">
        <v>856</v>
      </c>
    </row>
    <row r="7103" spans="1:14" ht="15" customHeight="1" x14ac:dyDescent="0.2">
      <c r="A7103" s="31">
        <v>9.1745656480299226E-2</v>
      </c>
      <c r="B7103" s="31"/>
      <c r="C7103" s="2" t="s">
        <v>855</v>
      </c>
      <c r="D7103" s="31">
        <f t="shared" si="204"/>
        <v>1.7982148670138649E-2</v>
      </c>
      <c r="F7103" s="2" t="s">
        <v>822</v>
      </c>
      <c r="G7103" s="23" t="s">
        <v>902</v>
      </c>
      <c r="H7103" s="2" t="s">
        <v>822</v>
      </c>
      <c r="J7103" s="31">
        <v>64.783996599999995</v>
      </c>
      <c r="K7103" s="31">
        <v>2.8640001000000002</v>
      </c>
      <c r="L7103" s="31"/>
      <c r="M7103" s="31" t="s">
        <v>854</v>
      </c>
      <c r="N7103" s="6" t="s">
        <v>856</v>
      </c>
    </row>
    <row r="7104" spans="1:14" ht="15" customHeight="1" x14ac:dyDescent="0.2">
      <c r="A7104" s="31">
        <v>9.1647403395060723E-2</v>
      </c>
      <c r="B7104" s="31"/>
      <c r="C7104" s="2" t="s">
        <v>855</v>
      </c>
      <c r="D7104" s="31">
        <f t="shared" ref="D7104:D7167" si="205" xml:space="preserve"> A7104 * 0.196</f>
        <v>1.7962891065431901E-2</v>
      </c>
      <c r="F7104" s="2" t="s">
        <v>822</v>
      </c>
      <c r="G7104" s="23" t="s">
        <v>902</v>
      </c>
      <c r="H7104" s="2" t="s">
        <v>822</v>
      </c>
      <c r="J7104" s="31">
        <v>70.805999799999995</v>
      </c>
      <c r="K7104" s="31">
        <v>18.138999900000002</v>
      </c>
      <c r="L7104" s="31"/>
      <c r="M7104" s="31" t="s">
        <v>854</v>
      </c>
      <c r="N7104" s="6" t="s">
        <v>856</v>
      </c>
    </row>
    <row r="7105" spans="1:14" ht="15" customHeight="1" x14ac:dyDescent="0.2">
      <c r="A7105" s="31">
        <v>9.153004274171242E-2</v>
      </c>
      <c r="B7105" s="31"/>
      <c r="C7105" s="2" t="s">
        <v>855</v>
      </c>
      <c r="D7105" s="31">
        <f t="shared" si="205"/>
        <v>1.7939888377375635E-2</v>
      </c>
      <c r="F7105" s="2" t="s">
        <v>822</v>
      </c>
      <c r="G7105" s="23" t="s">
        <v>902</v>
      </c>
      <c r="H7105" s="2" t="s">
        <v>822</v>
      </c>
      <c r="J7105" s="31">
        <v>67.456001299999997</v>
      </c>
      <c r="K7105" s="31">
        <v>5.5359997999999999</v>
      </c>
      <c r="L7105" s="31"/>
      <c r="M7105" s="31" t="s">
        <v>854</v>
      </c>
      <c r="N7105" s="6" t="s">
        <v>856</v>
      </c>
    </row>
    <row r="7106" spans="1:14" ht="15" customHeight="1" x14ac:dyDescent="0.2">
      <c r="A7106" s="31">
        <v>9.1505332260869543E-2</v>
      </c>
      <c r="B7106" s="31"/>
      <c r="C7106" s="2" t="s">
        <v>855</v>
      </c>
      <c r="D7106" s="31">
        <f t="shared" si="205"/>
        <v>1.793504512313043E-2</v>
      </c>
      <c r="F7106" s="2" t="s">
        <v>822</v>
      </c>
      <c r="G7106" s="23" t="s">
        <v>902</v>
      </c>
      <c r="H7106" s="2" t="s">
        <v>822</v>
      </c>
      <c r="J7106" s="31">
        <v>70.098602299999996</v>
      </c>
      <c r="K7106" s="31">
        <v>17.356800100000001</v>
      </c>
      <c r="L7106" s="31"/>
      <c r="M7106" s="31" t="s">
        <v>854</v>
      </c>
      <c r="N7106" s="6" t="s">
        <v>856</v>
      </c>
    </row>
    <row r="7107" spans="1:14" ht="15" customHeight="1" x14ac:dyDescent="0.2">
      <c r="A7107" s="31">
        <v>9.1440236115120463E-2</v>
      </c>
      <c r="B7107" s="31"/>
      <c r="C7107" s="2" t="s">
        <v>855</v>
      </c>
      <c r="D7107" s="31">
        <f t="shared" si="205"/>
        <v>1.7922286278563612E-2</v>
      </c>
      <c r="F7107" s="2" t="s">
        <v>822</v>
      </c>
      <c r="G7107" s="23" t="s">
        <v>902</v>
      </c>
      <c r="H7107" s="2" t="s">
        <v>822</v>
      </c>
      <c r="J7107" s="31">
        <v>64.115997300000004</v>
      </c>
      <c r="K7107" s="31">
        <v>-5.8200002</v>
      </c>
      <c r="L7107" s="31"/>
      <c r="M7107" s="31" t="s">
        <v>854</v>
      </c>
      <c r="N7107" s="6" t="s">
        <v>856</v>
      </c>
    </row>
    <row r="7108" spans="1:14" ht="15" customHeight="1" x14ac:dyDescent="0.2">
      <c r="A7108" s="31">
        <v>9.1381481713515372E-2</v>
      </c>
      <c r="B7108" s="31"/>
      <c r="C7108" s="2" t="s">
        <v>855</v>
      </c>
      <c r="D7108" s="31">
        <f t="shared" si="205"/>
        <v>1.7910770415849014E-2</v>
      </c>
      <c r="F7108" s="2" t="s">
        <v>822</v>
      </c>
      <c r="G7108" s="23" t="s">
        <v>902</v>
      </c>
      <c r="H7108" s="2" t="s">
        <v>822</v>
      </c>
      <c r="J7108" s="31">
        <v>70.795997600000007</v>
      </c>
      <c r="K7108" s="31">
        <v>7.54</v>
      </c>
      <c r="L7108" s="31"/>
      <c r="M7108" s="31" t="s">
        <v>854</v>
      </c>
      <c r="N7108" s="6" t="s">
        <v>856</v>
      </c>
    </row>
    <row r="7109" spans="1:14" ht="15" customHeight="1" x14ac:dyDescent="0.2">
      <c r="A7109" s="31">
        <v>9.1300405163192211E-2</v>
      </c>
      <c r="B7109" s="31"/>
      <c r="C7109" s="2" t="s">
        <v>855</v>
      </c>
      <c r="D7109" s="31">
        <f t="shared" si="205"/>
        <v>1.7894879411985674E-2</v>
      </c>
      <c r="F7109" s="2" t="s">
        <v>822</v>
      </c>
      <c r="G7109" s="23" t="s">
        <v>902</v>
      </c>
      <c r="H7109" s="2" t="s">
        <v>822</v>
      </c>
      <c r="J7109" s="31">
        <v>70.127098099999998</v>
      </c>
      <c r="K7109" s="31">
        <v>48.286998699999998</v>
      </c>
      <c r="L7109" s="31"/>
      <c r="M7109" s="31" t="s">
        <v>854</v>
      </c>
      <c r="N7109" s="6" t="s">
        <v>856</v>
      </c>
    </row>
    <row r="7110" spans="1:14" ht="15" customHeight="1" x14ac:dyDescent="0.2">
      <c r="A7110" s="31">
        <v>9.1193792088583872E-2</v>
      </c>
      <c r="B7110" s="31"/>
      <c r="C7110" s="2" t="s">
        <v>855</v>
      </c>
      <c r="D7110" s="31">
        <f t="shared" si="205"/>
        <v>1.787398324936244E-2</v>
      </c>
      <c r="F7110" s="2" t="s">
        <v>822</v>
      </c>
      <c r="G7110" s="23" t="s">
        <v>902</v>
      </c>
      <c r="H7110" s="2" t="s">
        <v>822</v>
      </c>
      <c r="J7110" s="31">
        <v>70.127998399999996</v>
      </c>
      <c r="K7110" s="31">
        <v>0.86</v>
      </c>
      <c r="L7110" s="31"/>
      <c r="M7110" s="31" t="s">
        <v>854</v>
      </c>
      <c r="N7110" s="6" t="s">
        <v>856</v>
      </c>
    </row>
    <row r="7111" spans="1:14" ht="15" customHeight="1" x14ac:dyDescent="0.2">
      <c r="A7111" s="31">
        <v>9.1061509663118073E-2</v>
      </c>
      <c r="B7111" s="31"/>
      <c r="C7111" s="2" t="s">
        <v>855</v>
      </c>
      <c r="D7111" s="31">
        <f t="shared" si="205"/>
        <v>1.7848055893971142E-2</v>
      </c>
      <c r="F7111" s="2" t="s">
        <v>822</v>
      </c>
      <c r="G7111" s="23" t="s">
        <v>902</v>
      </c>
      <c r="H7111" s="2" t="s">
        <v>822</v>
      </c>
      <c r="J7111" s="31">
        <v>66.1348038</v>
      </c>
      <c r="K7111" s="31">
        <v>-18.429099999999998</v>
      </c>
      <c r="L7111" s="31"/>
      <c r="M7111" s="31" t="s">
        <v>854</v>
      </c>
      <c r="N7111" s="6" t="s">
        <v>856</v>
      </c>
    </row>
    <row r="7112" spans="1:14" ht="15" customHeight="1" x14ac:dyDescent="0.2">
      <c r="A7112" s="31">
        <v>9.0714992627464922E-2</v>
      </c>
      <c r="B7112" s="31"/>
      <c r="C7112" s="2" t="s">
        <v>855</v>
      </c>
      <c r="D7112" s="31">
        <f t="shared" si="205"/>
        <v>1.7780138554983126E-2</v>
      </c>
      <c r="F7112" s="2" t="s">
        <v>822</v>
      </c>
      <c r="G7112" s="23" t="s">
        <v>902</v>
      </c>
      <c r="H7112" s="2" t="s">
        <v>822</v>
      </c>
      <c r="J7112" s="31">
        <v>70.127998399999996</v>
      </c>
      <c r="K7112" s="31">
        <v>8.8760004000000006</v>
      </c>
      <c r="L7112" s="31"/>
      <c r="M7112" s="31" t="s">
        <v>854</v>
      </c>
      <c r="N7112" s="6" t="s">
        <v>856</v>
      </c>
    </row>
    <row r="7113" spans="1:14" ht="15" customHeight="1" x14ac:dyDescent="0.2">
      <c r="A7113" s="31">
        <v>9.0663305337339697E-2</v>
      </c>
      <c r="B7113" s="31"/>
      <c r="C7113" s="2" t="s">
        <v>855</v>
      </c>
      <c r="D7113" s="31">
        <f t="shared" si="205"/>
        <v>1.7770007846118582E-2</v>
      </c>
      <c r="F7113" s="2" t="s">
        <v>822</v>
      </c>
      <c r="G7113" s="23" t="s">
        <v>902</v>
      </c>
      <c r="H7113" s="2" t="s">
        <v>822</v>
      </c>
      <c r="J7113" s="31">
        <v>65.726600599999998</v>
      </c>
      <c r="K7113" s="31">
        <v>9.4022503000000004</v>
      </c>
      <c r="L7113" s="31"/>
      <c r="M7113" s="31" t="s">
        <v>854</v>
      </c>
      <c r="N7113" s="6" t="s">
        <v>856</v>
      </c>
    </row>
    <row r="7114" spans="1:14" ht="15" customHeight="1" x14ac:dyDescent="0.2">
      <c r="A7114" s="31">
        <v>9.0616965956829262E-2</v>
      </c>
      <c r="B7114" s="31"/>
      <c r="C7114" s="2" t="s">
        <v>855</v>
      </c>
      <c r="D7114" s="31">
        <f t="shared" si="205"/>
        <v>1.7760925327538535E-2</v>
      </c>
      <c r="F7114" s="2" t="s">
        <v>822</v>
      </c>
      <c r="G7114" s="23" t="s">
        <v>902</v>
      </c>
      <c r="H7114" s="2" t="s">
        <v>822</v>
      </c>
      <c r="J7114" s="31">
        <v>72.800003099999998</v>
      </c>
      <c r="K7114" s="31">
        <v>28.247999199999999</v>
      </c>
      <c r="L7114" s="31"/>
      <c r="M7114" s="31" t="s">
        <v>854</v>
      </c>
      <c r="N7114" s="6" t="s">
        <v>856</v>
      </c>
    </row>
    <row r="7115" spans="1:14" ht="15" customHeight="1" x14ac:dyDescent="0.2">
      <c r="A7115" s="31">
        <v>9.05654341739872E-2</v>
      </c>
      <c r="B7115" s="31"/>
      <c r="C7115" s="2" t="s">
        <v>855</v>
      </c>
      <c r="D7115" s="31">
        <f t="shared" si="205"/>
        <v>1.7750825098101494E-2</v>
      </c>
      <c r="F7115" s="2" t="s">
        <v>822</v>
      </c>
      <c r="G7115" s="23" t="s">
        <v>902</v>
      </c>
      <c r="H7115" s="2" t="s">
        <v>822</v>
      </c>
      <c r="J7115" s="31">
        <v>69.460601800000006</v>
      </c>
      <c r="K7115" s="31">
        <v>-0.47663100000000003</v>
      </c>
      <c r="L7115" s="31"/>
      <c r="M7115" s="31" t="s">
        <v>854</v>
      </c>
      <c r="N7115" s="6" t="s">
        <v>856</v>
      </c>
    </row>
    <row r="7116" spans="1:14" ht="15" customHeight="1" x14ac:dyDescent="0.2">
      <c r="A7116" s="31">
        <v>9.0337500822989664E-2</v>
      </c>
      <c r="B7116" s="31"/>
      <c r="C7116" s="2" t="s">
        <v>855</v>
      </c>
      <c r="D7116" s="31">
        <f t="shared" si="205"/>
        <v>1.7706150161305976E-2</v>
      </c>
      <c r="F7116" s="2" t="s">
        <v>822</v>
      </c>
      <c r="G7116" s="23" t="s">
        <v>902</v>
      </c>
      <c r="H7116" s="2" t="s">
        <v>822</v>
      </c>
      <c r="J7116" s="31">
        <v>64.115997300000004</v>
      </c>
      <c r="K7116" s="31">
        <v>-5.1520000000000001</v>
      </c>
      <c r="L7116" s="31"/>
      <c r="M7116" s="31" t="s">
        <v>854</v>
      </c>
      <c r="N7116" s="6" t="s">
        <v>856</v>
      </c>
    </row>
    <row r="7117" spans="1:14" ht="15" customHeight="1" x14ac:dyDescent="0.2">
      <c r="A7117" s="31">
        <v>9.0315940154771956E-2</v>
      </c>
      <c r="B7117" s="31"/>
      <c r="C7117" s="2" t="s">
        <v>855</v>
      </c>
      <c r="D7117" s="31">
        <f t="shared" si="205"/>
        <v>1.7701924270335304E-2</v>
      </c>
      <c r="F7117" s="2" t="s">
        <v>822</v>
      </c>
      <c r="G7117" s="23" t="s">
        <v>902</v>
      </c>
      <c r="H7117" s="2" t="s">
        <v>822</v>
      </c>
      <c r="J7117" s="31">
        <v>74.1360016</v>
      </c>
      <c r="K7117" s="31">
        <v>11.5480003</v>
      </c>
      <c r="L7117" s="31"/>
      <c r="M7117" s="31" t="s">
        <v>854</v>
      </c>
      <c r="N7117" s="6" t="s">
        <v>856</v>
      </c>
    </row>
    <row r="7118" spans="1:14" ht="15" customHeight="1" x14ac:dyDescent="0.2">
      <c r="A7118" s="31">
        <v>9.0293852338969957E-2</v>
      </c>
      <c r="B7118" s="31"/>
      <c r="C7118" s="2" t="s">
        <v>855</v>
      </c>
      <c r="D7118" s="31">
        <f t="shared" si="205"/>
        <v>1.7697595058438112E-2</v>
      </c>
      <c r="F7118" s="2" t="s">
        <v>822</v>
      </c>
      <c r="G7118" s="23" t="s">
        <v>902</v>
      </c>
      <c r="H7118" s="2" t="s">
        <v>822</v>
      </c>
      <c r="J7118" s="31">
        <v>67.456001299999997</v>
      </c>
      <c r="K7118" s="31">
        <v>6.8720001999999996</v>
      </c>
      <c r="L7118" s="31"/>
      <c r="M7118" s="31" t="s">
        <v>854</v>
      </c>
      <c r="N7118" s="6" t="s">
        <v>856</v>
      </c>
    </row>
    <row r="7119" spans="1:14" ht="15" customHeight="1" x14ac:dyDescent="0.2">
      <c r="A7119" s="31">
        <v>9.0156154902419405E-2</v>
      </c>
      <c r="B7119" s="31"/>
      <c r="C7119" s="2" t="s">
        <v>855</v>
      </c>
      <c r="D7119" s="31">
        <f t="shared" si="205"/>
        <v>1.7670606360874204E-2</v>
      </c>
      <c r="F7119" s="2" t="s">
        <v>822</v>
      </c>
      <c r="G7119" s="23" t="s">
        <v>902</v>
      </c>
      <c r="H7119" s="2" t="s">
        <v>822</v>
      </c>
      <c r="J7119" s="31">
        <v>72.132003800000007</v>
      </c>
      <c r="K7119" s="31">
        <v>23.572000500000001</v>
      </c>
      <c r="L7119" s="31"/>
      <c r="M7119" s="31" t="s">
        <v>854</v>
      </c>
      <c r="N7119" s="6" t="s">
        <v>856</v>
      </c>
    </row>
    <row r="7120" spans="1:14" ht="15" customHeight="1" x14ac:dyDescent="0.2">
      <c r="A7120" s="31">
        <v>8.9962352548431934E-2</v>
      </c>
      <c r="B7120" s="31"/>
      <c r="C7120" s="2" t="s">
        <v>855</v>
      </c>
      <c r="D7120" s="31">
        <f t="shared" si="205"/>
        <v>1.7632621099492658E-2</v>
      </c>
      <c r="F7120" s="2" t="s">
        <v>822</v>
      </c>
      <c r="G7120" s="23" t="s">
        <v>902</v>
      </c>
      <c r="H7120" s="2" t="s">
        <v>822</v>
      </c>
      <c r="J7120" s="31">
        <v>65.8467026</v>
      </c>
      <c r="K7120" s="31">
        <v>-23.981599800000001</v>
      </c>
      <c r="L7120" s="31"/>
      <c r="M7120" s="31" t="s">
        <v>854</v>
      </c>
      <c r="N7120" s="6" t="s">
        <v>856</v>
      </c>
    </row>
    <row r="7121" spans="1:14" ht="15" customHeight="1" x14ac:dyDescent="0.2">
      <c r="A7121" s="31">
        <v>8.9929795551262487E-2</v>
      </c>
      <c r="B7121" s="31"/>
      <c r="C7121" s="2" t="s">
        <v>855</v>
      </c>
      <c r="D7121" s="31">
        <f t="shared" si="205"/>
        <v>1.762623992804745E-2</v>
      </c>
      <c r="F7121" s="2" t="s">
        <v>822</v>
      </c>
      <c r="G7121" s="23" t="s">
        <v>902</v>
      </c>
      <c r="H7121" s="2" t="s">
        <v>822</v>
      </c>
      <c r="J7121" s="31">
        <v>66.913497899999996</v>
      </c>
      <c r="K7121" s="31">
        <v>13.453200300000001</v>
      </c>
      <c r="L7121" s="31"/>
      <c r="M7121" s="31" t="s">
        <v>854</v>
      </c>
      <c r="N7121" s="6" t="s">
        <v>856</v>
      </c>
    </row>
    <row r="7122" spans="1:14" ht="15" customHeight="1" x14ac:dyDescent="0.2">
      <c r="A7122" s="31">
        <v>8.9619853807871575E-2</v>
      </c>
      <c r="B7122" s="31"/>
      <c r="C7122" s="2" t="s">
        <v>855</v>
      </c>
      <c r="D7122" s="31">
        <f t="shared" si="205"/>
        <v>1.7565491346342828E-2</v>
      </c>
      <c r="F7122" s="2" t="s">
        <v>822</v>
      </c>
      <c r="G7122" s="23" t="s">
        <v>902</v>
      </c>
      <c r="H7122" s="2" t="s">
        <v>822</v>
      </c>
      <c r="J7122" s="31">
        <v>72.132003800000007</v>
      </c>
      <c r="K7122" s="31">
        <v>10.2119999</v>
      </c>
      <c r="L7122" s="31"/>
      <c r="M7122" s="31" t="s">
        <v>854</v>
      </c>
      <c r="N7122" s="6" t="s">
        <v>856</v>
      </c>
    </row>
    <row r="7123" spans="1:14" ht="15" customHeight="1" x14ac:dyDescent="0.2">
      <c r="A7123" s="31">
        <v>8.9552521850880876E-2</v>
      </c>
      <c r="B7123" s="31"/>
      <c r="C7123" s="2" t="s">
        <v>855</v>
      </c>
      <c r="D7123" s="31">
        <f t="shared" si="205"/>
        <v>1.7552294282772652E-2</v>
      </c>
      <c r="F7123" s="2" t="s">
        <v>822</v>
      </c>
      <c r="G7123" s="23" t="s">
        <v>902</v>
      </c>
      <c r="H7123" s="2" t="s">
        <v>822</v>
      </c>
      <c r="J7123" s="31">
        <v>70.795997600000007</v>
      </c>
      <c r="K7123" s="31">
        <v>10.8800001</v>
      </c>
      <c r="L7123" s="31"/>
      <c r="M7123" s="31" t="s">
        <v>854</v>
      </c>
      <c r="N7123" s="6" t="s">
        <v>856</v>
      </c>
    </row>
    <row r="7124" spans="1:14" ht="15" customHeight="1" x14ac:dyDescent="0.2">
      <c r="A7124" s="31">
        <v>8.9516080270590992E-2</v>
      </c>
      <c r="B7124" s="31"/>
      <c r="C7124" s="2" t="s">
        <v>855</v>
      </c>
      <c r="D7124" s="31">
        <f t="shared" si="205"/>
        <v>1.7545151733035835E-2</v>
      </c>
      <c r="F7124" s="2" t="s">
        <v>822</v>
      </c>
      <c r="G7124" s="23" t="s">
        <v>902</v>
      </c>
      <c r="H7124" s="2" t="s">
        <v>822</v>
      </c>
      <c r="J7124" s="31">
        <v>71.463996899999998</v>
      </c>
      <c r="K7124" s="31">
        <v>24.908000900000001</v>
      </c>
      <c r="L7124" s="31"/>
      <c r="M7124" s="31" t="s">
        <v>854</v>
      </c>
      <c r="N7124" s="6" t="s">
        <v>856</v>
      </c>
    </row>
    <row r="7125" spans="1:14" ht="15" customHeight="1" x14ac:dyDescent="0.2">
      <c r="A7125" s="31">
        <v>8.9499851960350249E-2</v>
      </c>
      <c r="B7125" s="31"/>
      <c r="C7125" s="2" t="s">
        <v>855</v>
      </c>
      <c r="D7125" s="31">
        <f t="shared" si="205"/>
        <v>1.754197098422865E-2</v>
      </c>
      <c r="F7125" s="2" t="s">
        <v>822</v>
      </c>
      <c r="G7125" s="23" t="s">
        <v>902</v>
      </c>
      <c r="H7125" s="2" t="s">
        <v>822</v>
      </c>
      <c r="J7125" s="31">
        <v>68.791999799999999</v>
      </c>
      <c r="K7125" s="31">
        <v>6.8720001999999996</v>
      </c>
      <c r="L7125" s="31"/>
      <c r="M7125" s="31" t="s">
        <v>854</v>
      </c>
      <c r="N7125" s="6" t="s">
        <v>856</v>
      </c>
    </row>
    <row r="7126" spans="1:14" ht="15" customHeight="1" x14ac:dyDescent="0.2">
      <c r="A7126" s="31">
        <v>8.9400573099426506E-2</v>
      </c>
      <c r="B7126" s="31"/>
      <c r="C7126" s="2" t="s">
        <v>855</v>
      </c>
      <c r="D7126" s="31">
        <f t="shared" si="205"/>
        <v>1.7522512327487597E-2</v>
      </c>
      <c r="F7126" s="2" t="s">
        <v>822</v>
      </c>
      <c r="G7126" s="23" t="s">
        <v>902</v>
      </c>
      <c r="H7126" s="2" t="s">
        <v>822</v>
      </c>
      <c r="J7126" s="31">
        <v>70.127998399999996</v>
      </c>
      <c r="K7126" s="31">
        <v>5.5359997999999999</v>
      </c>
      <c r="L7126" s="31"/>
      <c r="M7126" s="31" t="s">
        <v>854</v>
      </c>
      <c r="N7126" s="6" t="s">
        <v>856</v>
      </c>
    </row>
    <row r="7127" spans="1:14" ht="15" customHeight="1" x14ac:dyDescent="0.2">
      <c r="A7127" s="31">
        <v>8.9273559458948021E-2</v>
      </c>
      <c r="B7127" s="31"/>
      <c r="C7127" s="2" t="s">
        <v>855</v>
      </c>
      <c r="D7127" s="31">
        <f t="shared" si="205"/>
        <v>1.7497617653953811E-2</v>
      </c>
      <c r="F7127" s="2" t="s">
        <v>822</v>
      </c>
      <c r="G7127" s="23" t="s">
        <v>902</v>
      </c>
      <c r="H7127" s="2" t="s">
        <v>822</v>
      </c>
      <c r="J7127" s="31">
        <v>67.262603799999994</v>
      </c>
      <c r="K7127" s="31">
        <v>12.8839998</v>
      </c>
      <c r="L7127" s="31"/>
      <c r="M7127" s="31" t="s">
        <v>854</v>
      </c>
      <c r="N7127" s="6" t="s">
        <v>856</v>
      </c>
    </row>
    <row r="7128" spans="1:14" ht="15" customHeight="1" x14ac:dyDescent="0.2">
      <c r="A7128" s="31">
        <v>8.9202420696637141E-2</v>
      </c>
      <c r="B7128" s="31"/>
      <c r="C7128" s="2" t="s">
        <v>855</v>
      </c>
      <c r="D7128" s="31">
        <f t="shared" si="205"/>
        <v>1.7483674456540879E-2</v>
      </c>
      <c r="F7128" s="2" t="s">
        <v>822</v>
      </c>
      <c r="G7128" s="23" t="s">
        <v>902</v>
      </c>
      <c r="H7128" s="2" t="s">
        <v>822</v>
      </c>
      <c r="J7128" s="31">
        <v>62.779998800000001</v>
      </c>
      <c r="K7128" s="31">
        <v>-5.1520000000000001</v>
      </c>
      <c r="L7128" s="31"/>
      <c r="M7128" s="31" t="s">
        <v>854</v>
      </c>
      <c r="N7128" s="6" t="s">
        <v>856</v>
      </c>
    </row>
    <row r="7129" spans="1:14" ht="15" customHeight="1" x14ac:dyDescent="0.2">
      <c r="A7129" s="31">
        <v>8.9196385462739419E-2</v>
      </c>
      <c r="B7129" s="31"/>
      <c r="C7129" s="2" t="s">
        <v>855</v>
      </c>
      <c r="D7129" s="31">
        <f t="shared" si="205"/>
        <v>1.7482491550696928E-2</v>
      </c>
      <c r="F7129" s="2" t="s">
        <v>822</v>
      </c>
      <c r="G7129" s="23" t="s">
        <v>902</v>
      </c>
      <c r="H7129" s="2" t="s">
        <v>822</v>
      </c>
      <c r="J7129" s="31">
        <v>67.959999100000005</v>
      </c>
      <c r="K7129" s="31">
        <v>12.064000099999999</v>
      </c>
      <c r="L7129" s="31"/>
      <c r="M7129" s="31" t="s">
        <v>854</v>
      </c>
      <c r="N7129" s="6" t="s">
        <v>856</v>
      </c>
    </row>
    <row r="7130" spans="1:14" ht="15" customHeight="1" x14ac:dyDescent="0.2">
      <c r="A7130" s="31">
        <v>8.9187593458317629E-2</v>
      </c>
      <c r="B7130" s="31"/>
      <c r="C7130" s="2" t="s">
        <v>855</v>
      </c>
      <c r="D7130" s="31">
        <f t="shared" si="205"/>
        <v>1.7480768317830256E-2</v>
      </c>
      <c r="F7130" s="2" t="s">
        <v>822</v>
      </c>
      <c r="G7130" s="23" t="s">
        <v>902</v>
      </c>
      <c r="H7130" s="2" t="s">
        <v>822</v>
      </c>
      <c r="J7130" s="31">
        <v>75.281997700000005</v>
      </c>
      <c r="K7130" s="31">
        <v>10.8772001</v>
      </c>
      <c r="L7130" s="31"/>
      <c r="M7130" s="31" t="s">
        <v>854</v>
      </c>
      <c r="N7130" s="6" t="s">
        <v>856</v>
      </c>
    </row>
    <row r="7131" spans="1:14" ht="15" customHeight="1" x14ac:dyDescent="0.2">
      <c r="A7131" s="31">
        <v>8.9036091117341495E-2</v>
      </c>
      <c r="B7131" s="31"/>
      <c r="C7131" s="2" t="s">
        <v>855</v>
      </c>
      <c r="D7131" s="31">
        <f t="shared" si="205"/>
        <v>1.7451073858998935E-2</v>
      </c>
      <c r="F7131" s="2" t="s">
        <v>822</v>
      </c>
      <c r="G7131" s="23" t="s">
        <v>902</v>
      </c>
      <c r="H7131" s="2" t="s">
        <v>822</v>
      </c>
      <c r="J7131" s="31">
        <v>68.124000499999994</v>
      </c>
      <c r="K7131" s="31">
        <v>-12.5</v>
      </c>
      <c r="L7131" s="31"/>
      <c r="M7131" s="31" t="s">
        <v>854</v>
      </c>
      <c r="N7131" s="6" t="s">
        <v>856</v>
      </c>
    </row>
    <row r="7132" spans="1:14" ht="15" customHeight="1" x14ac:dyDescent="0.2">
      <c r="A7132" s="31">
        <v>8.8939463804951144E-2</v>
      </c>
      <c r="B7132" s="31"/>
      <c r="C7132" s="2" t="s">
        <v>855</v>
      </c>
      <c r="D7132" s="31">
        <f t="shared" si="205"/>
        <v>1.7432134905770426E-2</v>
      </c>
      <c r="F7132" s="2" t="s">
        <v>822</v>
      </c>
      <c r="G7132" s="23" t="s">
        <v>902</v>
      </c>
      <c r="H7132" s="2" t="s">
        <v>822</v>
      </c>
      <c r="J7132" s="31">
        <v>52.759998299999999</v>
      </c>
      <c r="K7132" s="31">
        <v>-37.883998900000002</v>
      </c>
      <c r="L7132" s="31"/>
      <c r="M7132" s="31" t="s">
        <v>854</v>
      </c>
      <c r="N7132" s="6" t="s">
        <v>856</v>
      </c>
    </row>
    <row r="7133" spans="1:14" ht="15" customHeight="1" x14ac:dyDescent="0.2">
      <c r="A7133" s="31">
        <v>8.8531074983639907E-2</v>
      </c>
      <c r="B7133" s="31"/>
      <c r="C7133" s="2" t="s">
        <v>855</v>
      </c>
      <c r="D7133" s="31">
        <f t="shared" si="205"/>
        <v>1.7352090696793422E-2</v>
      </c>
      <c r="F7133" s="2" t="s">
        <v>822</v>
      </c>
      <c r="G7133" s="23" t="s">
        <v>902</v>
      </c>
      <c r="H7133" s="2" t="s">
        <v>822</v>
      </c>
      <c r="J7133" s="31">
        <v>69.459999100000005</v>
      </c>
      <c r="K7133" s="31">
        <v>-4.4127001999999997</v>
      </c>
      <c r="L7133" s="31"/>
      <c r="M7133" s="31" t="s">
        <v>854</v>
      </c>
      <c r="N7133" s="6" t="s">
        <v>856</v>
      </c>
    </row>
    <row r="7134" spans="1:14" ht="15" customHeight="1" x14ac:dyDescent="0.2">
      <c r="A7134" s="31">
        <v>8.8465103735767048E-2</v>
      </c>
      <c r="B7134" s="31"/>
      <c r="C7134" s="2" t="s">
        <v>855</v>
      </c>
      <c r="D7134" s="31">
        <f t="shared" si="205"/>
        <v>1.7339160332210342E-2</v>
      </c>
      <c r="F7134" s="2" t="s">
        <v>822</v>
      </c>
      <c r="G7134" s="23" t="s">
        <v>902</v>
      </c>
      <c r="H7134" s="2" t="s">
        <v>822</v>
      </c>
      <c r="J7134" s="31">
        <v>65.452003500000004</v>
      </c>
      <c r="K7134" s="31">
        <v>-1.1440001</v>
      </c>
      <c r="L7134" s="31"/>
      <c r="M7134" s="31" t="s">
        <v>854</v>
      </c>
      <c r="N7134" s="6" t="s">
        <v>856</v>
      </c>
    </row>
    <row r="7135" spans="1:14" ht="15" customHeight="1" x14ac:dyDescent="0.2">
      <c r="A7135" s="31">
        <v>8.8415196530058124E-2</v>
      </c>
      <c r="B7135" s="31"/>
      <c r="C7135" s="2" t="s">
        <v>855</v>
      </c>
      <c r="D7135" s="31">
        <f t="shared" si="205"/>
        <v>1.7329378519891393E-2</v>
      </c>
      <c r="F7135" s="2" t="s">
        <v>822</v>
      </c>
      <c r="G7135" s="23" t="s">
        <v>902</v>
      </c>
      <c r="H7135" s="2" t="s">
        <v>822</v>
      </c>
      <c r="J7135" s="31">
        <v>70.615402200000005</v>
      </c>
      <c r="K7135" s="31">
        <v>-8.1149397000000008</v>
      </c>
      <c r="L7135" s="31"/>
      <c r="M7135" s="31" t="s">
        <v>854</v>
      </c>
      <c r="N7135" s="6" t="s">
        <v>856</v>
      </c>
    </row>
    <row r="7136" spans="1:14" ht="15" customHeight="1" x14ac:dyDescent="0.2">
      <c r="A7136" s="31">
        <v>8.8110168313826745E-2</v>
      </c>
      <c r="B7136" s="31"/>
      <c r="C7136" s="2" t="s">
        <v>855</v>
      </c>
      <c r="D7136" s="31">
        <f t="shared" si="205"/>
        <v>1.7269592989510044E-2</v>
      </c>
      <c r="F7136" s="2" t="s">
        <v>822</v>
      </c>
      <c r="G7136" s="23" t="s">
        <v>902</v>
      </c>
      <c r="H7136" s="2" t="s">
        <v>822</v>
      </c>
      <c r="J7136" s="31">
        <v>73.468002299999995</v>
      </c>
      <c r="K7136" s="31">
        <v>13.552</v>
      </c>
      <c r="L7136" s="31"/>
      <c r="M7136" s="31" t="s">
        <v>854</v>
      </c>
      <c r="N7136" s="6" t="s">
        <v>856</v>
      </c>
    </row>
    <row r="7137" spans="1:14" ht="15" customHeight="1" x14ac:dyDescent="0.2">
      <c r="A7137" s="31">
        <v>8.8096952270980716E-2</v>
      </c>
      <c r="B7137" s="31"/>
      <c r="C7137" s="2" t="s">
        <v>855</v>
      </c>
      <c r="D7137" s="31">
        <f t="shared" si="205"/>
        <v>1.7267002645112221E-2</v>
      </c>
      <c r="F7137" s="2" t="s">
        <v>822</v>
      </c>
      <c r="G7137" s="23" t="s">
        <v>902</v>
      </c>
      <c r="H7137" s="2" t="s">
        <v>822</v>
      </c>
      <c r="J7137" s="31">
        <v>69.744003300000003</v>
      </c>
      <c r="K7137" s="31">
        <v>18.138399100000001</v>
      </c>
      <c r="L7137" s="31"/>
      <c r="M7137" s="31" t="s">
        <v>854</v>
      </c>
      <c r="N7137" s="6" t="s">
        <v>856</v>
      </c>
    </row>
    <row r="7138" spans="1:14" ht="15" customHeight="1" x14ac:dyDescent="0.2">
      <c r="A7138" s="31">
        <v>8.7877161908032922E-2</v>
      </c>
      <c r="B7138" s="31"/>
      <c r="C7138" s="2" t="s">
        <v>855</v>
      </c>
      <c r="D7138" s="31">
        <f t="shared" si="205"/>
        <v>1.7223923733974453E-2</v>
      </c>
      <c r="F7138" s="2" t="s">
        <v>822</v>
      </c>
      <c r="G7138" s="23" t="s">
        <v>902</v>
      </c>
      <c r="H7138" s="2" t="s">
        <v>822</v>
      </c>
      <c r="J7138" s="31">
        <v>70.795997600000007</v>
      </c>
      <c r="K7138" s="31">
        <v>21.5680008</v>
      </c>
      <c r="L7138" s="31"/>
      <c r="M7138" s="31" t="s">
        <v>854</v>
      </c>
      <c r="N7138" s="6" t="s">
        <v>856</v>
      </c>
    </row>
    <row r="7139" spans="1:14" ht="15" customHeight="1" x14ac:dyDescent="0.2">
      <c r="A7139" s="31">
        <v>8.7736683633160811E-2</v>
      </c>
      <c r="B7139" s="31"/>
      <c r="C7139" s="2" t="s">
        <v>855</v>
      </c>
      <c r="D7139" s="31">
        <f t="shared" si="205"/>
        <v>1.719638999209952E-2</v>
      </c>
      <c r="F7139" s="2" t="s">
        <v>822</v>
      </c>
      <c r="G7139" s="23" t="s">
        <v>902</v>
      </c>
      <c r="H7139" s="2" t="s">
        <v>822</v>
      </c>
      <c r="J7139" s="31">
        <v>68.124000499999994</v>
      </c>
      <c r="K7139" s="31">
        <v>4.8680000000000003</v>
      </c>
      <c r="L7139" s="31"/>
      <c r="M7139" s="31" t="s">
        <v>854</v>
      </c>
      <c r="N7139" s="6" t="s">
        <v>856</v>
      </c>
    </row>
    <row r="7140" spans="1:14" ht="15" customHeight="1" x14ac:dyDescent="0.2">
      <c r="A7140" s="31">
        <v>8.7323079061550055E-2</v>
      </c>
      <c r="B7140" s="31"/>
      <c r="C7140" s="2" t="s">
        <v>855</v>
      </c>
      <c r="D7140" s="31">
        <f t="shared" si="205"/>
        <v>1.711532349606381E-2</v>
      </c>
      <c r="F7140" s="2" t="s">
        <v>822</v>
      </c>
      <c r="G7140" s="23" t="s">
        <v>902</v>
      </c>
      <c r="H7140" s="2" t="s">
        <v>822</v>
      </c>
      <c r="J7140" s="31">
        <v>70.795997600000007</v>
      </c>
      <c r="K7140" s="31">
        <v>14.887999499999999</v>
      </c>
      <c r="L7140" s="31"/>
      <c r="M7140" s="31" t="s">
        <v>854</v>
      </c>
      <c r="N7140" s="6" t="s">
        <v>856</v>
      </c>
    </row>
    <row r="7141" spans="1:14" ht="15" customHeight="1" x14ac:dyDescent="0.2">
      <c r="A7141" s="31">
        <v>8.7295488262389184E-2</v>
      </c>
      <c r="B7141" s="31"/>
      <c r="C7141" s="2" t="s">
        <v>855</v>
      </c>
      <c r="D7141" s="31">
        <f t="shared" si="205"/>
        <v>1.7109915699428282E-2</v>
      </c>
      <c r="F7141" s="2" t="s">
        <v>822</v>
      </c>
      <c r="G7141" s="23" t="s">
        <v>902</v>
      </c>
      <c r="H7141" s="2" t="s">
        <v>822</v>
      </c>
      <c r="J7141" s="31">
        <v>67.456001299999997</v>
      </c>
      <c r="K7141" s="31">
        <v>2.1960001</v>
      </c>
      <c r="L7141" s="31"/>
      <c r="M7141" s="31" t="s">
        <v>854</v>
      </c>
      <c r="N7141" s="6" t="s">
        <v>856</v>
      </c>
    </row>
    <row r="7142" spans="1:14" ht="15" customHeight="1" x14ac:dyDescent="0.2">
      <c r="A7142" s="31">
        <v>8.7194926962726876E-2</v>
      </c>
      <c r="B7142" s="31"/>
      <c r="C7142" s="2" t="s">
        <v>855</v>
      </c>
      <c r="D7142" s="31">
        <f t="shared" si="205"/>
        <v>1.7090205684694468E-2</v>
      </c>
      <c r="F7142" s="2" t="s">
        <v>822</v>
      </c>
      <c r="G7142" s="23" t="s">
        <v>902</v>
      </c>
      <c r="H7142" s="2" t="s">
        <v>822</v>
      </c>
      <c r="J7142" s="31">
        <v>72.132003800000007</v>
      </c>
      <c r="K7142" s="31">
        <v>12.8839998</v>
      </c>
      <c r="L7142" s="31"/>
      <c r="M7142" s="31" t="s">
        <v>854</v>
      </c>
      <c r="N7142" s="6" t="s">
        <v>856</v>
      </c>
    </row>
    <row r="7143" spans="1:14" ht="15" customHeight="1" x14ac:dyDescent="0.2">
      <c r="A7143" s="31">
        <v>8.7139079052865706E-2</v>
      </c>
      <c r="B7143" s="31"/>
      <c r="C7143" s="2" t="s">
        <v>855</v>
      </c>
      <c r="D7143" s="31">
        <f t="shared" si="205"/>
        <v>1.7079259494361679E-2</v>
      </c>
      <c r="F7143" s="2" t="s">
        <v>822</v>
      </c>
      <c r="G7143" s="23" t="s">
        <v>902</v>
      </c>
      <c r="H7143" s="2" t="s">
        <v>822</v>
      </c>
      <c r="J7143" s="31">
        <v>69.459999100000005</v>
      </c>
      <c r="K7143" s="31">
        <v>4.8680000000000003</v>
      </c>
      <c r="L7143" s="31"/>
      <c r="M7143" s="31" t="s">
        <v>854</v>
      </c>
      <c r="N7143" s="6" t="s">
        <v>856</v>
      </c>
    </row>
    <row r="7144" spans="1:14" ht="15" customHeight="1" x14ac:dyDescent="0.2">
      <c r="A7144" s="31">
        <v>8.7037632976809859E-2</v>
      </c>
      <c r="B7144" s="31"/>
      <c r="C7144" s="2" t="s">
        <v>855</v>
      </c>
      <c r="D7144" s="31">
        <f t="shared" si="205"/>
        <v>1.7059376063454732E-2</v>
      </c>
      <c r="F7144" s="2" t="s">
        <v>822</v>
      </c>
      <c r="G7144" s="23" t="s">
        <v>902</v>
      </c>
      <c r="H7144" s="2" t="s">
        <v>822</v>
      </c>
      <c r="J7144" s="31">
        <v>73.468002299999995</v>
      </c>
      <c r="K7144" s="31">
        <v>14.220000300000001</v>
      </c>
      <c r="L7144" s="31"/>
      <c r="M7144" s="31" t="s">
        <v>854</v>
      </c>
      <c r="N7144" s="6" t="s">
        <v>856</v>
      </c>
    </row>
    <row r="7145" spans="1:14" ht="15" customHeight="1" x14ac:dyDescent="0.2">
      <c r="A7145" s="31">
        <v>8.6955491174031507E-2</v>
      </c>
      <c r="B7145" s="31"/>
      <c r="C7145" s="2" t="s">
        <v>855</v>
      </c>
      <c r="D7145" s="31">
        <f t="shared" si="205"/>
        <v>1.7043276270110177E-2</v>
      </c>
      <c r="F7145" s="2" t="s">
        <v>822</v>
      </c>
      <c r="G7145" s="23" t="s">
        <v>902</v>
      </c>
      <c r="H7145" s="2" t="s">
        <v>822</v>
      </c>
      <c r="J7145" s="31">
        <v>69.723602299999996</v>
      </c>
      <c r="K7145" s="31">
        <v>17.356800100000001</v>
      </c>
      <c r="L7145" s="31"/>
      <c r="M7145" s="31" t="s">
        <v>854</v>
      </c>
      <c r="N7145" s="6" t="s">
        <v>856</v>
      </c>
    </row>
    <row r="7146" spans="1:14" ht="15" customHeight="1" x14ac:dyDescent="0.2">
      <c r="A7146" s="31">
        <v>8.695298255985541E-2</v>
      </c>
      <c r="B7146" s="31"/>
      <c r="C7146" s="2" t="s">
        <v>855</v>
      </c>
      <c r="D7146" s="31">
        <f t="shared" si="205"/>
        <v>1.7042784581731661E-2</v>
      </c>
      <c r="F7146" s="2" t="s">
        <v>822</v>
      </c>
      <c r="G7146" s="23" t="s">
        <v>902</v>
      </c>
      <c r="H7146" s="2" t="s">
        <v>822</v>
      </c>
      <c r="J7146" s="31">
        <v>65.452003500000004</v>
      </c>
      <c r="K7146" s="31">
        <v>10.8800001</v>
      </c>
      <c r="L7146" s="31"/>
      <c r="M7146" s="31" t="s">
        <v>854</v>
      </c>
      <c r="N7146" s="6" t="s">
        <v>856</v>
      </c>
    </row>
    <row r="7147" spans="1:14" ht="15" customHeight="1" x14ac:dyDescent="0.2">
      <c r="A7147" s="31">
        <v>8.6913243077158003E-2</v>
      </c>
      <c r="B7147" s="31"/>
      <c r="C7147" s="2" t="s">
        <v>855</v>
      </c>
      <c r="D7147" s="31">
        <f t="shared" si="205"/>
        <v>1.7034995643122969E-2</v>
      </c>
      <c r="F7147" s="2" t="s">
        <v>822</v>
      </c>
      <c r="G7147" s="23" t="s">
        <v>902</v>
      </c>
      <c r="H7147" s="2" t="s">
        <v>822</v>
      </c>
      <c r="J7147" s="31">
        <v>63.854999499999998</v>
      </c>
      <c r="K7147" s="31">
        <v>-10.117600400000001</v>
      </c>
      <c r="L7147" s="31"/>
      <c r="M7147" s="31" t="s">
        <v>854</v>
      </c>
      <c r="N7147" s="6" t="s">
        <v>856</v>
      </c>
    </row>
    <row r="7148" spans="1:14" ht="15" customHeight="1" x14ac:dyDescent="0.2">
      <c r="A7148" s="31">
        <v>8.6855717925425902E-2</v>
      </c>
      <c r="B7148" s="31"/>
      <c r="C7148" s="2" t="s">
        <v>855</v>
      </c>
      <c r="D7148" s="31">
        <f t="shared" si="205"/>
        <v>1.7023720713383476E-2</v>
      </c>
      <c r="F7148" s="2" t="s">
        <v>822</v>
      </c>
      <c r="G7148" s="23" t="s">
        <v>902</v>
      </c>
      <c r="H7148" s="2" t="s">
        <v>822</v>
      </c>
      <c r="J7148" s="31">
        <v>65.452003500000004</v>
      </c>
      <c r="K7148" s="31">
        <v>-0.47599999999999998</v>
      </c>
      <c r="L7148" s="31"/>
      <c r="M7148" s="31" t="s">
        <v>854</v>
      </c>
      <c r="N7148" s="6" t="s">
        <v>856</v>
      </c>
    </row>
    <row r="7149" spans="1:14" ht="15" customHeight="1" x14ac:dyDescent="0.2">
      <c r="A7149" s="31">
        <v>8.6628560031180926E-2</v>
      </c>
      <c r="B7149" s="31"/>
      <c r="C7149" s="2" t="s">
        <v>855</v>
      </c>
      <c r="D7149" s="31">
        <f t="shared" si="205"/>
        <v>1.6979197766111464E-2</v>
      </c>
      <c r="F7149" s="2" t="s">
        <v>822</v>
      </c>
      <c r="G7149" s="23" t="s">
        <v>902</v>
      </c>
      <c r="H7149" s="2" t="s">
        <v>822</v>
      </c>
      <c r="J7149" s="31">
        <v>72.132003800000007</v>
      </c>
      <c r="K7149" s="31">
        <v>18.228000600000001</v>
      </c>
      <c r="L7149" s="31"/>
      <c r="M7149" s="31" t="s">
        <v>854</v>
      </c>
      <c r="N7149" s="6" t="s">
        <v>856</v>
      </c>
    </row>
    <row r="7150" spans="1:14" ht="15" customHeight="1" x14ac:dyDescent="0.2">
      <c r="A7150" s="31">
        <v>8.6504039055384244E-2</v>
      </c>
      <c r="B7150" s="31"/>
      <c r="C7150" s="2" t="s">
        <v>855</v>
      </c>
      <c r="D7150" s="31">
        <f t="shared" si="205"/>
        <v>1.6954791654855313E-2</v>
      </c>
      <c r="F7150" s="2" t="s">
        <v>822</v>
      </c>
      <c r="G7150" s="23" t="s">
        <v>902</v>
      </c>
      <c r="H7150" s="2" t="s">
        <v>822</v>
      </c>
      <c r="J7150" s="31">
        <v>69.459999100000005</v>
      </c>
      <c r="K7150" s="31">
        <v>-11.8319998</v>
      </c>
      <c r="L7150" s="31"/>
      <c r="M7150" s="31" t="s">
        <v>854</v>
      </c>
      <c r="N7150" s="6" t="s">
        <v>856</v>
      </c>
    </row>
    <row r="7151" spans="1:14" ht="15" customHeight="1" x14ac:dyDescent="0.2">
      <c r="A7151" s="31">
        <v>8.6481861807006219E-2</v>
      </c>
      <c r="B7151" s="31"/>
      <c r="C7151" s="2" t="s">
        <v>855</v>
      </c>
      <c r="D7151" s="31">
        <f t="shared" si="205"/>
        <v>1.6950444914173218E-2</v>
      </c>
      <c r="F7151" s="2" t="s">
        <v>822</v>
      </c>
      <c r="G7151" s="23" t="s">
        <v>902</v>
      </c>
      <c r="H7151" s="2" t="s">
        <v>822</v>
      </c>
      <c r="J7151" s="31">
        <v>67.252998399999996</v>
      </c>
      <c r="K7151" s="31">
        <v>-24.505100299999999</v>
      </c>
      <c r="L7151" s="31"/>
      <c r="M7151" s="31" t="s">
        <v>854</v>
      </c>
      <c r="N7151" s="6" t="s">
        <v>856</v>
      </c>
    </row>
    <row r="7152" spans="1:14" ht="15" customHeight="1" x14ac:dyDescent="0.2">
      <c r="A7152" s="31">
        <v>8.630214501103825E-2</v>
      </c>
      <c r="B7152" s="31"/>
      <c r="C7152" s="2" t="s">
        <v>855</v>
      </c>
      <c r="D7152" s="31">
        <f t="shared" si="205"/>
        <v>1.6915220422163497E-2</v>
      </c>
      <c r="F7152" s="2" t="s">
        <v>822</v>
      </c>
      <c r="G7152" s="23" t="s">
        <v>902</v>
      </c>
      <c r="H7152" s="2" t="s">
        <v>822</v>
      </c>
      <c r="J7152" s="31">
        <v>66.528701799999993</v>
      </c>
      <c r="K7152" s="31">
        <v>9.2935599999999994</v>
      </c>
      <c r="L7152" s="31"/>
      <c r="M7152" s="31" t="s">
        <v>854</v>
      </c>
      <c r="N7152" s="6" t="s">
        <v>856</v>
      </c>
    </row>
    <row r="7153" spans="1:14" ht="15" customHeight="1" x14ac:dyDescent="0.2">
      <c r="A7153" s="31">
        <v>8.6050863007989919E-2</v>
      </c>
      <c r="B7153" s="31"/>
      <c r="C7153" s="2" t="s">
        <v>855</v>
      </c>
      <c r="D7153" s="31">
        <f t="shared" si="205"/>
        <v>1.6865969149566024E-2</v>
      </c>
      <c r="F7153" s="2" t="s">
        <v>822</v>
      </c>
      <c r="G7153" s="23" t="s">
        <v>902</v>
      </c>
      <c r="H7153" s="2" t="s">
        <v>822</v>
      </c>
      <c r="J7153" s="31">
        <v>64.783996599999995</v>
      </c>
      <c r="K7153" s="31">
        <v>-11.8319998</v>
      </c>
      <c r="L7153" s="31"/>
      <c r="M7153" s="31" t="s">
        <v>854</v>
      </c>
      <c r="N7153" s="6" t="s">
        <v>856</v>
      </c>
    </row>
    <row r="7154" spans="1:14" ht="15" customHeight="1" x14ac:dyDescent="0.2">
      <c r="A7154" s="31">
        <v>8.5941232623880148E-2</v>
      </c>
      <c r="B7154" s="31"/>
      <c r="C7154" s="2" t="s">
        <v>855</v>
      </c>
      <c r="D7154" s="31">
        <f t="shared" si="205"/>
        <v>1.6844481594280508E-2</v>
      </c>
      <c r="F7154" s="2" t="s">
        <v>822</v>
      </c>
      <c r="G7154" s="23" t="s">
        <v>902</v>
      </c>
      <c r="H7154" s="2" t="s">
        <v>822</v>
      </c>
      <c r="J7154" s="31">
        <v>68.791999799999999</v>
      </c>
      <c r="K7154" s="31">
        <v>5.5359997999999999</v>
      </c>
      <c r="L7154" s="31"/>
      <c r="M7154" s="31" t="s">
        <v>854</v>
      </c>
      <c r="N7154" s="6" t="s">
        <v>856</v>
      </c>
    </row>
    <row r="7155" spans="1:14" ht="15" customHeight="1" x14ac:dyDescent="0.2">
      <c r="A7155" s="31">
        <v>8.5927742424544554E-2</v>
      </c>
      <c r="B7155" s="31"/>
      <c r="C7155" s="2" t="s">
        <v>855</v>
      </c>
      <c r="D7155" s="31">
        <f t="shared" si="205"/>
        <v>1.6841837515210734E-2</v>
      </c>
      <c r="F7155" s="2" t="s">
        <v>822</v>
      </c>
      <c r="G7155" s="23" t="s">
        <v>902</v>
      </c>
      <c r="H7155" s="2" t="s">
        <v>822</v>
      </c>
      <c r="J7155" s="31">
        <v>66.190498399999996</v>
      </c>
      <c r="K7155" s="31">
        <v>-21.171100599999999</v>
      </c>
      <c r="L7155" s="31"/>
      <c r="M7155" s="31" t="s">
        <v>854</v>
      </c>
      <c r="N7155" s="6" t="s">
        <v>856</v>
      </c>
    </row>
    <row r="7156" spans="1:14" ht="15" customHeight="1" x14ac:dyDescent="0.2">
      <c r="A7156" s="31">
        <v>8.5910841615177855E-2</v>
      </c>
      <c r="B7156" s="31"/>
      <c r="C7156" s="2" t="s">
        <v>855</v>
      </c>
      <c r="D7156" s="31">
        <f t="shared" si="205"/>
        <v>1.6838524956574862E-2</v>
      </c>
      <c r="F7156" s="2" t="s">
        <v>822</v>
      </c>
      <c r="G7156" s="23" t="s">
        <v>902</v>
      </c>
      <c r="H7156" s="2" t="s">
        <v>822</v>
      </c>
      <c r="J7156" s="31">
        <v>64.498497</v>
      </c>
      <c r="K7156" s="31">
        <v>-35.150501300000002</v>
      </c>
      <c r="L7156" s="31"/>
      <c r="M7156" s="31" t="s">
        <v>854</v>
      </c>
      <c r="N7156" s="6" t="s">
        <v>856</v>
      </c>
    </row>
    <row r="7157" spans="1:14" ht="15" customHeight="1" x14ac:dyDescent="0.2">
      <c r="A7157" s="31">
        <v>8.58339477288418E-2</v>
      </c>
      <c r="B7157" s="31"/>
      <c r="C7157" s="2" t="s">
        <v>855</v>
      </c>
      <c r="D7157" s="31">
        <f t="shared" si="205"/>
        <v>1.6823453754852995E-2</v>
      </c>
      <c r="F7157" s="2" t="s">
        <v>822</v>
      </c>
      <c r="G7157" s="23" t="s">
        <v>902</v>
      </c>
      <c r="H7157" s="2" t="s">
        <v>822</v>
      </c>
      <c r="J7157" s="31">
        <v>74.804000900000005</v>
      </c>
      <c r="K7157" s="31">
        <v>13.552</v>
      </c>
      <c r="L7157" s="31"/>
      <c r="M7157" s="31" t="s">
        <v>854</v>
      </c>
      <c r="N7157" s="6" t="s">
        <v>856</v>
      </c>
    </row>
    <row r="7158" spans="1:14" ht="15" customHeight="1" x14ac:dyDescent="0.2">
      <c r="A7158" s="31">
        <v>8.5746414381835181E-2</v>
      </c>
      <c r="B7158" s="31"/>
      <c r="C7158" s="2" t="s">
        <v>855</v>
      </c>
      <c r="D7158" s="31">
        <f t="shared" si="205"/>
        <v>1.6806297218839698E-2</v>
      </c>
      <c r="F7158" s="2" t="s">
        <v>822</v>
      </c>
      <c r="G7158" s="23" t="s">
        <v>902</v>
      </c>
      <c r="H7158" s="2" t="s">
        <v>822</v>
      </c>
      <c r="J7158" s="31">
        <v>66.240898099999995</v>
      </c>
      <c r="K7158" s="31">
        <v>-17.2632008</v>
      </c>
      <c r="L7158" s="31"/>
      <c r="M7158" s="31" t="s">
        <v>854</v>
      </c>
      <c r="N7158" s="6" t="s">
        <v>856</v>
      </c>
    </row>
    <row r="7159" spans="1:14" ht="15" customHeight="1" x14ac:dyDescent="0.2">
      <c r="A7159" s="31">
        <v>8.5680988423534582E-2</v>
      </c>
      <c r="B7159" s="31"/>
      <c r="C7159" s="2" t="s">
        <v>855</v>
      </c>
      <c r="D7159" s="31">
        <f t="shared" si="205"/>
        <v>1.6793473731012778E-2</v>
      </c>
      <c r="F7159" s="2" t="s">
        <v>822</v>
      </c>
      <c r="G7159" s="23" t="s">
        <v>902</v>
      </c>
      <c r="H7159" s="2" t="s">
        <v>822</v>
      </c>
      <c r="J7159" s="31">
        <v>68.124000499999994</v>
      </c>
      <c r="K7159" s="31">
        <v>-2.48</v>
      </c>
      <c r="L7159" s="31"/>
      <c r="M7159" s="31" t="s">
        <v>854</v>
      </c>
      <c r="N7159" s="6" t="s">
        <v>856</v>
      </c>
    </row>
    <row r="7160" spans="1:14" ht="15" customHeight="1" x14ac:dyDescent="0.2">
      <c r="A7160" s="31">
        <v>8.5654188460750486E-2</v>
      </c>
      <c r="B7160" s="31"/>
      <c r="C7160" s="2" t="s">
        <v>855</v>
      </c>
      <c r="D7160" s="31">
        <f t="shared" si="205"/>
        <v>1.6788220938307095E-2</v>
      </c>
      <c r="F7160" s="2" t="s">
        <v>822</v>
      </c>
      <c r="G7160" s="23" t="s">
        <v>902</v>
      </c>
      <c r="H7160" s="2" t="s">
        <v>822</v>
      </c>
      <c r="J7160" s="31">
        <v>65.563301100000004</v>
      </c>
      <c r="K7160" s="31">
        <v>-6.09199</v>
      </c>
      <c r="L7160" s="31"/>
      <c r="M7160" s="31" t="s">
        <v>854</v>
      </c>
      <c r="N7160" s="6" t="s">
        <v>856</v>
      </c>
    </row>
    <row r="7161" spans="1:14" ht="15" customHeight="1" x14ac:dyDescent="0.2">
      <c r="A7161" s="31">
        <v>8.5329687829131667E-2</v>
      </c>
      <c r="B7161" s="31"/>
      <c r="C7161" s="2" t="s">
        <v>855</v>
      </c>
      <c r="D7161" s="31">
        <f t="shared" si="205"/>
        <v>1.6724618814509807E-2</v>
      </c>
      <c r="F7161" s="2" t="s">
        <v>822</v>
      </c>
      <c r="G7161" s="23" t="s">
        <v>902</v>
      </c>
      <c r="H7161" s="2" t="s">
        <v>822</v>
      </c>
      <c r="J7161" s="31">
        <v>66.553596499999998</v>
      </c>
      <c r="K7161" s="31">
        <v>-25.060199699999998</v>
      </c>
      <c r="L7161" s="31"/>
      <c r="M7161" s="31" t="s">
        <v>854</v>
      </c>
      <c r="N7161" s="6" t="s">
        <v>856</v>
      </c>
    </row>
    <row r="7162" spans="1:14" ht="15" customHeight="1" x14ac:dyDescent="0.2">
      <c r="A7162" s="31">
        <v>8.5121630698941006E-2</v>
      </c>
      <c r="B7162" s="31"/>
      <c r="C7162" s="2" t="s">
        <v>855</v>
      </c>
      <c r="D7162" s="31">
        <f t="shared" si="205"/>
        <v>1.6683839616992439E-2</v>
      </c>
      <c r="F7162" s="2" t="s">
        <v>822</v>
      </c>
      <c r="G7162" s="23" t="s">
        <v>902</v>
      </c>
      <c r="H7162" s="2" t="s">
        <v>822</v>
      </c>
      <c r="J7162" s="31">
        <v>69.459999100000005</v>
      </c>
      <c r="K7162" s="31">
        <v>0.86</v>
      </c>
      <c r="L7162" s="31"/>
      <c r="M7162" s="31" t="s">
        <v>854</v>
      </c>
      <c r="N7162" s="6" t="s">
        <v>856</v>
      </c>
    </row>
    <row r="7163" spans="1:14" ht="15" customHeight="1" x14ac:dyDescent="0.2">
      <c r="A7163" s="31">
        <v>8.5062196487014338E-2</v>
      </c>
      <c r="B7163" s="31"/>
      <c r="C7163" s="2" t="s">
        <v>855</v>
      </c>
      <c r="D7163" s="31">
        <f t="shared" si="205"/>
        <v>1.6672190511454812E-2</v>
      </c>
      <c r="F7163" s="2" t="s">
        <v>822</v>
      </c>
      <c r="G7163" s="23" t="s">
        <v>902</v>
      </c>
      <c r="H7163" s="2" t="s">
        <v>822</v>
      </c>
      <c r="J7163" s="31">
        <v>65.574798599999994</v>
      </c>
      <c r="K7163" s="31">
        <v>-21.3299007</v>
      </c>
      <c r="L7163" s="31"/>
      <c r="M7163" s="31" t="s">
        <v>854</v>
      </c>
      <c r="N7163" s="6" t="s">
        <v>856</v>
      </c>
    </row>
    <row r="7164" spans="1:14" ht="15" customHeight="1" x14ac:dyDescent="0.2">
      <c r="A7164" s="31">
        <v>8.4912122800951798E-2</v>
      </c>
      <c r="B7164" s="31"/>
      <c r="C7164" s="2" t="s">
        <v>855</v>
      </c>
      <c r="D7164" s="31">
        <f t="shared" si="205"/>
        <v>1.6642776068986554E-2</v>
      </c>
      <c r="F7164" s="2" t="s">
        <v>822</v>
      </c>
      <c r="G7164" s="23" t="s">
        <v>902</v>
      </c>
      <c r="H7164" s="2" t="s">
        <v>822</v>
      </c>
      <c r="J7164" s="31">
        <v>74.804000900000005</v>
      </c>
      <c r="K7164" s="31">
        <v>12.8839998</v>
      </c>
      <c r="L7164" s="31"/>
      <c r="M7164" s="31" t="s">
        <v>854</v>
      </c>
      <c r="N7164" s="6" t="s">
        <v>856</v>
      </c>
    </row>
    <row r="7165" spans="1:14" ht="15" customHeight="1" x14ac:dyDescent="0.2">
      <c r="A7165" s="31">
        <v>8.469176514616647E-2</v>
      </c>
      <c r="B7165" s="31"/>
      <c r="C7165" s="2" t="s">
        <v>855</v>
      </c>
      <c r="D7165" s="31">
        <f t="shared" si="205"/>
        <v>1.659958596864863E-2</v>
      </c>
      <c r="F7165" s="2" t="s">
        <v>822</v>
      </c>
      <c r="G7165" s="23" t="s">
        <v>902</v>
      </c>
      <c r="H7165" s="2" t="s">
        <v>822</v>
      </c>
      <c r="J7165" s="31">
        <v>65.452003500000004</v>
      </c>
      <c r="K7165" s="31">
        <v>-6.4879999000000002</v>
      </c>
      <c r="L7165" s="31"/>
      <c r="M7165" s="31" t="s">
        <v>854</v>
      </c>
      <c r="N7165" s="6" t="s">
        <v>856</v>
      </c>
    </row>
    <row r="7166" spans="1:14" ht="15" customHeight="1" x14ac:dyDescent="0.2">
      <c r="A7166" s="31">
        <v>8.4567932742408758E-2</v>
      </c>
      <c r="B7166" s="31"/>
      <c r="C7166" s="2" t="s">
        <v>855</v>
      </c>
      <c r="D7166" s="31">
        <f t="shared" si="205"/>
        <v>1.6575314817512118E-2</v>
      </c>
      <c r="F7166" s="2" t="s">
        <v>822</v>
      </c>
      <c r="G7166" s="23" t="s">
        <v>902</v>
      </c>
      <c r="H7166" s="2" t="s">
        <v>822</v>
      </c>
      <c r="J7166" s="31">
        <v>66.503402699999995</v>
      </c>
      <c r="K7166" s="31">
        <v>-27.5807991</v>
      </c>
      <c r="L7166" s="31"/>
      <c r="M7166" s="31" t="s">
        <v>854</v>
      </c>
      <c r="N7166" s="6" t="s">
        <v>856</v>
      </c>
    </row>
    <row r="7167" spans="1:14" ht="15" customHeight="1" x14ac:dyDescent="0.2">
      <c r="A7167" s="31">
        <v>8.4438554337518221E-2</v>
      </c>
      <c r="B7167" s="31"/>
      <c r="C7167" s="2" t="s">
        <v>855</v>
      </c>
      <c r="D7167" s="31">
        <f t="shared" si="205"/>
        <v>1.6549956650153571E-2</v>
      </c>
      <c r="F7167" s="2" t="s">
        <v>822</v>
      </c>
      <c r="G7167" s="23" t="s">
        <v>902</v>
      </c>
      <c r="H7167" s="2" t="s">
        <v>822</v>
      </c>
      <c r="J7167" s="31">
        <v>64.115997300000004</v>
      </c>
      <c r="K7167" s="31">
        <v>0.192</v>
      </c>
      <c r="L7167" s="31"/>
      <c r="M7167" s="31" t="s">
        <v>854</v>
      </c>
      <c r="N7167" s="6" t="s">
        <v>856</v>
      </c>
    </row>
    <row r="7168" spans="1:14" ht="15" customHeight="1" x14ac:dyDescent="0.2">
      <c r="A7168" s="31">
        <v>8.4348250120152693E-2</v>
      </c>
      <c r="B7168" s="31"/>
      <c r="C7168" s="2" t="s">
        <v>855</v>
      </c>
      <c r="D7168" s="31">
        <f t="shared" ref="D7168:D7231" si="206" xml:space="preserve"> A7168 * 0.196</f>
        <v>1.6532257023549927E-2</v>
      </c>
      <c r="F7168" s="2" t="s">
        <v>822</v>
      </c>
      <c r="G7168" s="23" t="s">
        <v>902</v>
      </c>
      <c r="H7168" s="2" t="s">
        <v>822</v>
      </c>
      <c r="J7168" s="31">
        <v>62.111999500000003</v>
      </c>
      <c r="K7168" s="31">
        <v>-4.4840001999999997</v>
      </c>
      <c r="L7168" s="31"/>
      <c r="M7168" s="31" t="s">
        <v>854</v>
      </c>
      <c r="N7168" s="6" t="s">
        <v>856</v>
      </c>
    </row>
    <row r="7169" spans="1:14" ht="15" customHeight="1" x14ac:dyDescent="0.2">
      <c r="A7169" s="31">
        <v>8.4199677025879979E-2</v>
      </c>
      <c r="B7169" s="31"/>
      <c r="C7169" s="2" t="s">
        <v>855</v>
      </c>
      <c r="D7169" s="31">
        <f t="shared" si="206"/>
        <v>1.6503136697072478E-2</v>
      </c>
      <c r="F7169" s="2" t="s">
        <v>822</v>
      </c>
      <c r="G7169" s="23" t="s">
        <v>902</v>
      </c>
      <c r="H7169" s="2" t="s">
        <v>822</v>
      </c>
      <c r="J7169" s="31">
        <v>59.439998600000003</v>
      </c>
      <c r="K7169" s="31">
        <v>-41.891998299999997</v>
      </c>
      <c r="L7169" s="31"/>
      <c r="M7169" s="31" t="s">
        <v>854</v>
      </c>
      <c r="N7169" s="6" t="s">
        <v>856</v>
      </c>
    </row>
    <row r="7170" spans="1:14" ht="15" customHeight="1" x14ac:dyDescent="0.2">
      <c r="A7170" s="31">
        <v>8.4139349492267687E-2</v>
      </c>
      <c r="B7170" s="31"/>
      <c r="C7170" s="2" t="s">
        <v>855</v>
      </c>
      <c r="D7170" s="31">
        <f t="shared" si="206"/>
        <v>1.6491312500484467E-2</v>
      </c>
      <c r="F7170" s="2" t="s">
        <v>822</v>
      </c>
      <c r="G7170" s="23" t="s">
        <v>902</v>
      </c>
      <c r="H7170" s="2" t="s">
        <v>822</v>
      </c>
      <c r="J7170" s="31">
        <v>74.804000900000005</v>
      </c>
      <c r="K7170" s="31">
        <v>9.5439997000000005</v>
      </c>
      <c r="L7170" s="31"/>
      <c r="M7170" s="31" t="s">
        <v>854</v>
      </c>
      <c r="N7170" s="6" t="s">
        <v>856</v>
      </c>
    </row>
    <row r="7171" spans="1:14" ht="15" customHeight="1" x14ac:dyDescent="0.2">
      <c r="A7171" s="31">
        <v>8.4129522329447828E-2</v>
      </c>
      <c r="B7171" s="31"/>
      <c r="C7171" s="2" t="s">
        <v>855</v>
      </c>
      <c r="D7171" s="31">
        <f t="shared" si="206"/>
        <v>1.6489386376571775E-2</v>
      </c>
      <c r="F7171" s="2" t="s">
        <v>822</v>
      </c>
      <c r="G7171" s="23" t="s">
        <v>902</v>
      </c>
      <c r="H7171" s="2" t="s">
        <v>822</v>
      </c>
      <c r="J7171" s="31">
        <v>66.788002000000006</v>
      </c>
      <c r="K7171" s="31">
        <v>-7.1560001</v>
      </c>
      <c r="L7171" s="31"/>
      <c r="M7171" s="31" t="s">
        <v>854</v>
      </c>
      <c r="N7171" s="6" t="s">
        <v>856</v>
      </c>
    </row>
    <row r="7172" spans="1:14" ht="15" customHeight="1" x14ac:dyDescent="0.2">
      <c r="A7172" s="31">
        <v>8.3986611499623831E-2</v>
      </c>
      <c r="B7172" s="31"/>
      <c r="C7172" s="2" t="s">
        <v>855</v>
      </c>
      <c r="D7172" s="31">
        <f t="shared" si="206"/>
        <v>1.646137585392627E-2</v>
      </c>
      <c r="F7172" s="2" t="s">
        <v>822</v>
      </c>
      <c r="G7172" s="23" t="s">
        <v>902</v>
      </c>
      <c r="H7172" s="2" t="s">
        <v>822</v>
      </c>
      <c r="J7172" s="31">
        <v>66.788002000000006</v>
      </c>
      <c r="K7172" s="31">
        <v>-1.8120000000000001</v>
      </c>
      <c r="L7172" s="31"/>
      <c r="M7172" s="31" t="s">
        <v>854</v>
      </c>
      <c r="N7172" s="6" t="s">
        <v>856</v>
      </c>
    </row>
    <row r="7173" spans="1:14" ht="15" customHeight="1" x14ac:dyDescent="0.2">
      <c r="A7173" s="31">
        <v>8.3960833554374475E-2</v>
      </c>
      <c r="B7173" s="31"/>
      <c r="C7173" s="2" t="s">
        <v>855</v>
      </c>
      <c r="D7173" s="31">
        <f t="shared" si="206"/>
        <v>1.6456323376657398E-2</v>
      </c>
      <c r="F7173" s="2" t="s">
        <v>822</v>
      </c>
      <c r="G7173" s="23" t="s">
        <v>902</v>
      </c>
      <c r="H7173" s="2" t="s">
        <v>822</v>
      </c>
      <c r="J7173" s="31">
        <v>68.791999799999999</v>
      </c>
      <c r="K7173" s="31">
        <v>8.2080002000000007</v>
      </c>
      <c r="L7173" s="31"/>
      <c r="M7173" s="31" t="s">
        <v>854</v>
      </c>
      <c r="N7173" s="6" t="s">
        <v>856</v>
      </c>
    </row>
    <row r="7174" spans="1:14" ht="15" customHeight="1" x14ac:dyDescent="0.2">
      <c r="A7174" s="31">
        <v>8.3943954988932298E-2</v>
      </c>
      <c r="B7174" s="31"/>
      <c r="C7174" s="2" t="s">
        <v>855</v>
      </c>
      <c r="D7174" s="31">
        <f t="shared" si="206"/>
        <v>1.6453015177830731E-2</v>
      </c>
      <c r="F7174" s="2" t="s">
        <v>822</v>
      </c>
      <c r="G7174" s="23" t="s">
        <v>902</v>
      </c>
      <c r="H7174" s="2" t="s">
        <v>822</v>
      </c>
      <c r="J7174" s="31">
        <v>68.4092026</v>
      </c>
      <c r="K7174" s="31">
        <v>-1.88222</v>
      </c>
      <c r="L7174" s="31"/>
      <c r="M7174" s="31" t="s">
        <v>854</v>
      </c>
      <c r="N7174" s="6" t="s">
        <v>856</v>
      </c>
    </row>
    <row r="7175" spans="1:14" ht="15" customHeight="1" x14ac:dyDescent="0.2">
      <c r="A7175" s="31">
        <v>8.3927975416557568E-2</v>
      </c>
      <c r="B7175" s="31"/>
      <c r="C7175" s="2" t="s">
        <v>855</v>
      </c>
      <c r="D7175" s="31">
        <f t="shared" si="206"/>
        <v>1.6449883181645284E-2</v>
      </c>
      <c r="F7175" s="2" t="s">
        <v>822</v>
      </c>
      <c r="G7175" s="23" t="s">
        <v>902</v>
      </c>
      <c r="H7175" s="2" t="s">
        <v>822</v>
      </c>
      <c r="J7175" s="31">
        <v>68.124000499999994</v>
      </c>
      <c r="K7175" s="31">
        <v>0.192</v>
      </c>
      <c r="L7175" s="31"/>
      <c r="M7175" s="31" t="s">
        <v>854</v>
      </c>
      <c r="N7175" s="6" t="s">
        <v>856</v>
      </c>
    </row>
    <row r="7176" spans="1:14" ht="15" customHeight="1" x14ac:dyDescent="0.2">
      <c r="A7176" s="31">
        <v>8.3916299205115549E-2</v>
      </c>
      <c r="B7176" s="31"/>
      <c r="C7176" s="2" t="s">
        <v>855</v>
      </c>
      <c r="D7176" s="31">
        <f t="shared" si="206"/>
        <v>1.6447594644202649E-2</v>
      </c>
      <c r="F7176" s="2" t="s">
        <v>822</v>
      </c>
      <c r="G7176" s="23" t="s">
        <v>902</v>
      </c>
      <c r="H7176" s="2" t="s">
        <v>822</v>
      </c>
      <c r="J7176" s="31">
        <v>65.851501499999998</v>
      </c>
      <c r="K7176" s="31">
        <v>-20.816299399999998</v>
      </c>
      <c r="L7176" s="31"/>
      <c r="M7176" s="31" t="s">
        <v>854</v>
      </c>
      <c r="N7176" s="6" t="s">
        <v>856</v>
      </c>
    </row>
    <row r="7177" spans="1:14" ht="15" customHeight="1" x14ac:dyDescent="0.2">
      <c r="A7177" s="31">
        <v>8.3895617658611657E-2</v>
      </c>
      <c r="B7177" s="31"/>
      <c r="C7177" s="2" t="s">
        <v>855</v>
      </c>
      <c r="D7177" s="31">
        <f t="shared" si="206"/>
        <v>1.6443541061087884E-2</v>
      </c>
      <c r="F7177" s="2" t="s">
        <v>822</v>
      </c>
      <c r="G7177" s="23" t="s">
        <v>902</v>
      </c>
      <c r="H7177" s="2" t="s">
        <v>822</v>
      </c>
      <c r="J7177" s="31">
        <v>67.0106964</v>
      </c>
      <c r="K7177" s="31">
        <v>-9.2713298999999996</v>
      </c>
      <c r="L7177" s="31"/>
      <c r="M7177" s="31" t="s">
        <v>854</v>
      </c>
      <c r="N7177" s="6" t="s">
        <v>856</v>
      </c>
    </row>
    <row r="7178" spans="1:14" ht="15" customHeight="1" x14ac:dyDescent="0.2">
      <c r="A7178" s="31">
        <v>8.3821486607636289E-2</v>
      </c>
      <c r="B7178" s="31"/>
      <c r="C7178" s="2" t="s">
        <v>855</v>
      </c>
      <c r="D7178" s="31">
        <f t="shared" si="206"/>
        <v>1.6429011375096714E-2</v>
      </c>
      <c r="F7178" s="2" t="s">
        <v>822</v>
      </c>
      <c r="G7178" s="23" t="s">
        <v>902</v>
      </c>
      <c r="H7178" s="2" t="s">
        <v>822</v>
      </c>
      <c r="J7178" s="31">
        <v>69.459999100000005</v>
      </c>
      <c r="K7178" s="31">
        <v>8.8760004000000006</v>
      </c>
      <c r="L7178" s="31"/>
      <c r="M7178" s="31" t="s">
        <v>854</v>
      </c>
      <c r="N7178" s="6" t="s">
        <v>856</v>
      </c>
    </row>
    <row r="7179" spans="1:14" ht="15" customHeight="1" x14ac:dyDescent="0.2">
      <c r="A7179" s="31">
        <v>8.376945590689118E-2</v>
      </c>
      <c r="B7179" s="31"/>
      <c r="C7179" s="2" t="s">
        <v>855</v>
      </c>
      <c r="D7179" s="31">
        <f t="shared" si="206"/>
        <v>1.641881335775067E-2</v>
      </c>
      <c r="F7179" s="2" t="s">
        <v>822</v>
      </c>
      <c r="G7179" s="23" t="s">
        <v>902</v>
      </c>
      <c r="H7179" s="2" t="s">
        <v>822</v>
      </c>
      <c r="J7179" s="31">
        <v>71.463996899999998</v>
      </c>
      <c r="K7179" s="31">
        <v>4.8680000000000003</v>
      </c>
      <c r="L7179" s="31"/>
      <c r="M7179" s="31" t="s">
        <v>854</v>
      </c>
      <c r="N7179" s="6" t="s">
        <v>856</v>
      </c>
    </row>
    <row r="7180" spans="1:14" ht="15" customHeight="1" x14ac:dyDescent="0.2">
      <c r="A7180" s="31">
        <v>8.3590720938630111E-2</v>
      </c>
      <c r="B7180" s="31"/>
      <c r="C7180" s="2" t="s">
        <v>855</v>
      </c>
      <c r="D7180" s="31">
        <f t="shared" si="206"/>
        <v>1.6383781303971501E-2</v>
      </c>
      <c r="F7180" s="2" t="s">
        <v>822</v>
      </c>
      <c r="G7180" s="23" t="s">
        <v>902</v>
      </c>
      <c r="H7180" s="2" t="s">
        <v>822</v>
      </c>
      <c r="J7180" s="31">
        <v>59.439998600000003</v>
      </c>
      <c r="K7180" s="31">
        <v>-39.888000499999997</v>
      </c>
      <c r="L7180" s="31"/>
      <c r="M7180" s="31" t="s">
        <v>854</v>
      </c>
      <c r="N7180" s="6" t="s">
        <v>856</v>
      </c>
    </row>
    <row r="7181" spans="1:14" ht="15" customHeight="1" x14ac:dyDescent="0.2">
      <c r="A7181" s="31">
        <v>8.3540933501549425E-2</v>
      </c>
      <c r="B7181" s="31"/>
      <c r="C7181" s="2" t="s">
        <v>855</v>
      </c>
      <c r="D7181" s="31">
        <f t="shared" si="206"/>
        <v>1.6374022966303688E-2</v>
      </c>
      <c r="F7181" s="2" t="s">
        <v>822</v>
      </c>
      <c r="G7181" s="23" t="s">
        <v>902</v>
      </c>
      <c r="H7181" s="2" t="s">
        <v>822</v>
      </c>
      <c r="J7181" s="31">
        <v>62.779998800000001</v>
      </c>
      <c r="K7181" s="31">
        <v>-6.4879999000000002</v>
      </c>
      <c r="L7181" s="31"/>
      <c r="M7181" s="31" t="s">
        <v>854</v>
      </c>
      <c r="N7181" s="6" t="s">
        <v>856</v>
      </c>
    </row>
    <row r="7182" spans="1:14" ht="15" customHeight="1" x14ac:dyDescent="0.2">
      <c r="A7182" s="31">
        <v>8.3455264195427356E-2</v>
      </c>
      <c r="B7182" s="31"/>
      <c r="C7182" s="2" t="s">
        <v>855</v>
      </c>
      <c r="D7182" s="31">
        <f t="shared" si="206"/>
        <v>1.6357231782303763E-2</v>
      </c>
      <c r="F7182" s="2" t="s">
        <v>822</v>
      </c>
      <c r="G7182" s="23" t="s">
        <v>902</v>
      </c>
      <c r="H7182" s="2" t="s">
        <v>822</v>
      </c>
      <c r="J7182" s="31">
        <v>70.127998399999996</v>
      </c>
      <c r="K7182" s="31">
        <v>-2.48</v>
      </c>
      <c r="L7182" s="31"/>
      <c r="M7182" s="31" t="s">
        <v>854</v>
      </c>
      <c r="N7182" s="6" t="s">
        <v>856</v>
      </c>
    </row>
    <row r="7183" spans="1:14" ht="15" customHeight="1" x14ac:dyDescent="0.2">
      <c r="A7183" s="31">
        <v>8.333304819995517E-2</v>
      </c>
      <c r="B7183" s="31"/>
      <c r="C7183" s="2" t="s">
        <v>855</v>
      </c>
      <c r="D7183" s="31">
        <f t="shared" si="206"/>
        <v>1.6333277447191215E-2</v>
      </c>
      <c r="F7183" s="2" t="s">
        <v>822</v>
      </c>
      <c r="G7183" s="23" t="s">
        <v>902</v>
      </c>
      <c r="H7183" s="2" t="s">
        <v>822</v>
      </c>
      <c r="J7183" s="31">
        <v>68.124000499999994</v>
      </c>
      <c r="K7183" s="31">
        <v>2.1960001</v>
      </c>
      <c r="L7183" s="31"/>
      <c r="M7183" s="31" t="s">
        <v>854</v>
      </c>
      <c r="N7183" s="6" t="s">
        <v>856</v>
      </c>
    </row>
    <row r="7184" spans="1:14" ht="15" customHeight="1" x14ac:dyDescent="0.2">
      <c r="A7184" s="31">
        <v>8.3101441474347504E-2</v>
      </c>
      <c r="B7184" s="31"/>
      <c r="C7184" s="2" t="s">
        <v>855</v>
      </c>
      <c r="D7184" s="31">
        <f t="shared" si="206"/>
        <v>1.6287882528972113E-2</v>
      </c>
      <c r="F7184" s="2" t="s">
        <v>822</v>
      </c>
      <c r="G7184" s="23" t="s">
        <v>902</v>
      </c>
      <c r="H7184" s="2" t="s">
        <v>822</v>
      </c>
      <c r="J7184" s="31">
        <v>75.289100599999998</v>
      </c>
      <c r="K7184" s="31">
        <v>10.209400199999999</v>
      </c>
      <c r="L7184" s="31"/>
      <c r="M7184" s="31" t="s">
        <v>854</v>
      </c>
      <c r="N7184" s="6" t="s">
        <v>856</v>
      </c>
    </row>
    <row r="7185" spans="1:14" ht="15" customHeight="1" x14ac:dyDescent="0.2">
      <c r="A7185" s="31">
        <v>8.2982974639541449E-2</v>
      </c>
      <c r="B7185" s="31"/>
      <c r="C7185" s="2" t="s">
        <v>855</v>
      </c>
      <c r="D7185" s="31">
        <f t="shared" si="206"/>
        <v>1.6264663029350125E-2</v>
      </c>
      <c r="F7185" s="2" t="s">
        <v>822</v>
      </c>
      <c r="G7185" s="23" t="s">
        <v>902</v>
      </c>
      <c r="H7185" s="2" t="s">
        <v>822</v>
      </c>
      <c r="J7185" s="31">
        <v>66.788002000000006</v>
      </c>
      <c r="K7185" s="31">
        <v>-11.1639996</v>
      </c>
      <c r="L7185" s="31"/>
      <c r="M7185" s="31" t="s">
        <v>854</v>
      </c>
      <c r="N7185" s="6" t="s">
        <v>856</v>
      </c>
    </row>
    <row r="7186" spans="1:14" ht="15" customHeight="1" x14ac:dyDescent="0.2">
      <c r="A7186" s="31">
        <v>8.2831432522745455E-2</v>
      </c>
      <c r="B7186" s="31"/>
      <c r="C7186" s="2" t="s">
        <v>855</v>
      </c>
      <c r="D7186" s="31">
        <f t="shared" si="206"/>
        <v>1.6234960774458108E-2</v>
      </c>
      <c r="F7186" s="2" t="s">
        <v>822</v>
      </c>
      <c r="G7186" s="23" t="s">
        <v>902</v>
      </c>
      <c r="H7186" s="2" t="s">
        <v>822</v>
      </c>
      <c r="J7186" s="31">
        <v>66.788002000000006</v>
      </c>
      <c r="K7186" s="31">
        <v>-21.851999299999999</v>
      </c>
      <c r="L7186" s="31"/>
      <c r="M7186" s="31" t="s">
        <v>854</v>
      </c>
      <c r="N7186" s="6" t="s">
        <v>856</v>
      </c>
    </row>
    <row r="7187" spans="1:14" ht="15" customHeight="1" x14ac:dyDescent="0.2">
      <c r="A7187" s="31">
        <v>8.2819744203889392E-2</v>
      </c>
      <c r="B7187" s="31"/>
      <c r="C7187" s="2" t="s">
        <v>855</v>
      </c>
      <c r="D7187" s="31">
        <f t="shared" si="206"/>
        <v>1.623266986396232E-2</v>
      </c>
      <c r="F7187" s="2" t="s">
        <v>822</v>
      </c>
      <c r="G7187" s="23" t="s">
        <v>902</v>
      </c>
      <c r="H7187" s="2" t="s">
        <v>822</v>
      </c>
      <c r="J7187" s="31">
        <v>69.856498700000003</v>
      </c>
      <c r="K7187" s="31">
        <v>3.5320000999999999</v>
      </c>
      <c r="L7187" s="31"/>
      <c r="M7187" s="31" t="s">
        <v>854</v>
      </c>
      <c r="N7187" s="6" t="s">
        <v>856</v>
      </c>
    </row>
    <row r="7188" spans="1:14" ht="15" customHeight="1" x14ac:dyDescent="0.2">
      <c r="A7188" s="31">
        <v>8.2819290054798933E-2</v>
      </c>
      <c r="B7188" s="31"/>
      <c r="C7188" s="2" t="s">
        <v>855</v>
      </c>
      <c r="D7188" s="31">
        <f t="shared" si="206"/>
        <v>1.6232580850740592E-2</v>
      </c>
      <c r="F7188" s="2" t="s">
        <v>822</v>
      </c>
      <c r="G7188" s="23" t="s">
        <v>902</v>
      </c>
      <c r="H7188" s="2" t="s">
        <v>822</v>
      </c>
      <c r="J7188" s="31">
        <v>70.552497900000006</v>
      </c>
      <c r="K7188" s="31">
        <v>19.567899700000002</v>
      </c>
      <c r="L7188" s="31"/>
      <c r="M7188" s="31" t="s">
        <v>854</v>
      </c>
      <c r="N7188" s="6" t="s">
        <v>856</v>
      </c>
    </row>
    <row r="7189" spans="1:14" ht="15" customHeight="1" x14ac:dyDescent="0.2">
      <c r="A7189" s="31">
        <v>8.2789625788706703E-2</v>
      </c>
      <c r="B7189" s="31"/>
      <c r="C7189" s="2" t="s">
        <v>855</v>
      </c>
      <c r="D7189" s="31">
        <f t="shared" si="206"/>
        <v>1.6226766654586514E-2</v>
      </c>
      <c r="F7189" s="2" t="s">
        <v>822</v>
      </c>
      <c r="G7189" s="23" t="s">
        <v>902</v>
      </c>
      <c r="H7189" s="2" t="s">
        <v>822</v>
      </c>
      <c r="J7189" s="31">
        <v>70.5404968</v>
      </c>
      <c r="K7189" s="31">
        <v>20.9120998</v>
      </c>
      <c r="L7189" s="31"/>
      <c r="M7189" s="31" t="s">
        <v>854</v>
      </c>
      <c r="N7189" s="6" t="s">
        <v>856</v>
      </c>
    </row>
    <row r="7190" spans="1:14" ht="15" customHeight="1" x14ac:dyDescent="0.2">
      <c r="A7190" s="31">
        <v>8.2696222529599364E-2</v>
      </c>
      <c r="B7190" s="31"/>
      <c r="C7190" s="2" t="s">
        <v>855</v>
      </c>
      <c r="D7190" s="31">
        <f t="shared" si="206"/>
        <v>1.6208459615801477E-2</v>
      </c>
      <c r="F7190" s="2" t="s">
        <v>822</v>
      </c>
      <c r="G7190" s="23" t="s">
        <v>902</v>
      </c>
      <c r="H7190" s="2" t="s">
        <v>822</v>
      </c>
      <c r="J7190" s="31">
        <v>67.456001299999997</v>
      </c>
      <c r="K7190" s="31">
        <v>4.1999997999999996</v>
      </c>
      <c r="L7190" s="31"/>
      <c r="M7190" s="31" t="s">
        <v>854</v>
      </c>
      <c r="N7190" s="6" t="s">
        <v>856</v>
      </c>
    </row>
    <row r="7191" spans="1:14" ht="15" customHeight="1" x14ac:dyDescent="0.2">
      <c r="A7191" s="31">
        <v>8.2517933090875392E-2</v>
      </c>
      <c r="B7191" s="31"/>
      <c r="C7191" s="2" t="s">
        <v>855</v>
      </c>
      <c r="D7191" s="31">
        <f t="shared" si="206"/>
        <v>1.6173514885811577E-2</v>
      </c>
      <c r="F7191" s="2" t="s">
        <v>822</v>
      </c>
      <c r="G7191" s="23" t="s">
        <v>902</v>
      </c>
      <c r="H7191" s="2" t="s">
        <v>822</v>
      </c>
      <c r="J7191" s="31">
        <v>69.3887024</v>
      </c>
      <c r="K7191" s="31">
        <v>3.5320000999999999</v>
      </c>
      <c r="L7191" s="31"/>
      <c r="M7191" s="31" t="s">
        <v>854</v>
      </c>
      <c r="N7191" s="6" t="s">
        <v>856</v>
      </c>
    </row>
    <row r="7192" spans="1:14" ht="15" customHeight="1" x14ac:dyDescent="0.2">
      <c r="A7192" s="31">
        <v>8.2261900290268933E-2</v>
      </c>
      <c r="B7192" s="31"/>
      <c r="C7192" s="2" t="s">
        <v>855</v>
      </c>
      <c r="D7192" s="31">
        <f t="shared" si="206"/>
        <v>1.6123332456892712E-2</v>
      </c>
      <c r="F7192" s="2" t="s">
        <v>822</v>
      </c>
      <c r="G7192" s="23" t="s">
        <v>902</v>
      </c>
      <c r="H7192" s="2" t="s">
        <v>822</v>
      </c>
      <c r="J7192" s="31">
        <v>64.818702700000003</v>
      </c>
      <c r="K7192" s="31">
        <v>-9.8429499000000007</v>
      </c>
      <c r="L7192" s="31"/>
      <c r="M7192" s="31" t="s">
        <v>854</v>
      </c>
      <c r="N7192" s="6" t="s">
        <v>856</v>
      </c>
    </row>
    <row r="7193" spans="1:14" ht="15" customHeight="1" x14ac:dyDescent="0.2">
      <c r="A7193" s="31">
        <v>8.2250923737589091E-2</v>
      </c>
      <c r="B7193" s="31"/>
      <c r="C7193" s="2" t="s">
        <v>855</v>
      </c>
      <c r="D7193" s="31">
        <f t="shared" si="206"/>
        <v>1.6121181052567463E-2</v>
      </c>
      <c r="F7193" s="2" t="s">
        <v>822</v>
      </c>
      <c r="G7193" s="23" t="s">
        <v>902</v>
      </c>
      <c r="H7193" s="2" t="s">
        <v>822</v>
      </c>
      <c r="J7193" s="31">
        <v>71.141601600000001</v>
      </c>
      <c r="K7193" s="31">
        <v>-16.240299199999999</v>
      </c>
      <c r="L7193" s="31"/>
      <c r="M7193" s="31" t="s">
        <v>854</v>
      </c>
      <c r="N7193" s="6" t="s">
        <v>856</v>
      </c>
    </row>
    <row r="7194" spans="1:14" ht="15" customHeight="1" x14ac:dyDescent="0.2">
      <c r="A7194" s="31">
        <v>8.2172852952362832E-2</v>
      </c>
      <c r="B7194" s="31"/>
      <c r="C7194" s="2" t="s">
        <v>855</v>
      </c>
      <c r="D7194" s="31">
        <f t="shared" si="206"/>
        <v>1.6105879178663116E-2</v>
      </c>
      <c r="F7194" s="2" t="s">
        <v>822</v>
      </c>
      <c r="G7194" s="23" t="s">
        <v>902</v>
      </c>
      <c r="H7194" s="2" t="s">
        <v>822</v>
      </c>
      <c r="J7194" s="31">
        <v>69.726097100000004</v>
      </c>
      <c r="K7194" s="31">
        <v>49.120700800000002</v>
      </c>
      <c r="L7194" s="31"/>
      <c r="M7194" s="31" t="s">
        <v>854</v>
      </c>
      <c r="N7194" s="6" t="s">
        <v>856</v>
      </c>
    </row>
    <row r="7195" spans="1:14" ht="15" customHeight="1" x14ac:dyDescent="0.2">
      <c r="A7195" s="31">
        <v>8.1903065713950743E-2</v>
      </c>
      <c r="B7195" s="31"/>
      <c r="C7195" s="2" t="s">
        <v>855</v>
      </c>
      <c r="D7195" s="31">
        <f t="shared" si="206"/>
        <v>1.6053000879934345E-2</v>
      </c>
      <c r="F7195" s="2" t="s">
        <v>822</v>
      </c>
      <c r="G7195" s="23" t="s">
        <v>902</v>
      </c>
      <c r="H7195" s="2" t="s">
        <v>822</v>
      </c>
      <c r="J7195" s="31">
        <v>62.779998800000001</v>
      </c>
      <c r="K7195" s="31">
        <v>-2.48</v>
      </c>
      <c r="L7195" s="31"/>
      <c r="M7195" s="31" t="s">
        <v>854</v>
      </c>
      <c r="N7195" s="6" t="s">
        <v>856</v>
      </c>
    </row>
    <row r="7196" spans="1:14" ht="15" customHeight="1" x14ac:dyDescent="0.2">
      <c r="A7196" s="31">
        <v>8.1897653018116717E-2</v>
      </c>
      <c r="B7196" s="31"/>
      <c r="C7196" s="2" t="s">
        <v>855</v>
      </c>
      <c r="D7196" s="31">
        <f t="shared" si="206"/>
        <v>1.6051939991550877E-2</v>
      </c>
      <c r="F7196" s="2" t="s">
        <v>822</v>
      </c>
      <c r="G7196" s="23" t="s">
        <v>902</v>
      </c>
      <c r="H7196" s="2" t="s">
        <v>822</v>
      </c>
      <c r="J7196" s="31">
        <v>70.795997600000007</v>
      </c>
      <c r="K7196" s="31">
        <v>-14.5039997</v>
      </c>
      <c r="L7196" s="31"/>
      <c r="M7196" s="31" t="s">
        <v>854</v>
      </c>
      <c r="N7196" s="6" t="s">
        <v>856</v>
      </c>
    </row>
    <row r="7197" spans="1:14" ht="15" customHeight="1" x14ac:dyDescent="0.2">
      <c r="A7197" s="31">
        <v>8.1751338989217881E-2</v>
      </c>
      <c r="B7197" s="31"/>
      <c r="C7197" s="2" t="s">
        <v>855</v>
      </c>
      <c r="D7197" s="31">
        <f t="shared" si="206"/>
        <v>1.6023262441886704E-2</v>
      </c>
      <c r="F7197" s="2" t="s">
        <v>822</v>
      </c>
      <c r="G7197" s="23" t="s">
        <v>902</v>
      </c>
      <c r="H7197" s="2" t="s">
        <v>822</v>
      </c>
      <c r="J7197" s="31">
        <v>64.783996599999995</v>
      </c>
      <c r="K7197" s="31">
        <v>0.86</v>
      </c>
      <c r="L7197" s="31"/>
      <c r="M7197" s="31" t="s">
        <v>854</v>
      </c>
      <c r="N7197" s="6" t="s">
        <v>856</v>
      </c>
    </row>
    <row r="7198" spans="1:14" ht="15" customHeight="1" x14ac:dyDescent="0.2">
      <c r="A7198" s="31">
        <v>8.1690408479367413E-2</v>
      </c>
      <c r="B7198" s="31"/>
      <c r="C7198" s="2" t="s">
        <v>855</v>
      </c>
      <c r="D7198" s="31">
        <f t="shared" si="206"/>
        <v>1.6011320061956012E-2</v>
      </c>
      <c r="F7198" s="2" t="s">
        <v>822</v>
      </c>
      <c r="G7198" s="23" t="s">
        <v>902</v>
      </c>
      <c r="H7198" s="2" t="s">
        <v>822</v>
      </c>
      <c r="J7198" s="31">
        <v>66.120002700000001</v>
      </c>
      <c r="K7198" s="31">
        <v>1.528</v>
      </c>
      <c r="L7198" s="31"/>
      <c r="M7198" s="31" t="s">
        <v>854</v>
      </c>
      <c r="N7198" s="6" t="s">
        <v>856</v>
      </c>
    </row>
    <row r="7199" spans="1:14" ht="15" customHeight="1" x14ac:dyDescent="0.2">
      <c r="A7199" s="31">
        <v>8.1676216610845079E-2</v>
      </c>
      <c r="B7199" s="31"/>
      <c r="C7199" s="2" t="s">
        <v>855</v>
      </c>
      <c r="D7199" s="31">
        <f t="shared" si="206"/>
        <v>1.6008538455725637E-2</v>
      </c>
      <c r="F7199" s="2" t="s">
        <v>822</v>
      </c>
      <c r="G7199" s="23" t="s">
        <v>902</v>
      </c>
      <c r="H7199" s="2" t="s">
        <v>822</v>
      </c>
      <c r="J7199" s="31">
        <v>66.120002700000001</v>
      </c>
      <c r="K7199" s="31">
        <v>-9.1599997999999996</v>
      </c>
      <c r="L7199" s="31"/>
      <c r="M7199" s="31" t="s">
        <v>854</v>
      </c>
      <c r="N7199" s="6" t="s">
        <v>856</v>
      </c>
    </row>
    <row r="7200" spans="1:14" ht="15" customHeight="1" x14ac:dyDescent="0.2">
      <c r="A7200" s="31">
        <v>8.1635851408745339E-2</v>
      </c>
      <c r="B7200" s="31"/>
      <c r="C7200" s="2" t="s">
        <v>855</v>
      </c>
      <c r="D7200" s="31">
        <f t="shared" si="206"/>
        <v>1.6000626876114088E-2</v>
      </c>
      <c r="F7200" s="2" t="s">
        <v>822</v>
      </c>
      <c r="G7200" s="23" t="s">
        <v>902</v>
      </c>
      <c r="H7200" s="2" t="s">
        <v>822</v>
      </c>
      <c r="J7200" s="31">
        <v>66.597297699999999</v>
      </c>
      <c r="K7200" s="31">
        <v>-27.161899600000002</v>
      </c>
      <c r="L7200" s="31"/>
      <c r="M7200" s="31" t="s">
        <v>854</v>
      </c>
      <c r="N7200" s="6" t="s">
        <v>856</v>
      </c>
    </row>
    <row r="7201" spans="1:14" ht="15" customHeight="1" x14ac:dyDescent="0.2">
      <c r="A7201" s="31">
        <v>8.1594746321091274E-2</v>
      </c>
      <c r="B7201" s="31"/>
      <c r="C7201" s="2" t="s">
        <v>855</v>
      </c>
      <c r="D7201" s="31">
        <f t="shared" si="206"/>
        <v>1.5992570278933891E-2</v>
      </c>
      <c r="F7201" s="2" t="s">
        <v>822</v>
      </c>
      <c r="G7201" s="23" t="s">
        <v>902</v>
      </c>
      <c r="H7201" s="2" t="s">
        <v>822</v>
      </c>
      <c r="J7201" s="31">
        <v>65.768699600000005</v>
      </c>
      <c r="K7201" s="31">
        <v>-14.8563004</v>
      </c>
      <c r="L7201" s="31"/>
      <c r="M7201" s="31" t="s">
        <v>854</v>
      </c>
      <c r="N7201" s="6" t="s">
        <v>856</v>
      </c>
    </row>
    <row r="7202" spans="1:14" ht="15" customHeight="1" x14ac:dyDescent="0.2">
      <c r="A7202" s="31">
        <v>8.1583505165790132E-2</v>
      </c>
      <c r="B7202" s="31"/>
      <c r="C7202" s="2" t="s">
        <v>855</v>
      </c>
      <c r="D7202" s="31">
        <f t="shared" si="206"/>
        <v>1.5990367012494868E-2</v>
      </c>
      <c r="F7202" s="2" t="s">
        <v>822</v>
      </c>
      <c r="G7202" s="23" t="s">
        <v>902</v>
      </c>
      <c r="H7202" s="2" t="s">
        <v>822</v>
      </c>
      <c r="J7202" s="31">
        <v>72.800003099999998</v>
      </c>
      <c r="K7202" s="31">
        <v>14.887999499999999</v>
      </c>
      <c r="L7202" s="31"/>
      <c r="M7202" s="31" t="s">
        <v>854</v>
      </c>
      <c r="N7202" s="6" t="s">
        <v>856</v>
      </c>
    </row>
    <row r="7203" spans="1:14" ht="15" customHeight="1" x14ac:dyDescent="0.2">
      <c r="A7203" s="31">
        <v>8.1489811126486067E-2</v>
      </c>
      <c r="B7203" s="31"/>
      <c r="C7203" s="2" t="s">
        <v>855</v>
      </c>
      <c r="D7203" s="31">
        <f t="shared" si="206"/>
        <v>1.597200298079127E-2</v>
      </c>
      <c r="F7203" s="2" t="s">
        <v>822</v>
      </c>
      <c r="G7203" s="23" t="s">
        <v>902</v>
      </c>
      <c r="H7203" s="2" t="s">
        <v>822</v>
      </c>
      <c r="J7203" s="31">
        <v>70.795997600000007</v>
      </c>
      <c r="K7203" s="31">
        <v>16.647800400000001</v>
      </c>
      <c r="L7203" s="31"/>
      <c r="M7203" s="31" t="s">
        <v>854</v>
      </c>
      <c r="N7203" s="6" t="s">
        <v>856</v>
      </c>
    </row>
    <row r="7204" spans="1:14" ht="15" customHeight="1" x14ac:dyDescent="0.2">
      <c r="A7204" s="31">
        <v>8.1459262345883646E-2</v>
      </c>
      <c r="B7204" s="31"/>
      <c r="C7204" s="2" t="s">
        <v>855</v>
      </c>
      <c r="D7204" s="31">
        <f t="shared" si="206"/>
        <v>1.5966015419793197E-2</v>
      </c>
      <c r="F7204" s="2" t="s">
        <v>822</v>
      </c>
      <c r="G7204" s="23" t="s">
        <v>902</v>
      </c>
      <c r="H7204" s="2" t="s">
        <v>822</v>
      </c>
      <c r="J7204" s="31">
        <v>68.791999799999999</v>
      </c>
      <c r="K7204" s="31">
        <v>4.8680000000000003</v>
      </c>
      <c r="L7204" s="31"/>
      <c r="M7204" s="31" t="s">
        <v>854</v>
      </c>
      <c r="N7204" s="6" t="s">
        <v>856</v>
      </c>
    </row>
    <row r="7205" spans="1:14" ht="15" customHeight="1" x14ac:dyDescent="0.2">
      <c r="A7205" s="31">
        <v>8.1020175718532844E-2</v>
      </c>
      <c r="B7205" s="31"/>
      <c r="C7205" s="2" t="s">
        <v>855</v>
      </c>
      <c r="D7205" s="31">
        <f t="shared" si="206"/>
        <v>1.5879954440832438E-2</v>
      </c>
      <c r="F7205" s="2" t="s">
        <v>822</v>
      </c>
      <c r="G7205" s="23" t="s">
        <v>902</v>
      </c>
      <c r="H7205" s="2" t="s">
        <v>822</v>
      </c>
      <c r="J7205" s="31">
        <v>70.127998399999996</v>
      </c>
      <c r="K7205" s="31">
        <v>-11.8319998</v>
      </c>
      <c r="L7205" s="31"/>
      <c r="M7205" s="31" t="s">
        <v>854</v>
      </c>
      <c r="N7205" s="6" t="s">
        <v>856</v>
      </c>
    </row>
    <row r="7206" spans="1:14" ht="15" customHeight="1" x14ac:dyDescent="0.2">
      <c r="A7206" s="31">
        <v>8.1013914763662057E-2</v>
      </c>
      <c r="B7206" s="31"/>
      <c r="C7206" s="2" t="s">
        <v>855</v>
      </c>
      <c r="D7206" s="31">
        <f t="shared" si="206"/>
        <v>1.5878727293677765E-2</v>
      </c>
      <c r="F7206" s="2" t="s">
        <v>822</v>
      </c>
      <c r="G7206" s="23" t="s">
        <v>902</v>
      </c>
      <c r="H7206" s="2" t="s">
        <v>822</v>
      </c>
      <c r="J7206" s="31">
        <v>71.463996899999998</v>
      </c>
      <c r="K7206" s="31">
        <v>0.192</v>
      </c>
      <c r="L7206" s="31"/>
      <c r="M7206" s="31" t="s">
        <v>854</v>
      </c>
      <c r="N7206" s="6" t="s">
        <v>856</v>
      </c>
    </row>
    <row r="7207" spans="1:14" ht="15" customHeight="1" x14ac:dyDescent="0.2">
      <c r="A7207" s="31">
        <v>8.0982076781473039E-2</v>
      </c>
      <c r="B7207" s="31"/>
      <c r="C7207" s="2" t="s">
        <v>855</v>
      </c>
      <c r="D7207" s="31">
        <f t="shared" si="206"/>
        <v>1.5872487049168715E-2</v>
      </c>
      <c r="F7207" s="2" t="s">
        <v>822</v>
      </c>
      <c r="G7207" s="23" t="s">
        <v>902</v>
      </c>
      <c r="H7207" s="2" t="s">
        <v>822</v>
      </c>
      <c r="J7207" s="31">
        <v>74.1360016</v>
      </c>
      <c r="K7207" s="31">
        <v>13.552</v>
      </c>
      <c r="L7207" s="31"/>
      <c r="M7207" s="31" t="s">
        <v>854</v>
      </c>
      <c r="N7207" s="6" t="s">
        <v>856</v>
      </c>
    </row>
    <row r="7208" spans="1:14" ht="15" customHeight="1" x14ac:dyDescent="0.2">
      <c r="A7208" s="31">
        <v>8.0968241799728474E-2</v>
      </c>
      <c r="B7208" s="31"/>
      <c r="C7208" s="2" t="s">
        <v>855</v>
      </c>
      <c r="D7208" s="31">
        <f t="shared" si="206"/>
        <v>1.5869775392746782E-2</v>
      </c>
      <c r="F7208" s="2" t="s">
        <v>822</v>
      </c>
      <c r="G7208" s="23" t="s">
        <v>902</v>
      </c>
      <c r="H7208" s="2" t="s">
        <v>822</v>
      </c>
      <c r="J7208" s="31">
        <v>70.127998399999996</v>
      </c>
      <c r="K7208" s="31">
        <v>13.552</v>
      </c>
      <c r="L7208" s="31"/>
      <c r="M7208" s="31" t="s">
        <v>854</v>
      </c>
      <c r="N7208" s="6" t="s">
        <v>856</v>
      </c>
    </row>
    <row r="7209" spans="1:14" ht="15" customHeight="1" x14ac:dyDescent="0.2">
      <c r="A7209" s="31">
        <v>8.0964345003174162E-2</v>
      </c>
      <c r="B7209" s="31"/>
      <c r="C7209" s="2" t="s">
        <v>855</v>
      </c>
      <c r="D7209" s="31">
        <f t="shared" si="206"/>
        <v>1.5869011620622136E-2</v>
      </c>
      <c r="F7209" s="2" t="s">
        <v>822</v>
      </c>
      <c r="G7209" s="23" t="s">
        <v>902</v>
      </c>
      <c r="H7209" s="2" t="s">
        <v>822</v>
      </c>
      <c r="J7209" s="31">
        <v>73.468002299999995</v>
      </c>
      <c r="K7209" s="31">
        <v>10.8800001</v>
      </c>
      <c r="L7209" s="31"/>
      <c r="M7209" s="31" t="s">
        <v>854</v>
      </c>
      <c r="N7209" s="6" t="s">
        <v>856</v>
      </c>
    </row>
    <row r="7210" spans="1:14" ht="15" customHeight="1" x14ac:dyDescent="0.2">
      <c r="A7210" s="31">
        <v>8.0849464571686819E-2</v>
      </c>
      <c r="B7210" s="31"/>
      <c r="C7210" s="2" t="s">
        <v>855</v>
      </c>
      <c r="D7210" s="31">
        <f t="shared" si="206"/>
        <v>1.5846495056050618E-2</v>
      </c>
      <c r="F7210" s="2" t="s">
        <v>822</v>
      </c>
      <c r="G7210" s="23" t="s">
        <v>902</v>
      </c>
      <c r="H7210" s="2" t="s">
        <v>822</v>
      </c>
      <c r="J7210" s="31">
        <v>72.132003800000007</v>
      </c>
      <c r="K7210" s="31">
        <v>8.8760004000000006</v>
      </c>
      <c r="L7210" s="31"/>
      <c r="M7210" s="31" t="s">
        <v>854</v>
      </c>
      <c r="N7210" s="6" t="s">
        <v>856</v>
      </c>
    </row>
    <row r="7211" spans="1:14" ht="15" customHeight="1" x14ac:dyDescent="0.2">
      <c r="A7211" s="31">
        <v>8.0812559741140752E-2</v>
      </c>
      <c r="B7211" s="31"/>
      <c r="C7211" s="2" t="s">
        <v>855</v>
      </c>
      <c r="D7211" s="31">
        <f t="shared" si="206"/>
        <v>1.5839261709263589E-2</v>
      </c>
      <c r="F7211" s="2" t="s">
        <v>822</v>
      </c>
      <c r="G7211" s="23" t="s">
        <v>902</v>
      </c>
      <c r="H7211" s="2" t="s">
        <v>822</v>
      </c>
      <c r="J7211" s="31">
        <v>67.456001299999997</v>
      </c>
      <c r="K7211" s="31">
        <v>-9.8280001000000006</v>
      </c>
      <c r="L7211" s="31"/>
      <c r="M7211" s="31" t="s">
        <v>854</v>
      </c>
      <c r="N7211" s="6" t="s">
        <v>856</v>
      </c>
    </row>
    <row r="7212" spans="1:14" ht="15" customHeight="1" x14ac:dyDescent="0.2">
      <c r="A7212" s="31">
        <v>8.0657887064676442E-2</v>
      </c>
      <c r="B7212" s="31"/>
      <c r="C7212" s="2" t="s">
        <v>855</v>
      </c>
      <c r="D7212" s="31">
        <f t="shared" si="206"/>
        <v>1.5808945864676582E-2</v>
      </c>
      <c r="F7212" s="2" t="s">
        <v>822</v>
      </c>
      <c r="G7212" s="23" t="s">
        <v>902</v>
      </c>
      <c r="H7212" s="2" t="s">
        <v>822</v>
      </c>
      <c r="J7212" s="31">
        <v>71.893798799999999</v>
      </c>
      <c r="K7212" s="31">
        <v>-15.1260996</v>
      </c>
      <c r="L7212" s="31"/>
      <c r="M7212" s="31" t="s">
        <v>854</v>
      </c>
      <c r="N7212" s="6" t="s">
        <v>856</v>
      </c>
    </row>
    <row r="7213" spans="1:14" ht="15" customHeight="1" x14ac:dyDescent="0.2">
      <c r="A7213" s="31">
        <v>8.0641431946771785E-2</v>
      </c>
      <c r="B7213" s="31"/>
      <c r="C7213" s="2" t="s">
        <v>855</v>
      </c>
      <c r="D7213" s="31">
        <f t="shared" si="206"/>
        <v>1.5805720661567272E-2</v>
      </c>
      <c r="F7213" s="2" t="s">
        <v>822</v>
      </c>
      <c r="G7213" s="23" t="s">
        <v>902</v>
      </c>
      <c r="H7213" s="2" t="s">
        <v>822</v>
      </c>
      <c r="J7213" s="31">
        <v>64.783996599999995</v>
      </c>
      <c r="K7213" s="31">
        <v>-7.8239998999999996</v>
      </c>
      <c r="L7213" s="31"/>
      <c r="M7213" s="31" t="s">
        <v>854</v>
      </c>
      <c r="N7213" s="6" t="s">
        <v>856</v>
      </c>
    </row>
    <row r="7214" spans="1:14" ht="15" customHeight="1" x14ac:dyDescent="0.2">
      <c r="A7214" s="31">
        <v>8.058448508125228E-2</v>
      </c>
      <c r="B7214" s="31"/>
      <c r="C7214" s="2" t="s">
        <v>855</v>
      </c>
      <c r="D7214" s="31">
        <f t="shared" si="206"/>
        <v>1.5794559075925446E-2</v>
      </c>
      <c r="F7214" s="2" t="s">
        <v>822</v>
      </c>
      <c r="G7214" s="23" t="s">
        <v>902</v>
      </c>
      <c r="H7214" s="2" t="s">
        <v>822</v>
      </c>
      <c r="J7214" s="31">
        <v>67.956703200000007</v>
      </c>
      <c r="K7214" s="31">
        <v>-6.1936401999999999</v>
      </c>
      <c r="L7214" s="31"/>
      <c r="M7214" s="31" t="s">
        <v>854</v>
      </c>
      <c r="N7214" s="6" t="s">
        <v>856</v>
      </c>
    </row>
    <row r="7215" spans="1:14" ht="15" customHeight="1" x14ac:dyDescent="0.2">
      <c r="A7215" s="31">
        <v>8.0579669019679889E-2</v>
      </c>
      <c r="B7215" s="31"/>
      <c r="C7215" s="2" t="s">
        <v>855</v>
      </c>
      <c r="D7215" s="31">
        <f t="shared" si="206"/>
        <v>1.579361512785726E-2</v>
      </c>
      <c r="F7215" s="2" t="s">
        <v>822</v>
      </c>
      <c r="G7215" s="23" t="s">
        <v>902</v>
      </c>
      <c r="H7215" s="2" t="s">
        <v>822</v>
      </c>
      <c r="J7215" s="31">
        <v>71.463996899999998</v>
      </c>
      <c r="K7215" s="31">
        <v>3.5320000999999999</v>
      </c>
      <c r="L7215" s="31"/>
      <c r="M7215" s="31" t="s">
        <v>854</v>
      </c>
      <c r="N7215" s="6" t="s">
        <v>856</v>
      </c>
    </row>
    <row r="7216" spans="1:14" ht="15" customHeight="1" x14ac:dyDescent="0.2">
      <c r="A7216" s="31">
        <v>8.0550922828746027E-2</v>
      </c>
      <c r="B7216" s="31"/>
      <c r="C7216" s="2" t="s">
        <v>855</v>
      </c>
      <c r="D7216" s="31">
        <f t="shared" si="206"/>
        <v>1.5787980874434223E-2</v>
      </c>
      <c r="F7216" s="2" t="s">
        <v>822</v>
      </c>
      <c r="G7216" s="23" t="s">
        <v>902</v>
      </c>
      <c r="H7216" s="2" t="s">
        <v>822</v>
      </c>
      <c r="J7216" s="31">
        <v>72.132003800000007</v>
      </c>
      <c r="K7216" s="31">
        <v>-2.48</v>
      </c>
      <c r="L7216" s="31"/>
      <c r="M7216" s="31" t="s">
        <v>854</v>
      </c>
      <c r="N7216" s="6" t="s">
        <v>856</v>
      </c>
    </row>
    <row r="7217" spans="1:14" ht="15" customHeight="1" x14ac:dyDescent="0.2">
      <c r="A7217" s="31">
        <v>8.0531506270013764E-2</v>
      </c>
      <c r="B7217" s="31"/>
      <c r="C7217" s="2" t="s">
        <v>855</v>
      </c>
      <c r="D7217" s="31">
        <f t="shared" si="206"/>
        <v>1.5784175228922698E-2</v>
      </c>
      <c r="F7217" s="2" t="s">
        <v>822</v>
      </c>
      <c r="G7217" s="23" t="s">
        <v>902</v>
      </c>
      <c r="H7217" s="2" t="s">
        <v>822</v>
      </c>
      <c r="J7217" s="31">
        <v>69.459999100000005</v>
      </c>
      <c r="K7217" s="31">
        <v>6.8720001999999996</v>
      </c>
      <c r="L7217" s="31"/>
      <c r="M7217" s="31" t="s">
        <v>854</v>
      </c>
      <c r="N7217" s="6" t="s">
        <v>856</v>
      </c>
    </row>
    <row r="7218" spans="1:14" ht="15" customHeight="1" x14ac:dyDescent="0.2">
      <c r="A7218" s="31">
        <v>8.0492456644453328E-2</v>
      </c>
      <c r="B7218" s="31"/>
      <c r="C7218" s="2" t="s">
        <v>855</v>
      </c>
      <c r="D7218" s="31">
        <f t="shared" si="206"/>
        <v>1.5776521502312853E-2</v>
      </c>
      <c r="F7218" s="2" t="s">
        <v>822</v>
      </c>
      <c r="G7218" s="23" t="s">
        <v>902</v>
      </c>
      <c r="H7218" s="2" t="s">
        <v>822</v>
      </c>
      <c r="J7218" s="31">
        <v>68.124000499999994</v>
      </c>
      <c r="K7218" s="31">
        <v>-9.1599997999999996</v>
      </c>
      <c r="L7218" s="31"/>
      <c r="M7218" s="31" t="s">
        <v>854</v>
      </c>
      <c r="N7218" s="6" t="s">
        <v>856</v>
      </c>
    </row>
    <row r="7219" spans="1:14" ht="15" customHeight="1" x14ac:dyDescent="0.2">
      <c r="A7219" s="31">
        <v>8.0485116675665519E-2</v>
      </c>
      <c r="B7219" s="31"/>
      <c r="C7219" s="2" t="s">
        <v>855</v>
      </c>
      <c r="D7219" s="31">
        <f t="shared" si="206"/>
        <v>1.5775082868430441E-2</v>
      </c>
      <c r="F7219" s="2" t="s">
        <v>822</v>
      </c>
      <c r="G7219" s="23" t="s">
        <v>902</v>
      </c>
      <c r="H7219" s="2" t="s">
        <v>822</v>
      </c>
      <c r="J7219" s="31">
        <v>64.783996599999995</v>
      </c>
      <c r="K7219" s="31">
        <v>-5.8200002</v>
      </c>
      <c r="L7219" s="31"/>
      <c r="M7219" s="31" t="s">
        <v>854</v>
      </c>
      <c r="N7219" s="6" t="s">
        <v>856</v>
      </c>
    </row>
    <row r="7220" spans="1:14" ht="15" customHeight="1" x14ac:dyDescent="0.2">
      <c r="A7220" s="31">
        <v>8.0436567536433634E-2</v>
      </c>
      <c r="B7220" s="31"/>
      <c r="C7220" s="2" t="s">
        <v>855</v>
      </c>
      <c r="D7220" s="31">
        <f t="shared" si="206"/>
        <v>1.5765567237140992E-2</v>
      </c>
      <c r="F7220" s="2" t="s">
        <v>822</v>
      </c>
      <c r="G7220" s="23" t="s">
        <v>902</v>
      </c>
      <c r="H7220" s="2" t="s">
        <v>822</v>
      </c>
      <c r="J7220" s="31">
        <v>70.127998399999996</v>
      </c>
      <c r="K7220" s="31">
        <v>14.220000300000001</v>
      </c>
      <c r="L7220" s="31"/>
      <c r="M7220" s="31" t="s">
        <v>854</v>
      </c>
      <c r="N7220" s="6" t="s">
        <v>856</v>
      </c>
    </row>
    <row r="7221" spans="1:14" ht="15" customHeight="1" x14ac:dyDescent="0.2">
      <c r="A7221" s="31">
        <v>8.0358029897807826E-2</v>
      </c>
      <c r="B7221" s="31"/>
      <c r="C7221" s="2" t="s">
        <v>855</v>
      </c>
      <c r="D7221" s="31">
        <f t="shared" si="206"/>
        <v>1.5750173859970334E-2</v>
      </c>
      <c r="F7221" s="2" t="s">
        <v>822</v>
      </c>
      <c r="G7221" s="23" t="s">
        <v>902</v>
      </c>
      <c r="H7221" s="2" t="s">
        <v>822</v>
      </c>
      <c r="J7221" s="31">
        <v>71.075103799999994</v>
      </c>
      <c r="K7221" s="31">
        <v>27.5387001</v>
      </c>
      <c r="L7221" s="31"/>
      <c r="M7221" s="31" t="s">
        <v>854</v>
      </c>
      <c r="N7221" s="6" t="s">
        <v>856</v>
      </c>
    </row>
    <row r="7222" spans="1:14" ht="15" customHeight="1" x14ac:dyDescent="0.2">
      <c r="A7222" s="31">
        <v>8.0307042798082248E-2</v>
      </c>
      <c r="B7222" s="31"/>
      <c r="C7222" s="2" t="s">
        <v>855</v>
      </c>
      <c r="D7222" s="31">
        <f t="shared" si="206"/>
        <v>1.5740180388424122E-2</v>
      </c>
      <c r="F7222" s="2" t="s">
        <v>822</v>
      </c>
      <c r="G7222" s="23" t="s">
        <v>902</v>
      </c>
      <c r="H7222" s="2" t="s">
        <v>822</v>
      </c>
      <c r="J7222" s="31">
        <v>72.132003800000007</v>
      </c>
      <c r="K7222" s="31">
        <v>12.2159996</v>
      </c>
      <c r="L7222" s="31"/>
      <c r="M7222" s="31" t="s">
        <v>854</v>
      </c>
      <c r="N7222" s="6" t="s">
        <v>856</v>
      </c>
    </row>
    <row r="7223" spans="1:14" ht="15" customHeight="1" x14ac:dyDescent="0.2">
      <c r="A7223" s="31">
        <v>8.0286136759123466E-2</v>
      </c>
      <c r="B7223" s="31"/>
      <c r="C7223" s="2" t="s">
        <v>855</v>
      </c>
      <c r="D7223" s="31">
        <f t="shared" si="206"/>
        <v>1.57360828047882E-2</v>
      </c>
      <c r="F7223" s="2" t="s">
        <v>822</v>
      </c>
      <c r="G7223" s="23" t="s">
        <v>902</v>
      </c>
      <c r="H7223" s="2" t="s">
        <v>822</v>
      </c>
      <c r="J7223" s="31">
        <v>60.108001700000003</v>
      </c>
      <c r="K7223" s="31">
        <v>-33.208000200000001</v>
      </c>
      <c r="L7223" s="31"/>
      <c r="M7223" s="31" t="s">
        <v>854</v>
      </c>
      <c r="N7223" s="6" t="s">
        <v>856</v>
      </c>
    </row>
    <row r="7224" spans="1:14" ht="15" customHeight="1" x14ac:dyDescent="0.2">
      <c r="A7224" s="31">
        <v>8.0246852705071217E-2</v>
      </c>
      <c r="B7224" s="31"/>
      <c r="C7224" s="2" t="s">
        <v>855</v>
      </c>
      <c r="D7224" s="31">
        <f t="shared" si="206"/>
        <v>1.5728383130193958E-2</v>
      </c>
      <c r="F7224" s="2" t="s">
        <v>822</v>
      </c>
      <c r="G7224" s="23" t="s">
        <v>902</v>
      </c>
      <c r="H7224" s="2" t="s">
        <v>822</v>
      </c>
      <c r="J7224" s="31">
        <v>71.463996899999998</v>
      </c>
      <c r="K7224" s="31">
        <v>1.528</v>
      </c>
      <c r="L7224" s="31"/>
      <c r="M7224" s="31" t="s">
        <v>854</v>
      </c>
      <c r="N7224" s="6" t="s">
        <v>856</v>
      </c>
    </row>
    <row r="7225" spans="1:14" ht="15" customHeight="1" x14ac:dyDescent="0.2">
      <c r="A7225" s="31">
        <v>8.0200553802803581E-2</v>
      </c>
      <c r="B7225" s="31"/>
      <c r="C7225" s="2" t="s">
        <v>855</v>
      </c>
      <c r="D7225" s="31">
        <f t="shared" si="206"/>
        <v>1.5719308545349503E-2</v>
      </c>
      <c r="F7225" s="2" t="s">
        <v>822</v>
      </c>
      <c r="G7225" s="23" t="s">
        <v>902</v>
      </c>
      <c r="H7225" s="2" t="s">
        <v>822</v>
      </c>
      <c r="J7225" s="31">
        <v>69.459999100000005</v>
      </c>
      <c r="K7225" s="31">
        <v>11.5480003</v>
      </c>
      <c r="L7225" s="31"/>
      <c r="M7225" s="31" t="s">
        <v>854</v>
      </c>
      <c r="N7225" s="6" t="s">
        <v>856</v>
      </c>
    </row>
    <row r="7226" spans="1:14" ht="15" customHeight="1" x14ac:dyDescent="0.2">
      <c r="A7226" s="31">
        <v>8.0014698785550148E-2</v>
      </c>
      <c r="B7226" s="31"/>
      <c r="C7226" s="2" t="s">
        <v>855</v>
      </c>
      <c r="D7226" s="31">
        <f t="shared" si="206"/>
        <v>1.5682880961967828E-2</v>
      </c>
      <c r="F7226" s="2" t="s">
        <v>822</v>
      </c>
      <c r="G7226" s="23" t="s">
        <v>902</v>
      </c>
      <c r="H7226" s="2" t="s">
        <v>822</v>
      </c>
      <c r="J7226" s="31">
        <v>64.115997300000004</v>
      </c>
      <c r="K7226" s="31">
        <v>-2.48</v>
      </c>
      <c r="L7226" s="31"/>
      <c r="M7226" s="31" t="s">
        <v>854</v>
      </c>
      <c r="N7226" s="6" t="s">
        <v>856</v>
      </c>
    </row>
    <row r="7227" spans="1:14" ht="15" customHeight="1" x14ac:dyDescent="0.2">
      <c r="A7227" s="31">
        <v>7.9860862937384397E-2</v>
      </c>
      <c r="B7227" s="31"/>
      <c r="C7227" s="2" t="s">
        <v>855</v>
      </c>
      <c r="D7227" s="31">
        <f t="shared" si="206"/>
        <v>1.5652729135727343E-2</v>
      </c>
      <c r="F7227" s="2" t="s">
        <v>822</v>
      </c>
      <c r="G7227" s="23" t="s">
        <v>902</v>
      </c>
      <c r="H7227" s="2" t="s">
        <v>822</v>
      </c>
      <c r="J7227" s="31">
        <v>68.789802600000002</v>
      </c>
      <c r="K7227" s="31">
        <v>-1.1349400000000001</v>
      </c>
      <c r="L7227" s="31"/>
      <c r="M7227" s="31" t="s">
        <v>854</v>
      </c>
      <c r="N7227" s="6" t="s">
        <v>856</v>
      </c>
    </row>
    <row r="7228" spans="1:14" ht="15" customHeight="1" x14ac:dyDescent="0.2">
      <c r="A7228" s="31">
        <v>7.9816826692420462E-2</v>
      </c>
      <c r="B7228" s="31"/>
      <c r="C7228" s="2" t="s">
        <v>855</v>
      </c>
      <c r="D7228" s="31">
        <f t="shared" si="206"/>
        <v>1.5644098031714411E-2</v>
      </c>
      <c r="F7228" s="2" t="s">
        <v>822</v>
      </c>
      <c r="G7228" s="23" t="s">
        <v>902</v>
      </c>
      <c r="H7228" s="2" t="s">
        <v>822</v>
      </c>
      <c r="J7228" s="31">
        <v>68.124000499999994</v>
      </c>
      <c r="K7228" s="31">
        <v>-0.47599999999999998</v>
      </c>
      <c r="L7228" s="31"/>
      <c r="M7228" s="31" t="s">
        <v>854</v>
      </c>
      <c r="N7228" s="6" t="s">
        <v>856</v>
      </c>
    </row>
    <row r="7229" spans="1:14" ht="15" customHeight="1" x14ac:dyDescent="0.2">
      <c r="A7229" s="31">
        <v>7.9695240586895463E-2</v>
      </c>
      <c r="B7229" s="31"/>
      <c r="C7229" s="2" t="s">
        <v>855</v>
      </c>
      <c r="D7229" s="31">
        <f t="shared" si="206"/>
        <v>1.5620267155031512E-2</v>
      </c>
      <c r="F7229" s="2" t="s">
        <v>822</v>
      </c>
      <c r="G7229" s="23" t="s">
        <v>902</v>
      </c>
      <c r="H7229" s="2" t="s">
        <v>822</v>
      </c>
      <c r="J7229" s="31">
        <v>65.563301100000004</v>
      </c>
      <c r="K7229" s="31">
        <v>-8.7153196000000008</v>
      </c>
      <c r="L7229" s="31"/>
      <c r="M7229" s="31" t="s">
        <v>854</v>
      </c>
      <c r="N7229" s="6" t="s">
        <v>856</v>
      </c>
    </row>
    <row r="7230" spans="1:14" ht="15" customHeight="1" x14ac:dyDescent="0.2">
      <c r="A7230" s="31">
        <v>7.9612644963042808E-2</v>
      </c>
      <c r="B7230" s="31"/>
      <c r="C7230" s="2" t="s">
        <v>855</v>
      </c>
      <c r="D7230" s="31">
        <f t="shared" si="206"/>
        <v>1.560407841275639E-2</v>
      </c>
      <c r="F7230" s="2" t="s">
        <v>822</v>
      </c>
      <c r="G7230" s="23" t="s">
        <v>902</v>
      </c>
      <c r="H7230" s="2" t="s">
        <v>822</v>
      </c>
      <c r="J7230" s="31">
        <v>68.791999799999999</v>
      </c>
      <c r="K7230" s="31">
        <v>-2.48</v>
      </c>
      <c r="L7230" s="31"/>
      <c r="M7230" s="31" t="s">
        <v>854</v>
      </c>
      <c r="N7230" s="6" t="s">
        <v>856</v>
      </c>
    </row>
    <row r="7231" spans="1:14" ht="15" customHeight="1" x14ac:dyDescent="0.2">
      <c r="A7231" s="31">
        <v>7.9499835219514564E-2</v>
      </c>
      <c r="B7231" s="31"/>
      <c r="C7231" s="2" t="s">
        <v>855</v>
      </c>
      <c r="D7231" s="31">
        <f t="shared" si="206"/>
        <v>1.5581967703024856E-2</v>
      </c>
      <c r="F7231" s="2" t="s">
        <v>822</v>
      </c>
      <c r="G7231" s="23" t="s">
        <v>902</v>
      </c>
      <c r="H7231" s="2" t="s">
        <v>822</v>
      </c>
      <c r="J7231" s="31">
        <v>70.795997600000007</v>
      </c>
      <c r="K7231" s="31">
        <v>13.552</v>
      </c>
      <c r="L7231" s="31"/>
      <c r="M7231" s="31" t="s">
        <v>854</v>
      </c>
      <c r="N7231" s="6" t="s">
        <v>856</v>
      </c>
    </row>
    <row r="7232" spans="1:14" ht="15" customHeight="1" x14ac:dyDescent="0.2">
      <c r="A7232" s="31">
        <v>7.9484429866812673E-2</v>
      </c>
      <c r="B7232" s="31"/>
      <c r="C7232" s="2" t="s">
        <v>855</v>
      </c>
      <c r="D7232" s="31">
        <f t="shared" ref="D7232:D7295" si="207" xml:space="preserve"> A7232 * 0.196</f>
        <v>1.5578948253895284E-2</v>
      </c>
      <c r="F7232" s="2" t="s">
        <v>822</v>
      </c>
      <c r="G7232" s="23" t="s">
        <v>902</v>
      </c>
      <c r="H7232" s="2" t="s">
        <v>822</v>
      </c>
      <c r="J7232" s="31">
        <v>67.456001299999997</v>
      </c>
      <c r="K7232" s="31">
        <v>2.8640001000000002</v>
      </c>
      <c r="L7232" s="31"/>
      <c r="M7232" s="31" t="s">
        <v>854</v>
      </c>
      <c r="N7232" s="6" t="s">
        <v>856</v>
      </c>
    </row>
    <row r="7233" spans="1:14" ht="15" customHeight="1" x14ac:dyDescent="0.2">
      <c r="A7233" s="31">
        <v>7.9471310214681318E-2</v>
      </c>
      <c r="B7233" s="31"/>
      <c r="C7233" s="2" t="s">
        <v>855</v>
      </c>
      <c r="D7233" s="31">
        <f t="shared" si="207"/>
        <v>1.5576376802077539E-2</v>
      </c>
      <c r="F7233" s="2" t="s">
        <v>822</v>
      </c>
      <c r="G7233" s="23" t="s">
        <v>902</v>
      </c>
      <c r="H7233" s="2" t="s">
        <v>822</v>
      </c>
      <c r="J7233" s="31">
        <v>71.463996899999998</v>
      </c>
      <c r="K7233" s="31">
        <v>8.8760004000000006</v>
      </c>
      <c r="L7233" s="31"/>
      <c r="M7233" s="31" t="s">
        <v>854</v>
      </c>
      <c r="N7233" s="6" t="s">
        <v>856</v>
      </c>
    </row>
    <row r="7234" spans="1:14" ht="15" customHeight="1" x14ac:dyDescent="0.2">
      <c r="A7234" s="31">
        <v>7.9436088872077523E-2</v>
      </c>
      <c r="B7234" s="31"/>
      <c r="C7234" s="2" t="s">
        <v>855</v>
      </c>
      <c r="D7234" s="31">
        <f t="shared" si="207"/>
        <v>1.5569473418927195E-2</v>
      </c>
      <c r="F7234" s="2" t="s">
        <v>822</v>
      </c>
      <c r="G7234" s="23" t="s">
        <v>902</v>
      </c>
      <c r="H7234" s="2" t="s">
        <v>822</v>
      </c>
      <c r="J7234" s="31">
        <v>70.136596699999998</v>
      </c>
      <c r="K7234" s="31">
        <v>3.5320000999999999</v>
      </c>
      <c r="L7234" s="31"/>
      <c r="M7234" s="31" t="s">
        <v>854</v>
      </c>
      <c r="N7234" s="6" t="s">
        <v>856</v>
      </c>
    </row>
    <row r="7235" spans="1:14" ht="15" customHeight="1" x14ac:dyDescent="0.2">
      <c r="A7235" s="31">
        <v>7.9374499821272773E-2</v>
      </c>
      <c r="B7235" s="31"/>
      <c r="C7235" s="2" t="s">
        <v>855</v>
      </c>
      <c r="D7235" s="31">
        <f t="shared" si="207"/>
        <v>1.5557401964969464E-2</v>
      </c>
      <c r="F7235" s="2" t="s">
        <v>822</v>
      </c>
      <c r="G7235" s="23" t="s">
        <v>902</v>
      </c>
      <c r="H7235" s="2" t="s">
        <v>822</v>
      </c>
      <c r="J7235" s="31">
        <v>71.463996899999998</v>
      </c>
      <c r="K7235" s="31">
        <v>7.54</v>
      </c>
      <c r="L7235" s="31"/>
      <c r="M7235" s="31" t="s">
        <v>854</v>
      </c>
      <c r="N7235" s="6" t="s">
        <v>856</v>
      </c>
    </row>
    <row r="7236" spans="1:14" ht="15" customHeight="1" x14ac:dyDescent="0.2">
      <c r="A7236" s="31">
        <v>7.9351757325406794E-2</v>
      </c>
      <c r="B7236" s="31"/>
      <c r="C7236" s="2" t="s">
        <v>855</v>
      </c>
      <c r="D7236" s="31">
        <f t="shared" si="207"/>
        <v>1.5552944435779733E-2</v>
      </c>
      <c r="F7236" s="2" t="s">
        <v>822</v>
      </c>
      <c r="G7236" s="23" t="s">
        <v>902</v>
      </c>
      <c r="H7236" s="2" t="s">
        <v>822</v>
      </c>
      <c r="J7236" s="31">
        <v>72.132003800000007</v>
      </c>
      <c r="K7236" s="31">
        <v>9.5439997000000005</v>
      </c>
      <c r="L7236" s="31"/>
      <c r="M7236" s="31" t="s">
        <v>854</v>
      </c>
      <c r="N7236" s="6" t="s">
        <v>856</v>
      </c>
    </row>
    <row r="7237" spans="1:14" ht="15" customHeight="1" x14ac:dyDescent="0.2">
      <c r="A7237" s="31">
        <v>7.9307238402015048E-2</v>
      </c>
      <c r="B7237" s="31"/>
      <c r="C7237" s="2" t="s">
        <v>855</v>
      </c>
      <c r="D7237" s="31">
        <f t="shared" si="207"/>
        <v>1.5544218726794951E-2</v>
      </c>
      <c r="F7237" s="2" t="s">
        <v>822</v>
      </c>
      <c r="G7237" s="23" t="s">
        <v>902</v>
      </c>
      <c r="H7237" s="2" t="s">
        <v>822</v>
      </c>
      <c r="J7237" s="31">
        <v>68.124000499999994</v>
      </c>
      <c r="K7237" s="31">
        <v>0.86</v>
      </c>
      <c r="L7237" s="31"/>
      <c r="M7237" s="31" t="s">
        <v>854</v>
      </c>
      <c r="N7237" s="6" t="s">
        <v>856</v>
      </c>
    </row>
    <row r="7238" spans="1:14" ht="15" customHeight="1" x14ac:dyDescent="0.2">
      <c r="A7238" s="31">
        <v>7.9192045054547758E-2</v>
      </c>
      <c r="B7238" s="31"/>
      <c r="C7238" s="2" t="s">
        <v>855</v>
      </c>
      <c r="D7238" s="31">
        <f t="shared" si="207"/>
        <v>1.5521640830691361E-2</v>
      </c>
      <c r="F7238" s="2" t="s">
        <v>822</v>
      </c>
      <c r="G7238" s="23" t="s">
        <v>902</v>
      </c>
      <c r="H7238" s="2" t="s">
        <v>822</v>
      </c>
      <c r="J7238" s="31">
        <v>64.783996599999995</v>
      </c>
      <c r="K7238" s="31">
        <v>2.1960001</v>
      </c>
      <c r="L7238" s="31"/>
      <c r="M7238" s="31" t="s">
        <v>854</v>
      </c>
      <c r="N7238" s="6" t="s">
        <v>856</v>
      </c>
    </row>
    <row r="7239" spans="1:14" ht="15" customHeight="1" x14ac:dyDescent="0.2">
      <c r="A7239" s="31">
        <v>7.9175122812466775E-2</v>
      </c>
      <c r="B7239" s="31"/>
      <c r="C7239" s="2" t="s">
        <v>855</v>
      </c>
      <c r="D7239" s="31">
        <f t="shared" si="207"/>
        <v>1.5518324071243489E-2</v>
      </c>
      <c r="F7239" s="2" t="s">
        <v>822</v>
      </c>
      <c r="G7239" s="23" t="s">
        <v>902</v>
      </c>
      <c r="H7239" s="2" t="s">
        <v>822</v>
      </c>
      <c r="J7239" s="31">
        <v>69.842796300000003</v>
      </c>
      <c r="K7239" s="31">
        <v>-0.405777</v>
      </c>
      <c r="L7239" s="31"/>
      <c r="M7239" s="31" t="s">
        <v>854</v>
      </c>
      <c r="N7239" s="6" t="s">
        <v>856</v>
      </c>
    </row>
    <row r="7240" spans="1:14" ht="15" customHeight="1" x14ac:dyDescent="0.2">
      <c r="A7240" s="31">
        <v>7.9137144603532744E-2</v>
      </c>
      <c r="B7240" s="31"/>
      <c r="C7240" s="2" t="s">
        <v>855</v>
      </c>
      <c r="D7240" s="31">
        <f t="shared" si="207"/>
        <v>1.5510880342292418E-2</v>
      </c>
      <c r="F7240" s="2" t="s">
        <v>822</v>
      </c>
      <c r="G7240" s="23" t="s">
        <v>902</v>
      </c>
      <c r="H7240" s="2" t="s">
        <v>822</v>
      </c>
      <c r="J7240" s="31">
        <v>63.448001900000001</v>
      </c>
      <c r="K7240" s="31">
        <v>-7.8239998999999996</v>
      </c>
      <c r="L7240" s="31"/>
      <c r="M7240" s="31" t="s">
        <v>854</v>
      </c>
      <c r="N7240" s="6" t="s">
        <v>856</v>
      </c>
    </row>
    <row r="7241" spans="1:14" ht="15" customHeight="1" x14ac:dyDescent="0.2">
      <c r="A7241" s="31">
        <v>7.9108196085174498E-2</v>
      </c>
      <c r="B7241" s="31"/>
      <c r="C7241" s="2" t="s">
        <v>855</v>
      </c>
      <c r="D7241" s="31">
        <f t="shared" si="207"/>
        <v>1.5505206432694202E-2</v>
      </c>
      <c r="F7241" s="2" t="s">
        <v>822</v>
      </c>
      <c r="G7241" s="23" t="s">
        <v>902</v>
      </c>
      <c r="H7241" s="2" t="s">
        <v>822</v>
      </c>
      <c r="J7241" s="31">
        <v>71.463996899999998</v>
      </c>
      <c r="K7241" s="31">
        <v>19.563999200000001</v>
      </c>
      <c r="L7241" s="31"/>
      <c r="M7241" s="31" t="s">
        <v>854</v>
      </c>
      <c r="N7241" s="6" t="s">
        <v>856</v>
      </c>
    </row>
    <row r="7242" spans="1:14" ht="15" customHeight="1" x14ac:dyDescent="0.2">
      <c r="A7242" s="31">
        <v>7.9088847333165929E-2</v>
      </c>
      <c r="B7242" s="31"/>
      <c r="C7242" s="2" t="s">
        <v>855</v>
      </c>
      <c r="D7242" s="31">
        <f t="shared" si="207"/>
        <v>1.5501414077300523E-2</v>
      </c>
      <c r="F7242" s="2" t="s">
        <v>822</v>
      </c>
      <c r="G7242" s="23" t="s">
        <v>902</v>
      </c>
      <c r="H7242" s="2" t="s">
        <v>822</v>
      </c>
      <c r="J7242" s="31">
        <v>69.459999100000005</v>
      </c>
      <c r="K7242" s="31">
        <v>10.2119999</v>
      </c>
      <c r="L7242" s="31"/>
      <c r="M7242" s="31" t="s">
        <v>854</v>
      </c>
      <c r="N7242" s="6" t="s">
        <v>856</v>
      </c>
    </row>
    <row r="7243" spans="1:14" ht="15" customHeight="1" x14ac:dyDescent="0.2">
      <c r="A7243" s="31">
        <v>7.9029342329795943E-2</v>
      </c>
      <c r="B7243" s="31"/>
      <c r="C7243" s="2" t="s">
        <v>855</v>
      </c>
      <c r="D7243" s="31">
        <f t="shared" si="207"/>
        <v>1.5489751096640006E-2</v>
      </c>
      <c r="F7243" s="2" t="s">
        <v>822</v>
      </c>
      <c r="G7243" s="23" t="s">
        <v>902</v>
      </c>
      <c r="H7243" s="2" t="s">
        <v>822</v>
      </c>
      <c r="J7243" s="31">
        <v>70.795997600000007</v>
      </c>
      <c r="K7243" s="31">
        <v>9.5439997000000005</v>
      </c>
      <c r="L7243" s="31"/>
      <c r="M7243" s="31" t="s">
        <v>854</v>
      </c>
      <c r="N7243" s="6" t="s">
        <v>856</v>
      </c>
    </row>
    <row r="7244" spans="1:14" ht="15" customHeight="1" x14ac:dyDescent="0.2">
      <c r="A7244" s="31">
        <v>7.8913248997189961E-2</v>
      </c>
      <c r="B7244" s="31"/>
      <c r="C7244" s="2" t="s">
        <v>855</v>
      </c>
      <c r="D7244" s="31">
        <f t="shared" si="207"/>
        <v>1.5466996803449233E-2</v>
      </c>
      <c r="F7244" s="2" t="s">
        <v>822</v>
      </c>
      <c r="G7244" s="23" t="s">
        <v>902</v>
      </c>
      <c r="H7244" s="2" t="s">
        <v>822</v>
      </c>
      <c r="J7244" s="31">
        <v>71.463996899999998</v>
      </c>
      <c r="K7244" s="31">
        <v>5.5359997999999999</v>
      </c>
      <c r="L7244" s="31"/>
      <c r="M7244" s="31" t="s">
        <v>854</v>
      </c>
      <c r="N7244" s="6" t="s">
        <v>856</v>
      </c>
    </row>
    <row r="7245" spans="1:14" ht="15" customHeight="1" x14ac:dyDescent="0.2">
      <c r="A7245" s="31">
        <v>7.8847584847658858E-2</v>
      </c>
      <c r="B7245" s="31"/>
      <c r="C7245" s="2" t="s">
        <v>855</v>
      </c>
      <c r="D7245" s="31">
        <f t="shared" si="207"/>
        <v>1.5454126630141138E-2</v>
      </c>
      <c r="F7245" s="2" t="s">
        <v>822</v>
      </c>
      <c r="G7245" s="23" t="s">
        <v>902</v>
      </c>
      <c r="H7245" s="2" t="s">
        <v>822</v>
      </c>
      <c r="J7245" s="31">
        <v>65.458099399999995</v>
      </c>
      <c r="K7245" s="31">
        <v>-13.163900399999999</v>
      </c>
      <c r="L7245" s="31"/>
      <c r="M7245" s="31" t="s">
        <v>854</v>
      </c>
      <c r="N7245" s="6" t="s">
        <v>856</v>
      </c>
    </row>
    <row r="7246" spans="1:14" ht="15" customHeight="1" x14ac:dyDescent="0.2">
      <c r="A7246" s="31">
        <v>7.8799222837526564E-2</v>
      </c>
      <c r="B7246" s="31"/>
      <c r="C7246" s="2" t="s">
        <v>855</v>
      </c>
      <c r="D7246" s="31">
        <f t="shared" si="207"/>
        <v>1.5444647676155207E-2</v>
      </c>
      <c r="F7246" s="2" t="s">
        <v>822</v>
      </c>
      <c r="G7246" s="23" t="s">
        <v>902</v>
      </c>
      <c r="H7246" s="2" t="s">
        <v>822</v>
      </c>
      <c r="J7246" s="31">
        <v>64.115997300000004</v>
      </c>
      <c r="K7246" s="31">
        <v>-4.4840001999999997</v>
      </c>
      <c r="L7246" s="31"/>
      <c r="M7246" s="31" t="s">
        <v>854</v>
      </c>
      <c r="N7246" s="6" t="s">
        <v>856</v>
      </c>
    </row>
    <row r="7247" spans="1:14" ht="15" customHeight="1" x14ac:dyDescent="0.2">
      <c r="A7247" s="31">
        <v>7.8715023040401927E-2</v>
      </c>
      <c r="B7247" s="31"/>
      <c r="C7247" s="2" t="s">
        <v>855</v>
      </c>
      <c r="D7247" s="31">
        <f t="shared" si="207"/>
        <v>1.5428144515918778E-2</v>
      </c>
      <c r="F7247" s="2" t="s">
        <v>822</v>
      </c>
      <c r="G7247" s="23" t="s">
        <v>902</v>
      </c>
      <c r="H7247" s="2" t="s">
        <v>822</v>
      </c>
      <c r="J7247" s="31">
        <v>66.207000699999995</v>
      </c>
      <c r="K7247" s="31">
        <v>-17.797700899999999</v>
      </c>
      <c r="L7247" s="31"/>
      <c r="M7247" s="31" t="s">
        <v>854</v>
      </c>
      <c r="N7247" s="6" t="s">
        <v>856</v>
      </c>
    </row>
    <row r="7248" spans="1:14" ht="15" customHeight="1" x14ac:dyDescent="0.2">
      <c r="A7248" s="31">
        <v>7.8668622952543399E-2</v>
      </c>
      <c r="B7248" s="31"/>
      <c r="C7248" s="2" t="s">
        <v>855</v>
      </c>
      <c r="D7248" s="31">
        <f t="shared" si="207"/>
        <v>1.5419050098698506E-2</v>
      </c>
      <c r="F7248" s="2" t="s">
        <v>822</v>
      </c>
      <c r="G7248" s="23" t="s">
        <v>902</v>
      </c>
      <c r="H7248" s="2" t="s">
        <v>822</v>
      </c>
      <c r="J7248" s="31">
        <v>65.292297399999995</v>
      </c>
      <c r="K7248" s="31">
        <v>-3.2023999999999999</v>
      </c>
      <c r="L7248" s="31"/>
      <c r="M7248" s="31" t="s">
        <v>854</v>
      </c>
      <c r="N7248" s="6" t="s">
        <v>856</v>
      </c>
    </row>
    <row r="7249" spans="1:14" ht="15" customHeight="1" x14ac:dyDescent="0.2">
      <c r="A7249" s="31">
        <v>7.8662978438070325E-2</v>
      </c>
      <c r="B7249" s="31"/>
      <c r="C7249" s="2" t="s">
        <v>855</v>
      </c>
      <c r="D7249" s="31">
        <f t="shared" si="207"/>
        <v>1.5417943773861784E-2</v>
      </c>
      <c r="F7249" s="2" t="s">
        <v>822</v>
      </c>
      <c r="G7249" s="23" t="s">
        <v>902</v>
      </c>
      <c r="H7249" s="2" t="s">
        <v>822</v>
      </c>
      <c r="J7249" s="31">
        <v>73.468002299999995</v>
      </c>
      <c r="K7249" s="31">
        <v>12.2159996</v>
      </c>
      <c r="L7249" s="31"/>
      <c r="M7249" s="31" t="s">
        <v>854</v>
      </c>
      <c r="N7249" s="6" t="s">
        <v>856</v>
      </c>
    </row>
    <row r="7250" spans="1:14" ht="15" customHeight="1" x14ac:dyDescent="0.2">
      <c r="A7250" s="31">
        <v>7.8496457618562845E-2</v>
      </c>
      <c r="B7250" s="31"/>
      <c r="C7250" s="2" t="s">
        <v>855</v>
      </c>
      <c r="D7250" s="31">
        <f t="shared" si="207"/>
        <v>1.5385305693238318E-2</v>
      </c>
      <c r="F7250" s="2" t="s">
        <v>822</v>
      </c>
      <c r="G7250" s="23" t="s">
        <v>902</v>
      </c>
      <c r="H7250" s="2" t="s">
        <v>822</v>
      </c>
      <c r="J7250" s="31">
        <v>74.804000900000005</v>
      </c>
      <c r="K7250" s="31">
        <v>12.2159996</v>
      </c>
      <c r="L7250" s="31"/>
      <c r="M7250" s="31" t="s">
        <v>854</v>
      </c>
      <c r="N7250" s="6" t="s">
        <v>856</v>
      </c>
    </row>
    <row r="7251" spans="1:14" ht="15" customHeight="1" x14ac:dyDescent="0.2">
      <c r="A7251" s="31">
        <v>7.8408704666699608E-2</v>
      </c>
      <c r="B7251" s="31"/>
      <c r="C7251" s="2" t="s">
        <v>855</v>
      </c>
      <c r="D7251" s="31">
        <f t="shared" si="207"/>
        <v>1.5368106114673125E-2</v>
      </c>
      <c r="F7251" s="2" t="s">
        <v>822</v>
      </c>
      <c r="G7251" s="23" t="s">
        <v>902</v>
      </c>
      <c r="H7251" s="2" t="s">
        <v>822</v>
      </c>
      <c r="J7251" s="31">
        <v>66.788002000000006</v>
      </c>
      <c r="K7251" s="31">
        <v>4.8680000000000003</v>
      </c>
      <c r="L7251" s="31"/>
      <c r="M7251" s="31" t="s">
        <v>854</v>
      </c>
      <c r="N7251" s="6" t="s">
        <v>856</v>
      </c>
    </row>
    <row r="7252" spans="1:14" ht="15" customHeight="1" x14ac:dyDescent="0.2">
      <c r="A7252" s="31">
        <v>7.8310529310548105E-2</v>
      </c>
      <c r="B7252" s="31"/>
      <c r="C7252" s="2" t="s">
        <v>855</v>
      </c>
      <c r="D7252" s="31">
        <f t="shared" si="207"/>
        <v>1.5348863744867429E-2</v>
      </c>
      <c r="F7252" s="2" t="s">
        <v>822</v>
      </c>
      <c r="G7252" s="23" t="s">
        <v>902</v>
      </c>
      <c r="H7252" s="2" t="s">
        <v>822</v>
      </c>
      <c r="J7252" s="31">
        <v>66.788002000000006</v>
      </c>
      <c r="K7252" s="31">
        <v>-17.176000599999998</v>
      </c>
      <c r="L7252" s="31"/>
      <c r="M7252" s="31" t="s">
        <v>854</v>
      </c>
      <c r="N7252" s="6" t="s">
        <v>856</v>
      </c>
    </row>
    <row r="7253" spans="1:14" ht="15" customHeight="1" x14ac:dyDescent="0.2">
      <c r="A7253" s="31">
        <v>7.8109969729354828E-2</v>
      </c>
      <c r="B7253" s="31"/>
      <c r="C7253" s="2" t="s">
        <v>855</v>
      </c>
      <c r="D7253" s="31">
        <f t="shared" si="207"/>
        <v>1.5309554066953546E-2</v>
      </c>
      <c r="F7253" s="2" t="s">
        <v>822</v>
      </c>
      <c r="G7253" s="23" t="s">
        <v>902</v>
      </c>
      <c r="H7253" s="2" t="s">
        <v>822</v>
      </c>
      <c r="J7253" s="31">
        <v>65.786003100000002</v>
      </c>
      <c r="K7253" s="31">
        <v>0.86</v>
      </c>
      <c r="L7253" s="31"/>
      <c r="M7253" s="31" t="s">
        <v>854</v>
      </c>
      <c r="N7253" s="6" t="s">
        <v>856</v>
      </c>
    </row>
    <row r="7254" spans="1:14" ht="15" customHeight="1" x14ac:dyDescent="0.2">
      <c r="A7254" s="31">
        <v>7.8029602301424972E-2</v>
      </c>
      <c r="B7254" s="31"/>
      <c r="C7254" s="2" t="s">
        <v>855</v>
      </c>
      <c r="D7254" s="31">
        <f t="shared" si="207"/>
        <v>1.5293802051079296E-2</v>
      </c>
      <c r="F7254" s="2" t="s">
        <v>822</v>
      </c>
      <c r="G7254" s="23" t="s">
        <v>902</v>
      </c>
      <c r="H7254" s="2" t="s">
        <v>822</v>
      </c>
      <c r="J7254" s="31">
        <v>65.452003500000004</v>
      </c>
      <c r="K7254" s="31">
        <v>-9.8280001000000006</v>
      </c>
      <c r="L7254" s="31"/>
      <c r="M7254" s="31" t="s">
        <v>854</v>
      </c>
      <c r="N7254" s="6" t="s">
        <v>856</v>
      </c>
    </row>
    <row r="7255" spans="1:14" ht="15" customHeight="1" x14ac:dyDescent="0.2">
      <c r="A7255" s="31">
        <v>7.7911006320666581E-2</v>
      </c>
      <c r="B7255" s="31"/>
      <c r="C7255" s="2" t="s">
        <v>855</v>
      </c>
      <c r="D7255" s="31">
        <f t="shared" si="207"/>
        <v>1.527055723885065E-2</v>
      </c>
      <c r="F7255" s="2" t="s">
        <v>822</v>
      </c>
      <c r="G7255" s="23" t="s">
        <v>902</v>
      </c>
      <c r="H7255" s="2" t="s">
        <v>822</v>
      </c>
      <c r="J7255" s="31">
        <v>71.463996899999998</v>
      </c>
      <c r="K7255" s="31">
        <v>10.8800001</v>
      </c>
      <c r="L7255" s="31"/>
      <c r="M7255" s="31" t="s">
        <v>854</v>
      </c>
      <c r="N7255" s="6" t="s">
        <v>856</v>
      </c>
    </row>
    <row r="7256" spans="1:14" ht="15" customHeight="1" x14ac:dyDescent="0.2">
      <c r="A7256" s="31">
        <v>7.7909725664774512E-2</v>
      </c>
      <c r="B7256" s="31"/>
      <c r="C7256" s="2" t="s">
        <v>855</v>
      </c>
      <c r="D7256" s="31">
        <f t="shared" si="207"/>
        <v>1.5270306230295806E-2</v>
      </c>
      <c r="F7256" s="2" t="s">
        <v>822</v>
      </c>
      <c r="G7256" s="23" t="s">
        <v>902</v>
      </c>
      <c r="H7256" s="2" t="s">
        <v>822</v>
      </c>
      <c r="J7256" s="31">
        <v>72.117401099999995</v>
      </c>
      <c r="K7256" s="31">
        <v>10.8639002</v>
      </c>
      <c r="L7256" s="31"/>
      <c r="M7256" s="31" t="s">
        <v>854</v>
      </c>
      <c r="N7256" s="6" t="s">
        <v>856</v>
      </c>
    </row>
    <row r="7257" spans="1:14" ht="15" customHeight="1" x14ac:dyDescent="0.2">
      <c r="A7257" s="31">
        <v>7.7853590720954532E-2</v>
      </c>
      <c r="B7257" s="31"/>
      <c r="C7257" s="2" t="s">
        <v>855</v>
      </c>
      <c r="D7257" s="31">
        <f t="shared" si="207"/>
        <v>1.5259303781307089E-2</v>
      </c>
      <c r="F7257" s="2" t="s">
        <v>822</v>
      </c>
      <c r="G7257" s="23" t="s">
        <v>902</v>
      </c>
      <c r="H7257" s="2" t="s">
        <v>822</v>
      </c>
      <c r="J7257" s="31">
        <v>66.887603799999994</v>
      </c>
      <c r="K7257" s="31">
        <v>-23.856000900000002</v>
      </c>
      <c r="L7257" s="31"/>
      <c r="M7257" s="31" t="s">
        <v>854</v>
      </c>
      <c r="N7257" s="6" t="s">
        <v>856</v>
      </c>
    </row>
    <row r="7258" spans="1:14" ht="15" customHeight="1" x14ac:dyDescent="0.2">
      <c r="A7258" s="31">
        <v>7.782883756341695E-2</v>
      </c>
      <c r="B7258" s="31"/>
      <c r="C7258" s="2" t="s">
        <v>855</v>
      </c>
      <c r="D7258" s="31">
        <f t="shared" si="207"/>
        <v>1.5254452162429722E-2</v>
      </c>
      <c r="F7258" s="2" t="s">
        <v>822</v>
      </c>
      <c r="G7258" s="23" t="s">
        <v>902</v>
      </c>
      <c r="H7258" s="2" t="s">
        <v>822</v>
      </c>
      <c r="J7258" s="31">
        <v>71.031997700000005</v>
      </c>
      <c r="K7258" s="31">
        <v>25.412200899999998</v>
      </c>
      <c r="L7258" s="31"/>
      <c r="M7258" s="31" t="s">
        <v>854</v>
      </c>
      <c r="N7258" s="6" t="s">
        <v>856</v>
      </c>
    </row>
    <row r="7259" spans="1:14" ht="15" customHeight="1" x14ac:dyDescent="0.2">
      <c r="A7259" s="31">
        <v>7.7809255319237866E-2</v>
      </c>
      <c r="B7259" s="31"/>
      <c r="C7259" s="2" t="s">
        <v>855</v>
      </c>
      <c r="D7259" s="31">
        <f t="shared" si="207"/>
        <v>1.5250614042570622E-2</v>
      </c>
      <c r="F7259" s="2" t="s">
        <v>822</v>
      </c>
      <c r="G7259" s="23" t="s">
        <v>902</v>
      </c>
      <c r="H7259" s="2" t="s">
        <v>822</v>
      </c>
      <c r="J7259" s="31">
        <v>64.783996599999995</v>
      </c>
      <c r="K7259" s="31">
        <v>-3.1480000000000001</v>
      </c>
      <c r="L7259" s="31"/>
      <c r="M7259" s="31" t="s">
        <v>854</v>
      </c>
      <c r="N7259" s="6" t="s">
        <v>856</v>
      </c>
    </row>
    <row r="7260" spans="1:14" ht="15" customHeight="1" x14ac:dyDescent="0.2">
      <c r="A7260" s="31">
        <v>7.7798593202246566E-2</v>
      </c>
      <c r="B7260" s="31"/>
      <c r="C7260" s="2" t="s">
        <v>855</v>
      </c>
      <c r="D7260" s="31">
        <f t="shared" si="207"/>
        <v>1.5248524267640328E-2</v>
      </c>
      <c r="F7260" s="2" t="s">
        <v>822</v>
      </c>
      <c r="G7260" s="23" t="s">
        <v>902</v>
      </c>
      <c r="H7260" s="2" t="s">
        <v>822</v>
      </c>
      <c r="J7260" s="31">
        <v>70.795997600000007</v>
      </c>
      <c r="K7260" s="31">
        <v>3.5320000999999999</v>
      </c>
      <c r="L7260" s="31"/>
      <c r="M7260" s="31" t="s">
        <v>854</v>
      </c>
      <c r="N7260" s="6" t="s">
        <v>856</v>
      </c>
    </row>
    <row r="7261" spans="1:14" ht="15" customHeight="1" x14ac:dyDescent="0.2">
      <c r="A7261" s="31">
        <v>7.7790990376624861E-2</v>
      </c>
      <c r="B7261" s="31"/>
      <c r="C7261" s="2" t="s">
        <v>855</v>
      </c>
      <c r="D7261" s="31">
        <f t="shared" si="207"/>
        <v>1.5247034113818473E-2</v>
      </c>
      <c r="F7261" s="2" t="s">
        <v>822</v>
      </c>
      <c r="G7261" s="23" t="s">
        <v>902</v>
      </c>
      <c r="H7261" s="2" t="s">
        <v>822</v>
      </c>
      <c r="J7261" s="31">
        <v>68.7759018</v>
      </c>
      <c r="K7261" s="31">
        <v>-5.7622498999999996</v>
      </c>
      <c r="L7261" s="31"/>
      <c r="M7261" s="31" t="s">
        <v>854</v>
      </c>
      <c r="N7261" s="6" t="s">
        <v>856</v>
      </c>
    </row>
    <row r="7262" spans="1:14" ht="15" customHeight="1" x14ac:dyDescent="0.2">
      <c r="A7262" s="31">
        <v>7.7765492306830247E-2</v>
      </c>
      <c r="B7262" s="31"/>
      <c r="C7262" s="2" t="s">
        <v>855</v>
      </c>
      <c r="D7262" s="31">
        <f t="shared" si="207"/>
        <v>1.524203649213873E-2</v>
      </c>
      <c r="F7262" s="2" t="s">
        <v>822</v>
      </c>
      <c r="G7262" s="23" t="s">
        <v>902</v>
      </c>
      <c r="H7262" s="2" t="s">
        <v>822</v>
      </c>
      <c r="J7262" s="31">
        <v>72.132003800000007</v>
      </c>
      <c r="K7262" s="31">
        <v>4.8680000000000003</v>
      </c>
      <c r="L7262" s="31"/>
      <c r="M7262" s="31" t="s">
        <v>854</v>
      </c>
      <c r="N7262" s="6" t="s">
        <v>856</v>
      </c>
    </row>
    <row r="7263" spans="1:14" ht="15" customHeight="1" x14ac:dyDescent="0.2">
      <c r="A7263" s="31">
        <v>7.7530110189853951E-2</v>
      </c>
      <c r="B7263" s="31"/>
      <c r="C7263" s="2" t="s">
        <v>855</v>
      </c>
      <c r="D7263" s="31">
        <f t="shared" si="207"/>
        <v>1.5195901597211375E-2</v>
      </c>
      <c r="F7263" s="2" t="s">
        <v>822</v>
      </c>
      <c r="G7263" s="23" t="s">
        <v>902</v>
      </c>
      <c r="H7263" s="2" t="s">
        <v>822</v>
      </c>
      <c r="J7263" s="31">
        <v>72.132003800000007</v>
      </c>
      <c r="K7263" s="31">
        <v>27.579999900000001</v>
      </c>
      <c r="L7263" s="31"/>
      <c r="M7263" s="31" t="s">
        <v>854</v>
      </c>
      <c r="N7263" s="6" t="s">
        <v>856</v>
      </c>
    </row>
    <row r="7264" spans="1:14" ht="15" customHeight="1" x14ac:dyDescent="0.2">
      <c r="A7264" s="31">
        <v>7.7486199182509929E-2</v>
      </c>
      <c r="B7264" s="31"/>
      <c r="C7264" s="2" t="s">
        <v>855</v>
      </c>
      <c r="D7264" s="31">
        <f t="shared" si="207"/>
        <v>1.5187295039771946E-2</v>
      </c>
      <c r="F7264" s="2" t="s">
        <v>822</v>
      </c>
      <c r="G7264" s="23" t="s">
        <v>902</v>
      </c>
      <c r="H7264" s="2" t="s">
        <v>822</v>
      </c>
      <c r="J7264" s="31">
        <v>68.791999799999999</v>
      </c>
      <c r="K7264" s="31">
        <v>9.5439997000000005</v>
      </c>
      <c r="L7264" s="31"/>
      <c r="M7264" s="31" t="s">
        <v>854</v>
      </c>
      <c r="N7264" s="6" t="s">
        <v>856</v>
      </c>
    </row>
    <row r="7265" spans="1:14" ht="15" customHeight="1" x14ac:dyDescent="0.2">
      <c r="A7265" s="31">
        <v>7.7299225608680078E-2</v>
      </c>
      <c r="B7265" s="31"/>
      <c r="C7265" s="2" t="s">
        <v>855</v>
      </c>
      <c r="D7265" s="31">
        <f t="shared" si="207"/>
        <v>1.5150648219301295E-2</v>
      </c>
      <c r="F7265" s="2" t="s">
        <v>822</v>
      </c>
      <c r="G7265" s="23" t="s">
        <v>902</v>
      </c>
      <c r="H7265" s="2" t="s">
        <v>822</v>
      </c>
      <c r="J7265" s="31">
        <v>68.121902500000004</v>
      </c>
      <c r="K7265" s="31">
        <v>-5.8175701999999996</v>
      </c>
      <c r="L7265" s="31"/>
      <c r="M7265" s="31" t="s">
        <v>854</v>
      </c>
      <c r="N7265" s="6" t="s">
        <v>856</v>
      </c>
    </row>
    <row r="7266" spans="1:14" ht="15" customHeight="1" x14ac:dyDescent="0.2">
      <c r="A7266" s="31">
        <v>7.7296710987921555E-2</v>
      </c>
      <c r="B7266" s="31"/>
      <c r="C7266" s="2" t="s">
        <v>855</v>
      </c>
      <c r="D7266" s="31">
        <f t="shared" si="207"/>
        <v>1.5150155353632625E-2</v>
      </c>
      <c r="F7266" s="2" t="s">
        <v>822</v>
      </c>
      <c r="G7266" s="23" t="s">
        <v>902</v>
      </c>
      <c r="H7266" s="2" t="s">
        <v>822</v>
      </c>
      <c r="J7266" s="31">
        <v>71.463996899999998</v>
      </c>
      <c r="K7266" s="31">
        <v>17.5599995</v>
      </c>
      <c r="L7266" s="31"/>
      <c r="M7266" s="31" t="s">
        <v>854</v>
      </c>
      <c r="N7266" s="6" t="s">
        <v>856</v>
      </c>
    </row>
    <row r="7267" spans="1:14" ht="15" customHeight="1" x14ac:dyDescent="0.2">
      <c r="A7267" s="31">
        <v>7.7293661746283118E-2</v>
      </c>
      <c r="B7267" s="31"/>
      <c r="C7267" s="2" t="s">
        <v>855</v>
      </c>
      <c r="D7267" s="31">
        <f t="shared" si="207"/>
        <v>1.5149557702271492E-2</v>
      </c>
      <c r="F7267" s="2" t="s">
        <v>822</v>
      </c>
      <c r="G7267" s="23" t="s">
        <v>902</v>
      </c>
      <c r="H7267" s="2" t="s">
        <v>822</v>
      </c>
      <c r="J7267" s="31">
        <v>70.127998399999996</v>
      </c>
      <c r="K7267" s="31">
        <v>-1.8120000000000001</v>
      </c>
      <c r="L7267" s="31"/>
      <c r="M7267" s="31" t="s">
        <v>854</v>
      </c>
      <c r="N7267" s="6" t="s">
        <v>856</v>
      </c>
    </row>
    <row r="7268" spans="1:14" ht="15" customHeight="1" x14ac:dyDescent="0.2">
      <c r="A7268" s="31">
        <v>7.7281202825192963E-2</v>
      </c>
      <c r="B7268" s="31"/>
      <c r="C7268" s="2" t="s">
        <v>855</v>
      </c>
      <c r="D7268" s="31">
        <f t="shared" si="207"/>
        <v>1.5147115753737821E-2</v>
      </c>
      <c r="F7268" s="2" t="s">
        <v>822</v>
      </c>
      <c r="G7268" s="23" t="s">
        <v>902</v>
      </c>
      <c r="H7268" s="2" t="s">
        <v>822</v>
      </c>
      <c r="J7268" s="31">
        <v>72.377998399999996</v>
      </c>
      <c r="K7268" s="31">
        <v>11.2770996</v>
      </c>
      <c r="L7268" s="31"/>
      <c r="M7268" s="31" t="s">
        <v>854</v>
      </c>
      <c r="N7268" s="6" t="s">
        <v>856</v>
      </c>
    </row>
    <row r="7269" spans="1:14" ht="15" customHeight="1" x14ac:dyDescent="0.2">
      <c r="A7269" s="31">
        <v>7.7268911744180144E-2</v>
      </c>
      <c r="B7269" s="31"/>
      <c r="C7269" s="2" t="s">
        <v>855</v>
      </c>
      <c r="D7269" s="31">
        <f t="shared" si="207"/>
        <v>1.5144706701859309E-2</v>
      </c>
      <c r="F7269" s="2" t="s">
        <v>822</v>
      </c>
      <c r="G7269" s="23" t="s">
        <v>902</v>
      </c>
      <c r="H7269" s="2" t="s">
        <v>822</v>
      </c>
      <c r="J7269" s="31">
        <v>68.791999799999999</v>
      </c>
      <c r="K7269" s="31">
        <v>-4.4840001999999997</v>
      </c>
      <c r="L7269" s="31"/>
      <c r="M7269" s="31" t="s">
        <v>854</v>
      </c>
      <c r="N7269" s="6" t="s">
        <v>856</v>
      </c>
    </row>
    <row r="7270" spans="1:14" ht="15" customHeight="1" x14ac:dyDescent="0.2">
      <c r="A7270" s="31">
        <v>7.7156509185450084E-2</v>
      </c>
      <c r="B7270" s="31"/>
      <c r="C7270" s="2" t="s">
        <v>855</v>
      </c>
      <c r="D7270" s="31">
        <f t="shared" si="207"/>
        <v>1.5122675800348217E-2</v>
      </c>
      <c r="F7270" s="2" t="s">
        <v>822</v>
      </c>
      <c r="G7270" s="23" t="s">
        <v>902</v>
      </c>
      <c r="H7270" s="2" t="s">
        <v>822</v>
      </c>
      <c r="J7270" s="31">
        <v>75.267799400000001</v>
      </c>
      <c r="K7270" s="31">
        <v>12.2129002</v>
      </c>
      <c r="L7270" s="31"/>
      <c r="M7270" s="31" t="s">
        <v>854</v>
      </c>
      <c r="N7270" s="6" t="s">
        <v>856</v>
      </c>
    </row>
    <row r="7271" spans="1:14" ht="15" customHeight="1" x14ac:dyDescent="0.2">
      <c r="A7271" s="31">
        <v>7.7101331185348204E-2</v>
      </c>
      <c r="B7271" s="31"/>
      <c r="C7271" s="2" t="s">
        <v>855</v>
      </c>
      <c r="D7271" s="31">
        <f t="shared" si="207"/>
        <v>1.5111860912328249E-2</v>
      </c>
      <c r="F7271" s="2" t="s">
        <v>822</v>
      </c>
      <c r="G7271" s="23" t="s">
        <v>902</v>
      </c>
      <c r="H7271" s="2" t="s">
        <v>822</v>
      </c>
      <c r="J7271" s="31">
        <v>66.788002000000006</v>
      </c>
      <c r="K7271" s="31">
        <v>0.86</v>
      </c>
      <c r="L7271" s="31"/>
      <c r="M7271" s="31" t="s">
        <v>854</v>
      </c>
      <c r="N7271" s="6" t="s">
        <v>856</v>
      </c>
    </row>
    <row r="7272" spans="1:14" ht="15" customHeight="1" x14ac:dyDescent="0.2">
      <c r="A7272" s="31">
        <v>7.7094600489564333E-2</v>
      </c>
      <c r="B7272" s="31"/>
      <c r="C7272" s="2" t="s">
        <v>855</v>
      </c>
      <c r="D7272" s="31">
        <f t="shared" si="207"/>
        <v>1.511054169595461E-2</v>
      </c>
      <c r="F7272" s="2" t="s">
        <v>822</v>
      </c>
      <c r="G7272" s="23" t="s">
        <v>902</v>
      </c>
      <c r="H7272" s="2" t="s">
        <v>822</v>
      </c>
      <c r="J7272" s="31">
        <v>70.795997600000007</v>
      </c>
      <c r="K7272" s="31">
        <v>-13.8360004</v>
      </c>
      <c r="L7272" s="31"/>
      <c r="M7272" s="31" t="s">
        <v>854</v>
      </c>
      <c r="N7272" s="6" t="s">
        <v>856</v>
      </c>
    </row>
    <row r="7273" spans="1:14" ht="15" customHeight="1" x14ac:dyDescent="0.2">
      <c r="A7273" s="31">
        <v>7.697682018124094E-2</v>
      </c>
      <c r="B7273" s="31"/>
      <c r="C7273" s="2" t="s">
        <v>855</v>
      </c>
      <c r="D7273" s="31">
        <f t="shared" si="207"/>
        <v>1.5087456755523225E-2</v>
      </c>
      <c r="F7273" s="2" t="s">
        <v>822</v>
      </c>
      <c r="G7273" s="23" t="s">
        <v>902</v>
      </c>
      <c r="H7273" s="2" t="s">
        <v>822</v>
      </c>
      <c r="J7273" s="31">
        <v>68.791999799999999</v>
      </c>
      <c r="K7273" s="31">
        <v>-13.1680002</v>
      </c>
      <c r="L7273" s="31"/>
      <c r="M7273" s="31" t="s">
        <v>854</v>
      </c>
      <c r="N7273" s="6" t="s">
        <v>856</v>
      </c>
    </row>
    <row r="7274" spans="1:14" ht="15" customHeight="1" x14ac:dyDescent="0.2">
      <c r="A7274" s="31">
        <v>7.6943759082613791E-2</v>
      </c>
      <c r="B7274" s="31"/>
      <c r="C7274" s="2" t="s">
        <v>855</v>
      </c>
      <c r="D7274" s="31">
        <f t="shared" si="207"/>
        <v>1.5080976780192304E-2</v>
      </c>
      <c r="F7274" s="2" t="s">
        <v>822</v>
      </c>
      <c r="G7274" s="23" t="s">
        <v>902</v>
      </c>
      <c r="H7274" s="2" t="s">
        <v>822</v>
      </c>
      <c r="J7274" s="31">
        <v>68.124000499999994</v>
      </c>
      <c r="K7274" s="31">
        <v>2.8640001000000002</v>
      </c>
      <c r="L7274" s="31"/>
      <c r="M7274" s="31" t="s">
        <v>854</v>
      </c>
      <c r="N7274" s="6" t="s">
        <v>856</v>
      </c>
    </row>
    <row r="7275" spans="1:14" ht="15" customHeight="1" x14ac:dyDescent="0.2">
      <c r="A7275" s="31">
        <v>7.6938452808563568E-2</v>
      </c>
      <c r="B7275" s="31"/>
      <c r="C7275" s="2" t="s">
        <v>855</v>
      </c>
      <c r="D7275" s="31">
        <f t="shared" si="207"/>
        <v>1.5079936750478459E-2</v>
      </c>
      <c r="F7275" s="2" t="s">
        <v>822</v>
      </c>
      <c r="G7275" s="23" t="s">
        <v>902</v>
      </c>
      <c r="H7275" s="2" t="s">
        <v>822</v>
      </c>
      <c r="J7275" s="31">
        <v>56.768001599999998</v>
      </c>
      <c r="K7275" s="31">
        <v>-42.560001399999997</v>
      </c>
      <c r="L7275" s="31"/>
      <c r="M7275" s="31" t="s">
        <v>854</v>
      </c>
      <c r="N7275" s="6" t="s">
        <v>856</v>
      </c>
    </row>
    <row r="7276" spans="1:14" ht="15" customHeight="1" x14ac:dyDescent="0.2">
      <c r="A7276" s="31">
        <v>7.6840499177798186E-2</v>
      </c>
      <c r="B7276" s="31"/>
      <c r="C7276" s="2" t="s">
        <v>855</v>
      </c>
      <c r="D7276" s="31">
        <f t="shared" si="207"/>
        <v>1.5060737838848445E-2</v>
      </c>
      <c r="F7276" s="2" t="s">
        <v>822</v>
      </c>
      <c r="G7276" s="23" t="s">
        <v>902</v>
      </c>
      <c r="H7276" s="2" t="s">
        <v>822</v>
      </c>
      <c r="J7276" s="31">
        <v>72.132003800000007</v>
      </c>
      <c r="K7276" s="31">
        <v>18.8959999</v>
      </c>
      <c r="L7276" s="31"/>
      <c r="M7276" s="31" t="s">
        <v>854</v>
      </c>
      <c r="N7276" s="6" t="s">
        <v>856</v>
      </c>
    </row>
    <row r="7277" spans="1:14" ht="15" customHeight="1" x14ac:dyDescent="0.2">
      <c r="A7277" s="31">
        <v>7.6646528643259978E-2</v>
      </c>
      <c r="B7277" s="31"/>
      <c r="C7277" s="2" t="s">
        <v>855</v>
      </c>
      <c r="D7277" s="31">
        <f t="shared" si="207"/>
        <v>1.5022719614078956E-2</v>
      </c>
      <c r="F7277" s="2" t="s">
        <v>822</v>
      </c>
      <c r="G7277" s="23" t="s">
        <v>902</v>
      </c>
      <c r="H7277" s="2" t="s">
        <v>822</v>
      </c>
      <c r="J7277" s="31">
        <v>65.984901399999998</v>
      </c>
      <c r="K7277" s="31">
        <v>-30.4937</v>
      </c>
      <c r="L7277" s="31"/>
      <c r="M7277" s="31" t="s">
        <v>854</v>
      </c>
      <c r="N7277" s="6" t="s">
        <v>856</v>
      </c>
    </row>
    <row r="7278" spans="1:14" ht="15" customHeight="1" x14ac:dyDescent="0.2">
      <c r="A7278" s="31">
        <v>7.6578558849988626E-2</v>
      </c>
      <c r="B7278" s="31"/>
      <c r="C7278" s="2" t="s">
        <v>855</v>
      </c>
      <c r="D7278" s="31">
        <f t="shared" si="207"/>
        <v>1.5009397534597771E-2</v>
      </c>
      <c r="F7278" s="2" t="s">
        <v>822</v>
      </c>
      <c r="G7278" s="23" t="s">
        <v>902</v>
      </c>
      <c r="H7278" s="2" t="s">
        <v>822</v>
      </c>
      <c r="J7278" s="31">
        <v>71.211097699999996</v>
      </c>
      <c r="K7278" s="31">
        <v>-15.771200199999999</v>
      </c>
      <c r="L7278" s="31"/>
      <c r="M7278" s="31" t="s">
        <v>854</v>
      </c>
      <c r="N7278" s="6" t="s">
        <v>856</v>
      </c>
    </row>
    <row r="7279" spans="1:14" ht="15" customHeight="1" x14ac:dyDescent="0.2">
      <c r="A7279" s="31">
        <v>7.642229569505013E-2</v>
      </c>
      <c r="B7279" s="31"/>
      <c r="C7279" s="2" t="s">
        <v>855</v>
      </c>
      <c r="D7279" s="31">
        <f t="shared" si="207"/>
        <v>1.4978769956229826E-2</v>
      </c>
      <c r="F7279" s="2" t="s">
        <v>822</v>
      </c>
      <c r="G7279" s="23" t="s">
        <v>902</v>
      </c>
      <c r="H7279" s="2" t="s">
        <v>822</v>
      </c>
      <c r="J7279" s="31">
        <v>71.463996899999998</v>
      </c>
      <c r="K7279" s="31">
        <v>12.2159996</v>
      </c>
      <c r="L7279" s="31"/>
      <c r="M7279" s="31" t="s">
        <v>854</v>
      </c>
      <c r="N7279" s="6" t="s">
        <v>856</v>
      </c>
    </row>
    <row r="7280" spans="1:14" ht="15" customHeight="1" x14ac:dyDescent="0.2">
      <c r="A7280" s="31">
        <v>7.633772400667091E-2</v>
      </c>
      <c r="B7280" s="31"/>
      <c r="C7280" s="2" t="s">
        <v>855</v>
      </c>
      <c r="D7280" s="31">
        <f t="shared" si="207"/>
        <v>1.4962193905307499E-2</v>
      </c>
      <c r="F7280" s="2" t="s">
        <v>822</v>
      </c>
      <c r="G7280" s="23" t="s">
        <v>902</v>
      </c>
      <c r="H7280" s="2" t="s">
        <v>822</v>
      </c>
      <c r="J7280" s="31">
        <v>68.829101600000001</v>
      </c>
      <c r="K7280" s="31">
        <v>-3.0737801</v>
      </c>
      <c r="L7280" s="31"/>
      <c r="M7280" s="31" t="s">
        <v>854</v>
      </c>
      <c r="N7280" s="6" t="s">
        <v>856</v>
      </c>
    </row>
    <row r="7281" spans="1:14" ht="15" customHeight="1" x14ac:dyDescent="0.2">
      <c r="A7281" s="31">
        <v>7.6215846128997747E-2</v>
      </c>
      <c r="B7281" s="31"/>
      <c r="C7281" s="2" t="s">
        <v>855</v>
      </c>
      <c r="D7281" s="31">
        <f t="shared" si="207"/>
        <v>1.4938305841283559E-2</v>
      </c>
      <c r="F7281" s="2" t="s">
        <v>822</v>
      </c>
      <c r="G7281" s="23" t="s">
        <v>902</v>
      </c>
      <c r="H7281" s="2" t="s">
        <v>822</v>
      </c>
      <c r="J7281" s="31">
        <v>70.127998399999996</v>
      </c>
      <c r="K7281" s="31">
        <v>-15.8400002</v>
      </c>
      <c r="L7281" s="31"/>
      <c r="M7281" s="31" t="s">
        <v>854</v>
      </c>
      <c r="N7281" s="6" t="s">
        <v>856</v>
      </c>
    </row>
    <row r="7282" spans="1:14" ht="15" customHeight="1" x14ac:dyDescent="0.2">
      <c r="A7282" s="31">
        <v>7.6110231804210088E-2</v>
      </c>
      <c r="B7282" s="31"/>
      <c r="C7282" s="2" t="s">
        <v>855</v>
      </c>
      <c r="D7282" s="31">
        <f t="shared" si="207"/>
        <v>1.4917605433625178E-2</v>
      </c>
      <c r="F7282" s="2" t="s">
        <v>822</v>
      </c>
      <c r="G7282" s="23" t="s">
        <v>902</v>
      </c>
      <c r="H7282" s="2" t="s">
        <v>822</v>
      </c>
      <c r="J7282" s="31">
        <v>71.575302100000002</v>
      </c>
      <c r="K7282" s="31">
        <v>11.5480003</v>
      </c>
      <c r="L7282" s="31"/>
      <c r="M7282" s="31" t="s">
        <v>854</v>
      </c>
      <c r="N7282" s="6" t="s">
        <v>856</v>
      </c>
    </row>
    <row r="7283" spans="1:14" ht="15" customHeight="1" x14ac:dyDescent="0.2">
      <c r="A7283" s="31">
        <v>7.6017974412985106E-2</v>
      </c>
      <c r="B7283" s="31"/>
      <c r="C7283" s="2" t="s">
        <v>855</v>
      </c>
      <c r="D7283" s="31">
        <f t="shared" si="207"/>
        <v>1.4899522984945082E-2</v>
      </c>
      <c r="F7283" s="2" t="s">
        <v>822</v>
      </c>
      <c r="G7283" s="23" t="s">
        <v>902</v>
      </c>
      <c r="H7283" s="2" t="s">
        <v>822</v>
      </c>
      <c r="J7283" s="31">
        <v>68.791999799999999</v>
      </c>
      <c r="K7283" s="31">
        <v>1.528</v>
      </c>
      <c r="L7283" s="31"/>
      <c r="M7283" s="31" t="s">
        <v>854</v>
      </c>
      <c r="N7283" s="6" t="s">
        <v>856</v>
      </c>
    </row>
    <row r="7284" spans="1:14" ht="15" customHeight="1" x14ac:dyDescent="0.2">
      <c r="A7284" s="31">
        <v>7.5895935514476945E-2</v>
      </c>
      <c r="B7284" s="31"/>
      <c r="C7284" s="2" t="s">
        <v>855</v>
      </c>
      <c r="D7284" s="31">
        <f t="shared" si="207"/>
        <v>1.4875603360837483E-2</v>
      </c>
      <c r="F7284" s="2" t="s">
        <v>822</v>
      </c>
      <c r="G7284" s="23" t="s">
        <v>902</v>
      </c>
      <c r="H7284" s="2" t="s">
        <v>822</v>
      </c>
      <c r="J7284" s="31">
        <v>71.136299100000002</v>
      </c>
      <c r="K7284" s="31">
        <v>18.555700300000002</v>
      </c>
      <c r="L7284" s="31"/>
      <c r="M7284" s="31" t="s">
        <v>854</v>
      </c>
      <c r="N7284" s="6" t="s">
        <v>856</v>
      </c>
    </row>
    <row r="7285" spans="1:14" ht="15" customHeight="1" x14ac:dyDescent="0.2">
      <c r="A7285" s="31">
        <v>7.5806952899455521E-2</v>
      </c>
      <c r="B7285" s="31"/>
      <c r="C7285" s="2" t="s">
        <v>855</v>
      </c>
      <c r="D7285" s="31">
        <f t="shared" si="207"/>
        <v>1.4858162768293283E-2</v>
      </c>
      <c r="F7285" s="2" t="s">
        <v>822</v>
      </c>
      <c r="G7285" s="23" t="s">
        <v>902</v>
      </c>
      <c r="H7285" s="2" t="s">
        <v>822</v>
      </c>
      <c r="J7285" s="31">
        <v>73.468002299999995</v>
      </c>
      <c r="K7285" s="31">
        <v>14.887999499999999</v>
      </c>
      <c r="L7285" s="31"/>
      <c r="M7285" s="31" t="s">
        <v>854</v>
      </c>
      <c r="N7285" s="6" t="s">
        <v>856</v>
      </c>
    </row>
    <row r="7286" spans="1:14" ht="15" customHeight="1" x14ac:dyDescent="0.2">
      <c r="A7286" s="31">
        <v>7.5658049149856382E-2</v>
      </c>
      <c r="B7286" s="31"/>
      <c r="C7286" s="2" t="s">
        <v>855</v>
      </c>
      <c r="D7286" s="31">
        <f t="shared" si="207"/>
        <v>1.4828977633371852E-2</v>
      </c>
      <c r="F7286" s="2" t="s">
        <v>822</v>
      </c>
      <c r="G7286" s="23" t="s">
        <v>902</v>
      </c>
      <c r="H7286" s="2" t="s">
        <v>822</v>
      </c>
      <c r="J7286" s="31">
        <v>67.009300199999998</v>
      </c>
      <c r="K7286" s="31">
        <v>-8.3806399999999996</v>
      </c>
      <c r="L7286" s="31"/>
      <c r="M7286" s="31" t="s">
        <v>854</v>
      </c>
      <c r="N7286" s="6" t="s">
        <v>856</v>
      </c>
    </row>
    <row r="7287" spans="1:14" ht="15" customHeight="1" x14ac:dyDescent="0.2">
      <c r="A7287" s="31">
        <v>7.5585936494607583E-2</v>
      </c>
      <c r="B7287" s="31"/>
      <c r="C7287" s="2" t="s">
        <v>855</v>
      </c>
      <c r="D7287" s="31">
        <f t="shared" si="207"/>
        <v>1.4814843552943087E-2</v>
      </c>
      <c r="F7287" s="2" t="s">
        <v>822</v>
      </c>
      <c r="G7287" s="23" t="s">
        <v>902</v>
      </c>
      <c r="H7287" s="2" t="s">
        <v>822</v>
      </c>
      <c r="J7287" s="31">
        <v>65.452003500000004</v>
      </c>
      <c r="K7287" s="31">
        <v>-9.1599997999999996</v>
      </c>
      <c r="L7287" s="31"/>
      <c r="M7287" s="31" t="s">
        <v>854</v>
      </c>
      <c r="N7287" s="6" t="s">
        <v>856</v>
      </c>
    </row>
    <row r="7288" spans="1:14" ht="15" customHeight="1" x14ac:dyDescent="0.2">
      <c r="A7288" s="31">
        <v>7.5564868693866416E-2</v>
      </c>
      <c r="B7288" s="31"/>
      <c r="C7288" s="2" t="s">
        <v>855</v>
      </c>
      <c r="D7288" s="31">
        <f t="shared" si="207"/>
        <v>1.4810714263997818E-2</v>
      </c>
      <c r="F7288" s="2" t="s">
        <v>822</v>
      </c>
      <c r="G7288" s="23" t="s">
        <v>902</v>
      </c>
      <c r="H7288" s="2" t="s">
        <v>822</v>
      </c>
      <c r="J7288" s="31">
        <v>70.795997600000007</v>
      </c>
      <c r="K7288" s="31">
        <v>12.2159996</v>
      </c>
      <c r="L7288" s="31"/>
      <c r="M7288" s="31" t="s">
        <v>854</v>
      </c>
      <c r="N7288" s="6" t="s">
        <v>856</v>
      </c>
    </row>
    <row r="7289" spans="1:14" ht="15" customHeight="1" x14ac:dyDescent="0.2">
      <c r="A7289" s="31">
        <v>7.5538653484939544E-2</v>
      </c>
      <c r="B7289" s="31"/>
      <c r="C7289" s="2" t="s">
        <v>855</v>
      </c>
      <c r="D7289" s="31">
        <f t="shared" si="207"/>
        <v>1.4805576083048151E-2</v>
      </c>
      <c r="F7289" s="2" t="s">
        <v>822</v>
      </c>
      <c r="G7289" s="23" t="s">
        <v>902</v>
      </c>
      <c r="H7289" s="2" t="s">
        <v>822</v>
      </c>
      <c r="J7289" s="31">
        <v>67.456001299999997</v>
      </c>
      <c r="K7289" s="31">
        <v>-1.1440001</v>
      </c>
      <c r="L7289" s="31"/>
      <c r="M7289" s="31" t="s">
        <v>854</v>
      </c>
      <c r="N7289" s="6" t="s">
        <v>856</v>
      </c>
    </row>
    <row r="7290" spans="1:14" ht="15" customHeight="1" x14ac:dyDescent="0.2">
      <c r="A7290" s="31">
        <v>7.5537561644314077E-2</v>
      </c>
      <c r="B7290" s="31"/>
      <c r="C7290" s="2" t="s">
        <v>855</v>
      </c>
      <c r="D7290" s="31">
        <f t="shared" si="207"/>
        <v>1.4805362082285559E-2</v>
      </c>
      <c r="F7290" s="2" t="s">
        <v>822</v>
      </c>
      <c r="G7290" s="23" t="s">
        <v>902</v>
      </c>
      <c r="H7290" s="2" t="s">
        <v>822</v>
      </c>
      <c r="J7290" s="31">
        <v>66.788002000000006</v>
      </c>
      <c r="K7290" s="31">
        <v>-4.4840001999999997</v>
      </c>
      <c r="L7290" s="31"/>
      <c r="M7290" s="31" t="s">
        <v>854</v>
      </c>
      <c r="N7290" s="6" t="s">
        <v>856</v>
      </c>
    </row>
    <row r="7291" spans="1:14" ht="15" customHeight="1" x14ac:dyDescent="0.2">
      <c r="A7291" s="31">
        <v>7.5524362022493366E-2</v>
      </c>
      <c r="B7291" s="31"/>
      <c r="C7291" s="2" t="s">
        <v>855</v>
      </c>
      <c r="D7291" s="31">
        <f t="shared" si="207"/>
        <v>1.48027749564087E-2</v>
      </c>
      <c r="F7291" s="2" t="s">
        <v>822</v>
      </c>
      <c r="G7291" s="23" t="s">
        <v>902</v>
      </c>
      <c r="H7291" s="2" t="s">
        <v>822</v>
      </c>
      <c r="J7291" s="31">
        <v>63.448001900000001</v>
      </c>
      <c r="K7291" s="31">
        <v>2.1960001</v>
      </c>
      <c r="L7291" s="31"/>
      <c r="M7291" s="31" t="s">
        <v>854</v>
      </c>
      <c r="N7291" s="6" t="s">
        <v>856</v>
      </c>
    </row>
    <row r="7292" spans="1:14" ht="15" customHeight="1" x14ac:dyDescent="0.2">
      <c r="A7292" s="31">
        <v>7.5480439070652217E-2</v>
      </c>
      <c r="B7292" s="31"/>
      <c r="C7292" s="2" t="s">
        <v>855</v>
      </c>
      <c r="D7292" s="31">
        <f t="shared" si="207"/>
        <v>1.4794166057847835E-2</v>
      </c>
      <c r="F7292" s="2" t="s">
        <v>822</v>
      </c>
      <c r="G7292" s="23" t="s">
        <v>902</v>
      </c>
      <c r="H7292" s="2" t="s">
        <v>822</v>
      </c>
      <c r="J7292" s="31">
        <v>66.778602599999999</v>
      </c>
      <c r="K7292" s="31">
        <v>-3.1381199</v>
      </c>
      <c r="L7292" s="31"/>
      <c r="M7292" s="31" t="s">
        <v>854</v>
      </c>
      <c r="N7292" s="6" t="s">
        <v>856</v>
      </c>
    </row>
    <row r="7293" spans="1:14" ht="15" customHeight="1" x14ac:dyDescent="0.2">
      <c r="A7293" s="31">
        <v>7.5380529905585636E-2</v>
      </c>
      <c r="B7293" s="31"/>
      <c r="C7293" s="2" t="s">
        <v>855</v>
      </c>
      <c r="D7293" s="31">
        <f t="shared" si="207"/>
        <v>1.4774583861494784E-2</v>
      </c>
      <c r="F7293" s="2" t="s">
        <v>822</v>
      </c>
      <c r="G7293" s="23" t="s">
        <v>902</v>
      </c>
      <c r="H7293" s="2" t="s">
        <v>822</v>
      </c>
      <c r="J7293" s="31">
        <v>71.463996899999998</v>
      </c>
      <c r="K7293" s="31">
        <v>-13.1680002</v>
      </c>
      <c r="L7293" s="31"/>
      <c r="M7293" s="31" t="s">
        <v>854</v>
      </c>
      <c r="N7293" s="6" t="s">
        <v>856</v>
      </c>
    </row>
    <row r="7294" spans="1:14" ht="15" customHeight="1" x14ac:dyDescent="0.2">
      <c r="A7294" s="31">
        <v>7.5319307766471361E-2</v>
      </c>
      <c r="B7294" s="31"/>
      <c r="C7294" s="2" t="s">
        <v>855</v>
      </c>
      <c r="D7294" s="31">
        <f t="shared" si="207"/>
        <v>1.4762584322228387E-2</v>
      </c>
      <c r="F7294" s="2" t="s">
        <v>822</v>
      </c>
      <c r="G7294" s="23" t="s">
        <v>902</v>
      </c>
      <c r="H7294" s="2" t="s">
        <v>822</v>
      </c>
      <c r="J7294" s="31">
        <v>69.389602699999998</v>
      </c>
      <c r="K7294" s="31">
        <v>45.616001099999998</v>
      </c>
      <c r="L7294" s="31"/>
      <c r="M7294" s="31" t="s">
        <v>854</v>
      </c>
      <c r="N7294" s="6" t="s">
        <v>856</v>
      </c>
    </row>
    <row r="7295" spans="1:14" ht="15" customHeight="1" x14ac:dyDescent="0.2">
      <c r="A7295" s="31">
        <v>7.5313793628061551E-2</v>
      </c>
      <c r="B7295" s="31"/>
      <c r="C7295" s="2" t="s">
        <v>855</v>
      </c>
      <c r="D7295" s="31">
        <f t="shared" si="207"/>
        <v>1.4761503551100065E-2</v>
      </c>
      <c r="F7295" s="2" t="s">
        <v>822</v>
      </c>
      <c r="G7295" s="23" t="s">
        <v>902</v>
      </c>
      <c r="H7295" s="2" t="s">
        <v>822</v>
      </c>
      <c r="J7295" s="31">
        <v>68.124000499999994</v>
      </c>
      <c r="K7295" s="31">
        <v>-13.1680002</v>
      </c>
      <c r="L7295" s="31"/>
      <c r="M7295" s="31" t="s">
        <v>854</v>
      </c>
      <c r="N7295" s="6" t="s">
        <v>856</v>
      </c>
    </row>
    <row r="7296" spans="1:14" ht="15" customHeight="1" x14ac:dyDescent="0.2">
      <c r="A7296" s="31">
        <v>7.527487236940078E-2</v>
      </c>
      <c r="B7296" s="31"/>
      <c r="C7296" s="2" t="s">
        <v>855</v>
      </c>
      <c r="D7296" s="31">
        <f t="shared" ref="D7296:D7359" si="208" xml:space="preserve"> A7296 * 0.196</f>
        <v>1.4753874984402553E-2</v>
      </c>
      <c r="F7296" s="2" t="s">
        <v>822</v>
      </c>
      <c r="G7296" s="23" t="s">
        <v>902</v>
      </c>
      <c r="H7296" s="2" t="s">
        <v>822</v>
      </c>
      <c r="J7296" s="31">
        <v>68.124000499999994</v>
      </c>
      <c r="K7296" s="31">
        <v>-4.4840001999999997</v>
      </c>
      <c r="L7296" s="31"/>
      <c r="M7296" s="31" t="s">
        <v>854</v>
      </c>
      <c r="N7296" s="6" t="s">
        <v>856</v>
      </c>
    </row>
    <row r="7297" spans="1:14" ht="15" customHeight="1" x14ac:dyDescent="0.2">
      <c r="A7297" s="31">
        <v>7.5204747015337914E-2</v>
      </c>
      <c r="B7297" s="31"/>
      <c r="C7297" s="2" t="s">
        <v>855</v>
      </c>
      <c r="D7297" s="31">
        <f t="shared" si="208"/>
        <v>1.4740130415006231E-2</v>
      </c>
      <c r="F7297" s="2" t="s">
        <v>822</v>
      </c>
      <c r="G7297" s="23" t="s">
        <v>902</v>
      </c>
      <c r="H7297" s="2" t="s">
        <v>822</v>
      </c>
      <c r="J7297" s="31">
        <v>71.546897900000005</v>
      </c>
      <c r="K7297" s="31">
        <v>14.935099599999999</v>
      </c>
      <c r="L7297" s="31"/>
      <c r="M7297" s="31" t="s">
        <v>854</v>
      </c>
      <c r="N7297" s="6" t="s">
        <v>856</v>
      </c>
    </row>
    <row r="7298" spans="1:14" ht="15" customHeight="1" x14ac:dyDescent="0.2">
      <c r="A7298" s="31">
        <v>7.5167293126822798E-2</v>
      </c>
      <c r="B7298" s="31"/>
      <c r="C7298" s="2" t="s">
        <v>855</v>
      </c>
      <c r="D7298" s="31">
        <f t="shared" si="208"/>
        <v>1.4732789452857269E-2</v>
      </c>
      <c r="F7298" s="2" t="s">
        <v>822</v>
      </c>
      <c r="G7298" s="23" t="s">
        <v>902</v>
      </c>
      <c r="H7298" s="2" t="s">
        <v>822</v>
      </c>
      <c r="J7298" s="31">
        <v>66.8395996</v>
      </c>
      <c r="K7298" s="31">
        <v>-25.221000700000001</v>
      </c>
      <c r="L7298" s="31"/>
      <c r="M7298" s="31" t="s">
        <v>854</v>
      </c>
      <c r="N7298" s="6" t="s">
        <v>856</v>
      </c>
    </row>
    <row r="7299" spans="1:14" ht="15" customHeight="1" x14ac:dyDescent="0.2">
      <c r="A7299" s="31">
        <v>7.5167137013123969E-2</v>
      </c>
      <c r="B7299" s="31"/>
      <c r="C7299" s="2" t="s">
        <v>855</v>
      </c>
      <c r="D7299" s="31">
        <f t="shared" si="208"/>
        <v>1.4732758854572299E-2</v>
      </c>
      <c r="F7299" s="2" t="s">
        <v>822</v>
      </c>
      <c r="G7299" s="23" t="s">
        <v>902</v>
      </c>
      <c r="H7299" s="2" t="s">
        <v>822</v>
      </c>
      <c r="J7299" s="31">
        <v>68.019401599999995</v>
      </c>
      <c r="K7299" s="31">
        <v>13.5625</v>
      </c>
      <c r="L7299" s="31"/>
      <c r="M7299" s="31" t="s">
        <v>854</v>
      </c>
      <c r="N7299" s="6" t="s">
        <v>856</v>
      </c>
    </row>
    <row r="7300" spans="1:14" ht="15" customHeight="1" x14ac:dyDescent="0.2">
      <c r="A7300" s="31">
        <v>7.5152535631305376E-2</v>
      </c>
      <c r="B7300" s="31"/>
      <c r="C7300" s="2" t="s">
        <v>855</v>
      </c>
      <c r="D7300" s="31">
        <f t="shared" si="208"/>
        <v>1.4729896983735854E-2</v>
      </c>
      <c r="F7300" s="2" t="s">
        <v>822</v>
      </c>
      <c r="G7300" s="23" t="s">
        <v>902</v>
      </c>
      <c r="H7300" s="2" t="s">
        <v>822</v>
      </c>
      <c r="J7300" s="31">
        <v>65.599700900000002</v>
      </c>
      <c r="K7300" s="31">
        <v>-3.8159999999999998</v>
      </c>
      <c r="L7300" s="31"/>
      <c r="M7300" s="31" t="s">
        <v>854</v>
      </c>
      <c r="N7300" s="6" t="s">
        <v>856</v>
      </c>
    </row>
    <row r="7301" spans="1:14" ht="15" customHeight="1" x14ac:dyDescent="0.2">
      <c r="A7301" s="31">
        <v>7.5076085622715269E-2</v>
      </c>
      <c r="B7301" s="31"/>
      <c r="C7301" s="2" t="s">
        <v>855</v>
      </c>
      <c r="D7301" s="31">
        <f t="shared" si="208"/>
        <v>1.4714912782052194E-2</v>
      </c>
      <c r="F7301" s="2" t="s">
        <v>822</v>
      </c>
      <c r="G7301" s="23" t="s">
        <v>902</v>
      </c>
      <c r="H7301" s="2" t="s">
        <v>822</v>
      </c>
      <c r="J7301" s="31">
        <v>70.795997600000007</v>
      </c>
      <c r="K7301" s="31">
        <v>0.192</v>
      </c>
      <c r="L7301" s="31"/>
      <c r="M7301" s="31" t="s">
        <v>854</v>
      </c>
      <c r="N7301" s="6" t="s">
        <v>856</v>
      </c>
    </row>
    <row r="7302" spans="1:14" ht="15" customHeight="1" x14ac:dyDescent="0.2">
      <c r="A7302" s="31">
        <v>7.5034202599803063E-2</v>
      </c>
      <c r="B7302" s="31"/>
      <c r="C7302" s="2" t="s">
        <v>855</v>
      </c>
      <c r="D7302" s="31">
        <f t="shared" si="208"/>
        <v>1.4706703709561401E-2</v>
      </c>
      <c r="F7302" s="2" t="s">
        <v>822</v>
      </c>
      <c r="G7302" s="23" t="s">
        <v>902</v>
      </c>
      <c r="H7302" s="2" t="s">
        <v>822</v>
      </c>
      <c r="J7302" s="31">
        <v>71.463996899999998</v>
      </c>
      <c r="K7302" s="31">
        <v>2.8640001000000002</v>
      </c>
      <c r="L7302" s="31"/>
      <c r="M7302" s="31" t="s">
        <v>854</v>
      </c>
      <c r="N7302" s="6" t="s">
        <v>856</v>
      </c>
    </row>
    <row r="7303" spans="1:14" ht="15" customHeight="1" x14ac:dyDescent="0.2">
      <c r="A7303" s="31">
        <v>7.4984145059762891E-2</v>
      </c>
      <c r="B7303" s="31"/>
      <c r="C7303" s="2" t="s">
        <v>855</v>
      </c>
      <c r="D7303" s="31">
        <f t="shared" si="208"/>
        <v>1.4696892431713527E-2</v>
      </c>
      <c r="F7303" s="2" t="s">
        <v>822</v>
      </c>
      <c r="G7303" s="23" t="s">
        <v>902</v>
      </c>
      <c r="H7303" s="2" t="s">
        <v>822</v>
      </c>
      <c r="J7303" s="31">
        <v>70.127998399999996</v>
      </c>
      <c r="K7303" s="31">
        <v>-11.1639996</v>
      </c>
      <c r="L7303" s="31"/>
      <c r="M7303" s="31" t="s">
        <v>854</v>
      </c>
      <c r="N7303" s="6" t="s">
        <v>856</v>
      </c>
    </row>
    <row r="7304" spans="1:14" ht="15" customHeight="1" x14ac:dyDescent="0.2">
      <c r="A7304" s="31">
        <v>7.4912709198031294E-2</v>
      </c>
      <c r="B7304" s="31"/>
      <c r="C7304" s="2" t="s">
        <v>855</v>
      </c>
      <c r="D7304" s="31">
        <f t="shared" si="208"/>
        <v>1.4682891002814134E-2</v>
      </c>
      <c r="F7304" s="2" t="s">
        <v>822</v>
      </c>
      <c r="G7304" s="23" t="s">
        <v>902</v>
      </c>
      <c r="H7304" s="2" t="s">
        <v>822</v>
      </c>
      <c r="J7304" s="31">
        <v>71.092597999999995</v>
      </c>
      <c r="K7304" s="31">
        <v>27.131399200000001</v>
      </c>
      <c r="L7304" s="31"/>
      <c r="M7304" s="31" t="s">
        <v>854</v>
      </c>
      <c r="N7304" s="6" t="s">
        <v>856</v>
      </c>
    </row>
    <row r="7305" spans="1:14" ht="15" customHeight="1" x14ac:dyDescent="0.2">
      <c r="A7305" s="31">
        <v>7.4646760425069458E-2</v>
      </c>
      <c r="B7305" s="31"/>
      <c r="C7305" s="2" t="s">
        <v>855</v>
      </c>
      <c r="D7305" s="31">
        <f t="shared" si="208"/>
        <v>1.4630765043313614E-2</v>
      </c>
      <c r="F7305" s="2" t="s">
        <v>822</v>
      </c>
      <c r="G7305" s="23" t="s">
        <v>902</v>
      </c>
      <c r="H7305" s="2" t="s">
        <v>822</v>
      </c>
      <c r="J7305" s="31">
        <v>71.443801899999997</v>
      </c>
      <c r="K7305" s="31">
        <v>48.142200500000001</v>
      </c>
      <c r="L7305" s="31"/>
      <c r="M7305" s="31" t="s">
        <v>854</v>
      </c>
      <c r="N7305" s="6" t="s">
        <v>856</v>
      </c>
    </row>
    <row r="7306" spans="1:14" ht="15" customHeight="1" x14ac:dyDescent="0.2">
      <c r="A7306" s="31">
        <v>7.4603744086215104E-2</v>
      </c>
      <c r="B7306" s="31"/>
      <c r="C7306" s="2" t="s">
        <v>855</v>
      </c>
      <c r="D7306" s="31">
        <f t="shared" si="208"/>
        <v>1.4622333840898161E-2</v>
      </c>
      <c r="F7306" s="2" t="s">
        <v>822</v>
      </c>
      <c r="G7306" s="23" t="s">
        <v>902</v>
      </c>
      <c r="H7306" s="2" t="s">
        <v>822</v>
      </c>
      <c r="J7306" s="31">
        <v>64.115997300000004</v>
      </c>
      <c r="K7306" s="31">
        <v>-1.8120000000000001</v>
      </c>
      <c r="L7306" s="31"/>
      <c r="M7306" s="31" t="s">
        <v>854</v>
      </c>
      <c r="N7306" s="6" t="s">
        <v>856</v>
      </c>
    </row>
    <row r="7307" spans="1:14" ht="15" customHeight="1" x14ac:dyDescent="0.2">
      <c r="A7307" s="31">
        <v>7.458280918915583E-2</v>
      </c>
      <c r="B7307" s="31"/>
      <c r="C7307" s="2" t="s">
        <v>855</v>
      </c>
      <c r="D7307" s="31">
        <f t="shared" si="208"/>
        <v>1.4618230601074544E-2</v>
      </c>
      <c r="F7307" s="2" t="s">
        <v>822</v>
      </c>
      <c r="G7307" s="23" t="s">
        <v>902</v>
      </c>
      <c r="H7307" s="2" t="s">
        <v>822</v>
      </c>
      <c r="J7307" s="31">
        <v>70.795997600000007</v>
      </c>
      <c r="K7307" s="31">
        <v>10.2119999</v>
      </c>
      <c r="L7307" s="31"/>
      <c r="M7307" s="31" t="s">
        <v>854</v>
      </c>
      <c r="N7307" s="6" t="s">
        <v>856</v>
      </c>
    </row>
    <row r="7308" spans="1:14" ht="15" customHeight="1" x14ac:dyDescent="0.2">
      <c r="A7308" s="31">
        <v>7.4550950576043828E-2</v>
      </c>
      <c r="B7308" s="31"/>
      <c r="C7308" s="2" t="s">
        <v>855</v>
      </c>
      <c r="D7308" s="31">
        <f t="shared" si="208"/>
        <v>1.4611986312904592E-2</v>
      </c>
      <c r="F7308" s="2" t="s">
        <v>822</v>
      </c>
      <c r="G7308" s="23" t="s">
        <v>902</v>
      </c>
      <c r="H7308" s="2" t="s">
        <v>822</v>
      </c>
      <c r="J7308" s="31">
        <v>67.456001299999997</v>
      </c>
      <c r="K7308" s="31">
        <v>-9.1599997999999996</v>
      </c>
      <c r="L7308" s="31"/>
      <c r="M7308" s="31" t="s">
        <v>854</v>
      </c>
      <c r="N7308" s="6" t="s">
        <v>856</v>
      </c>
    </row>
    <row r="7309" spans="1:14" ht="15" customHeight="1" x14ac:dyDescent="0.2">
      <c r="A7309" s="31">
        <v>7.4524783887427254E-2</v>
      </c>
      <c r="B7309" s="31"/>
      <c r="C7309" s="2" t="s">
        <v>855</v>
      </c>
      <c r="D7309" s="31">
        <f t="shared" si="208"/>
        <v>1.4606857641935742E-2</v>
      </c>
      <c r="F7309" s="2" t="s">
        <v>822</v>
      </c>
      <c r="G7309" s="23" t="s">
        <v>902</v>
      </c>
      <c r="H7309" s="2" t="s">
        <v>822</v>
      </c>
      <c r="J7309" s="31">
        <v>64.4630966</v>
      </c>
      <c r="K7309" s="31">
        <v>-35.636100800000001</v>
      </c>
      <c r="L7309" s="31"/>
      <c r="M7309" s="31" t="s">
        <v>854</v>
      </c>
      <c r="N7309" s="6" t="s">
        <v>856</v>
      </c>
    </row>
    <row r="7310" spans="1:14" ht="15" customHeight="1" x14ac:dyDescent="0.2">
      <c r="A7310" s="31">
        <v>7.4489972795329262E-2</v>
      </c>
      <c r="B7310" s="31"/>
      <c r="C7310" s="2" t="s">
        <v>855</v>
      </c>
      <c r="D7310" s="31">
        <f t="shared" si="208"/>
        <v>1.4600034667884535E-2</v>
      </c>
      <c r="F7310" s="2" t="s">
        <v>822</v>
      </c>
      <c r="G7310" s="23" t="s">
        <v>902</v>
      </c>
      <c r="H7310" s="2" t="s">
        <v>822</v>
      </c>
      <c r="J7310" s="31">
        <v>63.448001900000001</v>
      </c>
      <c r="K7310" s="31">
        <v>-5.1520000000000001</v>
      </c>
      <c r="L7310" s="31"/>
      <c r="M7310" s="31" t="s">
        <v>854</v>
      </c>
      <c r="N7310" s="6" t="s">
        <v>856</v>
      </c>
    </row>
    <row r="7311" spans="1:14" ht="15" customHeight="1" x14ac:dyDescent="0.2">
      <c r="A7311" s="31">
        <v>7.4473325469443685E-2</v>
      </c>
      <c r="B7311" s="31"/>
      <c r="C7311" s="2" t="s">
        <v>855</v>
      </c>
      <c r="D7311" s="31">
        <f t="shared" si="208"/>
        <v>1.4596771792010963E-2</v>
      </c>
      <c r="F7311" s="2" t="s">
        <v>822</v>
      </c>
      <c r="G7311" s="23" t="s">
        <v>902</v>
      </c>
      <c r="H7311" s="2" t="s">
        <v>822</v>
      </c>
      <c r="J7311" s="31">
        <v>72.800003099999998</v>
      </c>
      <c r="K7311" s="31">
        <v>10.2119999</v>
      </c>
      <c r="L7311" s="31"/>
      <c r="M7311" s="31" t="s">
        <v>854</v>
      </c>
      <c r="N7311" s="6" t="s">
        <v>856</v>
      </c>
    </row>
    <row r="7312" spans="1:14" ht="15" customHeight="1" x14ac:dyDescent="0.2">
      <c r="A7312" s="31">
        <v>7.4396578077919134E-2</v>
      </c>
      <c r="B7312" s="31"/>
      <c r="C7312" s="2" t="s">
        <v>855</v>
      </c>
      <c r="D7312" s="31">
        <f t="shared" si="208"/>
        <v>1.458172930327215E-2</v>
      </c>
      <c r="F7312" s="2" t="s">
        <v>822</v>
      </c>
      <c r="G7312" s="23" t="s">
        <v>902</v>
      </c>
      <c r="H7312" s="2" t="s">
        <v>822</v>
      </c>
      <c r="J7312" s="31">
        <v>64.783996599999995</v>
      </c>
      <c r="K7312" s="31">
        <v>-12.5</v>
      </c>
      <c r="L7312" s="31"/>
      <c r="M7312" s="31" t="s">
        <v>854</v>
      </c>
      <c r="N7312" s="6" t="s">
        <v>856</v>
      </c>
    </row>
    <row r="7313" spans="1:14" ht="15" customHeight="1" x14ac:dyDescent="0.2">
      <c r="A7313" s="31">
        <v>7.4386628509750224E-2</v>
      </c>
      <c r="B7313" s="31"/>
      <c r="C7313" s="2" t="s">
        <v>855</v>
      </c>
      <c r="D7313" s="31">
        <f t="shared" si="208"/>
        <v>1.4579779187911045E-2</v>
      </c>
      <c r="F7313" s="2" t="s">
        <v>822</v>
      </c>
      <c r="G7313" s="23" t="s">
        <v>902</v>
      </c>
      <c r="H7313" s="2" t="s">
        <v>822</v>
      </c>
      <c r="J7313" s="31">
        <v>66.354499799999999</v>
      </c>
      <c r="K7313" s="31">
        <v>-15.640800499999999</v>
      </c>
      <c r="L7313" s="31"/>
      <c r="M7313" s="31" t="s">
        <v>854</v>
      </c>
      <c r="N7313" s="6" t="s">
        <v>856</v>
      </c>
    </row>
    <row r="7314" spans="1:14" ht="15" customHeight="1" x14ac:dyDescent="0.2">
      <c r="A7314" s="31">
        <v>7.4376468339294205E-2</v>
      </c>
      <c r="B7314" s="31"/>
      <c r="C7314" s="2" t="s">
        <v>855</v>
      </c>
      <c r="D7314" s="31">
        <f t="shared" si="208"/>
        <v>1.4577787794501664E-2</v>
      </c>
      <c r="F7314" s="2" t="s">
        <v>822</v>
      </c>
      <c r="G7314" s="23" t="s">
        <v>902</v>
      </c>
      <c r="H7314" s="2" t="s">
        <v>822</v>
      </c>
      <c r="J7314" s="31">
        <v>65.7782974</v>
      </c>
      <c r="K7314" s="31">
        <v>-26.184099199999999</v>
      </c>
      <c r="L7314" s="31"/>
      <c r="M7314" s="31" t="s">
        <v>854</v>
      </c>
      <c r="N7314" s="6" t="s">
        <v>856</v>
      </c>
    </row>
    <row r="7315" spans="1:14" ht="15" customHeight="1" x14ac:dyDescent="0.2">
      <c r="A7315" s="31">
        <v>7.4232906440702309E-2</v>
      </c>
      <c r="B7315" s="31"/>
      <c r="C7315" s="2" t="s">
        <v>855</v>
      </c>
      <c r="D7315" s="31">
        <f t="shared" si="208"/>
        <v>1.4549649662377654E-2</v>
      </c>
      <c r="F7315" s="2" t="s">
        <v>822</v>
      </c>
      <c r="G7315" s="23" t="s">
        <v>902</v>
      </c>
      <c r="H7315" s="2" t="s">
        <v>822</v>
      </c>
      <c r="J7315" s="31">
        <v>66.985397300000002</v>
      </c>
      <c r="K7315" s="31">
        <v>13.8067999</v>
      </c>
      <c r="L7315" s="31"/>
      <c r="M7315" s="31" t="s">
        <v>854</v>
      </c>
      <c r="N7315" s="6" t="s">
        <v>856</v>
      </c>
    </row>
    <row r="7316" spans="1:14" ht="15" customHeight="1" x14ac:dyDescent="0.2">
      <c r="A7316" s="31">
        <v>7.4157318358430951E-2</v>
      </c>
      <c r="B7316" s="31"/>
      <c r="C7316" s="2" t="s">
        <v>855</v>
      </c>
      <c r="D7316" s="31">
        <f t="shared" si="208"/>
        <v>1.4534834398252467E-2</v>
      </c>
      <c r="F7316" s="2" t="s">
        <v>822</v>
      </c>
      <c r="G7316" s="23" t="s">
        <v>902</v>
      </c>
      <c r="H7316" s="2" t="s">
        <v>822</v>
      </c>
      <c r="J7316" s="31">
        <v>68.124000499999994</v>
      </c>
      <c r="K7316" s="31">
        <v>6.2039999999999997</v>
      </c>
      <c r="L7316" s="31"/>
      <c r="M7316" s="31" t="s">
        <v>854</v>
      </c>
      <c r="N7316" s="6" t="s">
        <v>856</v>
      </c>
    </row>
    <row r="7317" spans="1:14" ht="15" customHeight="1" x14ac:dyDescent="0.2">
      <c r="A7317" s="31">
        <v>7.395399982519775E-2</v>
      </c>
      <c r="B7317" s="31"/>
      <c r="C7317" s="2" t="s">
        <v>855</v>
      </c>
      <c r="D7317" s="31">
        <f t="shared" si="208"/>
        <v>1.4494983965738759E-2</v>
      </c>
      <c r="F7317" s="2" t="s">
        <v>822</v>
      </c>
      <c r="G7317" s="23" t="s">
        <v>902</v>
      </c>
      <c r="H7317" s="2" t="s">
        <v>822</v>
      </c>
      <c r="J7317" s="31">
        <v>72.132003800000007</v>
      </c>
      <c r="K7317" s="31">
        <v>26.9120007</v>
      </c>
      <c r="L7317" s="31"/>
      <c r="M7317" s="31" t="s">
        <v>854</v>
      </c>
      <c r="N7317" s="6" t="s">
        <v>856</v>
      </c>
    </row>
    <row r="7318" spans="1:14" ht="15" customHeight="1" x14ac:dyDescent="0.2">
      <c r="A7318" s="31">
        <v>7.3901879156119676E-2</v>
      </c>
      <c r="B7318" s="31"/>
      <c r="C7318" s="2" t="s">
        <v>855</v>
      </c>
      <c r="D7318" s="31">
        <f t="shared" si="208"/>
        <v>1.4484768314599458E-2</v>
      </c>
      <c r="F7318" s="2" t="s">
        <v>822</v>
      </c>
      <c r="G7318" s="23" t="s">
        <v>902</v>
      </c>
      <c r="H7318" s="2" t="s">
        <v>822</v>
      </c>
      <c r="J7318" s="31">
        <v>75.274902299999994</v>
      </c>
      <c r="K7318" s="31">
        <v>11.5451002</v>
      </c>
      <c r="L7318" s="31"/>
      <c r="M7318" s="31" t="s">
        <v>854</v>
      </c>
      <c r="N7318" s="6" t="s">
        <v>856</v>
      </c>
    </row>
    <row r="7319" spans="1:14" ht="15" customHeight="1" x14ac:dyDescent="0.2">
      <c r="A7319" s="31">
        <v>7.3749422461713149E-2</v>
      </c>
      <c r="B7319" s="31"/>
      <c r="C7319" s="2" t="s">
        <v>855</v>
      </c>
      <c r="D7319" s="31">
        <f t="shared" si="208"/>
        <v>1.4454886802495778E-2</v>
      </c>
      <c r="F7319" s="2" t="s">
        <v>822</v>
      </c>
      <c r="G7319" s="23" t="s">
        <v>902</v>
      </c>
      <c r="H7319" s="2" t="s">
        <v>822</v>
      </c>
      <c r="J7319" s="31">
        <v>70.127998399999996</v>
      </c>
      <c r="K7319" s="31">
        <v>-5.1520000000000001</v>
      </c>
      <c r="L7319" s="31"/>
      <c r="M7319" s="31" t="s">
        <v>854</v>
      </c>
      <c r="N7319" s="6" t="s">
        <v>856</v>
      </c>
    </row>
    <row r="7320" spans="1:14" ht="15" customHeight="1" x14ac:dyDescent="0.2">
      <c r="A7320" s="31">
        <v>7.3702427333036946E-2</v>
      </c>
      <c r="B7320" s="31"/>
      <c r="C7320" s="2" t="s">
        <v>855</v>
      </c>
      <c r="D7320" s="31">
        <f t="shared" si="208"/>
        <v>1.4445675757275242E-2</v>
      </c>
      <c r="F7320" s="2" t="s">
        <v>822</v>
      </c>
      <c r="G7320" s="23" t="s">
        <v>902</v>
      </c>
      <c r="H7320" s="2" t="s">
        <v>822</v>
      </c>
      <c r="J7320" s="31">
        <v>72.800003099999998</v>
      </c>
      <c r="K7320" s="31">
        <v>8.8760004000000006</v>
      </c>
      <c r="L7320" s="31"/>
      <c r="M7320" s="31" t="s">
        <v>854</v>
      </c>
      <c r="N7320" s="6" t="s">
        <v>856</v>
      </c>
    </row>
    <row r="7321" spans="1:14" ht="15" customHeight="1" x14ac:dyDescent="0.2">
      <c r="A7321" s="31">
        <v>7.3653563639557676E-2</v>
      </c>
      <c r="B7321" s="31"/>
      <c r="C7321" s="2" t="s">
        <v>855</v>
      </c>
      <c r="D7321" s="31">
        <f t="shared" si="208"/>
        <v>1.4436098473353306E-2</v>
      </c>
      <c r="F7321" s="2" t="s">
        <v>822</v>
      </c>
      <c r="G7321" s="23" t="s">
        <v>902</v>
      </c>
      <c r="H7321" s="2" t="s">
        <v>822</v>
      </c>
      <c r="J7321" s="31">
        <v>68.862197899999998</v>
      </c>
      <c r="K7321" s="31">
        <v>-1.4291799999999999</v>
      </c>
      <c r="L7321" s="31"/>
      <c r="M7321" s="31" t="s">
        <v>854</v>
      </c>
      <c r="N7321" s="6" t="s">
        <v>856</v>
      </c>
    </row>
    <row r="7322" spans="1:14" ht="15" customHeight="1" x14ac:dyDescent="0.2">
      <c r="A7322" s="31">
        <v>7.3639222718659511E-2</v>
      </c>
      <c r="B7322" s="31"/>
      <c r="C7322" s="2" t="s">
        <v>855</v>
      </c>
      <c r="D7322" s="31">
        <f t="shared" si="208"/>
        <v>1.4433287652857264E-2</v>
      </c>
      <c r="F7322" s="2" t="s">
        <v>822</v>
      </c>
      <c r="G7322" s="23" t="s">
        <v>902</v>
      </c>
      <c r="H7322" s="2" t="s">
        <v>822</v>
      </c>
      <c r="J7322" s="31">
        <v>75.239196800000002</v>
      </c>
      <c r="K7322" s="31">
        <v>14.8841</v>
      </c>
      <c r="L7322" s="31"/>
      <c r="M7322" s="31" t="s">
        <v>854</v>
      </c>
      <c r="N7322" s="6" t="s">
        <v>856</v>
      </c>
    </row>
    <row r="7323" spans="1:14" ht="15" customHeight="1" x14ac:dyDescent="0.2">
      <c r="A7323" s="31">
        <v>7.3597228672045337E-2</v>
      </c>
      <c r="B7323" s="31"/>
      <c r="C7323" s="2" t="s">
        <v>855</v>
      </c>
      <c r="D7323" s="31">
        <f t="shared" si="208"/>
        <v>1.4425056819720887E-2</v>
      </c>
      <c r="F7323" s="2" t="s">
        <v>822</v>
      </c>
      <c r="G7323" s="23" t="s">
        <v>902</v>
      </c>
      <c r="H7323" s="2" t="s">
        <v>822</v>
      </c>
      <c r="J7323" s="31">
        <v>68.1505966</v>
      </c>
      <c r="K7323" s="31">
        <v>-3.6802001</v>
      </c>
      <c r="L7323" s="31"/>
      <c r="M7323" s="31" t="s">
        <v>854</v>
      </c>
      <c r="N7323" s="6" t="s">
        <v>856</v>
      </c>
    </row>
    <row r="7324" spans="1:14" ht="15" customHeight="1" x14ac:dyDescent="0.2">
      <c r="A7324" s="31">
        <v>7.3470362792747101E-2</v>
      </c>
      <c r="B7324" s="31"/>
      <c r="C7324" s="2" t="s">
        <v>855</v>
      </c>
      <c r="D7324" s="31">
        <f t="shared" si="208"/>
        <v>1.4400191107378432E-2</v>
      </c>
      <c r="F7324" s="2" t="s">
        <v>822</v>
      </c>
      <c r="G7324" s="23" t="s">
        <v>902</v>
      </c>
      <c r="H7324" s="2" t="s">
        <v>822</v>
      </c>
      <c r="J7324" s="31">
        <v>68.5282974</v>
      </c>
      <c r="K7324" s="31">
        <v>47.011798900000002</v>
      </c>
      <c r="L7324" s="31"/>
      <c r="M7324" s="31" t="s">
        <v>854</v>
      </c>
      <c r="N7324" s="6" t="s">
        <v>856</v>
      </c>
    </row>
    <row r="7325" spans="1:14" ht="15" customHeight="1" x14ac:dyDescent="0.2">
      <c r="A7325" s="31">
        <v>7.3406212105108823E-2</v>
      </c>
      <c r="B7325" s="31"/>
      <c r="C7325" s="2" t="s">
        <v>855</v>
      </c>
      <c r="D7325" s="31">
        <f t="shared" si="208"/>
        <v>1.4387617572601329E-2</v>
      </c>
      <c r="F7325" s="2" t="s">
        <v>822</v>
      </c>
      <c r="G7325" s="23" t="s">
        <v>902</v>
      </c>
      <c r="H7325" s="2" t="s">
        <v>822</v>
      </c>
      <c r="J7325" s="31">
        <v>62.779998800000001</v>
      </c>
      <c r="K7325" s="31">
        <v>-5.8200002</v>
      </c>
      <c r="L7325" s="31"/>
      <c r="M7325" s="31" t="s">
        <v>854</v>
      </c>
      <c r="N7325" s="6" t="s">
        <v>856</v>
      </c>
    </row>
    <row r="7326" spans="1:14" ht="15" customHeight="1" x14ac:dyDescent="0.2">
      <c r="A7326" s="31">
        <v>7.340137214134107E-2</v>
      </c>
      <c r="B7326" s="31"/>
      <c r="C7326" s="2" t="s">
        <v>855</v>
      </c>
      <c r="D7326" s="31">
        <f t="shared" si="208"/>
        <v>1.438666893970285E-2</v>
      </c>
      <c r="F7326" s="2" t="s">
        <v>822</v>
      </c>
      <c r="G7326" s="23" t="s">
        <v>902</v>
      </c>
      <c r="H7326" s="2" t="s">
        <v>822</v>
      </c>
      <c r="J7326" s="31">
        <v>74.1360016</v>
      </c>
      <c r="K7326" s="31">
        <v>10.8800001</v>
      </c>
      <c r="L7326" s="31"/>
      <c r="M7326" s="31" t="s">
        <v>854</v>
      </c>
      <c r="N7326" s="6" t="s">
        <v>856</v>
      </c>
    </row>
    <row r="7327" spans="1:14" ht="15" customHeight="1" x14ac:dyDescent="0.2">
      <c r="A7327" s="31">
        <v>7.3124582937366969E-2</v>
      </c>
      <c r="B7327" s="31"/>
      <c r="C7327" s="2" t="s">
        <v>855</v>
      </c>
      <c r="D7327" s="31">
        <f t="shared" si="208"/>
        <v>1.4332418255723926E-2</v>
      </c>
      <c r="F7327" s="2" t="s">
        <v>822</v>
      </c>
      <c r="G7327" s="23" t="s">
        <v>902</v>
      </c>
      <c r="H7327" s="2" t="s">
        <v>822</v>
      </c>
      <c r="J7327" s="31">
        <v>70.795997600000007</v>
      </c>
      <c r="K7327" s="31">
        <v>-1.8120000000000001</v>
      </c>
      <c r="L7327" s="31"/>
      <c r="M7327" s="31" t="s">
        <v>854</v>
      </c>
      <c r="N7327" s="6" t="s">
        <v>856</v>
      </c>
    </row>
    <row r="7328" spans="1:14" ht="15" customHeight="1" x14ac:dyDescent="0.2">
      <c r="A7328" s="31">
        <v>7.3005795920658242E-2</v>
      </c>
      <c r="B7328" s="31"/>
      <c r="C7328" s="2" t="s">
        <v>855</v>
      </c>
      <c r="D7328" s="31">
        <f t="shared" si="208"/>
        <v>1.4309136000449016E-2</v>
      </c>
      <c r="F7328" s="2" t="s">
        <v>822</v>
      </c>
      <c r="G7328" s="23" t="s">
        <v>902</v>
      </c>
      <c r="H7328" s="2" t="s">
        <v>822</v>
      </c>
      <c r="J7328" s="31">
        <v>70.127601600000006</v>
      </c>
      <c r="K7328" s="31">
        <v>-8.4924002000000005</v>
      </c>
      <c r="L7328" s="31"/>
      <c r="M7328" s="31" t="s">
        <v>854</v>
      </c>
      <c r="N7328" s="6" t="s">
        <v>856</v>
      </c>
    </row>
    <row r="7329" spans="1:14" ht="15" customHeight="1" x14ac:dyDescent="0.2">
      <c r="A7329" s="31">
        <v>7.2716424488297793E-2</v>
      </c>
      <c r="B7329" s="31"/>
      <c r="C7329" s="2" t="s">
        <v>855</v>
      </c>
      <c r="D7329" s="31">
        <f t="shared" si="208"/>
        <v>1.4252419199706368E-2</v>
      </c>
      <c r="F7329" s="2" t="s">
        <v>822</v>
      </c>
      <c r="G7329" s="23" t="s">
        <v>902</v>
      </c>
      <c r="H7329" s="2" t="s">
        <v>822</v>
      </c>
      <c r="J7329" s="31">
        <v>68.791999799999999</v>
      </c>
      <c r="K7329" s="31">
        <v>-14.5039997</v>
      </c>
      <c r="L7329" s="31"/>
      <c r="M7329" s="31" t="s">
        <v>854</v>
      </c>
      <c r="N7329" s="6" t="s">
        <v>856</v>
      </c>
    </row>
    <row r="7330" spans="1:14" ht="15" customHeight="1" x14ac:dyDescent="0.2">
      <c r="A7330" s="31">
        <v>7.2658411269164114E-2</v>
      </c>
      <c r="B7330" s="31"/>
      <c r="C7330" s="2" t="s">
        <v>855</v>
      </c>
      <c r="D7330" s="31">
        <f t="shared" si="208"/>
        <v>1.4241048608756166E-2</v>
      </c>
      <c r="F7330" s="2" t="s">
        <v>822</v>
      </c>
      <c r="G7330" s="23" t="s">
        <v>902</v>
      </c>
      <c r="H7330" s="2" t="s">
        <v>822</v>
      </c>
      <c r="J7330" s="31">
        <v>72.132003800000007</v>
      </c>
      <c r="K7330" s="31">
        <v>26.243999500000001</v>
      </c>
      <c r="L7330" s="31"/>
      <c r="M7330" s="31" t="s">
        <v>854</v>
      </c>
      <c r="N7330" s="6" t="s">
        <v>856</v>
      </c>
    </row>
    <row r="7331" spans="1:14" ht="15" customHeight="1" x14ac:dyDescent="0.2">
      <c r="A7331" s="31">
        <v>7.26085235009684E-2</v>
      </c>
      <c r="B7331" s="31"/>
      <c r="C7331" s="2" t="s">
        <v>855</v>
      </c>
      <c r="D7331" s="31">
        <f t="shared" si="208"/>
        <v>1.4231270606189807E-2</v>
      </c>
      <c r="F7331" s="2" t="s">
        <v>822</v>
      </c>
      <c r="G7331" s="23" t="s">
        <v>902</v>
      </c>
      <c r="H7331" s="2" t="s">
        <v>822</v>
      </c>
      <c r="J7331" s="31">
        <v>74.804000900000005</v>
      </c>
      <c r="K7331" s="31">
        <v>10.8800001</v>
      </c>
      <c r="L7331" s="31"/>
      <c r="M7331" s="31" t="s">
        <v>854</v>
      </c>
      <c r="N7331" s="6" t="s">
        <v>856</v>
      </c>
    </row>
    <row r="7332" spans="1:14" ht="15" customHeight="1" x14ac:dyDescent="0.2">
      <c r="A7332" s="31">
        <v>7.2489201929046648E-2</v>
      </c>
      <c r="B7332" s="31"/>
      <c r="C7332" s="2" t="s">
        <v>855</v>
      </c>
      <c r="D7332" s="31">
        <f t="shared" si="208"/>
        <v>1.4207883578093144E-2</v>
      </c>
      <c r="F7332" s="2" t="s">
        <v>822</v>
      </c>
      <c r="G7332" s="23" t="s">
        <v>902</v>
      </c>
      <c r="H7332" s="2" t="s">
        <v>822</v>
      </c>
      <c r="J7332" s="31">
        <v>72.132003800000007</v>
      </c>
      <c r="K7332" s="31">
        <v>6.8720001999999996</v>
      </c>
      <c r="L7332" s="31"/>
      <c r="M7332" s="31" t="s">
        <v>854</v>
      </c>
      <c r="N7332" s="6" t="s">
        <v>856</v>
      </c>
    </row>
    <row r="7333" spans="1:14" ht="15" customHeight="1" x14ac:dyDescent="0.2">
      <c r="A7333" s="31">
        <v>7.2481302351447813E-2</v>
      </c>
      <c r="B7333" s="31"/>
      <c r="C7333" s="2" t="s">
        <v>855</v>
      </c>
      <c r="D7333" s="31">
        <f t="shared" si="208"/>
        <v>1.4206335260883772E-2</v>
      </c>
      <c r="F7333" s="2" t="s">
        <v>822</v>
      </c>
      <c r="G7333" s="23" t="s">
        <v>902</v>
      </c>
      <c r="H7333" s="2" t="s">
        <v>822</v>
      </c>
      <c r="J7333" s="31">
        <v>68.114898699999998</v>
      </c>
      <c r="K7333" s="31">
        <v>-1.8097700000000001</v>
      </c>
      <c r="L7333" s="31"/>
      <c r="M7333" s="31" t="s">
        <v>854</v>
      </c>
      <c r="N7333" s="6" t="s">
        <v>856</v>
      </c>
    </row>
    <row r="7334" spans="1:14" ht="15" customHeight="1" x14ac:dyDescent="0.2">
      <c r="A7334" s="31">
        <v>7.2441716883792209E-2</v>
      </c>
      <c r="B7334" s="31"/>
      <c r="C7334" s="2" t="s">
        <v>855</v>
      </c>
      <c r="D7334" s="31">
        <f t="shared" si="208"/>
        <v>1.4198576509223274E-2</v>
      </c>
      <c r="F7334" s="2" t="s">
        <v>822</v>
      </c>
      <c r="G7334" s="23" t="s">
        <v>902</v>
      </c>
      <c r="H7334" s="2" t="s">
        <v>822</v>
      </c>
      <c r="J7334" s="31">
        <v>72.132003800000007</v>
      </c>
      <c r="K7334" s="31">
        <v>24.908000900000001</v>
      </c>
      <c r="L7334" s="31"/>
      <c r="M7334" s="31" t="s">
        <v>854</v>
      </c>
      <c r="N7334" s="6" t="s">
        <v>856</v>
      </c>
    </row>
    <row r="7335" spans="1:14" ht="15" customHeight="1" x14ac:dyDescent="0.2">
      <c r="A7335" s="31">
        <v>7.2356439818974827E-2</v>
      </c>
      <c r="B7335" s="31"/>
      <c r="C7335" s="2" t="s">
        <v>855</v>
      </c>
      <c r="D7335" s="31">
        <f t="shared" si="208"/>
        <v>1.4181862204519067E-2</v>
      </c>
      <c r="F7335" s="2" t="s">
        <v>822</v>
      </c>
      <c r="G7335" s="23" t="s">
        <v>902</v>
      </c>
      <c r="H7335" s="2" t="s">
        <v>822</v>
      </c>
      <c r="J7335" s="31">
        <v>66.120002700000001</v>
      </c>
      <c r="K7335" s="31">
        <v>-6.4879999000000002</v>
      </c>
      <c r="L7335" s="31"/>
      <c r="M7335" s="31" t="s">
        <v>854</v>
      </c>
      <c r="N7335" s="6" t="s">
        <v>856</v>
      </c>
    </row>
    <row r="7336" spans="1:14" ht="15" customHeight="1" x14ac:dyDescent="0.2">
      <c r="A7336" s="31">
        <v>7.2269656180090236E-2</v>
      </c>
      <c r="B7336" s="31"/>
      <c r="C7336" s="2" t="s">
        <v>855</v>
      </c>
      <c r="D7336" s="31">
        <f t="shared" si="208"/>
        <v>1.4164852611297686E-2</v>
      </c>
      <c r="F7336" s="2" t="s">
        <v>822</v>
      </c>
      <c r="G7336" s="23" t="s">
        <v>902</v>
      </c>
      <c r="H7336" s="2" t="s">
        <v>822</v>
      </c>
      <c r="J7336" s="31">
        <v>71.392700199999993</v>
      </c>
      <c r="K7336" s="31">
        <v>11.5480003</v>
      </c>
      <c r="L7336" s="31"/>
      <c r="M7336" s="31" t="s">
        <v>854</v>
      </c>
      <c r="N7336" s="6" t="s">
        <v>856</v>
      </c>
    </row>
    <row r="7337" spans="1:14" ht="15" customHeight="1" x14ac:dyDescent="0.2">
      <c r="A7337" s="31">
        <v>7.2183204759286579E-2</v>
      </c>
      <c r="B7337" s="31"/>
      <c r="C7337" s="2" t="s">
        <v>855</v>
      </c>
      <c r="D7337" s="31">
        <f t="shared" si="208"/>
        <v>1.414790813282017E-2</v>
      </c>
      <c r="F7337" s="2" t="s">
        <v>822</v>
      </c>
      <c r="G7337" s="23" t="s">
        <v>902</v>
      </c>
      <c r="H7337" s="2" t="s">
        <v>822</v>
      </c>
      <c r="J7337" s="31">
        <v>71.467796300000003</v>
      </c>
      <c r="K7337" s="31">
        <v>25.574800499999998</v>
      </c>
      <c r="L7337" s="31"/>
      <c r="M7337" s="31" t="s">
        <v>854</v>
      </c>
      <c r="N7337" s="6" t="s">
        <v>856</v>
      </c>
    </row>
    <row r="7338" spans="1:14" ht="15" customHeight="1" x14ac:dyDescent="0.2">
      <c r="A7338" s="31">
        <v>7.2092959982095417E-2</v>
      </c>
      <c r="B7338" s="31"/>
      <c r="C7338" s="2" t="s">
        <v>855</v>
      </c>
      <c r="D7338" s="31">
        <f t="shared" si="208"/>
        <v>1.4130220156490703E-2</v>
      </c>
      <c r="F7338" s="2" t="s">
        <v>822</v>
      </c>
      <c r="G7338" s="23" t="s">
        <v>902</v>
      </c>
      <c r="H7338" s="2" t="s">
        <v>822</v>
      </c>
      <c r="J7338" s="31">
        <v>68.791999799999999</v>
      </c>
      <c r="K7338" s="31">
        <v>-10.4960003</v>
      </c>
      <c r="L7338" s="31"/>
      <c r="M7338" s="31" t="s">
        <v>854</v>
      </c>
      <c r="N7338" s="6" t="s">
        <v>856</v>
      </c>
    </row>
    <row r="7339" spans="1:14" ht="15" customHeight="1" x14ac:dyDescent="0.2">
      <c r="A7339" s="31">
        <v>7.1904573511472961E-2</v>
      </c>
      <c r="B7339" s="31"/>
      <c r="C7339" s="2" t="s">
        <v>855</v>
      </c>
      <c r="D7339" s="31">
        <f t="shared" si="208"/>
        <v>1.40932964082487E-2</v>
      </c>
      <c r="F7339" s="2" t="s">
        <v>822</v>
      </c>
      <c r="G7339" s="23" t="s">
        <v>902</v>
      </c>
      <c r="H7339" s="2" t="s">
        <v>822</v>
      </c>
      <c r="J7339" s="31">
        <v>70.128097499999996</v>
      </c>
      <c r="K7339" s="31">
        <v>18.228000600000001</v>
      </c>
      <c r="L7339" s="31"/>
      <c r="M7339" s="31" t="s">
        <v>854</v>
      </c>
      <c r="N7339" s="6" t="s">
        <v>856</v>
      </c>
    </row>
    <row r="7340" spans="1:14" ht="15" customHeight="1" x14ac:dyDescent="0.2">
      <c r="A7340" s="31">
        <v>7.1900131062948305E-2</v>
      </c>
      <c r="B7340" s="31"/>
      <c r="C7340" s="2" t="s">
        <v>855</v>
      </c>
      <c r="D7340" s="31">
        <f t="shared" si="208"/>
        <v>1.4092425688337868E-2</v>
      </c>
      <c r="F7340" s="2" t="s">
        <v>822</v>
      </c>
      <c r="G7340" s="23" t="s">
        <v>902</v>
      </c>
      <c r="H7340" s="2" t="s">
        <v>822</v>
      </c>
      <c r="J7340" s="31">
        <v>70.127998399999996</v>
      </c>
      <c r="K7340" s="31">
        <v>11.5480003</v>
      </c>
      <c r="L7340" s="31"/>
      <c r="M7340" s="31" t="s">
        <v>854</v>
      </c>
      <c r="N7340" s="6" t="s">
        <v>856</v>
      </c>
    </row>
    <row r="7341" spans="1:14" ht="15" customHeight="1" x14ac:dyDescent="0.2">
      <c r="A7341" s="31">
        <v>7.1824529385197414E-2</v>
      </c>
      <c r="B7341" s="31"/>
      <c r="C7341" s="2" t="s">
        <v>855</v>
      </c>
      <c r="D7341" s="31">
        <f t="shared" si="208"/>
        <v>1.4077607759498694E-2</v>
      </c>
      <c r="F7341" s="2" t="s">
        <v>822</v>
      </c>
      <c r="G7341" s="23" t="s">
        <v>902</v>
      </c>
      <c r="H7341" s="2" t="s">
        <v>822</v>
      </c>
      <c r="J7341" s="31">
        <v>73.468002299999995</v>
      </c>
      <c r="K7341" s="31">
        <v>9.5439997000000005</v>
      </c>
      <c r="L7341" s="31"/>
      <c r="M7341" s="31" t="s">
        <v>854</v>
      </c>
      <c r="N7341" s="6" t="s">
        <v>856</v>
      </c>
    </row>
    <row r="7342" spans="1:14" ht="15" customHeight="1" x14ac:dyDescent="0.2">
      <c r="A7342" s="31">
        <v>7.1784310073658472E-2</v>
      </c>
      <c r="B7342" s="31"/>
      <c r="C7342" s="2" t="s">
        <v>855</v>
      </c>
      <c r="D7342" s="31">
        <f t="shared" si="208"/>
        <v>1.4069724774437062E-2</v>
      </c>
      <c r="F7342" s="2" t="s">
        <v>822</v>
      </c>
      <c r="G7342" s="23" t="s">
        <v>902</v>
      </c>
      <c r="H7342" s="2" t="s">
        <v>822</v>
      </c>
      <c r="J7342" s="31">
        <v>68.791999799999999</v>
      </c>
      <c r="K7342" s="31">
        <v>-15.8400002</v>
      </c>
      <c r="L7342" s="31"/>
      <c r="M7342" s="31" t="s">
        <v>854</v>
      </c>
      <c r="N7342" s="6" t="s">
        <v>856</v>
      </c>
    </row>
    <row r="7343" spans="1:14" ht="15" customHeight="1" x14ac:dyDescent="0.2">
      <c r="A7343" s="31">
        <v>7.1781238764819552E-2</v>
      </c>
      <c r="B7343" s="31"/>
      <c r="C7343" s="2" t="s">
        <v>855</v>
      </c>
      <c r="D7343" s="31">
        <f t="shared" si="208"/>
        <v>1.4069122797904633E-2</v>
      </c>
      <c r="F7343" s="2" t="s">
        <v>822</v>
      </c>
      <c r="G7343" s="23" t="s">
        <v>902</v>
      </c>
      <c r="H7343" s="2" t="s">
        <v>822</v>
      </c>
      <c r="J7343" s="31">
        <v>66.788002000000006</v>
      </c>
      <c r="K7343" s="31">
        <v>-10.4960003</v>
      </c>
      <c r="L7343" s="31"/>
      <c r="M7343" s="31" t="s">
        <v>854</v>
      </c>
      <c r="N7343" s="6" t="s">
        <v>856</v>
      </c>
    </row>
    <row r="7344" spans="1:14" ht="15" customHeight="1" x14ac:dyDescent="0.2">
      <c r="A7344" s="31">
        <v>7.1683338876168234E-2</v>
      </c>
      <c r="B7344" s="31"/>
      <c r="C7344" s="2" t="s">
        <v>855</v>
      </c>
      <c r="D7344" s="31">
        <f t="shared" si="208"/>
        <v>1.4049934419728974E-2</v>
      </c>
      <c r="F7344" s="2" t="s">
        <v>822</v>
      </c>
      <c r="G7344" s="23" t="s">
        <v>902</v>
      </c>
      <c r="H7344" s="2" t="s">
        <v>822</v>
      </c>
      <c r="J7344" s="31">
        <v>66.554702800000001</v>
      </c>
      <c r="K7344" s="31">
        <v>-22.557600000000001</v>
      </c>
      <c r="L7344" s="31"/>
      <c r="M7344" s="31" t="s">
        <v>854</v>
      </c>
      <c r="N7344" s="6" t="s">
        <v>856</v>
      </c>
    </row>
    <row r="7345" spans="1:14" ht="15" customHeight="1" x14ac:dyDescent="0.2">
      <c r="A7345" s="31">
        <v>7.1650546058318221E-2</v>
      </c>
      <c r="B7345" s="31"/>
      <c r="C7345" s="2" t="s">
        <v>855</v>
      </c>
      <c r="D7345" s="31">
        <f t="shared" si="208"/>
        <v>1.4043507027430372E-2</v>
      </c>
      <c r="F7345" s="2" t="s">
        <v>822</v>
      </c>
      <c r="G7345" s="23" t="s">
        <v>902</v>
      </c>
      <c r="H7345" s="2" t="s">
        <v>822</v>
      </c>
      <c r="J7345" s="31">
        <v>68.791999799999999</v>
      </c>
      <c r="K7345" s="31">
        <v>2.1960001</v>
      </c>
      <c r="L7345" s="31"/>
      <c r="M7345" s="31" t="s">
        <v>854</v>
      </c>
      <c r="N7345" s="6" t="s">
        <v>856</v>
      </c>
    </row>
    <row r="7346" spans="1:14" ht="15" customHeight="1" x14ac:dyDescent="0.2">
      <c r="A7346" s="31">
        <v>7.1547667377897903E-2</v>
      </c>
      <c r="B7346" s="31"/>
      <c r="C7346" s="2" t="s">
        <v>855</v>
      </c>
      <c r="D7346" s="31">
        <f t="shared" si="208"/>
        <v>1.402334280606799E-2</v>
      </c>
      <c r="F7346" s="2" t="s">
        <v>822</v>
      </c>
      <c r="G7346" s="23" t="s">
        <v>902</v>
      </c>
      <c r="H7346" s="2" t="s">
        <v>822</v>
      </c>
      <c r="J7346" s="31">
        <v>70.795997600000007</v>
      </c>
      <c r="K7346" s="31">
        <v>6.8720001999999996</v>
      </c>
      <c r="L7346" s="31"/>
      <c r="M7346" s="31" t="s">
        <v>854</v>
      </c>
      <c r="N7346" s="6" t="s">
        <v>856</v>
      </c>
    </row>
    <row r="7347" spans="1:14" ht="15" customHeight="1" x14ac:dyDescent="0.2">
      <c r="A7347" s="31">
        <v>7.1543197506217099E-2</v>
      </c>
      <c r="B7347" s="31"/>
      <c r="C7347" s="2" t="s">
        <v>855</v>
      </c>
      <c r="D7347" s="31">
        <f t="shared" si="208"/>
        <v>1.4022466711218552E-2</v>
      </c>
      <c r="F7347" s="2" t="s">
        <v>822</v>
      </c>
      <c r="G7347" s="23" t="s">
        <v>902</v>
      </c>
      <c r="H7347" s="2" t="s">
        <v>822</v>
      </c>
      <c r="J7347" s="31">
        <v>68.402000400000006</v>
      </c>
      <c r="K7347" s="31">
        <v>-6.1406897999999996</v>
      </c>
      <c r="L7347" s="31"/>
      <c r="M7347" s="31" t="s">
        <v>854</v>
      </c>
      <c r="N7347" s="6" t="s">
        <v>856</v>
      </c>
    </row>
    <row r="7348" spans="1:14" ht="15" customHeight="1" x14ac:dyDescent="0.2">
      <c r="A7348" s="31">
        <v>7.1431703248332784E-2</v>
      </c>
      <c r="B7348" s="31"/>
      <c r="C7348" s="2" t="s">
        <v>855</v>
      </c>
      <c r="D7348" s="31">
        <f t="shared" si="208"/>
        <v>1.4000613836673226E-2</v>
      </c>
      <c r="F7348" s="2" t="s">
        <v>822</v>
      </c>
      <c r="G7348" s="23" t="s">
        <v>902</v>
      </c>
      <c r="H7348" s="2" t="s">
        <v>822</v>
      </c>
      <c r="J7348" s="31">
        <v>70.997596700000003</v>
      </c>
      <c r="K7348" s="31">
        <v>24.9153004</v>
      </c>
      <c r="L7348" s="31"/>
      <c r="M7348" s="31" t="s">
        <v>854</v>
      </c>
      <c r="N7348" s="6" t="s">
        <v>856</v>
      </c>
    </row>
    <row r="7349" spans="1:14" ht="15" customHeight="1" x14ac:dyDescent="0.2">
      <c r="A7349" s="31">
        <v>7.1428292752038755E-2</v>
      </c>
      <c r="B7349" s="31"/>
      <c r="C7349" s="2" t="s">
        <v>855</v>
      </c>
      <c r="D7349" s="31">
        <f t="shared" si="208"/>
        <v>1.3999945379399597E-2</v>
      </c>
      <c r="F7349" s="2" t="s">
        <v>822</v>
      </c>
      <c r="G7349" s="23" t="s">
        <v>902</v>
      </c>
      <c r="H7349" s="2" t="s">
        <v>822</v>
      </c>
      <c r="J7349" s="31">
        <v>68.791397099999998</v>
      </c>
      <c r="K7349" s="31">
        <v>-1.8113699999999999</v>
      </c>
      <c r="L7349" s="31"/>
      <c r="M7349" s="31" t="s">
        <v>854</v>
      </c>
      <c r="N7349" s="6" t="s">
        <v>856</v>
      </c>
    </row>
    <row r="7350" spans="1:14" ht="15" customHeight="1" x14ac:dyDescent="0.2">
      <c r="A7350" s="31">
        <v>7.1362770467199729E-2</v>
      </c>
      <c r="B7350" s="31"/>
      <c r="C7350" s="2" t="s">
        <v>855</v>
      </c>
      <c r="D7350" s="31">
        <f t="shared" si="208"/>
        <v>1.3987103011571148E-2</v>
      </c>
      <c r="F7350" s="2" t="s">
        <v>822</v>
      </c>
      <c r="G7350" s="23" t="s">
        <v>902</v>
      </c>
      <c r="H7350" s="2" t="s">
        <v>822</v>
      </c>
      <c r="J7350" s="31">
        <v>68.791999799999999</v>
      </c>
      <c r="K7350" s="31">
        <v>0.192</v>
      </c>
      <c r="L7350" s="31"/>
      <c r="M7350" s="31" t="s">
        <v>854</v>
      </c>
      <c r="N7350" s="6" t="s">
        <v>856</v>
      </c>
    </row>
    <row r="7351" spans="1:14" ht="15" customHeight="1" x14ac:dyDescent="0.2">
      <c r="A7351" s="31">
        <v>7.1345580295037556E-2</v>
      </c>
      <c r="B7351" s="31"/>
      <c r="C7351" s="2" t="s">
        <v>855</v>
      </c>
      <c r="D7351" s="31">
        <f t="shared" si="208"/>
        <v>1.3983733737827362E-2</v>
      </c>
      <c r="F7351" s="2" t="s">
        <v>822</v>
      </c>
      <c r="G7351" s="23" t="s">
        <v>902</v>
      </c>
      <c r="H7351" s="2" t="s">
        <v>822</v>
      </c>
      <c r="J7351" s="31">
        <v>72.800003099999998</v>
      </c>
      <c r="K7351" s="31">
        <v>25.576000199999999</v>
      </c>
      <c r="L7351" s="31"/>
      <c r="M7351" s="31" t="s">
        <v>854</v>
      </c>
      <c r="N7351" s="6" t="s">
        <v>856</v>
      </c>
    </row>
    <row r="7352" spans="1:14" ht="15" customHeight="1" x14ac:dyDescent="0.2">
      <c r="A7352" s="31">
        <v>7.1337395741940202E-2</v>
      </c>
      <c r="B7352" s="31"/>
      <c r="C7352" s="2" t="s">
        <v>855</v>
      </c>
      <c r="D7352" s="31">
        <f t="shared" si="208"/>
        <v>1.3982129565420279E-2</v>
      </c>
      <c r="F7352" s="2" t="s">
        <v>822</v>
      </c>
      <c r="G7352" s="23" t="s">
        <v>902</v>
      </c>
      <c r="H7352" s="2" t="s">
        <v>822</v>
      </c>
      <c r="J7352" s="31">
        <v>72.132003800000007</v>
      </c>
      <c r="K7352" s="31">
        <v>13.552</v>
      </c>
      <c r="L7352" s="31"/>
      <c r="M7352" s="31" t="s">
        <v>854</v>
      </c>
      <c r="N7352" s="6" t="s">
        <v>856</v>
      </c>
    </row>
    <row r="7353" spans="1:14" ht="15" customHeight="1" x14ac:dyDescent="0.2">
      <c r="A7353" s="31">
        <v>7.1210566531461433E-2</v>
      </c>
      <c r="B7353" s="31"/>
      <c r="C7353" s="2" t="s">
        <v>855</v>
      </c>
      <c r="D7353" s="31">
        <f t="shared" si="208"/>
        <v>1.3957271040166442E-2</v>
      </c>
      <c r="F7353" s="2" t="s">
        <v>822</v>
      </c>
      <c r="G7353" s="23" t="s">
        <v>902</v>
      </c>
      <c r="H7353" s="2" t="s">
        <v>822</v>
      </c>
      <c r="J7353" s="31">
        <v>64.115997300000004</v>
      </c>
      <c r="K7353" s="31">
        <v>-3.1480000000000001</v>
      </c>
      <c r="L7353" s="31"/>
      <c r="M7353" s="31" t="s">
        <v>854</v>
      </c>
      <c r="N7353" s="6" t="s">
        <v>856</v>
      </c>
    </row>
    <row r="7354" spans="1:14" ht="15" customHeight="1" x14ac:dyDescent="0.2">
      <c r="A7354" s="31">
        <v>7.113219353881102E-2</v>
      </c>
      <c r="B7354" s="31"/>
      <c r="C7354" s="2" t="s">
        <v>855</v>
      </c>
      <c r="D7354" s="31">
        <f t="shared" si="208"/>
        <v>1.394190993360696E-2</v>
      </c>
      <c r="F7354" s="2" t="s">
        <v>822</v>
      </c>
      <c r="G7354" s="23" t="s">
        <v>902</v>
      </c>
      <c r="H7354" s="2" t="s">
        <v>822</v>
      </c>
      <c r="J7354" s="31">
        <v>67.456001299999997</v>
      </c>
      <c r="K7354" s="31">
        <v>-10.4960003</v>
      </c>
      <c r="L7354" s="31"/>
      <c r="M7354" s="31" t="s">
        <v>854</v>
      </c>
      <c r="N7354" s="6" t="s">
        <v>856</v>
      </c>
    </row>
    <row r="7355" spans="1:14" ht="15" customHeight="1" x14ac:dyDescent="0.2">
      <c r="A7355" s="31">
        <v>7.1114259762405943E-2</v>
      </c>
      <c r="B7355" s="31"/>
      <c r="C7355" s="2" t="s">
        <v>855</v>
      </c>
      <c r="D7355" s="31">
        <f t="shared" si="208"/>
        <v>1.3938394913431565E-2</v>
      </c>
      <c r="F7355" s="2" t="s">
        <v>822</v>
      </c>
      <c r="G7355" s="23" t="s">
        <v>902</v>
      </c>
      <c r="H7355" s="2" t="s">
        <v>822</v>
      </c>
      <c r="J7355" s="31">
        <v>70.127998399999996</v>
      </c>
      <c r="K7355" s="31">
        <v>-12.5</v>
      </c>
      <c r="L7355" s="31"/>
      <c r="M7355" s="31" t="s">
        <v>854</v>
      </c>
      <c r="N7355" s="6" t="s">
        <v>856</v>
      </c>
    </row>
    <row r="7356" spans="1:14" ht="15" customHeight="1" x14ac:dyDescent="0.2">
      <c r="A7356" s="31">
        <v>7.1057720723207332E-2</v>
      </c>
      <c r="B7356" s="31"/>
      <c r="C7356" s="2" t="s">
        <v>855</v>
      </c>
      <c r="D7356" s="31">
        <f t="shared" si="208"/>
        <v>1.3927313261748637E-2</v>
      </c>
      <c r="F7356" s="2" t="s">
        <v>822</v>
      </c>
      <c r="G7356" s="23" t="s">
        <v>902</v>
      </c>
      <c r="H7356" s="2" t="s">
        <v>822</v>
      </c>
      <c r="J7356" s="31">
        <v>72.800003099999998</v>
      </c>
      <c r="K7356" s="31">
        <v>17.5599995</v>
      </c>
      <c r="L7356" s="31"/>
      <c r="M7356" s="31" t="s">
        <v>854</v>
      </c>
      <c r="N7356" s="6" t="s">
        <v>856</v>
      </c>
    </row>
    <row r="7357" spans="1:14" ht="15" customHeight="1" x14ac:dyDescent="0.2">
      <c r="A7357" s="31">
        <v>7.1054816581585176E-2</v>
      </c>
      <c r="B7357" s="31"/>
      <c r="C7357" s="2" t="s">
        <v>855</v>
      </c>
      <c r="D7357" s="31">
        <f t="shared" si="208"/>
        <v>1.3926744049990695E-2</v>
      </c>
      <c r="F7357" s="2" t="s">
        <v>822</v>
      </c>
      <c r="G7357" s="23" t="s">
        <v>902</v>
      </c>
      <c r="H7357" s="2" t="s">
        <v>822</v>
      </c>
      <c r="J7357" s="31">
        <v>74.804000900000005</v>
      </c>
      <c r="K7357" s="31">
        <v>8.8760004000000006</v>
      </c>
      <c r="L7357" s="31"/>
      <c r="M7357" s="31" t="s">
        <v>854</v>
      </c>
      <c r="N7357" s="6" t="s">
        <v>856</v>
      </c>
    </row>
    <row r="7358" spans="1:14" ht="15" customHeight="1" x14ac:dyDescent="0.2">
      <c r="A7358" s="31">
        <v>7.1044216076204883E-2</v>
      </c>
      <c r="B7358" s="31"/>
      <c r="C7358" s="2" t="s">
        <v>855</v>
      </c>
      <c r="D7358" s="31">
        <f t="shared" si="208"/>
        <v>1.3924666350936157E-2</v>
      </c>
      <c r="F7358" s="2" t="s">
        <v>822</v>
      </c>
      <c r="G7358" s="23" t="s">
        <v>902</v>
      </c>
      <c r="H7358" s="2" t="s">
        <v>822</v>
      </c>
      <c r="J7358" s="31">
        <v>68.235298200000003</v>
      </c>
      <c r="K7358" s="31">
        <v>-2.9253298999999999</v>
      </c>
      <c r="L7358" s="31"/>
      <c r="M7358" s="31" t="s">
        <v>854</v>
      </c>
      <c r="N7358" s="6" t="s">
        <v>856</v>
      </c>
    </row>
    <row r="7359" spans="1:14" ht="15" customHeight="1" x14ac:dyDescent="0.2">
      <c r="A7359" s="31">
        <v>7.0910628114916746E-2</v>
      </c>
      <c r="B7359" s="31"/>
      <c r="C7359" s="2" t="s">
        <v>855</v>
      </c>
      <c r="D7359" s="31">
        <f t="shared" si="208"/>
        <v>1.3898483110523684E-2</v>
      </c>
      <c r="F7359" s="2" t="s">
        <v>822</v>
      </c>
      <c r="G7359" s="23" t="s">
        <v>902</v>
      </c>
      <c r="H7359" s="2" t="s">
        <v>822</v>
      </c>
      <c r="J7359" s="31">
        <v>64.783996599999995</v>
      </c>
      <c r="K7359" s="31">
        <v>-1.1440001</v>
      </c>
      <c r="L7359" s="31"/>
      <c r="M7359" s="31" t="s">
        <v>854</v>
      </c>
      <c r="N7359" s="6" t="s">
        <v>856</v>
      </c>
    </row>
    <row r="7360" spans="1:14" ht="15" customHeight="1" x14ac:dyDescent="0.2">
      <c r="A7360" s="31">
        <v>7.0719491593631403E-2</v>
      </c>
      <c r="B7360" s="31"/>
      <c r="C7360" s="2" t="s">
        <v>855</v>
      </c>
      <c r="D7360" s="31">
        <f t="shared" ref="D7360:D7423" si="209" xml:space="preserve"> A7360 * 0.196</f>
        <v>1.3861020352351755E-2</v>
      </c>
      <c r="F7360" s="2" t="s">
        <v>822</v>
      </c>
      <c r="G7360" s="23" t="s">
        <v>902</v>
      </c>
      <c r="H7360" s="2" t="s">
        <v>822</v>
      </c>
      <c r="J7360" s="31">
        <v>64.115997300000004</v>
      </c>
      <c r="K7360" s="31">
        <v>-3.8159999999999998</v>
      </c>
      <c r="L7360" s="31"/>
      <c r="M7360" s="31" t="s">
        <v>854</v>
      </c>
      <c r="N7360" s="6" t="s">
        <v>856</v>
      </c>
    </row>
    <row r="7361" spans="1:14" ht="15" customHeight="1" x14ac:dyDescent="0.2">
      <c r="A7361" s="31">
        <v>7.0690719338258753E-2</v>
      </c>
      <c r="B7361" s="31"/>
      <c r="C7361" s="2" t="s">
        <v>855</v>
      </c>
      <c r="D7361" s="31">
        <f t="shared" si="209"/>
        <v>1.3855380990298717E-2</v>
      </c>
      <c r="F7361" s="2" t="s">
        <v>822</v>
      </c>
      <c r="G7361" s="23" t="s">
        <v>902</v>
      </c>
      <c r="H7361" s="2" t="s">
        <v>822</v>
      </c>
      <c r="J7361" s="31">
        <v>66.120002700000001</v>
      </c>
      <c r="K7361" s="31">
        <v>-1.1440001</v>
      </c>
      <c r="L7361" s="31"/>
      <c r="M7361" s="31" t="s">
        <v>854</v>
      </c>
      <c r="N7361" s="6" t="s">
        <v>856</v>
      </c>
    </row>
    <row r="7362" spans="1:14" ht="15" customHeight="1" x14ac:dyDescent="0.2">
      <c r="A7362" s="31">
        <v>7.0676782875268004E-2</v>
      </c>
      <c r="B7362" s="31"/>
      <c r="C7362" s="2" t="s">
        <v>855</v>
      </c>
      <c r="D7362" s="31">
        <f t="shared" si="209"/>
        <v>1.385264944355253E-2</v>
      </c>
      <c r="F7362" s="2" t="s">
        <v>822</v>
      </c>
      <c r="G7362" s="23" t="s">
        <v>902</v>
      </c>
      <c r="H7362" s="2" t="s">
        <v>822</v>
      </c>
      <c r="J7362" s="31">
        <v>65.267097500000006</v>
      </c>
      <c r="K7362" s="31">
        <v>-3.8159999999999998</v>
      </c>
      <c r="L7362" s="31"/>
      <c r="M7362" s="31" t="s">
        <v>854</v>
      </c>
      <c r="N7362" s="6" t="s">
        <v>856</v>
      </c>
    </row>
    <row r="7363" spans="1:14" ht="15" customHeight="1" x14ac:dyDescent="0.2">
      <c r="A7363" s="31">
        <v>7.0577255536641501E-2</v>
      </c>
      <c r="B7363" s="31"/>
      <c r="C7363" s="2" t="s">
        <v>855</v>
      </c>
      <c r="D7363" s="31">
        <f t="shared" si="209"/>
        <v>1.3833142085181735E-2</v>
      </c>
      <c r="F7363" s="2" t="s">
        <v>822</v>
      </c>
      <c r="G7363" s="23" t="s">
        <v>902</v>
      </c>
      <c r="H7363" s="2" t="s">
        <v>822</v>
      </c>
      <c r="J7363" s="31">
        <v>66.120002700000001</v>
      </c>
      <c r="K7363" s="31">
        <v>-5.1520000000000001</v>
      </c>
      <c r="L7363" s="31"/>
      <c r="M7363" s="31" t="s">
        <v>854</v>
      </c>
      <c r="N7363" s="6" t="s">
        <v>856</v>
      </c>
    </row>
    <row r="7364" spans="1:14" ht="15" customHeight="1" x14ac:dyDescent="0.2">
      <c r="A7364" s="31">
        <v>7.0559489270020773E-2</v>
      </c>
      <c r="B7364" s="31"/>
      <c r="C7364" s="2" t="s">
        <v>855</v>
      </c>
      <c r="D7364" s="31">
        <f t="shared" si="209"/>
        <v>1.3829659896924073E-2</v>
      </c>
      <c r="F7364" s="2" t="s">
        <v>822</v>
      </c>
      <c r="G7364" s="23" t="s">
        <v>902</v>
      </c>
      <c r="H7364" s="2" t="s">
        <v>822</v>
      </c>
      <c r="J7364" s="31">
        <v>69.014701799999997</v>
      </c>
      <c r="K7364" s="31">
        <v>-11.2753</v>
      </c>
      <c r="L7364" s="31"/>
      <c r="M7364" s="31" t="s">
        <v>854</v>
      </c>
      <c r="N7364" s="6" t="s">
        <v>856</v>
      </c>
    </row>
    <row r="7365" spans="1:14" ht="15" customHeight="1" x14ac:dyDescent="0.2">
      <c r="A7365" s="31">
        <v>7.0537301743758926E-2</v>
      </c>
      <c r="B7365" s="31"/>
      <c r="C7365" s="2" t="s">
        <v>855</v>
      </c>
      <c r="D7365" s="31">
        <f t="shared" si="209"/>
        <v>1.382531114177675E-2</v>
      </c>
      <c r="F7365" s="2" t="s">
        <v>822</v>
      </c>
      <c r="G7365" s="23" t="s">
        <v>902</v>
      </c>
      <c r="H7365" s="2" t="s">
        <v>822</v>
      </c>
      <c r="J7365" s="31">
        <v>69.014602699999998</v>
      </c>
      <c r="K7365" s="31">
        <v>46.951999700000002</v>
      </c>
      <c r="L7365" s="31"/>
      <c r="M7365" s="31" t="s">
        <v>854</v>
      </c>
      <c r="N7365" s="6" t="s">
        <v>856</v>
      </c>
    </row>
    <row r="7366" spans="1:14" ht="15" customHeight="1" x14ac:dyDescent="0.2">
      <c r="A7366" s="31">
        <v>7.0444492889300353E-2</v>
      </c>
      <c r="B7366" s="31"/>
      <c r="C7366" s="2" t="s">
        <v>855</v>
      </c>
      <c r="D7366" s="31">
        <f t="shared" si="209"/>
        <v>1.380712060630287E-2</v>
      </c>
      <c r="F7366" s="2" t="s">
        <v>822</v>
      </c>
      <c r="G7366" s="23" t="s">
        <v>902</v>
      </c>
      <c r="H7366" s="2" t="s">
        <v>822</v>
      </c>
      <c r="J7366" s="31">
        <v>69.459999100000005</v>
      </c>
      <c r="K7366" s="31">
        <v>-9.1599997999999996</v>
      </c>
      <c r="L7366" s="31"/>
      <c r="M7366" s="31" t="s">
        <v>854</v>
      </c>
      <c r="N7366" s="6" t="s">
        <v>856</v>
      </c>
    </row>
    <row r="7367" spans="1:14" ht="15" customHeight="1" x14ac:dyDescent="0.2">
      <c r="A7367" s="31">
        <v>7.0375258704469285E-2</v>
      </c>
      <c r="B7367" s="31"/>
      <c r="C7367" s="2" t="s">
        <v>855</v>
      </c>
      <c r="D7367" s="31">
        <f t="shared" si="209"/>
        <v>1.3793550706075981E-2</v>
      </c>
      <c r="F7367" s="2" t="s">
        <v>822</v>
      </c>
      <c r="G7367" s="23" t="s">
        <v>902</v>
      </c>
      <c r="H7367" s="2" t="s">
        <v>822</v>
      </c>
      <c r="J7367" s="31">
        <v>71.463996899999998</v>
      </c>
      <c r="K7367" s="31">
        <v>29.583999599999999</v>
      </c>
      <c r="L7367" s="31"/>
      <c r="M7367" s="31" t="s">
        <v>854</v>
      </c>
      <c r="N7367" s="6" t="s">
        <v>856</v>
      </c>
    </row>
    <row r="7368" spans="1:14" ht="15" customHeight="1" x14ac:dyDescent="0.2">
      <c r="A7368" s="31">
        <v>7.0346165090238028E-2</v>
      </c>
      <c r="B7368" s="31"/>
      <c r="C7368" s="2" t="s">
        <v>855</v>
      </c>
      <c r="D7368" s="31">
        <f t="shared" si="209"/>
        <v>1.3787848357686655E-2</v>
      </c>
      <c r="F7368" s="2" t="s">
        <v>822</v>
      </c>
      <c r="G7368" s="23" t="s">
        <v>902</v>
      </c>
      <c r="H7368" s="2" t="s">
        <v>822</v>
      </c>
      <c r="J7368" s="31">
        <v>65.172698999999994</v>
      </c>
      <c r="K7368" s="31">
        <v>-5.7086701</v>
      </c>
      <c r="L7368" s="31"/>
      <c r="M7368" s="31" t="s">
        <v>854</v>
      </c>
      <c r="N7368" s="6" t="s">
        <v>856</v>
      </c>
    </row>
    <row r="7369" spans="1:14" ht="15" customHeight="1" x14ac:dyDescent="0.2">
      <c r="A7369" s="31">
        <v>7.0279119586960065E-2</v>
      </c>
      <c r="B7369" s="31"/>
      <c r="C7369" s="2" t="s">
        <v>855</v>
      </c>
      <c r="D7369" s="31">
        <f t="shared" si="209"/>
        <v>1.3774707439044173E-2</v>
      </c>
      <c r="F7369" s="2" t="s">
        <v>822</v>
      </c>
      <c r="G7369" s="23" t="s">
        <v>902</v>
      </c>
      <c r="H7369" s="2" t="s">
        <v>822</v>
      </c>
      <c r="J7369" s="31">
        <v>72.442596399999999</v>
      </c>
      <c r="K7369" s="31">
        <v>-24.753400800000001</v>
      </c>
      <c r="L7369" s="31"/>
      <c r="M7369" s="31" t="s">
        <v>854</v>
      </c>
      <c r="N7369" s="6" t="s">
        <v>856</v>
      </c>
    </row>
    <row r="7370" spans="1:14" ht="15" customHeight="1" x14ac:dyDescent="0.2">
      <c r="A7370" s="31">
        <v>7.024530561110448E-2</v>
      </c>
      <c r="B7370" s="31"/>
      <c r="C7370" s="2" t="s">
        <v>855</v>
      </c>
      <c r="D7370" s="31">
        <f t="shared" si="209"/>
        <v>1.3768079899776478E-2</v>
      </c>
      <c r="F7370" s="2" t="s">
        <v>822</v>
      </c>
      <c r="G7370" s="23" t="s">
        <v>902</v>
      </c>
      <c r="H7370" s="2" t="s">
        <v>822</v>
      </c>
      <c r="J7370" s="31">
        <v>66.133697499999997</v>
      </c>
      <c r="K7370" s="31">
        <v>-14.472700100000001</v>
      </c>
      <c r="L7370" s="31"/>
      <c r="M7370" s="31" t="s">
        <v>854</v>
      </c>
      <c r="N7370" s="6" t="s">
        <v>856</v>
      </c>
    </row>
    <row r="7371" spans="1:14" ht="15" customHeight="1" x14ac:dyDescent="0.2">
      <c r="A7371" s="31">
        <v>7.0240109674857498E-2</v>
      </c>
      <c r="B7371" s="31"/>
      <c r="C7371" s="2" t="s">
        <v>855</v>
      </c>
      <c r="D7371" s="31">
        <f t="shared" si="209"/>
        <v>1.3767061496272071E-2</v>
      </c>
      <c r="F7371" s="2" t="s">
        <v>822</v>
      </c>
      <c r="G7371" s="23" t="s">
        <v>902</v>
      </c>
      <c r="H7371" s="2" t="s">
        <v>822</v>
      </c>
      <c r="J7371" s="31">
        <v>71.476097100000004</v>
      </c>
      <c r="K7371" s="31">
        <v>26.921100599999999</v>
      </c>
      <c r="L7371" s="31"/>
      <c r="M7371" s="31" t="s">
        <v>854</v>
      </c>
      <c r="N7371" s="6" t="s">
        <v>856</v>
      </c>
    </row>
    <row r="7372" spans="1:14" ht="15" customHeight="1" x14ac:dyDescent="0.2">
      <c r="A7372" s="31">
        <v>7.0178749821434072E-2</v>
      </c>
      <c r="B7372" s="31"/>
      <c r="C7372" s="2" t="s">
        <v>855</v>
      </c>
      <c r="D7372" s="31">
        <f t="shared" si="209"/>
        <v>1.3755034965001078E-2</v>
      </c>
      <c r="F7372" s="2" t="s">
        <v>822</v>
      </c>
      <c r="G7372" s="23" t="s">
        <v>902</v>
      </c>
      <c r="H7372" s="2" t="s">
        <v>822</v>
      </c>
      <c r="J7372" s="31">
        <v>70.229499799999999</v>
      </c>
      <c r="K7372" s="31">
        <v>21.620799999999999</v>
      </c>
      <c r="L7372" s="31"/>
      <c r="M7372" s="31" t="s">
        <v>854</v>
      </c>
      <c r="N7372" s="6" t="s">
        <v>856</v>
      </c>
    </row>
    <row r="7373" spans="1:14" ht="15" customHeight="1" x14ac:dyDescent="0.2">
      <c r="A7373" s="31">
        <v>7.0177620114767261E-2</v>
      </c>
      <c r="B7373" s="31"/>
      <c r="C7373" s="2" t="s">
        <v>855</v>
      </c>
      <c r="D7373" s="31">
        <f t="shared" si="209"/>
        <v>1.3754813542494384E-2</v>
      </c>
      <c r="F7373" s="2" t="s">
        <v>822</v>
      </c>
      <c r="G7373" s="23" t="s">
        <v>902</v>
      </c>
      <c r="H7373" s="2" t="s">
        <v>822</v>
      </c>
      <c r="J7373" s="31">
        <v>65.452003500000004</v>
      </c>
      <c r="K7373" s="31">
        <v>-2.48</v>
      </c>
      <c r="L7373" s="31"/>
      <c r="M7373" s="31" t="s">
        <v>854</v>
      </c>
      <c r="N7373" s="6" t="s">
        <v>856</v>
      </c>
    </row>
    <row r="7374" spans="1:14" ht="15" customHeight="1" x14ac:dyDescent="0.2">
      <c r="A7374" s="31">
        <v>7.0165809885591568E-2</v>
      </c>
      <c r="B7374" s="31"/>
      <c r="C7374" s="2" t="s">
        <v>855</v>
      </c>
      <c r="D7374" s="31">
        <f t="shared" si="209"/>
        <v>1.3752498737575948E-2</v>
      </c>
      <c r="F7374" s="2" t="s">
        <v>822</v>
      </c>
      <c r="G7374" s="23" t="s">
        <v>902</v>
      </c>
      <c r="H7374" s="2" t="s">
        <v>822</v>
      </c>
      <c r="J7374" s="31">
        <v>70.127998399999996</v>
      </c>
      <c r="K7374" s="31">
        <v>-10.4960003</v>
      </c>
      <c r="L7374" s="31"/>
      <c r="M7374" s="31" t="s">
        <v>854</v>
      </c>
      <c r="N7374" s="6" t="s">
        <v>856</v>
      </c>
    </row>
    <row r="7375" spans="1:14" ht="15" customHeight="1" x14ac:dyDescent="0.2">
      <c r="A7375" s="31">
        <v>6.9864721154242804E-2</v>
      </c>
      <c r="B7375" s="31"/>
      <c r="C7375" s="2" t="s">
        <v>855</v>
      </c>
      <c r="D7375" s="31">
        <f t="shared" si="209"/>
        <v>1.369348534623159E-2</v>
      </c>
      <c r="F7375" s="2" t="s">
        <v>822</v>
      </c>
      <c r="G7375" s="23" t="s">
        <v>902</v>
      </c>
      <c r="H7375" s="2" t="s">
        <v>822</v>
      </c>
      <c r="J7375" s="31">
        <v>66.806198100000003</v>
      </c>
      <c r="K7375" s="31">
        <v>-5.8417602000000004</v>
      </c>
      <c r="L7375" s="31"/>
      <c r="M7375" s="31" t="s">
        <v>854</v>
      </c>
      <c r="N7375" s="6" t="s">
        <v>856</v>
      </c>
    </row>
    <row r="7376" spans="1:14" ht="15" customHeight="1" x14ac:dyDescent="0.2">
      <c r="A7376" s="31">
        <v>6.9803436484131093E-2</v>
      </c>
      <c r="B7376" s="31"/>
      <c r="C7376" s="2" t="s">
        <v>855</v>
      </c>
      <c r="D7376" s="31">
        <f t="shared" si="209"/>
        <v>1.3681473550889695E-2</v>
      </c>
      <c r="F7376" s="2" t="s">
        <v>822</v>
      </c>
      <c r="G7376" s="23" t="s">
        <v>902</v>
      </c>
      <c r="H7376" s="2" t="s">
        <v>822</v>
      </c>
      <c r="J7376" s="31">
        <v>72.132003800000007</v>
      </c>
      <c r="K7376" s="31">
        <v>22.903999299999999</v>
      </c>
      <c r="L7376" s="31"/>
      <c r="M7376" s="31" t="s">
        <v>854</v>
      </c>
      <c r="N7376" s="6" t="s">
        <v>856</v>
      </c>
    </row>
    <row r="7377" spans="1:14" ht="15" customHeight="1" x14ac:dyDescent="0.2">
      <c r="A7377" s="31">
        <v>6.9790661554548564E-2</v>
      </c>
      <c r="B7377" s="31"/>
      <c r="C7377" s="2" t="s">
        <v>855</v>
      </c>
      <c r="D7377" s="31">
        <f t="shared" si="209"/>
        <v>1.367896966469152E-2</v>
      </c>
      <c r="F7377" s="2" t="s">
        <v>822</v>
      </c>
      <c r="G7377" s="23" t="s">
        <v>902</v>
      </c>
      <c r="H7377" s="2" t="s">
        <v>822</v>
      </c>
      <c r="J7377" s="31">
        <v>70.127998399999996</v>
      </c>
      <c r="K7377" s="31">
        <v>-13.1680002</v>
      </c>
      <c r="L7377" s="31"/>
      <c r="M7377" s="31" t="s">
        <v>854</v>
      </c>
      <c r="N7377" s="6" t="s">
        <v>856</v>
      </c>
    </row>
    <row r="7378" spans="1:14" ht="15" customHeight="1" x14ac:dyDescent="0.2">
      <c r="A7378" s="31">
        <v>6.9590895171650069E-2</v>
      </c>
      <c r="B7378" s="31"/>
      <c r="C7378" s="2" t="s">
        <v>855</v>
      </c>
      <c r="D7378" s="31">
        <f t="shared" si="209"/>
        <v>1.3639815453643414E-2</v>
      </c>
      <c r="F7378" s="2" t="s">
        <v>822</v>
      </c>
      <c r="G7378" s="23" t="s">
        <v>902</v>
      </c>
      <c r="H7378" s="2" t="s">
        <v>822</v>
      </c>
      <c r="J7378" s="31">
        <v>70.684196499999999</v>
      </c>
      <c r="K7378" s="31">
        <v>-8.8595799999999993</v>
      </c>
      <c r="L7378" s="31"/>
      <c r="M7378" s="31" t="s">
        <v>854</v>
      </c>
      <c r="N7378" s="6" t="s">
        <v>856</v>
      </c>
    </row>
    <row r="7379" spans="1:14" ht="15" customHeight="1" x14ac:dyDescent="0.2">
      <c r="A7379" s="31">
        <v>6.9509263309458572E-2</v>
      </c>
      <c r="B7379" s="31"/>
      <c r="C7379" s="2" t="s">
        <v>855</v>
      </c>
      <c r="D7379" s="31">
        <f t="shared" si="209"/>
        <v>1.362381560865388E-2</v>
      </c>
      <c r="F7379" s="2" t="s">
        <v>822</v>
      </c>
      <c r="G7379" s="23" t="s">
        <v>902</v>
      </c>
      <c r="H7379" s="2" t="s">
        <v>822</v>
      </c>
      <c r="J7379" s="31">
        <v>67.507003800000007</v>
      </c>
      <c r="K7379" s="31">
        <v>-3.5905900000000002</v>
      </c>
      <c r="L7379" s="31"/>
      <c r="M7379" s="31" t="s">
        <v>854</v>
      </c>
      <c r="N7379" s="6" t="s">
        <v>856</v>
      </c>
    </row>
    <row r="7380" spans="1:14" ht="15" customHeight="1" x14ac:dyDescent="0.2">
      <c r="A7380" s="31">
        <v>6.9493370483794045E-2</v>
      </c>
      <c r="B7380" s="31"/>
      <c r="C7380" s="2" t="s">
        <v>855</v>
      </c>
      <c r="D7380" s="31">
        <f t="shared" si="209"/>
        <v>1.3620700614823634E-2</v>
      </c>
      <c r="F7380" s="2" t="s">
        <v>822</v>
      </c>
      <c r="G7380" s="23" t="s">
        <v>902</v>
      </c>
      <c r="H7380" s="2" t="s">
        <v>822</v>
      </c>
      <c r="J7380" s="31">
        <v>71.067497299999999</v>
      </c>
      <c r="K7380" s="31">
        <v>-0.47599999999999998</v>
      </c>
      <c r="L7380" s="31"/>
      <c r="M7380" s="31" t="s">
        <v>854</v>
      </c>
      <c r="N7380" s="6" t="s">
        <v>856</v>
      </c>
    </row>
    <row r="7381" spans="1:14" ht="15" customHeight="1" x14ac:dyDescent="0.2">
      <c r="A7381" s="31">
        <v>6.9484859263429441E-2</v>
      </c>
      <c r="B7381" s="31"/>
      <c r="C7381" s="2" t="s">
        <v>855</v>
      </c>
      <c r="D7381" s="31">
        <f t="shared" si="209"/>
        <v>1.3619032415632171E-2</v>
      </c>
      <c r="F7381" s="2" t="s">
        <v>822</v>
      </c>
      <c r="G7381" s="23" t="s">
        <v>902</v>
      </c>
      <c r="H7381" s="2" t="s">
        <v>822</v>
      </c>
      <c r="J7381" s="31">
        <v>74.1360016</v>
      </c>
      <c r="K7381" s="31">
        <v>10.2119999</v>
      </c>
      <c r="L7381" s="31"/>
      <c r="M7381" s="31" t="s">
        <v>854</v>
      </c>
      <c r="N7381" s="6" t="s">
        <v>856</v>
      </c>
    </row>
    <row r="7382" spans="1:14" ht="15" customHeight="1" x14ac:dyDescent="0.2">
      <c r="A7382" s="31">
        <v>6.9472556600993635E-2</v>
      </c>
      <c r="B7382" s="31"/>
      <c r="C7382" s="2" t="s">
        <v>855</v>
      </c>
      <c r="D7382" s="31">
        <f t="shared" si="209"/>
        <v>1.3616621093794752E-2</v>
      </c>
      <c r="F7382" s="2" t="s">
        <v>822</v>
      </c>
      <c r="G7382" s="23" t="s">
        <v>902</v>
      </c>
      <c r="H7382" s="2" t="s">
        <v>822</v>
      </c>
      <c r="J7382" s="31">
        <v>72.132003800000007</v>
      </c>
      <c r="K7382" s="31">
        <v>25.576000199999999</v>
      </c>
      <c r="L7382" s="31"/>
      <c r="M7382" s="31" t="s">
        <v>854</v>
      </c>
      <c r="N7382" s="6" t="s">
        <v>856</v>
      </c>
    </row>
    <row r="7383" spans="1:14" ht="15" customHeight="1" x14ac:dyDescent="0.2">
      <c r="A7383" s="31">
        <v>6.946487897128964E-2</v>
      </c>
      <c r="B7383" s="31"/>
      <c r="C7383" s="2" t="s">
        <v>855</v>
      </c>
      <c r="D7383" s="31">
        <f t="shared" si="209"/>
        <v>1.3615116278372769E-2</v>
      </c>
      <c r="F7383" s="2" t="s">
        <v>822</v>
      </c>
      <c r="G7383" s="23" t="s">
        <v>902</v>
      </c>
      <c r="H7383" s="2" t="s">
        <v>822</v>
      </c>
      <c r="J7383" s="31">
        <v>72.800003099999998</v>
      </c>
      <c r="K7383" s="31">
        <v>26.9120007</v>
      </c>
      <c r="L7383" s="31"/>
      <c r="M7383" s="31" t="s">
        <v>854</v>
      </c>
      <c r="N7383" s="6" t="s">
        <v>856</v>
      </c>
    </row>
    <row r="7384" spans="1:14" ht="15" customHeight="1" x14ac:dyDescent="0.2">
      <c r="A7384" s="31">
        <v>6.9412537168879337E-2</v>
      </c>
      <c r="B7384" s="31"/>
      <c r="C7384" s="2" t="s">
        <v>855</v>
      </c>
      <c r="D7384" s="31">
        <f t="shared" si="209"/>
        <v>1.3604857285100351E-2</v>
      </c>
      <c r="F7384" s="2" t="s">
        <v>822</v>
      </c>
      <c r="G7384" s="23" t="s">
        <v>902</v>
      </c>
      <c r="H7384" s="2" t="s">
        <v>822</v>
      </c>
      <c r="J7384" s="31">
        <v>69.459602399999994</v>
      </c>
      <c r="K7384" s="31">
        <v>-0.47561900000000001</v>
      </c>
      <c r="L7384" s="31"/>
      <c r="M7384" s="31" t="s">
        <v>854</v>
      </c>
      <c r="N7384" s="6" t="s">
        <v>856</v>
      </c>
    </row>
    <row r="7385" spans="1:14" ht="15" customHeight="1" x14ac:dyDescent="0.2">
      <c r="A7385" s="31">
        <v>6.9377659963784866E-2</v>
      </c>
      <c r="B7385" s="31"/>
      <c r="C7385" s="2" t="s">
        <v>855</v>
      </c>
      <c r="D7385" s="31">
        <f t="shared" si="209"/>
        <v>1.3598021352901835E-2</v>
      </c>
      <c r="F7385" s="2" t="s">
        <v>822</v>
      </c>
      <c r="G7385" s="23" t="s">
        <v>902</v>
      </c>
      <c r="H7385" s="2" t="s">
        <v>822</v>
      </c>
      <c r="J7385" s="31">
        <v>71.463996899999998</v>
      </c>
      <c r="K7385" s="31">
        <v>-13.8360004</v>
      </c>
      <c r="L7385" s="31"/>
      <c r="M7385" s="31" t="s">
        <v>854</v>
      </c>
      <c r="N7385" s="6" t="s">
        <v>856</v>
      </c>
    </row>
    <row r="7386" spans="1:14" ht="15" customHeight="1" x14ac:dyDescent="0.2">
      <c r="A7386" s="31">
        <v>6.9333518657459861E-2</v>
      </c>
      <c r="B7386" s="31"/>
      <c r="C7386" s="2" t="s">
        <v>855</v>
      </c>
      <c r="D7386" s="31">
        <f t="shared" si="209"/>
        <v>1.3589369656862133E-2</v>
      </c>
      <c r="F7386" s="2" t="s">
        <v>822</v>
      </c>
      <c r="G7386" s="23" t="s">
        <v>902</v>
      </c>
      <c r="H7386" s="2" t="s">
        <v>822</v>
      </c>
      <c r="J7386" s="31">
        <v>70.795997600000007</v>
      </c>
      <c r="K7386" s="31">
        <v>20.2320004</v>
      </c>
      <c r="L7386" s="31"/>
      <c r="M7386" s="31" t="s">
        <v>854</v>
      </c>
      <c r="N7386" s="6" t="s">
        <v>856</v>
      </c>
    </row>
    <row r="7387" spans="1:14" ht="15" customHeight="1" x14ac:dyDescent="0.2">
      <c r="A7387" s="31">
        <v>6.9311565977011519E-2</v>
      </c>
      <c r="B7387" s="31"/>
      <c r="C7387" s="2" t="s">
        <v>855</v>
      </c>
      <c r="D7387" s="31">
        <f t="shared" si="209"/>
        <v>1.3585066931494258E-2</v>
      </c>
      <c r="F7387" s="2" t="s">
        <v>822</v>
      </c>
      <c r="G7387" s="23" t="s">
        <v>902</v>
      </c>
      <c r="H7387" s="2" t="s">
        <v>822</v>
      </c>
      <c r="J7387" s="31">
        <v>70.127998399999996</v>
      </c>
      <c r="K7387" s="31">
        <v>6.2039999999999997</v>
      </c>
      <c r="L7387" s="31"/>
      <c r="M7387" s="31" t="s">
        <v>854</v>
      </c>
      <c r="N7387" s="6" t="s">
        <v>856</v>
      </c>
    </row>
    <row r="7388" spans="1:14" ht="15" customHeight="1" x14ac:dyDescent="0.2">
      <c r="A7388" s="31">
        <v>6.9290755429590775E-2</v>
      </c>
      <c r="B7388" s="31"/>
      <c r="C7388" s="2" t="s">
        <v>855</v>
      </c>
      <c r="D7388" s="31">
        <f t="shared" si="209"/>
        <v>1.3580988064199792E-2</v>
      </c>
      <c r="F7388" s="2" t="s">
        <v>822</v>
      </c>
      <c r="G7388" s="23" t="s">
        <v>902</v>
      </c>
      <c r="H7388" s="2" t="s">
        <v>822</v>
      </c>
      <c r="J7388" s="31">
        <v>68.569297800000001</v>
      </c>
      <c r="K7388" s="31">
        <v>-11.720700300000001</v>
      </c>
      <c r="L7388" s="31"/>
      <c r="M7388" s="31" t="s">
        <v>854</v>
      </c>
      <c r="N7388" s="6" t="s">
        <v>856</v>
      </c>
    </row>
    <row r="7389" spans="1:14" ht="15" customHeight="1" x14ac:dyDescent="0.2">
      <c r="A7389" s="31">
        <v>6.9204276444300439E-2</v>
      </c>
      <c r="B7389" s="31"/>
      <c r="C7389" s="2" t="s">
        <v>855</v>
      </c>
      <c r="D7389" s="31">
        <f t="shared" si="209"/>
        <v>1.3564038183082886E-2</v>
      </c>
      <c r="F7389" s="2" t="s">
        <v>822</v>
      </c>
      <c r="G7389" s="23" t="s">
        <v>902</v>
      </c>
      <c r="H7389" s="2" t="s">
        <v>822</v>
      </c>
      <c r="J7389" s="31">
        <v>66.291397099999998</v>
      </c>
      <c r="K7389" s="31">
        <v>-15.1604004</v>
      </c>
      <c r="L7389" s="31"/>
      <c r="M7389" s="31" t="s">
        <v>854</v>
      </c>
      <c r="N7389" s="6" t="s">
        <v>856</v>
      </c>
    </row>
    <row r="7390" spans="1:14" ht="15" customHeight="1" x14ac:dyDescent="0.2">
      <c r="A7390" s="31">
        <v>6.9108921908221446E-2</v>
      </c>
      <c r="B7390" s="31"/>
      <c r="C7390" s="2" t="s">
        <v>855</v>
      </c>
      <c r="D7390" s="31">
        <f t="shared" si="209"/>
        <v>1.3545348694011404E-2</v>
      </c>
      <c r="F7390" s="2" t="s">
        <v>822</v>
      </c>
      <c r="G7390" s="23" t="s">
        <v>902</v>
      </c>
      <c r="H7390" s="2" t="s">
        <v>822</v>
      </c>
      <c r="J7390" s="31">
        <v>67.475997899999996</v>
      </c>
      <c r="K7390" s="31">
        <v>-5.3176497999999999</v>
      </c>
      <c r="L7390" s="31"/>
      <c r="M7390" s="31" t="s">
        <v>854</v>
      </c>
      <c r="N7390" s="6" t="s">
        <v>856</v>
      </c>
    </row>
    <row r="7391" spans="1:14" ht="15" customHeight="1" x14ac:dyDescent="0.2">
      <c r="A7391" s="31">
        <v>6.8920406067435894E-2</v>
      </c>
      <c r="B7391" s="31"/>
      <c r="C7391" s="2" t="s">
        <v>855</v>
      </c>
      <c r="D7391" s="31">
        <f t="shared" si="209"/>
        <v>1.3508399589217436E-2</v>
      </c>
      <c r="F7391" s="2" t="s">
        <v>822</v>
      </c>
      <c r="G7391" s="23" t="s">
        <v>902</v>
      </c>
      <c r="H7391" s="2" t="s">
        <v>822</v>
      </c>
      <c r="J7391" s="31">
        <v>70.150199900000004</v>
      </c>
      <c r="K7391" s="31">
        <v>21.3048</v>
      </c>
      <c r="L7391" s="31"/>
      <c r="M7391" s="31" t="s">
        <v>854</v>
      </c>
      <c r="N7391" s="6" t="s">
        <v>856</v>
      </c>
    </row>
    <row r="7392" spans="1:14" ht="15" customHeight="1" x14ac:dyDescent="0.2">
      <c r="A7392" s="31">
        <v>6.886313946950634E-2</v>
      </c>
      <c r="B7392" s="31"/>
      <c r="C7392" s="2" t="s">
        <v>855</v>
      </c>
      <c r="D7392" s="31">
        <f t="shared" si="209"/>
        <v>1.3497175336023242E-2</v>
      </c>
      <c r="F7392" s="2" t="s">
        <v>822</v>
      </c>
      <c r="G7392" s="23" t="s">
        <v>902</v>
      </c>
      <c r="H7392" s="2" t="s">
        <v>822</v>
      </c>
      <c r="J7392" s="31">
        <v>72.6886978</v>
      </c>
      <c r="K7392" s="31">
        <v>10.7055998</v>
      </c>
      <c r="L7392" s="31"/>
      <c r="M7392" s="31" t="s">
        <v>854</v>
      </c>
      <c r="N7392" s="6" t="s">
        <v>856</v>
      </c>
    </row>
    <row r="7393" spans="1:14" ht="15" customHeight="1" x14ac:dyDescent="0.2">
      <c r="A7393" s="31">
        <v>6.8791818388698606E-2</v>
      </c>
      <c r="B7393" s="31"/>
      <c r="C7393" s="2" t="s">
        <v>855</v>
      </c>
      <c r="D7393" s="31">
        <f t="shared" si="209"/>
        <v>1.3483196404184928E-2</v>
      </c>
      <c r="F7393" s="2" t="s">
        <v>822</v>
      </c>
      <c r="G7393" s="23" t="s">
        <v>902</v>
      </c>
      <c r="H7393" s="2" t="s">
        <v>822</v>
      </c>
      <c r="J7393" s="31">
        <v>66.788002000000006</v>
      </c>
      <c r="K7393" s="31">
        <v>4.1999997999999996</v>
      </c>
      <c r="L7393" s="31"/>
      <c r="M7393" s="31" t="s">
        <v>854</v>
      </c>
      <c r="N7393" s="6" t="s">
        <v>856</v>
      </c>
    </row>
    <row r="7394" spans="1:14" ht="15" customHeight="1" x14ac:dyDescent="0.2">
      <c r="A7394" s="31">
        <v>6.8728461513189065E-2</v>
      </c>
      <c r="B7394" s="31"/>
      <c r="C7394" s="2" t="s">
        <v>855</v>
      </c>
      <c r="D7394" s="31">
        <f t="shared" si="209"/>
        <v>1.3470778456585057E-2</v>
      </c>
      <c r="F7394" s="2" t="s">
        <v>822</v>
      </c>
      <c r="G7394" s="23" t="s">
        <v>902</v>
      </c>
      <c r="H7394" s="2" t="s">
        <v>822</v>
      </c>
      <c r="J7394" s="31">
        <v>75.232101400000005</v>
      </c>
      <c r="K7394" s="31">
        <v>15.5517998</v>
      </c>
      <c r="L7394" s="31"/>
      <c r="M7394" s="31" t="s">
        <v>854</v>
      </c>
      <c r="N7394" s="6" t="s">
        <v>856</v>
      </c>
    </row>
    <row r="7395" spans="1:14" ht="15" customHeight="1" x14ac:dyDescent="0.2">
      <c r="A7395" s="31">
        <v>6.866331047178631E-2</v>
      </c>
      <c r="B7395" s="31"/>
      <c r="C7395" s="2" t="s">
        <v>855</v>
      </c>
      <c r="D7395" s="31">
        <f t="shared" si="209"/>
        <v>1.3458008852470118E-2</v>
      </c>
      <c r="F7395" s="2" t="s">
        <v>822</v>
      </c>
      <c r="G7395" s="23" t="s">
        <v>902</v>
      </c>
      <c r="H7395" s="2" t="s">
        <v>822</v>
      </c>
      <c r="J7395" s="31">
        <v>64.115997300000004</v>
      </c>
      <c r="K7395" s="31">
        <v>-0.47599999999999998</v>
      </c>
      <c r="L7395" s="31"/>
      <c r="M7395" s="31" t="s">
        <v>854</v>
      </c>
      <c r="N7395" s="6" t="s">
        <v>856</v>
      </c>
    </row>
    <row r="7396" spans="1:14" ht="15" customHeight="1" x14ac:dyDescent="0.2">
      <c r="A7396" s="31">
        <v>6.8599808528022554E-2</v>
      </c>
      <c r="B7396" s="31"/>
      <c r="C7396" s="2" t="s">
        <v>855</v>
      </c>
      <c r="D7396" s="31">
        <f t="shared" si="209"/>
        <v>1.3445562471492421E-2</v>
      </c>
      <c r="F7396" s="2" t="s">
        <v>822</v>
      </c>
      <c r="G7396" s="23" t="s">
        <v>902</v>
      </c>
      <c r="H7396" s="2" t="s">
        <v>822</v>
      </c>
      <c r="J7396" s="31">
        <v>70.795997600000007</v>
      </c>
      <c r="K7396" s="31">
        <v>-11.8319998</v>
      </c>
      <c r="L7396" s="31"/>
      <c r="M7396" s="31" t="s">
        <v>854</v>
      </c>
      <c r="N7396" s="6" t="s">
        <v>856</v>
      </c>
    </row>
    <row r="7397" spans="1:14" ht="15" customHeight="1" x14ac:dyDescent="0.2">
      <c r="A7397" s="31">
        <v>6.8543011988730154E-2</v>
      </c>
      <c r="B7397" s="31"/>
      <c r="C7397" s="2" t="s">
        <v>855</v>
      </c>
      <c r="D7397" s="31">
        <f t="shared" si="209"/>
        <v>1.343443034979111E-2</v>
      </c>
      <c r="F7397" s="2" t="s">
        <v>822</v>
      </c>
      <c r="G7397" s="23" t="s">
        <v>902</v>
      </c>
      <c r="H7397" s="2" t="s">
        <v>822</v>
      </c>
      <c r="J7397" s="31">
        <v>70.795997600000007</v>
      </c>
      <c r="K7397" s="31">
        <v>2.8640001000000002</v>
      </c>
      <c r="L7397" s="31"/>
      <c r="M7397" s="31" t="s">
        <v>854</v>
      </c>
      <c r="N7397" s="6" t="s">
        <v>856</v>
      </c>
    </row>
    <row r="7398" spans="1:14" ht="15" customHeight="1" x14ac:dyDescent="0.2">
      <c r="A7398" s="31">
        <v>6.8459513461517366E-2</v>
      </c>
      <c r="B7398" s="31"/>
      <c r="C7398" s="2" t="s">
        <v>855</v>
      </c>
      <c r="D7398" s="31">
        <f t="shared" si="209"/>
        <v>1.3418064638457404E-2</v>
      </c>
      <c r="F7398" s="2" t="s">
        <v>822</v>
      </c>
      <c r="G7398" s="23" t="s">
        <v>902</v>
      </c>
      <c r="H7398" s="2" t="s">
        <v>822</v>
      </c>
      <c r="J7398" s="31">
        <v>69.459999100000005</v>
      </c>
      <c r="K7398" s="31">
        <v>5.5359997999999999</v>
      </c>
      <c r="L7398" s="31"/>
      <c r="M7398" s="31" t="s">
        <v>854</v>
      </c>
      <c r="N7398" s="6" t="s">
        <v>856</v>
      </c>
    </row>
    <row r="7399" spans="1:14" ht="15" customHeight="1" x14ac:dyDescent="0.2">
      <c r="A7399" s="31">
        <v>6.8211976402912572E-2</v>
      </c>
      <c r="B7399" s="31"/>
      <c r="C7399" s="2" t="s">
        <v>855</v>
      </c>
      <c r="D7399" s="31">
        <f t="shared" si="209"/>
        <v>1.3369547374970864E-2</v>
      </c>
      <c r="F7399" s="2" t="s">
        <v>822</v>
      </c>
      <c r="G7399" s="23" t="s">
        <v>902</v>
      </c>
      <c r="H7399" s="2" t="s">
        <v>822</v>
      </c>
      <c r="J7399" s="31">
        <v>69.348701500000004</v>
      </c>
      <c r="K7399" s="31">
        <v>-5.4494199999999999</v>
      </c>
      <c r="L7399" s="31"/>
      <c r="M7399" s="31" t="s">
        <v>854</v>
      </c>
      <c r="N7399" s="6" t="s">
        <v>856</v>
      </c>
    </row>
    <row r="7400" spans="1:14" ht="15" customHeight="1" x14ac:dyDescent="0.2">
      <c r="A7400" s="31">
        <v>6.8183462458280275E-2</v>
      </c>
      <c r="B7400" s="31"/>
      <c r="C7400" s="2" t="s">
        <v>855</v>
      </c>
      <c r="D7400" s="31">
        <f t="shared" si="209"/>
        <v>1.3363958641822934E-2</v>
      </c>
      <c r="F7400" s="2" t="s">
        <v>822</v>
      </c>
      <c r="G7400" s="23" t="s">
        <v>902</v>
      </c>
      <c r="H7400" s="2" t="s">
        <v>822</v>
      </c>
      <c r="J7400" s="31">
        <v>68.124000499999994</v>
      </c>
      <c r="K7400" s="31">
        <v>1.528</v>
      </c>
      <c r="L7400" s="31"/>
      <c r="M7400" s="31" t="s">
        <v>854</v>
      </c>
      <c r="N7400" s="6" t="s">
        <v>856</v>
      </c>
    </row>
    <row r="7401" spans="1:14" ht="15" customHeight="1" x14ac:dyDescent="0.2">
      <c r="A7401" s="31">
        <v>6.8177432841381183E-2</v>
      </c>
      <c r="B7401" s="31"/>
      <c r="C7401" s="2" t="s">
        <v>855</v>
      </c>
      <c r="D7401" s="31">
        <f t="shared" si="209"/>
        <v>1.3362776836910712E-2</v>
      </c>
      <c r="F7401" s="2" t="s">
        <v>822</v>
      </c>
      <c r="G7401" s="23" t="s">
        <v>902</v>
      </c>
      <c r="H7401" s="2" t="s">
        <v>822</v>
      </c>
      <c r="J7401" s="31">
        <v>74.1360016</v>
      </c>
      <c r="K7401" s="31">
        <v>12.2159996</v>
      </c>
      <c r="L7401" s="31"/>
      <c r="M7401" s="31" t="s">
        <v>854</v>
      </c>
      <c r="N7401" s="6" t="s">
        <v>856</v>
      </c>
    </row>
    <row r="7402" spans="1:14" ht="15" customHeight="1" x14ac:dyDescent="0.2">
      <c r="A7402" s="31">
        <v>6.8135659835409576E-2</v>
      </c>
      <c r="B7402" s="31"/>
      <c r="C7402" s="2" t="s">
        <v>855</v>
      </c>
      <c r="D7402" s="31">
        <f t="shared" si="209"/>
        <v>1.3354589327740278E-2</v>
      </c>
      <c r="F7402" s="2" t="s">
        <v>822</v>
      </c>
      <c r="G7402" s="23" t="s">
        <v>902</v>
      </c>
      <c r="H7402" s="2" t="s">
        <v>822</v>
      </c>
      <c r="J7402" s="31">
        <v>63.448001900000001</v>
      </c>
      <c r="K7402" s="31">
        <v>-1.8120000000000001</v>
      </c>
      <c r="L7402" s="31"/>
      <c r="M7402" s="31" t="s">
        <v>854</v>
      </c>
      <c r="N7402" s="6" t="s">
        <v>856</v>
      </c>
    </row>
    <row r="7403" spans="1:14" ht="15" customHeight="1" x14ac:dyDescent="0.2">
      <c r="A7403" s="31">
        <v>6.8103766301766552E-2</v>
      </c>
      <c r="B7403" s="31"/>
      <c r="C7403" s="2" t="s">
        <v>855</v>
      </c>
      <c r="D7403" s="31">
        <f t="shared" si="209"/>
        <v>1.3348338195146244E-2</v>
      </c>
      <c r="F7403" s="2" t="s">
        <v>822</v>
      </c>
      <c r="G7403" s="23" t="s">
        <v>902</v>
      </c>
      <c r="H7403" s="2" t="s">
        <v>822</v>
      </c>
      <c r="J7403" s="31">
        <v>58.420600899999997</v>
      </c>
      <c r="K7403" s="31">
        <v>-7.3761600999999999</v>
      </c>
      <c r="L7403" s="31"/>
      <c r="M7403" s="31" t="s">
        <v>854</v>
      </c>
      <c r="N7403" s="6" t="s">
        <v>856</v>
      </c>
    </row>
    <row r="7404" spans="1:14" ht="15" customHeight="1" x14ac:dyDescent="0.2">
      <c r="A7404" s="31">
        <v>6.8016548043616634E-2</v>
      </c>
      <c r="B7404" s="31"/>
      <c r="C7404" s="2" t="s">
        <v>855</v>
      </c>
      <c r="D7404" s="31">
        <f t="shared" si="209"/>
        <v>1.3331243416548861E-2</v>
      </c>
      <c r="F7404" s="2" t="s">
        <v>822</v>
      </c>
      <c r="G7404" s="23" t="s">
        <v>902</v>
      </c>
      <c r="H7404" s="2" t="s">
        <v>822</v>
      </c>
      <c r="J7404" s="31">
        <v>66.120002700000001</v>
      </c>
      <c r="K7404" s="31">
        <v>-26.527999900000001</v>
      </c>
      <c r="L7404" s="31"/>
      <c r="M7404" s="31" t="s">
        <v>854</v>
      </c>
      <c r="N7404" s="6" t="s">
        <v>856</v>
      </c>
    </row>
    <row r="7405" spans="1:14" ht="15" customHeight="1" x14ac:dyDescent="0.2">
      <c r="A7405" s="31">
        <v>6.7864812489124265E-2</v>
      </c>
      <c r="B7405" s="31"/>
      <c r="C7405" s="2" t="s">
        <v>855</v>
      </c>
      <c r="D7405" s="31">
        <f t="shared" si="209"/>
        <v>1.3301503247868357E-2</v>
      </c>
      <c r="F7405" s="2" t="s">
        <v>822</v>
      </c>
      <c r="G7405" s="23" t="s">
        <v>902</v>
      </c>
      <c r="H7405" s="2" t="s">
        <v>822</v>
      </c>
      <c r="J7405" s="31">
        <v>71.463996899999998</v>
      </c>
      <c r="K7405" s="31">
        <v>-14.5039997</v>
      </c>
      <c r="L7405" s="31"/>
      <c r="M7405" s="31" t="s">
        <v>854</v>
      </c>
      <c r="N7405" s="6" t="s">
        <v>856</v>
      </c>
    </row>
    <row r="7406" spans="1:14" ht="15" customHeight="1" x14ac:dyDescent="0.2">
      <c r="A7406" s="31">
        <v>6.7834715077502591E-2</v>
      </c>
      <c r="B7406" s="31"/>
      <c r="C7406" s="2" t="s">
        <v>855</v>
      </c>
      <c r="D7406" s="31">
        <f t="shared" si="209"/>
        <v>1.3295604155190509E-2</v>
      </c>
      <c r="F7406" s="2" t="s">
        <v>822</v>
      </c>
      <c r="G7406" s="23" t="s">
        <v>902</v>
      </c>
      <c r="H7406" s="2" t="s">
        <v>822</v>
      </c>
      <c r="J7406" s="31">
        <v>67.456001299999997</v>
      </c>
      <c r="K7406" s="31">
        <v>-16.507999399999999</v>
      </c>
      <c r="L7406" s="31"/>
      <c r="M7406" s="31" t="s">
        <v>854</v>
      </c>
      <c r="N7406" s="6" t="s">
        <v>856</v>
      </c>
    </row>
    <row r="7407" spans="1:14" ht="15" customHeight="1" x14ac:dyDescent="0.2">
      <c r="A7407" s="31">
        <v>6.7825371688235547E-2</v>
      </c>
      <c r="B7407" s="31"/>
      <c r="C7407" s="2" t="s">
        <v>855</v>
      </c>
      <c r="D7407" s="31">
        <f t="shared" si="209"/>
        <v>1.3293772850894168E-2</v>
      </c>
      <c r="F7407" s="2" t="s">
        <v>822</v>
      </c>
      <c r="G7407" s="23" t="s">
        <v>902</v>
      </c>
      <c r="H7407" s="2" t="s">
        <v>822</v>
      </c>
      <c r="J7407" s="31">
        <v>66.120002700000001</v>
      </c>
      <c r="K7407" s="31">
        <v>-9.8280001000000006</v>
      </c>
      <c r="L7407" s="31"/>
      <c r="M7407" s="31" t="s">
        <v>854</v>
      </c>
      <c r="N7407" s="6" t="s">
        <v>856</v>
      </c>
    </row>
    <row r="7408" spans="1:14" ht="15" customHeight="1" x14ac:dyDescent="0.2">
      <c r="A7408" s="31">
        <v>6.7787121493000937E-2</v>
      </c>
      <c r="B7408" s="31"/>
      <c r="C7408" s="2" t="s">
        <v>855</v>
      </c>
      <c r="D7408" s="31">
        <f t="shared" si="209"/>
        <v>1.3286275812628184E-2</v>
      </c>
      <c r="F7408" s="2" t="s">
        <v>822</v>
      </c>
      <c r="G7408" s="23" t="s">
        <v>902</v>
      </c>
      <c r="H7408" s="2" t="s">
        <v>822</v>
      </c>
      <c r="J7408" s="31">
        <v>68.568702700000003</v>
      </c>
      <c r="K7408" s="31">
        <v>-7.0446701000000003</v>
      </c>
      <c r="L7408" s="31"/>
      <c r="M7408" s="31" t="s">
        <v>854</v>
      </c>
      <c r="N7408" s="6" t="s">
        <v>856</v>
      </c>
    </row>
    <row r="7409" spans="1:14" ht="15" customHeight="1" x14ac:dyDescent="0.2">
      <c r="A7409" s="31">
        <v>6.7782244861621391E-2</v>
      </c>
      <c r="B7409" s="31"/>
      <c r="C7409" s="2" t="s">
        <v>855</v>
      </c>
      <c r="D7409" s="31">
        <f t="shared" si="209"/>
        <v>1.3285319992877792E-2</v>
      </c>
      <c r="F7409" s="2" t="s">
        <v>822</v>
      </c>
      <c r="G7409" s="23" t="s">
        <v>902</v>
      </c>
      <c r="H7409" s="2" t="s">
        <v>822</v>
      </c>
      <c r="J7409" s="31">
        <v>68.5282974</v>
      </c>
      <c r="K7409" s="31">
        <v>46.677799200000003</v>
      </c>
      <c r="L7409" s="31"/>
      <c r="M7409" s="31" t="s">
        <v>854</v>
      </c>
      <c r="N7409" s="6" t="s">
        <v>856</v>
      </c>
    </row>
    <row r="7410" spans="1:14" ht="15" customHeight="1" x14ac:dyDescent="0.2">
      <c r="A7410" s="31">
        <v>6.7731247531400543E-2</v>
      </c>
      <c r="B7410" s="31"/>
      <c r="C7410" s="2" t="s">
        <v>855</v>
      </c>
      <c r="D7410" s="31">
        <f t="shared" si="209"/>
        <v>1.3275324516154506E-2</v>
      </c>
      <c r="F7410" s="2" t="s">
        <v>822</v>
      </c>
      <c r="G7410" s="23" t="s">
        <v>902</v>
      </c>
      <c r="H7410" s="2" t="s">
        <v>822</v>
      </c>
      <c r="J7410" s="31">
        <v>70.795997600000007</v>
      </c>
      <c r="K7410" s="31">
        <v>6.2039999999999997</v>
      </c>
      <c r="L7410" s="31"/>
      <c r="M7410" s="31" t="s">
        <v>854</v>
      </c>
      <c r="N7410" s="6" t="s">
        <v>856</v>
      </c>
    </row>
    <row r="7411" spans="1:14" ht="15" customHeight="1" x14ac:dyDescent="0.2">
      <c r="A7411" s="31">
        <v>6.7702279157291448E-2</v>
      </c>
      <c r="B7411" s="31"/>
      <c r="C7411" s="2" t="s">
        <v>855</v>
      </c>
      <c r="D7411" s="31">
        <f t="shared" si="209"/>
        <v>1.3269646714829124E-2</v>
      </c>
      <c r="F7411" s="2" t="s">
        <v>822</v>
      </c>
      <c r="G7411" s="23" t="s">
        <v>902</v>
      </c>
      <c r="H7411" s="2" t="s">
        <v>822</v>
      </c>
      <c r="J7411" s="31">
        <v>71.491500900000005</v>
      </c>
      <c r="K7411" s="31">
        <v>26.228900899999999</v>
      </c>
      <c r="L7411" s="31"/>
      <c r="M7411" s="31" t="s">
        <v>854</v>
      </c>
      <c r="N7411" s="6" t="s">
        <v>856</v>
      </c>
    </row>
    <row r="7412" spans="1:14" ht="15" customHeight="1" x14ac:dyDescent="0.2">
      <c r="A7412" s="31">
        <v>6.7607775467281125E-2</v>
      </c>
      <c r="B7412" s="31"/>
      <c r="C7412" s="2" t="s">
        <v>855</v>
      </c>
      <c r="D7412" s="31">
        <f t="shared" si="209"/>
        <v>1.3251123991587101E-2</v>
      </c>
      <c r="F7412" s="2" t="s">
        <v>822</v>
      </c>
      <c r="G7412" s="23" t="s">
        <v>902</v>
      </c>
      <c r="H7412" s="2" t="s">
        <v>822</v>
      </c>
      <c r="J7412" s="31">
        <v>66.788002000000006</v>
      </c>
      <c r="K7412" s="31">
        <v>-18.511999100000001</v>
      </c>
      <c r="L7412" s="31"/>
      <c r="M7412" s="31" t="s">
        <v>854</v>
      </c>
      <c r="N7412" s="6" t="s">
        <v>856</v>
      </c>
    </row>
    <row r="7413" spans="1:14" ht="15" customHeight="1" x14ac:dyDescent="0.2">
      <c r="A7413" s="31">
        <v>6.7594011860196077E-2</v>
      </c>
      <c r="B7413" s="31"/>
      <c r="C7413" s="2" t="s">
        <v>855</v>
      </c>
      <c r="D7413" s="31">
        <f t="shared" si="209"/>
        <v>1.3248426324598432E-2</v>
      </c>
      <c r="F7413" s="2" t="s">
        <v>822</v>
      </c>
      <c r="G7413" s="23" t="s">
        <v>902</v>
      </c>
      <c r="H7413" s="2" t="s">
        <v>822</v>
      </c>
      <c r="J7413" s="31">
        <v>68.791999799999999</v>
      </c>
      <c r="K7413" s="31">
        <v>4.1999997999999996</v>
      </c>
      <c r="L7413" s="31"/>
      <c r="M7413" s="31" t="s">
        <v>854</v>
      </c>
      <c r="N7413" s="6" t="s">
        <v>856</v>
      </c>
    </row>
    <row r="7414" spans="1:14" ht="15" customHeight="1" x14ac:dyDescent="0.2">
      <c r="A7414" s="31">
        <v>6.7570074008916375E-2</v>
      </c>
      <c r="B7414" s="31"/>
      <c r="C7414" s="2" t="s">
        <v>855</v>
      </c>
      <c r="D7414" s="31">
        <f t="shared" si="209"/>
        <v>1.3243734505747611E-2</v>
      </c>
      <c r="F7414" s="2" t="s">
        <v>822</v>
      </c>
      <c r="G7414" s="23" t="s">
        <v>902</v>
      </c>
      <c r="H7414" s="2" t="s">
        <v>822</v>
      </c>
      <c r="J7414" s="31">
        <v>71.463996899999998</v>
      </c>
      <c r="K7414" s="31">
        <v>22.236000099999998</v>
      </c>
      <c r="L7414" s="31"/>
      <c r="M7414" s="31" t="s">
        <v>854</v>
      </c>
      <c r="N7414" s="6" t="s">
        <v>856</v>
      </c>
    </row>
    <row r="7415" spans="1:14" ht="15" customHeight="1" x14ac:dyDescent="0.2">
      <c r="A7415" s="31">
        <v>6.7559359265852187E-2</v>
      </c>
      <c r="B7415" s="31"/>
      <c r="C7415" s="2" t="s">
        <v>855</v>
      </c>
      <c r="D7415" s="31">
        <f t="shared" si="209"/>
        <v>1.3241634416107029E-2</v>
      </c>
      <c r="F7415" s="2" t="s">
        <v>822</v>
      </c>
      <c r="G7415" s="23" t="s">
        <v>902</v>
      </c>
      <c r="H7415" s="2" t="s">
        <v>822</v>
      </c>
      <c r="J7415" s="31">
        <v>70.795997600000007</v>
      </c>
      <c r="K7415" s="31">
        <v>16.272800400000001</v>
      </c>
      <c r="L7415" s="31"/>
      <c r="M7415" s="31" t="s">
        <v>854</v>
      </c>
      <c r="N7415" s="6" t="s">
        <v>856</v>
      </c>
    </row>
    <row r="7416" spans="1:14" ht="15" customHeight="1" x14ac:dyDescent="0.2">
      <c r="A7416" s="31">
        <v>6.7497741470492936E-2</v>
      </c>
      <c r="B7416" s="31"/>
      <c r="C7416" s="2" t="s">
        <v>855</v>
      </c>
      <c r="D7416" s="31">
        <f t="shared" si="209"/>
        <v>1.3229557328216617E-2</v>
      </c>
      <c r="F7416" s="2" t="s">
        <v>822</v>
      </c>
      <c r="G7416" s="23" t="s">
        <v>902</v>
      </c>
      <c r="H7416" s="2" t="s">
        <v>822</v>
      </c>
      <c r="J7416" s="31">
        <v>69.459999100000005</v>
      </c>
      <c r="K7416" s="31">
        <v>-1.8120000000000001</v>
      </c>
      <c r="L7416" s="31"/>
      <c r="M7416" s="31" t="s">
        <v>854</v>
      </c>
      <c r="N7416" s="6" t="s">
        <v>856</v>
      </c>
    </row>
    <row r="7417" spans="1:14" ht="15" customHeight="1" x14ac:dyDescent="0.2">
      <c r="A7417" s="31">
        <v>6.7479575310509771E-2</v>
      </c>
      <c r="B7417" s="31"/>
      <c r="C7417" s="2" t="s">
        <v>855</v>
      </c>
      <c r="D7417" s="31">
        <f t="shared" si="209"/>
        <v>1.3225996760859915E-2</v>
      </c>
      <c r="F7417" s="2" t="s">
        <v>822</v>
      </c>
      <c r="G7417" s="23" t="s">
        <v>902</v>
      </c>
      <c r="H7417" s="2" t="s">
        <v>822</v>
      </c>
      <c r="J7417" s="31">
        <v>67.344703699999997</v>
      </c>
      <c r="K7417" s="31">
        <v>-2.9858699</v>
      </c>
      <c r="L7417" s="31"/>
      <c r="M7417" s="31" t="s">
        <v>854</v>
      </c>
      <c r="N7417" s="6" t="s">
        <v>856</v>
      </c>
    </row>
    <row r="7418" spans="1:14" ht="15" customHeight="1" x14ac:dyDescent="0.2">
      <c r="A7418" s="31">
        <v>6.7454570995480884E-2</v>
      </c>
      <c r="B7418" s="31"/>
      <c r="C7418" s="2" t="s">
        <v>855</v>
      </c>
      <c r="D7418" s="31">
        <f t="shared" si="209"/>
        <v>1.3221095915114254E-2</v>
      </c>
      <c r="F7418" s="2" t="s">
        <v>822</v>
      </c>
      <c r="G7418" s="23" t="s">
        <v>902</v>
      </c>
      <c r="H7418" s="2" t="s">
        <v>822</v>
      </c>
      <c r="J7418" s="31">
        <v>72.673400900000004</v>
      </c>
      <c r="K7418" s="31">
        <v>-11.1436996</v>
      </c>
      <c r="L7418" s="31"/>
      <c r="M7418" s="31" t="s">
        <v>854</v>
      </c>
      <c r="N7418" s="6" t="s">
        <v>856</v>
      </c>
    </row>
    <row r="7419" spans="1:14" ht="15" customHeight="1" x14ac:dyDescent="0.2">
      <c r="A7419" s="31">
        <v>6.740445823808712E-2</v>
      </c>
      <c r="B7419" s="31"/>
      <c r="C7419" s="2" t="s">
        <v>855</v>
      </c>
      <c r="D7419" s="31">
        <f t="shared" si="209"/>
        <v>1.3211273814665076E-2</v>
      </c>
      <c r="F7419" s="2" t="s">
        <v>822</v>
      </c>
      <c r="G7419" s="23" t="s">
        <v>902</v>
      </c>
      <c r="H7419" s="2" t="s">
        <v>822</v>
      </c>
      <c r="J7419" s="31">
        <v>66.170799299999999</v>
      </c>
      <c r="K7419" s="31">
        <v>-5.9933901000000001</v>
      </c>
      <c r="L7419" s="31"/>
      <c r="M7419" s="31" t="s">
        <v>854</v>
      </c>
      <c r="N7419" s="6" t="s">
        <v>856</v>
      </c>
    </row>
    <row r="7420" spans="1:14" ht="15" customHeight="1" x14ac:dyDescent="0.2">
      <c r="A7420" s="31">
        <v>6.7369207220748906E-2</v>
      </c>
      <c r="B7420" s="31"/>
      <c r="C7420" s="2" t="s">
        <v>855</v>
      </c>
      <c r="D7420" s="31">
        <f t="shared" si="209"/>
        <v>1.3204364615266787E-2</v>
      </c>
      <c r="F7420" s="2" t="s">
        <v>822</v>
      </c>
      <c r="G7420" s="23" t="s">
        <v>902</v>
      </c>
      <c r="H7420" s="2" t="s">
        <v>822</v>
      </c>
      <c r="J7420" s="31">
        <v>70.127998399999996</v>
      </c>
      <c r="K7420" s="31">
        <v>-3.1480000000000001</v>
      </c>
      <c r="L7420" s="31"/>
      <c r="M7420" s="31" t="s">
        <v>854</v>
      </c>
      <c r="N7420" s="6" t="s">
        <v>856</v>
      </c>
    </row>
    <row r="7421" spans="1:14" ht="15" customHeight="1" x14ac:dyDescent="0.2">
      <c r="A7421" s="31">
        <v>6.7363124137261546E-2</v>
      </c>
      <c r="B7421" s="31"/>
      <c r="C7421" s="2" t="s">
        <v>855</v>
      </c>
      <c r="D7421" s="31">
        <f t="shared" si="209"/>
        <v>1.3203172330903264E-2</v>
      </c>
      <c r="F7421" s="2" t="s">
        <v>822</v>
      </c>
      <c r="G7421" s="23" t="s">
        <v>902</v>
      </c>
      <c r="H7421" s="2" t="s">
        <v>822</v>
      </c>
      <c r="J7421" s="31">
        <v>69.459999100000005</v>
      </c>
      <c r="K7421" s="31">
        <v>-11.1639996</v>
      </c>
      <c r="L7421" s="31"/>
      <c r="M7421" s="31" t="s">
        <v>854</v>
      </c>
      <c r="N7421" s="6" t="s">
        <v>856</v>
      </c>
    </row>
    <row r="7422" spans="1:14" ht="15" customHeight="1" x14ac:dyDescent="0.2">
      <c r="A7422" s="31">
        <v>6.7221081817276415E-2</v>
      </c>
      <c r="B7422" s="31"/>
      <c r="C7422" s="2" t="s">
        <v>855</v>
      </c>
      <c r="D7422" s="31">
        <f t="shared" si="209"/>
        <v>1.3175332036186179E-2</v>
      </c>
      <c r="F7422" s="2" t="s">
        <v>822</v>
      </c>
      <c r="G7422" s="23" t="s">
        <v>902</v>
      </c>
      <c r="H7422" s="2" t="s">
        <v>822</v>
      </c>
      <c r="J7422" s="31">
        <v>71.193000799999993</v>
      </c>
      <c r="K7422" s="31">
        <v>18.687000300000001</v>
      </c>
      <c r="L7422" s="31"/>
      <c r="M7422" s="31" t="s">
        <v>854</v>
      </c>
      <c r="N7422" s="6" t="s">
        <v>856</v>
      </c>
    </row>
    <row r="7423" spans="1:14" ht="15" customHeight="1" x14ac:dyDescent="0.2">
      <c r="A7423" s="31">
        <v>6.7179140154771597E-2</v>
      </c>
      <c r="B7423" s="31"/>
      <c r="C7423" s="2" t="s">
        <v>855</v>
      </c>
      <c r="D7423" s="31">
        <f t="shared" si="209"/>
        <v>1.3167111470335233E-2</v>
      </c>
      <c r="F7423" s="2" t="s">
        <v>822</v>
      </c>
      <c r="G7423" s="23" t="s">
        <v>902</v>
      </c>
      <c r="H7423" s="2" t="s">
        <v>822</v>
      </c>
      <c r="J7423" s="31">
        <v>66.887603799999994</v>
      </c>
      <c r="K7423" s="31">
        <v>-24.5240002</v>
      </c>
      <c r="L7423" s="31"/>
      <c r="M7423" s="31" t="s">
        <v>854</v>
      </c>
      <c r="N7423" s="6" t="s">
        <v>856</v>
      </c>
    </row>
    <row r="7424" spans="1:14" ht="15" customHeight="1" x14ac:dyDescent="0.2">
      <c r="A7424" s="31">
        <v>6.7134971610752214E-2</v>
      </c>
      <c r="B7424" s="31"/>
      <c r="C7424" s="2" t="s">
        <v>855</v>
      </c>
      <c r="D7424" s="31">
        <f t="shared" ref="D7424:D7487" si="210" xml:space="preserve"> A7424 * 0.196</f>
        <v>1.3158454435707434E-2</v>
      </c>
      <c r="F7424" s="2" t="s">
        <v>822</v>
      </c>
      <c r="G7424" s="23" t="s">
        <v>902</v>
      </c>
      <c r="H7424" s="2" t="s">
        <v>822</v>
      </c>
      <c r="J7424" s="31">
        <v>74.804000900000005</v>
      </c>
      <c r="K7424" s="31">
        <v>11.5480003</v>
      </c>
      <c r="L7424" s="31"/>
      <c r="M7424" s="31" t="s">
        <v>854</v>
      </c>
      <c r="N7424" s="6" t="s">
        <v>856</v>
      </c>
    </row>
    <row r="7425" spans="1:14" ht="15" customHeight="1" x14ac:dyDescent="0.2">
      <c r="A7425" s="31">
        <v>6.6938069136774386E-2</v>
      </c>
      <c r="B7425" s="31"/>
      <c r="C7425" s="2" t="s">
        <v>855</v>
      </c>
      <c r="D7425" s="31">
        <f t="shared" si="210"/>
        <v>1.311986155080778E-2</v>
      </c>
      <c r="F7425" s="2" t="s">
        <v>822</v>
      </c>
      <c r="G7425" s="23" t="s">
        <v>902</v>
      </c>
      <c r="H7425" s="2" t="s">
        <v>822</v>
      </c>
      <c r="J7425" s="31">
        <v>71.463996899999998</v>
      </c>
      <c r="K7425" s="31">
        <v>4.1999997999999996</v>
      </c>
      <c r="L7425" s="31"/>
      <c r="M7425" s="31" t="s">
        <v>854</v>
      </c>
      <c r="N7425" s="6" t="s">
        <v>856</v>
      </c>
    </row>
    <row r="7426" spans="1:14" ht="15" customHeight="1" x14ac:dyDescent="0.2">
      <c r="A7426" s="31">
        <v>6.6871104371832718E-2</v>
      </c>
      <c r="B7426" s="31"/>
      <c r="C7426" s="2" t="s">
        <v>855</v>
      </c>
      <c r="D7426" s="31">
        <f t="shared" si="210"/>
        <v>1.3106736456879214E-2</v>
      </c>
      <c r="F7426" s="2" t="s">
        <v>822</v>
      </c>
      <c r="G7426" s="23" t="s">
        <v>902</v>
      </c>
      <c r="H7426" s="2" t="s">
        <v>822</v>
      </c>
      <c r="J7426" s="31">
        <v>72.132003800000007</v>
      </c>
      <c r="K7426" s="31">
        <v>-9.1599997999999996</v>
      </c>
      <c r="L7426" s="31"/>
      <c r="M7426" s="31" t="s">
        <v>854</v>
      </c>
      <c r="N7426" s="6" t="s">
        <v>856</v>
      </c>
    </row>
    <row r="7427" spans="1:14" ht="15" customHeight="1" x14ac:dyDescent="0.2">
      <c r="A7427" s="31">
        <v>6.6866755717122792E-2</v>
      </c>
      <c r="B7427" s="31"/>
      <c r="C7427" s="2" t="s">
        <v>855</v>
      </c>
      <c r="D7427" s="31">
        <f t="shared" si="210"/>
        <v>1.3105884120556067E-2</v>
      </c>
      <c r="F7427" s="2" t="s">
        <v>822</v>
      </c>
      <c r="G7427" s="23" t="s">
        <v>902</v>
      </c>
      <c r="H7427" s="2" t="s">
        <v>822</v>
      </c>
      <c r="J7427" s="31">
        <v>70.127998399999996</v>
      </c>
      <c r="K7427" s="31">
        <v>7.54</v>
      </c>
      <c r="L7427" s="31"/>
      <c r="M7427" s="31" t="s">
        <v>854</v>
      </c>
      <c r="N7427" s="6" t="s">
        <v>856</v>
      </c>
    </row>
    <row r="7428" spans="1:14" ht="15" customHeight="1" x14ac:dyDescent="0.2">
      <c r="A7428" s="31">
        <v>6.6785629443208205E-2</v>
      </c>
      <c r="B7428" s="31"/>
      <c r="C7428" s="2" t="s">
        <v>855</v>
      </c>
      <c r="D7428" s="31">
        <f t="shared" si="210"/>
        <v>1.3089983370868809E-2</v>
      </c>
      <c r="F7428" s="2" t="s">
        <v>822</v>
      </c>
      <c r="G7428" s="23" t="s">
        <v>902</v>
      </c>
      <c r="H7428" s="2" t="s">
        <v>822</v>
      </c>
      <c r="J7428" s="31">
        <v>66.120002700000001</v>
      </c>
      <c r="K7428" s="31">
        <v>-1.8120000000000001</v>
      </c>
      <c r="L7428" s="31"/>
      <c r="M7428" s="31" t="s">
        <v>854</v>
      </c>
      <c r="N7428" s="6" t="s">
        <v>856</v>
      </c>
    </row>
    <row r="7429" spans="1:14" ht="15" customHeight="1" x14ac:dyDescent="0.2">
      <c r="A7429" s="31">
        <v>6.6762713752923378E-2</v>
      </c>
      <c r="B7429" s="31"/>
      <c r="C7429" s="2" t="s">
        <v>855</v>
      </c>
      <c r="D7429" s="31">
        <f t="shared" si="210"/>
        <v>1.3085491895572983E-2</v>
      </c>
      <c r="F7429" s="2" t="s">
        <v>822</v>
      </c>
      <c r="G7429" s="23" t="s">
        <v>902</v>
      </c>
      <c r="H7429" s="2" t="s">
        <v>822</v>
      </c>
      <c r="J7429" s="31">
        <v>74.548698400000006</v>
      </c>
      <c r="K7429" s="31">
        <v>-5.7745099</v>
      </c>
      <c r="L7429" s="31"/>
      <c r="M7429" s="31" t="s">
        <v>854</v>
      </c>
      <c r="N7429" s="6" t="s">
        <v>856</v>
      </c>
    </row>
    <row r="7430" spans="1:14" ht="15" customHeight="1" x14ac:dyDescent="0.2">
      <c r="A7430" s="31">
        <v>6.6672003560647633E-2</v>
      </c>
      <c r="B7430" s="31"/>
      <c r="C7430" s="2" t="s">
        <v>855</v>
      </c>
      <c r="D7430" s="31">
        <f t="shared" si="210"/>
        <v>1.3067712697886936E-2</v>
      </c>
      <c r="F7430" s="2" t="s">
        <v>822</v>
      </c>
      <c r="G7430" s="23" t="s">
        <v>902</v>
      </c>
      <c r="H7430" s="2" t="s">
        <v>822</v>
      </c>
      <c r="J7430" s="31">
        <v>65.452003500000004</v>
      </c>
      <c r="K7430" s="31">
        <v>0.192</v>
      </c>
      <c r="L7430" s="31"/>
      <c r="M7430" s="31" t="s">
        <v>854</v>
      </c>
      <c r="N7430" s="6" t="s">
        <v>856</v>
      </c>
    </row>
    <row r="7431" spans="1:14" ht="15" customHeight="1" x14ac:dyDescent="0.2">
      <c r="A7431" s="31">
        <v>6.6567278597459673E-2</v>
      </c>
      <c r="B7431" s="31"/>
      <c r="C7431" s="2" t="s">
        <v>855</v>
      </c>
      <c r="D7431" s="31">
        <f t="shared" si="210"/>
        <v>1.3047186605102096E-2</v>
      </c>
      <c r="F7431" s="2" t="s">
        <v>822</v>
      </c>
      <c r="G7431" s="23" t="s">
        <v>902</v>
      </c>
      <c r="H7431" s="2" t="s">
        <v>822</v>
      </c>
      <c r="J7431" s="31">
        <v>66.120002700000001</v>
      </c>
      <c r="K7431" s="31">
        <v>-0.47599999999999998</v>
      </c>
      <c r="L7431" s="31"/>
      <c r="M7431" s="31" t="s">
        <v>854</v>
      </c>
      <c r="N7431" s="6" t="s">
        <v>856</v>
      </c>
    </row>
    <row r="7432" spans="1:14" ht="15" customHeight="1" x14ac:dyDescent="0.2">
      <c r="A7432" s="31">
        <v>6.6565062483078793E-2</v>
      </c>
      <c r="B7432" s="31"/>
      <c r="C7432" s="2" t="s">
        <v>855</v>
      </c>
      <c r="D7432" s="31">
        <f t="shared" si="210"/>
        <v>1.3046752246683445E-2</v>
      </c>
      <c r="F7432" s="2" t="s">
        <v>822</v>
      </c>
      <c r="G7432" s="23" t="s">
        <v>902</v>
      </c>
      <c r="H7432" s="2" t="s">
        <v>822</v>
      </c>
      <c r="J7432" s="31">
        <v>65.135597200000007</v>
      </c>
      <c r="K7432" s="31">
        <v>-13.3822002</v>
      </c>
      <c r="L7432" s="31"/>
      <c r="M7432" s="31" t="s">
        <v>854</v>
      </c>
      <c r="N7432" s="6" t="s">
        <v>856</v>
      </c>
    </row>
    <row r="7433" spans="1:14" ht="15" customHeight="1" x14ac:dyDescent="0.2">
      <c r="A7433" s="31">
        <v>6.6504546626183395E-2</v>
      </c>
      <c r="B7433" s="31"/>
      <c r="C7433" s="2" t="s">
        <v>855</v>
      </c>
      <c r="D7433" s="31">
        <f t="shared" si="210"/>
        <v>1.3034891138731946E-2</v>
      </c>
      <c r="F7433" s="2" t="s">
        <v>822</v>
      </c>
      <c r="G7433" s="23" t="s">
        <v>902</v>
      </c>
      <c r="H7433" s="2" t="s">
        <v>822</v>
      </c>
      <c r="J7433" s="31">
        <v>66.565299999999993</v>
      </c>
      <c r="K7433" s="31">
        <v>-9.7166700000000006</v>
      </c>
      <c r="L7433" s="31"/>
      <c r="M7433" s="31" t="s">
        <v>854</v>
      </c>
      <c r="N7433" s="6" t="s">
        <v>856</v>
      </c>
    </row>
    <row r="7434" spans="1:14" ht="15" customHeight="1" x14ac:dyDescent="0.2">
      <c r="A7434" s="31">
        <v>6.6482900818815194E-2</v>
      </c>
      <c r="B7434" s="31"/>
      <c r="C7434" s="2" t="s">
        <v>855</v>
      </c>
      <c r="D7434" s="31">
        <f t="shared" si="210"/>
        <v>1.3030648560487778E-2</v>
      </c>
      <c r="F7434" s="2" t="s">
        <v>822</v>
      </c>
      <c r="G7434" s="23" t="s">
        <v>902</v>
      </c>
      <c r="H7434" s="2" t="s">
        <v>822</v>
      </c>
      <c r="J7434" s="31">
        <v>66.802002000000002</v>
      </c>
      <c r="K7434" s="31">
        <v>-16.5146008</v>
      </c>
      <c r="L7434" s="31"/>
      <c r="M7434" s="31" t="s">
        <v>854</v>
      </c>
      <c r="N7434" s="6" t="s">
        <v>856</v>
      </c>
    </row>
    <row r="7435" spans="1:14" ht="15" customHeight="1" x14ac:dyDescent="0.2">
      <c r="A7435" s="31">
        <v>6.6412299265027494E-2</v>
      </c>
      <c r="B7435" s="31"/>
      <c r="C7435" s="2" t="s">
        <v>855</v>
      </c>
      <c r="D7435" s="31">
        <f t="shared" si="210"/>
        <v>1.3016810655945388E-2</v>
      </c>
      <c r="F7435" s="2" t="s">
        <v>822</v>
      </c>
      <c r="G7435" s="23" t="s">
        <v>902</v>
      </c>
      <c r="H7435" s="2" t="s">
        <v>822</v>
      </c>
      <c r="J7435" s="31">
        <v>68.791999799999999</v>
      </c>
      <c r="K7435" s="31">
        <v>0.86</v>
      </c>
      <c r="L7435" s="31"/>
      <c r="M7435" s="31" t="s">
        <v>854</v>
      </c>
      <c r="N7435" s="6" t="s">
        <v>856</v>
      </c>
    </row>
    <row r="7436" spans="1:14" ht="15" customHeight="1" x14ac:dyDescent="0.2">
      <c r="A7436" s="31">
        <v>6.6357022521374515E-2</v>
      </c>
      <c r="B7436" s="31"/>
      <c r="C7436" s="2" t="s">
        <v>855</v>
      </c>
      <c r="D7436" s="31">
        <f t="shared" si="210"/>
        <v>1.3005976414189406E-2</v>
      </c>
      <c r="F7436" s="2" t="s">
        <v>822</v>
      </c>
      <c r="G7436" s="23" t="s">
        <v>902</v>
      </c>
      <c r="H7436" s="2" t="s">
        <v>822</v>
      </c>
      <c r="J7436" s="31">
        <v>70.127998399999996</v>
      </c>
      <c r="K7436" s="31">
        <v>-7.1560001</v>
      </c>
      <c r="L7436" s="31"/>
      <c r="M7436" s="31" t="s">
        <v>854</v>
      </c>
      <c r="N7436" s="6" t="s">
        <v>856</v>
      </c>
    </row>
    <row r="7437" spans="1:14" ht="15" customHeight="1" x14ac:dyDescent="0.2">
      <c r="A7437" s="31">
        <v>6.6279243430506785E-2</v>
      </c>
      <c r="B7437" s="31"/>
      <c r="C7437" s="2" t="s">
        <v>855</v>
      </c>
      <c r="D7437" s="31">
        <f t="shared" si="210"/>
        <v>1.2990731712379331E-2</v>
      </c>
      <c r="F7437" s="2" t="s">
        <v>822</v>
      </c>
      <c r="G7437" s="23" t="s">
        <v>902</v>
      </c>
      <c r="H7437" s="2" t="s">
        <v>822</v>
      </c>
      <c r="J7437" s="31">
        <v>66.788002000000006</v>
      </c>
      <c r="K7437" s="31">
        <v>-1.1440001</v>
      </c>
      <c r="L7437" s="31"/>
      <c r="M7437" s="31" t="s">
        <v>854</v>
      </c>
      <c r="N7437" s="6" t="s">
        <v>856</v>
      </c>
    </row>
    <row r="7438" spans="1:14" ht="15" customHeight="1" x14ac:dyDescent="0.2">
      <c r="A7438" s="31">
        <v>6.6272659711502632E-2</v>
      </c>
      <c r="B7438" s="31"/>
      <c r="C7438" s="2" t="s">
        <v>855</v>
      </c>
      <c r="D7438" s="31">
        <f t="shared" si="210"/>
        <v>1.2989441303454516E-2</v>
      </c>
      <c r="F7438" s="2" t="s">
        <v>822</v>
      </c>
      <c r="G7438" s="23" t="s">
        <v>902</v>
      </c>
      <c r="H7438" s="2" t="s">
        <v>822</v>
      </c>
      <c r="J7438" s="31">
        <v>70.197502099999994</v>
      </c>
      <c r="K7438" s="31">
        <v>18.845800400000002</v>
      </c>
      <c r="L7438" s="31"/>
      <c r="M7438" s="31" t="s">
        <v>854</v>
      </c>
      <c r="N7438" s="6" t="s">
        <v>856</v>
      </c>
    </row>
    <row r="7439" spans="1:14" ht="15" customHeight="1" x14ac:dyDescent="0.2">
      <c r="A7439" s="31">
        <v>6.6154980145313E-2</v>
      </c>
      <c r="B7439" s="31"/>
      <c r="C7439" s="2" t="s">
        <v>855</v>
      </c>
      <c r="D7439" s="31">
        <f t="shared" si="210"/>
        <v>1.2966376108481349E-2</v>
      </c>
      <c r="F7439" s="2" t="s">
        <v>822</v>
      </c>
      <c r="G7439" s="23" t="s">
        <v>902</v>
      </c>
      <c r="H7439" s="2" t="s">
        <v>822</v>
      </c>
      <c r="J7439" s="31">
        <v>69.459999100000005</v>
      </c>
      <c r="K7439" s="31">
        <v>7.54</v>
      </c>
      <c r="L7439" s="31"/>
      <c r="M7439" s="31" t="s">
        <v>854</v>
      </c>
      <c r="N7439" s="6" t="s">
        <v>856</v>
      </c>
    </row>
    <row r="7440" spans="1:14" ht="15" customHeight="1" x14ac:dyDescent="0.2">
      <c r="A7440" s="31">
        <v>6.6153001937550263E-2</v>
      </c>
      <c r="B7440" s="31"/>
      <c r="C7440" s="2" t="s">
        <v>855</v>
      </c>
      <c r="D7440" s="31">
        <f t="shared" si="210"/>
        <v>1.2965988379759852E-2</v>
      </c>
      <c r="F7440" s="2" t="s">
        <v>822</v>
      </c>
      <c r="G7440" s="23" t="s">
        <v>902</v>
      </c>
      <c r="H7440" s="2" t="s">
        <v>822</v>
      </c>
      <c r="J7440" s="31">
        <v>69.389602699999998</v>
      </c>
      <c r="K7440" s="31">
        <v>47.052799200000003</v>
      </c>
      <c r="L7440" s="31"/>
      <c r="M7440" s="31" t="s">
        <v>854</v>
      </c>
      <c r="N7440" s="6" t="s">
        <v>856</v>
      </c>
    </row>
    <row r="7441" spans="1:14" ht="15" customHeight="1" x14ac:dyDescent="0.2">
      <c r="A7441" s="31">
        <v>6.6111190926074162E-2</v>
      </c>
      <c r="B7441" s="31"/>
      <c r="C7441" s="2" t="s">
        <v>855</v>
      </c>
      <c r="D7441" s="31">
        <f t="shared" si="210"/>
        <v>1.2957793421510537E-2</v>
      </c>
      <c r="F7441" s="2" t="s">
        <v>822</v>
      </c>
      <c r="G7441" s="23" t="s">
        <v>902</v>
      </c>
      <c r="H7441" s="2" t="s">
        <v>822</v>
      </c>
      <c r="J7441" s="31">
        <v>68.124000499999994</v>
      </c>
      <c r="K7441" s="31">
        <v>-9.8280001000000006</v>
      </c>
      <c r="L7441" s="31"/>
      <c r="M7441" s="31" t="s">
        <v>854</v>
      </c>
      <c r="N7441" s="6" t="s">
        <v>856</v>
      </c>
    </row>
    <row r="7442" spans="1:14" ht="15" customHeight="1" x14ac:dyDescent="0.2">
      <c r="A7442" s="31">
        <v>6.6071109998578362E-2</v>
      </c>
      <c r="B7442" s="31"/>
      <c r="C7442" s="2" t="s">
        <v>855</v>
      </c>
      <c r="D7442" s="31">
        <f t="shared" si="210"/>
        <v>1.2949937559721359E-2</v>
      </c>
      <c r="F7442" s="2" t="s">
        <v>822</v>
      </c>
      <c r="G7442" s="23" t="s">
        <v>902</v>
      </c>
      <c r="H7442" s="2" t="s">
        <v>822</v>
      </c>
      <c r="J7442" s="31">
        <v>69.459999100000005</v>
      </c>
      <c r="K7442" s="31">
        <v>-12.5</v>
      </c>
      <c r="L7442" s="31"/>
      <c r="M7442" s="31" t="s">
        <v>854</v>
      </c>
      <c r="N7442" s="6" t="s">
        <v>856</v>
      </c>
    </row>
    <row r="7443" spans="1:14" ht="15" customHeight="1" x14ac:dyDescent="0.2">
      <c r="A7443" s="31">
        <v>6.6040017955652244E-2</v>
      </c>
      <c r="B7443" s="31"/>
      <c r="C7443" s="2" t="s">
        <v>855</v>
      </c>
      <c r="D7443" s="31">
        <f t="shared" si="210"/>
        <v>1.294384351930784E-2</v>
      </c>
      <c r="F7443" s="2" t="s">
        <v>822</v>
      </c>
      <c r="G7443" s="23" t="s">
        <v>902</v>
      </c>
      <c r="H7443" s="2" t="s">
        <v>822</v>
      </c>
      <c r="J7443" s="31">
        <v>63.448001900000001</v>
      </c>
      <c r="K7443" s="31">
        <v>-3.1480000000000001</v>
      </c>
      <c r="L7443" s="31"/>
      <c r="M7443" s="31" t="s">
        <v>854</v>
      </c>
      <c r="N7443" s="6" t="s">
        <v>856</v>
      </c>
    </row>
    <row r="7444" spans="1:14" ht="15" customHeight="1" x14ac:dyDescent="0.2">
      <c r="A7444" s="31">
        <v>6.6038849141189626E-2</v>
      </c>
      <c r="B7444" s="31"/>
      <c r="C7444" s="2" t="s">
        <v>855</v>
      </c>
      <c r="D7444" s="31">
        <f t="shared" si="210"/>
        <v>1.2943614431673167E-2</v>
      </c>
      <c r="F7444" s="2" t="s">
        <v>822</v>
      </c>
      <c r="G7444" s="23" t="s">
        <v>902</v>
      </c>
      <c r="H7444" s="2" t="s">
        <v>822</v>
      </c>
      <c r="J7444" s="31">
        <v>70.137100200000006</v>
      </c>
      <c r="K7444" s="31">
        <v>-0.47822999999999999</v>
      </c>
      <c r="L7444" s="31"/>
      <c r="M7444" s="31" t="s">
        <v>854</v>
      </c>
      <c r="N7444" s="6" t="s">
        <v>856</v>
      </c>
    </row>
    <row r="7445" spans="1:14" ht="15" customHeight="1" x14ac:dyDescent="0.2">
      <c r="A7445" s="31">
        <v>6.6023912020275785E-2</v>
      </c>
      <c r="B7445" s="31"/>
      <c r="C7445" s="2" t="s">
        <v>855</v>
      </c>
      <c r="D7445" s="31">
        <f t="shared" si="210"/>
        <v>1.2940686755974054E-2</v>
      </c>
      <c r="F7445" s="2" t="s">
        <v>822</v>
      </c>
      <c r="G7445" s="23" t="s">
        <v>902</v>
      </c>
      <c r="H7445" s="2" t="s">
        <v>822</v>
      </c>
      <c r="J7445" s="31">
        <v>72.800003099999998</v>
      </c>
      <c r="K7445" s="31">
        <v>12.2159996</v>
      </c>
      <c r="L7445" s="31"/>
      <c r="M7445" s="31" t="s">
        <v>854</v>
      </c>
      <c r="N7445" s="6" t="s">
        <v>856</v>
      </c>
    </row>
    <row r="7446" spans="1:14" ht="15" customHeight="1" x14ac:dyDescent="0.2">
      <c r="A7446" s="31">
        <v>6.5985349853776978E-2</v>
      </c>
      <c r="B7446" s="31"/>
      <c r="C7446" s="2" t="s">
        <v>855</v>
      </c>
      <c r="D7446" s="31">
        <f t="shared" si="210"/>
        <v>1.2933128571340288E-2</v>
      </c>
      <c r="F7446" s="2" t="s">
        <v>822</v>
      </c>
      <c r="G7446" s="23" t="s">
        <v>902</v>
      </c>
      <c r="H7446" s="2" t="s">
        <v>822</v>
      </c>
      <c r="J7446" s="31">
        <v>66.788002000000006</v>
      </c>
      <c r="K7446" s="31">
        <v>10.2119999</v>
      </c>
      <c r="L7446" s="31"/>
      <c r="M7446" s="31" t="s">
        <v>854</v>
      </c>
      <c r="N7446" s="6" t="s">
        <v>856</v>
      </c>
    </row>
    <row r="7447" spans="1:14" ht="15" customHeight="1" x14ac:dyDescent="0.2">
      <c r="A7447" s="31">
        <v>6.5865842526439955E-2</v>
      </c>
      <c r="B7447" s="31"/>
      <c r="C7447" s="2" t="s">
        <v>855</v>
      </c>
      <c r="D7447" s="31">
        <f t="shared" si="210"/>
        <v>1.2909705135182232E-2</v>
      </c>
      <c r="F7447" s="2" t="s">
        <v>822</v>
      </c>
      <c r="G7447" s="23" t="s">
        <v>902</v>
      </c>
      <c r="H7447" s="2" t="s">
        <v>822</v>
      </c>
      <c r="J7447" s="31">
        <v>64.783996599999995</v>
      </c>
      <c r="K7447" s="31">
        <v>-4.4840001999999997</v>
      </c>
      <c r="L7447" s="31"/>
      <c r="M7447" s="31" t="s">
        <v>854</v>
      </c>
      <c r="N7447" s="6" t="s">
        <v>856</v>
      </c>
    </row>
    <row r="7448" spans="1:14" ht="15" customHeight="1" x14ac:dyDescent="0.2">
      <c r="A7448" s="31">
        <v>6.5805120360439381E-2</v>
      </c>
      <c r="B7448" s="31"/>
      <c r="C7448" s="2" t="s">
        <v>855</v>
      </c>
      <c r="D7448" s="31">
        <f t="shared" si="210"/>
        <v>1.289780359064612E-2</v>
      </c>
      <c r="F7448" s="2" t="s">
        <v>822</v>
      </c>
      <c r="G7448" s="23" t="s">
        <v>902</v>
      </c>
      <c r="H7448" s="2" t="s">
        <v>822</v>
      </c>
      <c r="J7448" s="31">
        <v>71.463996899999998</v>
      </c>
      <c r="K7448" s="31">
        <v>20.899999600000001</v>
      </c>
      <c r="L7448" s="31"/>
      <c r="M7448" s="31" t="s">
        <v>854</v>
      </c>
      <c r="N7448" s="6" t="s">
        <v>856</v>
      </c>
    </row>
    <row r="7449" spans="1:14" ht="15" customHeight="1" x14ac:dyDescent="0.2">
      <c r="A7449" s="31">
        <v>6.5798226232609142E-2</v>
      </c>
      <c r="B7449" s="31"/>
      <c r="C7449" s="2" t="s">
        <v>855</v>
      </c>
      <c r="D7449" s="31">
        <f t="shared" si="210"/>
        <v>1.2896452341591392E-2</v>
      </c>
      <c r="F7449" s="2" t="s">
        <v>822</v>
      </c>
      <c r="G7449" s="23" t="s">
        <v>902</v>
      </c>
      <c r="H7449" s="2" t="s">
        <v>822</v>
      </c>
      <c r="J7449" s="31">
        <v>67.526000999999994</v>
      </c>
      <c r="K7449" s="31">
        <v>-3.2499001000000001</v>
      </c>
      <c r="L7449" s="31"/>
      <c r="M7449" s="31" t="s">
        <v>854</v>
      </c>
      <c r="N7449" s="6" t="s">
        <v>856</v>
      </c>
    </row>
    <row r="7450" spans="1:14" ht="15" customHeight="1" x14ac:dyDescent="0.2">
      <c r="A7450" s="31">
        <v>6.5773125370491223E-2</v>
      </c>
      <c r="B7450" s="31"/>
      <c r="C7450" s="2" t="s">
        <v>855</v>
      </c>
      <c r="D7450" s="31">
        <f t="shared" si="210"/>
        <v>1.289153257261628E-2</v>
      </c>
      <c r="F7450" s="2" t="s">
        <v>822</v>
      </c>
      <c r="G7450" s="23" t="s">
        <v>902</v>
      </c>
      <c r="H7450" s="2" t="s">
        <v>822</v>
      </c>
      <c r="J7450" s="31">
        <v>70.795997600000007</v>
      </c>
      <c r="K7450" s="31">
        <v>1.528</v>
      </c>
      <c r="L7450" s="31"/>
      <c r="M7450" s="31" t="s">
        <v>854</v>
      </c>
      <c r="N7450" s="6" t="s">
        <v>856</v>
      </c>
    </row>
    <row r="7451" spans="1:14" ht="15" customHeight="1" x14ac:dyDescent="0.2">
      <c r="A7451" s="31">
        <v>6.5732526523173962E-2</v>
      </c>
      <c r="B7451" s="31"/>
      <c r="C7451" s="2" t="s">
        <v>855</v>
      </c>
      <c r="D7451" s="31">
        <f t="shared" si="210"/>
        <v>1.2883575198542097E-2</v>
      </c>
      <c r="F7451" s="2" t="s">
        <v>822</v>
      </c>
      <c r="G7451" s="23" t="s">
        <v>902</v>
      </c>
      <c r="H7451" s="2" t="s">
        <v>822</v>
      </c>
      <c r="J7451" s="31">
        <v>67.456001299999997</v>
      </c>
      <c r="K7451" s="31">
        <v>0.192</v>
      </c>
      <c r="L7451" s="31"/>
      <c r="M7451" s="31" t="s">
        <v>854</v>
      </c>
      <c r="N7451" s="6" t="s">
        <v>856</v>
      </c>
    </row>
    <row r="7452" spans="1:14" ht="15" customHeight="1" x14ac:dyDescent="0.2">
      <c r="A7452" s="31">
        <v>6.5622786224590141E-2</v>
      </c>
      <c r="B7452" s="31"/>
      <c r="C7452" s="2" t="s">
        <v>855</v>
      </c>
      <c r="D7452" s="31">
        <f t="shared" si="210"/>
        <v>1.2862066100019668E-2</v>
      </c>
      <c r="F7452" s="2" t="s">
        <v>822</v>
      </c>
      <c r="G7452" s="23" t="s">
        <v>902</v>
      </c>
      <c r="H7452" s="2" t="s">
        <v>822</v>
      </c>
      <c r="J7452" s="31">
        <v>72.132003800000007</v>
      </c>
      <c r="K7452" s="31">
        <v>8.2080002000000007</v>
      </c>
      <c r="L7452" s="31"/>
      <c r="M7452" s="31" t="s">
        <v>854</v>
      </c>
      <c r="N7452" s="6" t="s">
        <v>856</v>
      </c>
    </row>
    <row r="7453" spans="1:14" ht="15" customHeight="1" x14ac:dyDescent="0.2">
      <c r="A7453" s="31">
        <v>6.5582065541920115E-2</v>
      </c>
      <c r="B7453" s="31"/>
      <c r="C7453" s="2" t="s">
        <v>855</v>
      </c>
      <c r="D7453" s="31">
        <f t="shared" si="210"/>
        <v>1.2854084846216344E-2</v>
      </c>
      <c r="F7453" s="2" t="s">
        <v>822</v>
      </c>
      <c r="G7453" s="23" t="s">
        <v>902</v>
      </c>
      <c r="H7453" s="2" t="s">
        <v>822</v>
      </c>
      <c r="J7453" s="31">
        <v>75.317703199999997</v>
      </c>
      <c r="K7453" s="31">
        <v>7.5377897999999997</v>
      </c>
      <c r="L7453" s="31"/>
      <c r="M7453" s="31" t="s">
        <v>854</v>
      </c>
      <c r="N7453" s="6" t="s">
        <v>856</v>
      </c>
    </row>
    <row r="7454" spans="1:14" ht="15" customHeight="1" x14ac:dyDescent="0.2">
      <c r="A7454" s="31">
        <v>6.5575044470664576E-2</v>
      </c>
      <c r="B7454" s="31"/>
      <c r="C7454" s="2" t="s">
        <v>855</v>
      </c>
      <c r="D7454" s="31">
        <f t="shared" si="210"/>
        <v>1.2852708716250258E-2</v>
      </c>
      <c r="F7454" s="2" t="s">
        <v>822</v>
      </c>
      <c r="G7454" s="23" t="s">
        <v>902</v>
      </c>
      <c r="H7454" s="2" t="s">
        <v>822</v>
      </c>
      <c r="J7454" s="31">
        <v>66.655097999999995</v>
      </c>
      <c r="K7454" s="31">
        <v>-8.1153402000000003</v>
      </c>
      <c r="L7454" s="31"/>
      <c r="M7454" s="31" t="s">
        <v>854</v>
      </c>
      <c r="N7454" s="6" t="s">
        <v>856</v>
      </c>
    </row>
    <row r="7455" spans="1:14" ht="15" customHeight="1" x14ac:dyDescent="0.2">
      <c r="A7455" s="31">
        <v>6.5565186755692229E-2</v>
      </c>
      <c r="B7455" s="31"/>
      <c r="C7455" s="2" t="s">
        <v>855</v>
      </c>
      <c r="D7455" s="31">
        <f t="shared" si="210"/>
        <v>1.2850776604115677E-2</v>
      </c>
      <c r="F7455" s="2" t="s">
        <v>822</v>
      </c>
      <c r="G7455" s="23" t="s">
        <v>902</v>
      </c>
      <c r="H7455" s="2" t="s">
        <v>822</v>
      </c>
      <c r="J7455" s="31">
        <v>67.342697099999995</v>
      </c>
      <c r="K7455" s="31">
        <v>-6.4215597999999998</v>
      </c>
      <c r="L7455" s="31"/>
      <c r="M7455" s="31" t="s">
        <v>854</v>
      </c>
      <c r="N7455" s="6" t="s">
        <v>856</v>
      </c>
    </row>
    <row r="7456" spans="1:14" ht="15" customHeight="1" x14ac:dyDescent="0.2">
      <c r="A7456" s="31">
        <v>6.5484650956876306E-2</v>
      </c>
      <c r="B7456" s="31"/>
      <c r="C7456" s="2" t="s">
        <v>855</v>
      </c>
      <c r="D7456" s="31">
        <f t="shared" si="210"/>
        <v>1.2834991587547756E-2</v>
      </c>
      <c r="F7456" s="2" t="s">
        <v>822</v>
      </c>
      <c r="G7456" s="23" t="s">
        <v>902</v>
      </c>
      <c r="H7456" s="2" t="s">
        <v>822</v>
      </c>
      <c r="J7456" s="31">
        <v>72.800003099999998</v>
      </c>
      <c r="K7456" s="31">
        <v>-0.47599999999999998</v>
      </c>
      <c r="L7456" s="31"/>
      <c r="M7456" s="31" t="s">
        <v>854</v>
      </c>
      <c r="N7456" s="6" t="s">
        <v>856</v>
      </c>
    </row>
    <row r="7457" spans="1:14" ht="15" customHeight="1" x14ac:dyDescent="0.2">
      <c r="A7457" s="31">
        <v>6.5477740008244856E-2</v>
      </c>
      <c r="B7457" s="31"/>
      <c r="C7457" s="2" t="s">
        <v>855</v>
      </c>
      <c r="D7457" s="31">
        <f t="shared" si="210"/>
        <v>1.2833637041615992E-2</v>
      </c>
      <c r="F7457" s="2" t="s">
        <v>822</v>
      </c>
      <c r="G7457" s="23" t="s">
        <v>902</v>
      </c>
      <c r="H7457" s="2" t="s">
        <v>822</v>
      </c>
      <c r="J7457" s="31">
        <v>70.7472992</v>
      </c>
      <c r="K7457" s="31">
        <v>-16.287799799999998</v>
      </c>
      <c r="L7457" s="31"/>
      <c r="M7457" s="31" t="s">
        <v>854</v>
      </c>
      <c r="N7457" s="6" t="s">
        <v>856</v>
      </c>
    </row>
    <row r="7458" spans="1:14" ht="15" customHeight="1" x14ac:dyDescent="0.2">
      <c r="A7458" s="31">
        <v>6.5460659996998696E-2</v>
      </c>
      <c r="B7458" s="31"/>
      <c r="C7458" s="2" t="s">
        <v>855</v>
      </c>
      <c r="D7458" s="31">
        <f t="shared" si="210"/>
        <v>1.2830289359411745E-2</v>
      </c>
      <c r="F7458" s="2" t="s">
        <v>822</v>
      </c>
      <c r="G7458" s="23" t="s">
        <v>902</v>
      </c>
      <c r="H7458" s="2" t="s">
        <v>822</v>
      </c>
      <c r="J7458" s="31">
        <v>67.456001299999997</v>
      </c>
      <c r="K7458" s="31">
        <v>-12.5</v>
      </c>
      <c r="L7458" s="31"/>
      <c r="M7458" s="31" t="s">
        <v>854</v>
      </c>
      <c r="N7458" s="6" t="s">
        <v>856</v>
      </c>
    </row>
    <row r="7459" spans="1:14" ht="15" customHeight="1" x14ac:dyDescent="0.2">
      <c r="A7459" s="31">
        <v>6.5428393492292902E-2</v>
      </c>
      <c r="B7459" s="31"/>
      <c r="C7459" s="2" t="s">
        <v>855</v>
      </c>
      <c r="D7459" s="31">
        <f t="shared" si="210"/>
        <v>1.282396512448941E-2</v>
      </c>
      <c r="F7459" s="2" t="s">
        <v>822</v>
      </c>
      <c r="G7459" s="23" t="s">
        <v>902</v>
      </c>
      <c r="H7459" s="2" t="s">
        <v>822</v>
      </c>
      <c r="J7459" s="31">
        <v>70.795997600000007</v>
      </c>
      <c r="K7459" s="31">
        <v>11.5480003</v>
      </c>
      <c r="L7459" s="31"/>
      <c r="M7459" s="31" t="s">
        <v>854</v>
      </c>
      <c r="N7459" s="6" t="s">
        <v>856</v>
      </c>
    </row>
    <row r="7460" spans="1:14" ht="15" customHeight="1" x14ac:dyDescent="0.2">
      <c r="A7460" s="31">
        <v>6.5409097029677829E-2</v>
      </c>
      <c r="B7460" s="31"/>
      <c r="C7460" s="2" t="s">
        <v>855</v>
      </c>
      <c r="D7460" s="31">
        <f t="shared" si="210"/>
        <v>1.2820183017816855E-2</v>
      </c>
      <c r="F7460" s="2" t="s">
        <v>822</v>
      </c>
      <c r="G7460" s="23" t="s">
        <v>902</v>
      </c>
      <c r="H7460" s="2" t="s">
        <v>822</v>
      </c>
      <c r="J7460" s="31">
        <v>70.795997600000007</v>
      </c>
      <c r="K7460" s="31">
        <v>12.8839998</v>
      </c>
      <c r="L7460" s="31"/>
      <c r="M7460" s="31" t="s">
        <v>854</v>
      </c>
      <c r="N7460" s="6" t="s">
        <v>856</v>
      </c>
    </row>
    <row r="7461" spans="1:14" ht="15" customHeight="1" x14ac:dyDescent="0.2">
      <c r="A7461" s="31">
        <v>6.5395200051764635E-2</v>
      </c>
      <c r="B7461" s="31"/>
      <c r="C7461" s="2" t="s">
        <v>855</v>
      </c>
      <c r="D7461" s="31">
        <f t="shared" si="210"/>
        <v>1.2817459210145869E-2</v>
      </c>
      <c r="F7461" s="2" t="s">
        <v>822</v>
      </c>
      <c r="G7461" s="23" t="s">
        <v>902</v>
      </c>
      <c r="H7461" s="2" t="s">
        <v>822</v>
      </c>
      <c r="J7461" s="31">
        <v>64.115997300000004</v>
      </c>
      <c r="K7461" s="31">
        <v>-7.8239998999999996</v>
      </c>
      <c r="L7461" s="31"/>
      <c r="M7461" s="31" t="s">
        <v>854</v>
      </c>
      <c r="N7461" s="6" t="s">
        <v>856</v>
      </c>
    </row>
    <row r="7462" spans="1:14" ht="15" customHeight="1" x14ac:dyDescent="0.2">
      <c r="A7462" s="31">
        <v>6.5360205997911647E-2</v>
      </c>
      <c r="B7462" s="31"/>
      <c r="C7462" s="2" t="s">
        <v>855</v>
      </c>
      <c r="D7462" s="31">
        <f t="shared" si="210"/>
        <v>1.2810600375590684E-2</v>
      </c>
      <c r="F7462" s="2" t="s">
        <v>822</v>
      </c>
      <c r="G7462" s="23" t="s">
        <v>902</v>
      </c>
      <c r="H7462" s="2" t="s">
        <v>822</v>
      </c>
      <c r="J7462" s="31">
        <v>73.468002299999995</v>
      </c>
      <c r="K7462" s="31">
        <v>12.8839998</v>
      </c>
      <c r="L7462" s="31"/>
      <c r="M7462" s="31" t="s">
        <v>854</v>
      </c>
      <c r="N7462" s="6" t="s">
        <v>856</v>
      </c>
    </row>
    <row r="7463" spans="1:14" ht="15" customHeight="1" x14ac:dyDescent="0.2">
      <c r="A7463" s="31">
        <v>6.5345293100608479E-2</v>
      </c>
      <c r="B7463" s="31"/>
      <c r="C7463" s="2" t="s">
        <v>855</v>
      </c>
      <c r="D7463" s="31">
        <f t="shared" si="210"/>
        <v>1.2807677447719263E-2</v>
      </c>
      <c r="F7463" s="2" t="s">
        <v>822</v>
      </c>
      <c r="G7463" s="23" t="s">
        <v>902</v>
      </c>
      <c r="H7463" s="2" t="s">
        <v>822</v>
      </c>
      <c r="J7463" s="31">
        <v>65.303802500000003</v>
      </c>
      <c r="K7463" s="31">
        <v>-4.4832200999999996</v>
      </c>
      <c r="L7463" s="31"/>
      <c r="M7463" s="31" t="s">
        <v>854</v>
      </c>
      <c r="N7463" s="6" t="s">
        <v>856</v>
      </c>
    </row>
    <row r="7464" spans="1:14" ht="15" customHeight="1" x14ac:dyDescent="0.2">
      <c r="A7464" s="31">
        <v>6.5342036776482704E-2</v>
      </c>
      <c r="B7464" s="31"/>
      <c r="C7464" s="2" t="s">
        <v>855</v>
      </c>
      <c r="D7464" s="31">
        <f t="shared" si="210"/>
        <v>1.280703920819061E-2</v>
      </c>
      <c r="F7464" s="2" t="s">
        <v>822</v>
      </c>
      <c r="G7464" s="23" t="s">
        <v>902</v>
      </c>
      <c r="H7464" s="2" t="s">
        <v>822</v>
      </c>
      <c r="J7464" s="31">
        <v>68.791999799999999</v>
      </c>
      <c r="K7464" s="31">
        <v>-8.1579999999999995</v>
      </c>
      <c r="L7464" s="31"/>
      <c r="M7464" s="31" t="s">
        <v>854</v>
      </c>
      <c r="N7464" s="6" t="s">
        <v>856</v>
      </c>
    </row>
    <row r="7465" spans="1:14" ht="15" customHeight="1" x14ac:dyDescent="0.2">
      <c r="A7465" s="31">
        <v>6.522258122498209E-2</v>
      </c>
      <c r="B7465" s="31"/>
      <c r="C7465" s="2" t="s">
        <v>855</v>
      </c>
      <c r="D7465" s="31">
        <f t="shared" si="210"/>
        <v>1.278362592009649E-2</v>
      </c>
      <c r="F7465" s="2" t="s">
        <v>822</v>
      </c>
      <c r="G7465" s="23" t="s">
        <v>902</v>
      </c>
      <c r="H7465" s="2" t="s">
        <v>822</v>
      </c>
      <c r="J7465" s="31">
        <v>67.056198100000003</v>
      </c>
      <c r="K7465" s="31">
        <v>-3.4312</v>
      </c>
      <c r="L7465" s="31"/>
      <c r="M7465" s="31" t="s">
        <v>854</v>
      </c>
      <c r="N7465" s="6" t="s">
        <v>856</v>
      </c>
    </row>
    <row r="7466" spans="1:14" ht="15" customHeight="1" x14ac:dyDescent="0.2">
      <c r="A7466" s="31">
        <v>6.5145037971925571E-2</v>
      </c>
      <c r="B7466" s="31"/>
      <c r="C7466" s="2" t="s">
        <v>855</v>
      </c>
      <c r="D7466" s="31">
        <f t="shared" si="210"/>
        <v>1.2768427442497413E-2</v>
      </c>
      <c r="F7466" s="2" t="s">
        <v>822</v>
      </c>
      <c r="G7466" s="23" t="s">
        <v>902</v>
      </c>
      <c r="H7466" s="2" t="s">
        <v>822</v>
      </c>
      <c r="J7466" s="31">
        <v>62.779998800000001</v>
      </c>
      <c r="K7466" s="31">
        <v>-4.4840001999999997</v>
      </c>
      <c r="L7466" s="31"/>
      <c r="M7466" s="31" t="s">
        <v>854</v>
      </c>
      <c r="N7466" s="6" t="s">
        <v>856</v>
      </c>
    </row>
    <row r="7467" spans="1:14" ht="15" customHeight="1" x14ac:dyDescent="0.2">
      <c r="A7467" s="31">
        <v>6.5128452787487884E-2</v>
      </c>
      <c r="B7467" s="31"/>
      <c r="C7467" s="2" t="s">
        <v>855</v>
      </c>
      <c r="D7467" s="31">
        <f t="shared" si="210"/>
        <v>1.2765176746347626E-2</v>
      </c>
      <c r="F7467" s="2" t="s">
        <v>822</v>
      </c>
      <c r="G7467" s="23" t="s">
        <v>902</v>
      </c>
      <c r="H7467" s="2" t="s">
        <v>822</v>
      </c>
      <c r="J7467" s="31">
        <v>68.791999799999999</v>
      </c>
      <c r="K7467" s="31">
        <v>-9.1599997999999996</v>
      </c>
      <c r="L7467" s="31"/>
      <c r="M7467" s="31" t="s">
        <v>854</v>
      </c>
      <c r="N7467" s="6" t="s">
        <v>856</v>
      </c>
    </row>
    <row r="7468" spans="1:14" ht="15" customHeight="1" x14ac:dyDescent="0.2">
      <c r="A7468" s="31">
        <v>6.5074418413466617E-2</v>
      </c>
      <c r="B7468" s="31"/>
      <c r="C7468" s="2" t="s">
        <v>855</v>
      </c>
      <c r="D7468" s="31">
        <f t="shared" si="210"/>
        <v>1.2754586009039457E-2</v>
      </c>
      <c r="F7468" s="2" t="s">
        <v>822</v>
      </c>
      <c r="G7468" s="23" t="s">
        <v>902</v>
      </c>
      <c r="H7468" s="2" t="s">
        <v>822</v>
      </c>
      <c r="J7468" s="31">
        <v>72.132003800000007</v>
      </c>
      <c r="K7468" s="31">
        <v>6.2039999999999997</v>
      </c>
      <c r="L7468" s="31"/>
      <c r="M7468" s="31" t="s">
        <v>854</v>
      </c>
      <c r="N7468" s="6" t="s">
        <v>856</v>
      </c>
    </row>
    <row r="7469" spans="1:14" ht="15" customHeight="1" x14ac:dyDescent="0.2">
      <c r="A7469" s="31">
        <v>6.5059752537943688E-2</v>
      </c>
      <c r="B7469" s="31"/>
      <c r="C7469" s="2" t="s">
        <v>855</v>
      </c>
      <c r="D7469" s="31">
        <f t="shared" si="210"/>
        <v>1.2751711497436964E-2</v>
      </c>
      <c r="F7469" s="2" t="s">
        <v>822</v>
      </c>
      <c r="G7469" s="23" t="s">
        <v>902</v>
      </c>
      <c r="H7469" s="2" t="s">
        <v>822</v>
      </c>
      <c r="J7469" s="31">
        <v>73.468002299999995</v>
      </c>
      <c r="K7469" s="31">
        <v>26.9120007</v>
      </c>
      <c r="L7469" s="31"/>
      <c r="M7469" s="31" t="s">
        <v>854</v>
      </c>
      <c r="N7469" s="6" t="s">
        <v>856</v>
      </c>
    </row>
    <row r="7470" spans="1:14" ht="15" customHeight="1" x14ac:dyDescent="0.2">
      <c r="A7470" s="31">
        <v>6.4992346023661066E-2</v>
      </c>
      <c r="B7470" s="31"/>
      <c r="C7470" s="2" t="s">
        <v>855</v>
      </c>
      <c r="D7470" s="31">
        <f t="shared" si="210"/>
        <v>1.2738499820637569E-2</v>
      </c>
      <c r="F7470" s="2" t="s">
        <v>822</v>
      </c>
      <c r="G7470" s="23" t="s">
        <v>902</v>
      </c>
      <c r="H7470" s="2" t="s">
        <v>822</v>
      </c>
      <c r="J7470" s="31">
        <v>73.468002299999995</v>
      </c>
      <c r="K7470" s="31">
        <v>17.5599995</v>
      </c>
      <c r="L7470" s="31"/>
      <c r="M7470" s="31" t="s">
        <v>854</v>
      </c>
      <c r="N7470" s="6" t="s">
        <v>856</v>
      </c>
    </row>
    <row r="7471" spans="1:14" ht="15" customHeight="1" x14ac:dyDescent="0.2">
      <c r="A7471" s="31">
        <v>6.493835994111756E-2</v>
      </c>
      <c r="B7471" s="31"/>
      <c r="C7471" s="2" t="s">
        <v>855</v>
      </c>
      <c r="D7471" s="31">
        <f t="shared" si="210"/>
        <v>1.2727918548459042E-2</v>
      </c>
      <c r="F7471" s="2" t="s">
        <v>822</v>
      </c>
      <c r="G7471" s="23" t="s">
        <v>902</v>
      </c>
      <c r="H7471" s="2" t="s">
        <v>822</v>
      </c>
      <c r="J7471" s="31">
        <v>70.795997600000007</v>
      </c>
      <c r="K7471" s="31">
        <v>-12.5</v>
      </c>
      <c r="L7471" s="31"/>
      <c r="M7471" s="31" t="s">
        <v>854</v>
      </c>
      <c r="N7471" s="6" t="s">
        <v>856</v>
      </c>
    </row>
    <row r="7472" spans="1:14" ht="15" customHeight="1" x14ac:dyDescent="0.2">
      <c r="A7472" s="31">
        <v>6.4880596725119491E-2</v>
      </c>
      <c r="B7472" s="31"/>
      <c r="C7472" s="2" t="s">
        <v>855</v>
      </c>
      <c r="D7472" s="31">
        <f t="shared" si="210"/>
        <v>1.2716596958123421E-2</v>
      </c>
      <c r="F7472" s="2" t="s">
        <v>822</v>
      </c>
      <c r="G7472" s="23" t="s">
        <v>902</v>
      </c>
      <c r="H7472" s="2" t="s">
        <v>822</v>
      </c>
      <c r="J7472" s="31">
        <v>72.132003800000007</v>
      </c>
      <c r="K7472" s="31">
        <v>0.86</v>
      </c>
      <c r="L7472" s="31"/>
      <c r="M7472" s="31" t="s">
        <v>854</v>
      </c>
      <c r="N7472" s="6" t="s">
        <v>856</v>
      </c>
    </row>
    <row r="7473" spans="1:14" ht="15" customHeight="1" x14ac:dyDescent="0.2">
      <c r="A7473" s="31">
        <v>6.4870135670046555E-2</v>
      </c>
      <c r="B7473" s="31"/>
      <c r="C7473" s="2" t="s">
        <v>855</v>
      </c>
      <c r="D7473" s="31">
        <f t="shared" si="210"/>
        <v>1.2714546591329125E-2</v>
      </c>
      <c r="F7473" s="2" t="s">
        <v>822</v>
      </c>
      <c r="G7473" s="23" t="s">
        <v>902</v>
      </c>
      <c r="H7473" s="2" t="s">
        <v>822</v>
      </c>
      <c r="J7473" s="31">
        <v>71.463996899999998</v>
      </c>
      <c r="K7473" s="31">
        <v>-1.8120000000000001</v>
      </c>
      <c r="L7473" s="31"/>
      <c r="M7473" s="31" t="s">
        <v>854</v>
      </c>
      <c r="N7473" s="6" t="s">
        <v>856</v>
      </c>
    </row>
    <row r="7474" spans="1:14" ht="15" customHeight="1" x14ac:dyDescent="0.2">
      <c r="A7474" s="31">
        <v>6.4813357781370678E-2</v>
      </c>
      <c r="B7474" s="31"/>
      <c r="C7474" s="2" t="s">
        <v>855</v>
      </c>
      <c r="D7474" s="31">
        <f t="shared" si="210"/>
        <v>1.2703418125148653E-2</v>
      </c>
      <c r="F7474" s="2" t="s">
        <v>822</v>
      </c>
      <c r="G7474" s="23" t="s">
        <v>902</v>
      </c>
      <c r="H7474" s="2" t="s">
        <v>822</v>
      </c>
      <c r="J7474" s="31">
        <v>72.800003099999998</v>
      </c>
      <c r="K7474" s="31">
        <v>14.220000300000001</v>
      </c>
      <c r="L7474" s="31"/>
      <c r="M7474" s="31" t="s">
        <v>854</v>
      </c>
      <c r="N7474" s="6" t="s">
        <v>856</v>
      </c>
    </row>
    <row r="7475" spans="1:14" ht="15" customHeight="1" x14ac:dyDescent="0.2">
      <c r="A7475" s="31">
        <v>6.4754586981530457E-2</v>
      </c>
      <c r="B7475" s="31"/>
      <c r="C7475" s="2" t="s">
        <v>855</v>
      </c>
      <c r="D7475" s="31">
        <f t="shared" si="210"/>
        <v>1.269189904837997E-2</v>
      </c>
      <c r="F7475" s="2" t="s">
        <v>822</v>
      </c>
      <c r="G7475" s="23" t="s">
        <v>902</v>
      </c>
      <c r="H7475" s="2" t="s">
        <v>822</v>
      </c>
      <c r="J7475" s="31">
        <v>66.862197899999998</v>
      </c>
      <c r="K7475" s="31">
        <v>-9.8651104000000007</v>
      </c>
      <c r="L7475" s="31"/>
      <c r="M7475" s="31" t="s">
        <v>854</v>
      </c>
      <c r="N7475" s="6" t="s">
        <v>856</v>
      </c>
    </row>
    <row r="7476" spans="1:14" ht="15" customHeight="1" x14ac:dyDescent="0.2">
      <c r="A7476" s="31">
        <v>6.4582940396256241E-2</v>
      </c>
      <c r="B7476" s="31"/>
      <c r="C7476" s="2" t="s">
        <v>855</v>
      </c>
      <c r="D7476" s="31">
        <f t="shared" si="210"/>
        <v>1.2658256317666225E-2</v>
      </c>
      <c r="F7476" s="2" t="s">
        <v>822</v>
      </c>
      <c r="G7476" s="23" t="s">
        <v>902</v>
      </c>
      <c r="H7476" s="2" t="s">
        <v>822</v>
      </c>
      <c r="J7476" s="31">
        <v>66.120002700000001</v>
      </c>
      <c r="K7476" s="31">
        <v>-3.8159999999999998</v>
      </c>
      <c r="L7476" s="31"/>
      <c r="M7476" s="31" t="s">
        <v>854</v>
      </c>
      <c r="N7476" s="6" t="s">
        <v>856</v>
      </c>
    </row>
    <row r="7477" spans="1:14" ht="15" customHeight="1" x14ac:dyDescent="0.2">
      <c r="A7477" s="31">
        <v>6.451962877577648E-2</v>
      </c>
      <c r="B7477" s="31"/>
      <c r="C7477" s="2" t="s">
        <v>855</v>
      </c>
      <c r="D7477" s="31">
        <f t="shared" si="210"/>
        <v>1.264584724005219E-2</v>
      </c>
      <c r="F7477" s="2" t="s">
        <v>822</v>
      </c>
      <c r="G7477" s="23" t="s">
        <v>902</v>
      </c>
      <c r="H7477" s="2" t="s">
        <v>822</v>
      </c>
      <c r="J7477" s="31">
        <v>75.246398900000003</v>
      </c>
      <c r="K7477" s="31">
        <v>14.2163</v>
      </c>
      <c r="L7477" s="31"/>
      <c r="M7477" s="31" t="s">
        <v>854</v>
      </c>
      <c r="N7477" s="6" t="s">
        <v>856</v>
      </c>
    </row>
    <row r="7478" spans="1:14" ht="15" customHeight="1" x14ac:dyDescent="0.2">
      <c r="A7478" s="31">
        <v>6.4455425395903057E-2</v>
      </c>
      <c r="B7478" s="31"/>
      <c r="C7478" s="2" t="s">
        <v>855</v>
      </c>
      <c r="D7478" s="31">
        <f t="shared" si="210"/>
        <v>1.2633263377596999E-2</v>
      </c>
      <c r="F7478" s="2" t="s">
        <v>822</v>
      </c>
      <c r="G7478" s="23" t="s">
        <v>902</v>
      </c>
      <c r="H7478" s="2" t="s">
        <v>822</v>
      </c>
      <c r="J7478" s="31">
        <v>68.135902400000006</v>
      </c>
      <c r="K7478" s="31">
        <v>-6.5090098000000003</v>
      </c>
      <c r="L7478" s="31"/>
      <c r="M7478" s="31" t="s">
        <v>854</v>
      </c>
      <c r="N7478" s="6" t="s">
        <v>856</v>
      </c>
    </row>
    <row r="7479" spans="1:14" ht="15" customHeight="1" x14ac:dyDescent="0.2">
      <c r="A7479" s="31">
        <v>6.4427510014995526E-2</v>
      </c>
      <c r="B7479" s="31"/>
      <c r="C7479" s="2" t="s">
        <v>855</v>
      </c>
      <c r="D7479" s="31">
        <f t="shared" si="210"/>
        <v>1.2627791962939124E-2</v>
      </c>
      <c r="F7479" s="2" t="s">
        <v>822</v>
      </c>
      <c r="G7479" s="23" t="s">
        <v>902</v>
      </c>
      <c r="H7479" s="2" t="s">
        <v>822</v>
      </c>
      <c r="J7479" s="31">
        <v>73.965599100000006</v>
      </c>
      <c r="K7479" s="31">
        <v>-8.4611902000000008</v>
      </c>
      <c r="L7479" s="31"/>
      <c r="M7479" s="31" t="s">
        <v>854</v>
      </c>
      <c r="N7479" s="6" t="s">
        <v>856</v>
      </c>
    </row>
    <row r="7480" spans="1:14" ht="15" customHeight="1" x14ac:dyDescent="0.2">
      <c r="A7480" s="31">
        <v>6.4373856331315704E-2</v>
      </c>
      <c r="B7480" s="31"/>
      <c r="C7480" s="2" t="s">
        <v>855</v>
      </c>
      <c r="D7480" s="31">
        <f t="shared" si="210"/>
        <v>1.2617275840937879E-2</v>
      </c>
      <c r="F7480" s="2" t="s">
        <v>822</v>
      </c>
      <c r="G7480" s="23" t="s">
        <v>902</v>
      </c>
      <c r="H7480" s="2" t="s">
        <v>822</v>
      </c>
      <c r="J7480" s="31">
        <v>63.448001900000001</v>
      </c>
      <c r="K7480" s="31">
        <v>-37.883998900000002</v>
      </c>
      <c r="L7480" s="31"/>
      <c r="M7480" s="31" t="s">
        <v>854</v>
      </c>
      <c r="N7480" s="6" t="s">
        <v>856</v>
      </c>
    </row>
    <row r="7481" spans="1:14" ht="15" customHeight="1" x14ac:dyDescent="0.2">
      <c r="A7481" s="31">
        <v>6.4370801404686928E-2</v>
      </c>
      <c r="B7481" s="31"/>
      <c r="C7481" s="2" t="s">
        <v>855</v>
      </c>
      <c r="D7481" s="31">
        <f t="shared" si="210"/>
        <v>1.2616677075318638E-2</v>
      </c>
      <c r="F7481" s="2" t="s">
        <v>822</v>
      </c>
      <c r="G7481" s="23" t="s">
        <v>902</v>
      </c>
      <c r="H7481" s="2" t="s">
        <v>822</v>
      </c>
      <c r="J7481" s="31">
        <v>74.804000900000005</v>
      </c>
      <c r="K7481" s="31">
        <v>6.8720001999999996</v>
      </c>
      <c r="L7481" s="31"/>
      <c r="M7481" s="31" t="s">
        <v>854</v>
      </c>
      <c r="N7481" s="6" t="s">
        <v>856</v>
      </c>
    </row>
    <row r="7482" spans="1:14" ht="15" customHeight="1" x14ac:dyDescent="0.2">
      <c r="A7482" s="31">
        <v>6.4310118009227688E-2</v>
      </c>
      <c r="B7482" s="31"/>
      <c r="C7482" s="2" t="s">
        <v>855</v>
      </c>
      <c r="D7482" s="31">
        <f t="shared" si="210"/>
        <v>1.2604783129808627E-2</v>
      </c>
      <c r="F7482" s="2" t="s">
        <v>822</v>
      </c>
      <c r="G7482" s="23" t="s">
        <v>902</v>
      </c>
      <c r="H7482" s="2" t="s">
        <v>822</v>
      </c>
      <c r="J7482" s="31">
        <v>71.489402799999993</v>
      </c>
      <c r="K7482" s="31">
        <v>48.471599599999998</v>
      </c>
      <c r="L7482" s="31"/>
      <c r="M7482" s="31" t="s">
        <v>854</v>
      </c>
      <c r="N7482" s="6" t="s">
        <v>856</v>
      </c>
    </row>
    <row r="7483" spans="1:14" ht="15" customHeight="1" x14ac:dyDescent="0.2">
      <c r="A7483" s="31">
        <v>6.4228562624654942E-2</v>
      </c>
      <c r="B7483" s="31"/>
      <c r="C7483" s="2" t="s">
        <v>855</v>
      </c>
      <c r="D7483" s="31">
        <f t="shared" si="210"/>
        <v>1.2588798274432369E-2</v>
      </c>
      <c r="F7483" s="2" t="s">
        <v>822</v>
      </c>
      <c r="G7483" s="23" t="s">
        <v>902</v>
      </c>
      <c r="H7483" s="2" t="s">
        <v>822</v>
      </c>
      <c r="J7483" s="31">
        <v>72.132003800000007</v>
      </c>
      <c r="K7483" s="31">
        <v>19.563999200000001</v>
      </c>
      <c r="L7483" s="31"/>
      <c r="M7483" s="31" t="s">
        <v>854</v>
      </c>
      <c r="N7483" s="6" t="s">
        <v>856</v>
      </c>
    </row>
    <row r="7484" spans="1:14" ht="15" customHeight="1" x14ac:dyDescent="0.2">
      <c r="A7484" s="31">
        <v>6.4136423768880207E-2</v>
      </c>
      <c r="B7484" s="31"/>
      <c r="C7484" s="2" t="s">
        <v>855</v>
      </c>
      <c r="D7484" s="31">
        <f t="shared" si="210"/>
        <v>1.2570739058700521E-2</v>
      </c>
      <c r="F7484" s="2" t="s">
        <v>822</v>
      </c>
      <c r="G7484" s="23" t="s">
        <v>902</v>
      </c>
      <c r="H7484" s="2" t="s">
        <v>822</v>
      </c>
      <c r="J7484" s="31">
        <v>64.783996599999995</v>
      </c>
      <c r="K7484" s="31">
        <v>-0.47599999999999998</v>
      </c>
      <c r="L7484" s="31"/>
      <c r="M7484" s="31" t="s">
        <v>854</v>
      </c>
      <c r="N7484" s="6" t="s">
        <v>856</v>
      </c>
    </row>
    <row r="7485" spans="1:14" ht="15" customHeight="1" x14ac:dyDescent="0.2">
      <c r="A7485" s="31">
        <v>6.3950753307389405E-2</v>
      </c>
      <c r="B7485" s="31"/>
      <c r="C7485" s="2" t="s">
        <v>855</v>
      </c>
      <c r="D7485" s="31">
        <f t="shared" si="210"/>
        <v>1.2534347648248324E-2</v>
      </c>
      <c r="F7485" s="2" t="s">
        <v>822</v>
      </c>
      <c r="G7485" s="23" t="s">
        <v>902</v>
      </c>
      <c r="H7485" s="2" t="s">
        <v>822</v>
      </c>
      <c r="J7485" s="31">
        <v>75.260597200000007</v>
      </c>
      <c r="K7485" s="31">
        <v>12.880800199999999</v>
      </c>
      <c r="L7485" s="31"/>
      <c r="M7485" s="31" t="s">
        <v>854</v>
      </c>
      <c r="N7485" s="6" t="s">
        <v>856</v>
      </c>
    </row>
    <row r="7486" spans="1:14" ht="15" customHeight="1" x14ac:dyDescent="0.2">
      <c r="A7486" s="31">
        <v>6.3902732794374792E-2</v>
      </c>
      <c r="B7486" s="31"/>
      <c r="C7486" s="2" t="s">
        <v>855</v>
      </c>
      <c r="D7486" s="31">
        <f t="shared" si="210"/>
        <v>1.2524935627697459E-2</v>
      </c>
      <c r="F7486" s="2" t="s">
        <v>822</v>
      </c>
      <c r="G7486" s="23" t="s">
        <v>902</v>
      </c>
      <c r="H7486" s="2" t="s">
        <v>822</v>
      </c>
      <c r="J7486" s="31">
        <v>71.841796900000006</v>
      </c>
      <c r="K7486" s="31">
        <v>15.1330996</v>
      </c>
      <c r="L7486" s="31"/>
      <c r="M7486" s="31" t="s">
        <v>854</v>
      </c>
      <c r="N7486" s="6" t="s">
        <v>856</v>
      </c>
    </row>
    <row r="7487" spans="1:14" ht="15" customHeight="1" x14ac:dyDescent="0.2">
      <c r="A7487" s="31">
        <v>6.3886989625456331E-2</v>
      </c>
      <c r="B7487" s="31"/>
      <c r="C7487" s="2" t="s">
        <v>855</v>
      </c>
      <c r="D7487" s="31">
        <f t="shared" si="210"/>
        <v>1.2521849966589442E-2</v>
      </c>
      <c r="F7487" s="2" t="s">
        <v>822</v>
      </c>
      <c r="G7487" s="23" t="s">
        <v>902</v>
      </c>
      <c r="H7487" s="2" t="s">
        <v>822</v>
      </c>
      <c r="J7487" s="31">
        <v>69.459999100000005</v>
      </c>
      <c r="K7487" s="31">
        <v>-7.8239998999999996</v>
      </c>
      <c r="L7487" s="31"/>
      <c r="M7487" s="31" t="s">
        <v>854</v>
      </c>
      <c r="N7487" s="6" t="s">
        <v>856</v>
      </c>
    </row>
    <row r="7488" spans="1:14" ht="15" customHeight="1" x14ac:dyDescent="0.2">
      <c r="A7488" s="31">
        <v>6.3876265411643235E-2</v>
      </c>
      <c r="B7488" s="31"/>
      <c r="C7488" s="2" t="s">
        <v>855</v>
      </c>
      <c r="D7488" s="31">
        <f t="shared" ref="D7488:D7551" si="211" xml:space="preserve"> A7488 * 0.196</f>
        <v>1.2519748020682075E-2</v>
      </c>
      <c r="F7488" s="2" t="s">
        <v>822</v>
      </c>
      <c r="G7488" s="23" t="s">
        <v>902</v>
      </c>
      <c r="H7488" s="2" t="s">
        <v>822</v>
      </c>
      <c r="J7488" s="31">
        <v>72.6886978</v>
      </c>
      <c r="K7488" s="31">
        <v>11.7223997</v>
      </c>
      <c r="L7488" s="31"/>
      <c r="M7488" s="31" t="s">
        <v>854</v>
      </c>
      <c r="N7488" s="6" t="s">
        <v>856</v>
      </c>
    </row>
    <row r="7489" spans="1:14" ht="15" customHeight="1" x14ac:dyDescent="0.2">
      <c r="A7489" s="31">
        <v>6.3868992389621723E-2</v>
      </c>
      <c r="B7489" s="31"/>
      <c r="C7489" s="2" t="s">
        <v>855</v>
      </c>
      <c r="D7489" s="31">
        <f t="shared" si="211"/>
        <v>1.2518322508365858E-2</v>
      </c>
      <c r="F7489" s="2" t="s">
        <v>822</v>
      </c>
      <c r="G7489" s="23" t="s">
        <v>902</v>
      </c>
      <c r="H7489" s="2" t="s">
        <v>822</v>
      </c>
      <c r="J7489" s="31">
        <v>66.713798499999996</v>
      </c>
      <c r="K7489" s="31">
        <v>-9.1228905000000005</v>
      </c>
      <c r="L7489" s="31"/>
      <c r="M7489" s="31" t="s">
        <v>854</v>
      </c>
      <c r="N7489" s="6" t="s">
        <v>856</v>
      </c>
    </row>
    <row r="7490" spans="1:14" ht="15" customHeight="1" x14ac:dyDescent="0.2">
      <c r="A7490" s="31">
        <v>6.3810071072337382E-2</v>
      </c>
      <c r="B7490" s="31"/>
      <c r="C7490" s="2" t="s">
        <v>855</v>
      </c>
      <c r="D7490" s="31">
        <f t="shared" si="211"/>
        <v>1.2506773930178128E-2</v>
      </c>
      <c r="F7490" s="2" t="s">
        <v>822</v>
      </c>
      <c r="G7490" s="23" t="s">
        <v>902</v>
      </c>
      <c r="H7490" s="2" t="s">
        <v>822</v>
      </c>
      <c r="J7490" s="31">
        <v>74.804000900000005</v>
      </c>
      <c r="K7490" s="31">
        <v>16.892000199999998</v>
      </c>
      <c r="L7490" s="31"/>
      <c r="M7490" s="31" t="s">
        <v>854</v>
      </c>
      <c r="N7490" s="6" t="s">
        <v>856</v>
      </c>
    </row>
    <row r="7491" spans="1:14" ht="15" customHeight="1" x14ac:dyDescent="0.2">
      <c r="A7491" s="31">
        <v>6.377280058834775E-2</v>
      </c>
      <c r="B7491" s="31"/>
      <c r="C7491" s="2" t="s">
        <v>855</v>
      </c>
      <c r="D7491" s="31">
        <f t="shared" si="211"/>
        <v>1.2499468915316159E-2</v>
      </c>
      <c r="F7491" s="2" t="s">
        <v>822</v>
      </c>
      <c r="G7491" s="23" t="s">
        <v>902</v>
      </c>
      <c r="H7491" s="2" t="s">
        <v>822</v>
      </c>
      <c r="J7491" s="31">
        <v>72.132003800000007</v>
      </c>
      <c r="K7491" s="31">
        <v>0.192</v>
      </c>
      <c r="L7491" s="31"/>
      <c r="M7491" s="31" t="s">
        <v>854</v>
      </c>
      <c r="N7491" s="6" t="s">
        <v>856</v>
      </c>
    </row>
    <row r="7492" spans="1:14" ht="15" customHeight="1" x14ac:dyDescent="0.2">
      <c r="A7492" s="31">
        <v>6.3750495976191132E-2</v>
      </c>
      <c r="B7492" s="31"/>
      <c r="C7492" s="2" t="s">
        <v>855</v>
      </c>
      <c r="D7492" s="31">
        <f t="shared" si="211"/>
        <v>1.2495097211333463E-2</v>
      </c>
      <c r="F7492" s="2" t="s">
        <v>822</v>
      </c>
      <c r="G7492" s="23" t="s">
        <v>902</v>
      </c>
      <c r="H7492" s="2" t="s">
        <v>822</v>
      </c>
      <c r="J7492" s="31">
        <v>69.571296700000005</v>
      </c>
      <c r="K7492" s="31">
        <v>3.5320000999999999</v>
      </c>
      <c r="L7492" s="31"/>
      <c r="M7492" s="31" t="s">
        <v>854</v>
      </c>
      <c r="N7492" s="6" t="s">
        <v>856</v>
      </c>
    </row>
    <row r="7493" spans="1:14" ht="15" customHeight="1" x14ac:dyDescent="0.2">
      <c r="A7493" s="31">
        <v>6.3693333899925098E-2</v>
      </c>
      <c r="B7493" s="31"/>
      <c r="C7493" s="2" t="s">
        <v>855</v>
      </c>
      <c r="D7493" s="31">
        <f t="shared" si="211"/>
        <v>1.248389344438532E-2</v>
      </c>
      <c r="F7493" s="2" t="s">
        <v>822</v>
      </c>
      <c r="G7493" s="23" t="s">
        <v>902</v>
      </c>
      <c r="H7493" s="2" t="s">
        <v>822</v>
      </c>
      <c r="J7493" s="31">
        <v>69.459999100000005</v>
      </c>
      <c r="K7493" s="31">
        <v>-14.5039997</v>
      </c>
      <c r="L7493" s="31"/>
      <c r="M7493" s="31" t="s">
        <v>854</v>
      </c>
      <c r="N7493" s="6" t="s">
        <v>856</v>
      </c>
    </row>
    <row r="7494" spans="1:14" ht="15" customHeight="1" x14ac:dyDescent="0.2">
      <c r="A7494" s="31">
        <v>6.3635122649163253E-2</v>
      </c>
      <c r="B7494" s="31"/>
      <c r="C7494" s="2" t="s">
        <v>855</v>
      </c>
      <c r="D7494" s="31">
        <f t="shared" si="211"/>
        <v>1.2472484039235999E-2</v>
      </c>
      <c r="F7494" s="2" t="s">
        <v>822</v>
      </c>
      <c r="G7494" s="23" t="s">
        <v>902</v>
      </c>
      <c r="H7494" s="2" t="s">
        <v>822</v>
      </c>
      <c r="J7494" s="31">
        <v>68.0868988</v>
      </c>
      <c r="K7494" s="31">
        <v>-4.0053200999999996</v>
      </c>
      <c r="L7494" s="31"/>
      <c r="M7494" s="31" t="s">
        <v>854</v>
      </c>
      <c r="N7494" s="6" t="s">
        <v>856</v>
      </c>
    </row>
    <row r="7495" spans="1:14" ht="15" customHeight="1" x14ac:dyDescent="0.2">
      <c r="A7495" s="31">
        <v>6.3608853901447007E-2</v>
      </c>
      <c r="B7495" s="31"/>
      <c r="C7495" s="2" t="s">
        <v>855</v>
      </c>
      <c r="D7495" s="31">
        <f t="shared" si="211"/>
        <v>1.2467335364683614E-2</v>
      </c>
      <c r="F7495" s="2" t="s">
        <v>822</v>
      </c>
      <c r="G7495" s="23" t="s">
        <v>902</v>
      </c>
      <c r="H7495" s="2" t="s">
        <v>822</v>
      </c>
      <c r="J7495" s="31">
        <v>73.468002299999995</v>
      </c>
      <c r="K7495" s="31">
        <v>8.8760004000000006</v>
      </c>
      <c r="L7495" s="31"/>
      <c r="M7495" s="31" t="s">
        <v>854</v>
      </c>
      <c r="N7495" s="6" t="s">
        <v>856</v>
      </c>
    </row>
    <row r="7496" spans="1:14" ht="15" customHeight="1" x14ac:dyDescent="0.2">
      <c r="A7496" s="31">
        <v>6.3347447506147014E-2</v>
      </c>
      <c r="B7496" s="31"/>
      <c r="C7496" s="2" t="s">
        <v>855</v>
      </c>
      <c r="D7496" s="31">
        <f t="shared" si="211"/>
        <v>1.2416099711204815E-2</v>
      </c>
      <c r="F7496" s="2" t="s">
        <v>822</v>
      </c>
      <c r="G7496" s="23" t="s">
        <v>902</v>
      </c>
      <c r="H7496" s="2" t="s">
        <v>822</v>
      </c>
      <c r="J7496" s="31">
        <v>69.459999100000005</v>
      </c>
      <c r="K7496" s="31">
        <v>-9.8280001000000006</v>
      </c>
      <c r="L7496" s="31"/>
      <c r="M7496" s="31" t="s">
        <v>854</v>
      </c>
      <c r="N7496" s="6" t="s">
        <v>856</v>
      </c>
    </row>
    <row r="7497" spans="1:14" ht="15" customHeight="1" x14ac:dyDescent="0.2">
      <c r="A7497" s="31">
        <v>6.3315933361825824E-2</v>
      </c>
      <c r="B7497" s="31"/>
      <c r="C7497" s="2" t="s">
        <v>855</v>
      </c>
      <c r="D7497" s="31">
        <f t="shared" si="211"/>
        <v>1.2409922938917862E-2</v>
      </c>
      <c r="F7497" s="2" t="s">
        <v>822</v>
      </c>
      <c r="G7497" s="23" t="s">
        <v>902</v>
      </c>
      <c r="H7497" s="2" t="s">
        <v>822</v>
      </c>
      <c r="J7497" s="31">
        <v>72.800003099999998</v>
      </c>
      <c r="K7497" s="31">
        <v>16.892000199999998</v>
      </c>
      <c r="L7497" s="31"/>
      <c r="M7497" s="31" t="s">
        <v>854</v>
      </c>
      <c r="N7497" s="6" t="s">
        <v>856</v>
      </c>
    </row>
    <row r="7498" spans="1:14" ht="15" customHeight="1" x14ac:dyDescent="0.2">
      <c r="A7498" s="31">
        <v>6.3189744246563928E-2</v>
      </c>
      <c r="B7498" s="31"/>
      <c r="C7498" s="2" t="s">
        <v>855</v>
      </c>
      <c r="D7498" s="31">
        <f t="shared" si="211"/>
        <v>1.238518987232653E-2</v>
      </c>
      <c r="F7498" s="2" t="s">
        <v>822</v>
      </c>
      <c r="G7498" s="23" t="s">
        <v>902</v>
      </c>
      <c r="H7498" s="2" t="s">
        <v>822</v>
      </c>
      <c r="J7498" s="31">
        <v>65.477500899999995</v>
      </c>
      <c r="K7498" s="31">
        <v>-5.78721</v>
      </c>
      <c r="L7498" s="31"/>
      <c r="M7498" s="31" t="s">
        <v>854</v>
      </c>
      <c r="N7498" s="6" t="s">
        <v>856</v>
      </c>
    </row>
    <row r="7499" spans="1:14" ht="15" customHeight="1" x14ac:dyDescent="0.2">
      <c r="A7499" s="31">
        <v>6.3146918255695947E-2</v>
      </c>
      <c r="B7499" s="31"/>
      <c r="C7499" s="2" t="s">
        <v>855</v>
      </c>
      <c r="D7499" s="31">
        <f t="shared" si="211"/>
        <v>1.2376795978116407E-2</v>
      </c>
      <c r="F7499" s="2" t="s">
        <v>822</v>
      </c>
      <c r="G7499" s="23" t="s">
        <v>902</v>
      </c>
      <c r="H7499" s="2" t="s">
        <v>822</v>
      </c>
      <c r="J7499" s="31">
        <v>67.456001299999997</v>
      </c>
      <c r="K7499" s="31">
        <v>-4.4840001999999997</v>
      </c>
      <c r="L7499" s="31"/>
      <c r="M7499" s="31" t="s">
        <v>854</v>
      </c>
      <c r="N7499" s="6" t="s">
        <v>856</v>
      </c>
    </row>
    <row r="7500" spans="1:14" ht="15" customHeight="1" x14ac:dyDescent="0.2">
      <c r="A7500" s="31">
        <v>6.2985283316868951E-2</v>
      </c>
      <c r="B7500" s="31"/>
      <c r="C7500" s="2" t="s">
        <v>855</v>
      </c>
      <c r="D7500" s="31">
        <f t="shared" si="211"/>
        <v>1.2345115530106315E-2</v>
      </c>
      <c r="F7500" s="2" t="s">
        <v>822</v>
      </c>
      <c r="G7500" s="23" t="s">
        <v>902</v>
      </c>
      <c r="H7500" s="2" t="s">
        <v>822</v>
      </c>
      <c r="J7500" s="31">
        <v>67.456001299999997</v>
      </c>
      <c r="K7500" s="31">
        <v>-17.176000599999998</v>
      </c>
      <c r="L7500" s="31"/>
      <c r="M7500" s="31" t="s">
        <v>854</v>
      </c>
      <c r="N7500" s="6" t="s">
        <v>856</v>
      </c>
    </row>
    <row r="7501" spans="1:14" ht="15" customHeight="1" x14ac:dyDescent="0.2">
      <c r="A7501" s="31">
        <v>6.2905853484011565E-2</v>
      </c>
      <c r="B7501" s="31"/>
      <c r="C7501" s="2" t="s">
        <v>855</v>
      </c>
      <c r="D7501" s="31">
        <f t="shared" si="211"/>
        <v>1.2329547282866267E-2</v>
      </c>
      <c r="F7501" s="2" t="s">
        <v>822</v>
      </c>
      <c r="G7501" s="23" t="s">
        <v>902</v>
      </c>
      <c r="H7501" s="2" t="s">
        <v>822</v>
      </c>
      <c r="J7501" s="31">
        <v>64.783996599999995</v>
      </c>
      <c r="K7501" s="31">
        <v>-2.48</v>
      </c>
      <c r="L7501" s="31"/>
      <c r="M7501" s="31" t="s">
        <v>854</v>
      </c>
      <c r="N7501" s="6" t="s">
        <v>856</v>
      </c>
    </row>
    <row r="7502" spans="1:14" ht="15" customHeight="1" x14ac:dyDescent="0.2">
      <c r="A7502" s="31">
        <v>6.2729613013681962E-2</v>
      </c>
      <c r="B7502" s="31"/>
      <c r="C7502" s="2" t="s">
        <v>855</v>
      </c>
      <c r="D7502" s="31">
        <f t="shared" si="211"/>
        <v>1.2295004150681665E-2</v>
      </c>
      <c r="F7502" s="2" t="s">
        <v>822</v>
      </c>
      <c r="G7502" s="23" t="s">
        <v>902</v>
      </c>
      <c r="H7502" s="2" t="s">
        <v>822</v>
      </c>
      <c r="J7502" s="31">
        <v>69.459999100000005</v>
      </c>
      <c r="K7502" s="31">
        <v>0.192</v>
      </c>
      <c r="L7502" s="31"/>
      <c r="M7502" s="31" t="s">
        <v>854</v>
      </c>
      <c r="N7502" s="6" t="s">
        <v>856</v>
      </c>
    </row>
    <row r="7503" spans="1:14" ht="15" customHeight="1" x14ac:dyDescent="0.2">
      <c r="A7503" s="31">
        <v>6.2693779966032731E-2</v>
      </c>
      <c r="B7503" s="31"/>
      <c r="C7503" s="2" t="s">
        <v>855</v>
      </c>
      <c r="D7503" s="31">
        <f t="shared" si="211"/>
        <v>1.2287980873342416E-2</v>
      </c>
      <c r="F7503" s="2" t="s">
        <v>822</v>
      </c>
      <c r="G7503" s="23" t="s">
        <v>902</v>
      </c>
      <c r="H7503" s="2" t="s">
        <v>822</v>
      </c>
      <c r="J7503" s="31">
        <v>70.816299400000005</v>
      </c>
      <c r="K7503" s="31">
        <v>19.038299599999998</v>
      </c>
      <c r="L7503" s="31"/>
      <c r="M7503" s="31" t="s">
        <v>854</v>
      </c>
      <c r="N7503" s="6" t="s">
        <v>856</v>
      </c>
    </row>
    <row r="7504" spans="1:14" ht="15" customHeight="1" x14ac:dyDescent="0.2">
      <c r="A7504" s="31">
        <v>6.2683581164448873E-2</v>
      </c>
      <c r="B7504" s="31"/>
      <c r="C7504" s="2" t="s">
        <v>855</v>
      </c>
      <c r="D7504" s="31">
        <f t="shared" si="211"/>
        <v>1.2285981908231979E-2</v>
      </c>
      <c r="F7504" s="2" t="s">
        <v>822</v>
      </c>
      <c r="G7504" s="23" t="s">
        <v>902</v>
      </c>
      <c r="H7504" s="2" t="s">
        <v>822</v>
      </c>
      <c r="J7504" s="31">
        <v>66.769798300000005</v>
      </c>
      <c r="K7504" s="31">
        <v>-5.1302399999999997</v>
      </c>
      <c r="L7504" s="31"/>
      <c r="M7504" s="31" t="s">
        <v>854</v>
      </c>
      <c r="N7504" s="6" t="s">
        <v>856</v>
      </c>
    </row>
    <row r="7505" spans="1:14" ht="15" customHeight="1" x14ac:dyDescent="0.2">
      <c r="A7505" s="31">
        <v>6.2575115135856452E-2</v>
      </c>
      <c r="B7505" s="31"/>
      <c r="C7505" s="2" t="s">
        <v>855</v>
      </c>
      <c r="D7505" s="31">
        <f t="shared" si="211"/>
        <v>1.2264722566627865E-2</v>
      </c>
      <c r="F7505" s="2" t="s">
        <v>822</v>
      </c>
      <c r="G7505" s="23" t="s">
        <v>902</v>
      </c>
      <c r="H7505" s="2" t="s">
        <v>822</v>
      </c>
      <c r="J7505" s="31">
        <v>67.456001299999997</v>
      </c>
      <c r="K7505" s="31">
        <v>-8.4919995999999998</v>
      </c>
      <c r="L7505" s="31"/>
      <c r="M7505" s="31" t="s">
        <v>854</v>
      </c>
      <c r="N7505" s="6" t="s">
        <v>856</v>
      </c>
    </row>
    <row r="7506" spans="1:14" ht="15" customHeight="1" x14ac:dyDescent="0.2">
      <c r="A7506" s="31">
        <v>6.2568653075722611E-2</v>
      </c>
      <c r="B7506" s="31"/>
      <c r="C7506" s="2" t="s">
        <v>855</v>
      </c>
      <c r="D7506" s="31">
        <f t="shared" si="211"/>
        <v>1.2263456002841632E-2</v>
      </c>
      <c r="F7506" s="2" t="s">
        <v>822</v>
      </c>
      <c r="G7506" s="23" t="s">
        <v>902</v>
      </c>
      <c r="H7506" s="2" t="s">
        <v>822</v>
      </c>
      <c r="J7506" s="31">
        <v>70.795997600000007</v>
      </c>
      <c r="K7506" s="31">
        <v>-2.48</v>
      </c>
      <c r="L7506" s="31"/>
      <c r="M7506" s="31" t="s">
        <v>854</v>
      </c>
      <c r="N7506" s="6" t="s">
        <v>856</v>
      </c>
    </row>
    <row r="7507" spans="1:14" ht="15" customHeight="1" x14ac:dyDescent="0.2">
      <c r="A7507" s="31">
        <v>6.2467344472377069E-2</v>
      </c>
      <c r="B7507" s="31"/>
      <c r="C7507" s="2" t="s">
        <v>855</v>
      </c>
      <c r="D7507" s="31">
        <f t="shared" si="211"/>
        <v>1.2243599516585907E-2</v>
      </c>
      <c r="F7507" s="2" t="s">
        <v>822</v>
      </c>
      <c r="G7507" s="23" t="s">
        <v>902</v>
      </c>
      <c r="H7507" s="2" t="s">
        <v>822</v>
      </c>
      <c r="J7507" s="31">
        <v>70.785102800000004</v>
      </c>
      <c r="K7507" s="31">
        <v>-8.6598500999999999</v>
      </c>
      <c r="L7507" s="31"/>
      <c r="M7507" s="31" t="s">
        <v>854</v>
      </c>
      <c r="N7507" s="6" t="s">
        <v>856</v>
      </c>
    </row>
    <row r="7508" spans="1:14" ht="15" customHeight="1" x14ac:dyDescent="0.2">
      <c r="A7508" s="31">
        <v>6.2393811113974469E-2</v>
      </c>
      <c r="B7508" s="31"/>
      <c r="C7508" s="2" t="s">
        <v>855</v>
      </c>
      <c r="D7508" s="31">
        <f t="shared" si="211"/>
        <v>1.2229186978338996E-2</v>
      </c>
      <c r="F7508" s="2" t="s">
        <v>822</v>
      </c>
      <c r="G7508" s="23" t="s">
        <v>902</v>
      </c>
      <c r="H7508" s="2" t="s">
        <v>822</v>
      </c>
      <c r="J7508" s="31">
        <v>64.107696500000003</v>
      </c>
      <c r="K7508" s="31">
        <v>-35.874698600000002</v>
      </c>
      <c r="L7508" s="31"/>
      <c r="M7508" s="31" t="s">
        <v>854</v>
      </c>
      <c r="N7508" s="6" t="s">
        <v>856</v>
      </c>
    </row>
    <row r="7509" spans="1:14" ht="15" customHeight="1" x14ac:dyDescent="0.2">
      <c r="A7509" s="31">
        <v>6.2320626980339702E-2</v>
      </c>
      <c r="B7509" s="31"/>
      <c r="C7509" s="2" t="s">
        <v>855</v>
      </c>
      <c r="D7509" s="31">
        <f t="shared" si="211"/>
        <v>1.2214842888146582E-2</v>
      </c>
      <c r="F7509" s="2" t="s">
        <v>822</v>
      </c>
      <c r="G7509" s="23" t="s">
        <v>902</v>
      </c>
      <c r="H7509" s="2" t="s">
        <v>822</v>
      </c>
      <c r="J7509" s="31">
        <v>74.1360016</v>
      </c>
      <c r="K7509" s="31">
        <v>14.887999499999999</v>
      </c>
      <c r="L7509" s="31"/>
      <c r="M7509" s="31" t="s">
        <v>854</v>
      </c>
      <c r="N7509" s="6" t="s">
        <v>856</v>
      </c>
    </row>
    <row r="7510" spans="1:14" ht="15" customHeight="1" x14ac:dyDescent="0.2">
      <c r="A7510" s="31">
        <v>6.2283807670281542E-2</v>
      </c>
      <c r="B7510" s="31"/>
      <c r="C7510" s="2" t="s">
        <v>855</v>
      </c>
      <c r="D7510" s="31">
        <f t="shared" si="211"/>
        <v>1.2207626303375184E-2</v>
      </c>
      <c r="F7510" s="2" t="s">
        <v>822</v>
      </c>
      <c r="G7510" s="23" t="s">
        <v>902</v>
      </c>
      <c r="H7510" s="2" t="s">
        <v>822</v>
      </c>
      <c r="J7510" s="31">
        <v>66.360702500000002</v>
      </c>
      <c r="K7510" s="31">
        <v>-18.545700100000001</v>
      </c>
      <c r="L7510" s="31"/>
      <c r="M7510" s="31" t="s">
        <v>854</v>
      </c>
      <c r="N7510" s="6" t="s">
        <v>856</v>
      </c>
    </row>
    <row r="7511" spans="1:14" ht="15" customHeight="1" x14ac:dyDescent="0.2">
      <c r="A7511" s="31">
        <v>6.220557810525118E-2</v>
      </c>
      <c r="B7511" s="31"/>
      <c r="C7511" s="2" t="s">
        <v>855</v>
      </c>
      <c r="D7511" s="31">
        <f t="shared" si="211"/>
        <v>1.2192293308629231E-2</v>
      </c>
      <c r="F7511" s="2" t="s">
        <v>822</v>
      </c>
      <c r="G7511" s="23" t="s">
        <v>902</v>
      </c>
      <c r="H7511" s="2" t="s">
        <v>822</v>
      </c>
      <c r="J7511" s="31">
        <v>70.456100500000005</v>
      </c>
      <c r="K7511" s="31">
        <v>-8.1791801</v>
      </c>
      <c r="L7511" s="31"/>
      <c r="M7511" s="31" t="s">
        <v>854</v>
      </c>
      <c r="N7511" s="6" t="s">
        <v>856</v>
      </c>
    </row>
    <row r="7512" spans="1:14" ht="15" customHeight="1" x14ac:dyDescent="0.2">
      <c r="A7512" s="31">
        <v>6.2099667008481602E-2</v>
      </c>
      <c r="B7512" s="31"/>
      <c r="C7512" s="2" t="s">
        <v>855</v>
      </c>
      <c r="D7512" s="31">
        <f t="shared" si="211"/>
        <v>1.2171534733662394E-2</v>
      </c>
      <c r="F7512" s="2" t="s">
        <v>822</v>
      </c>
      <c r="G7512" s="23" t="s">
        <v>902</v>
      </c>
      <c r="H7512" s="2" t="s">
        <v>822</v>
      </c>
      <c r="J7512" s="31">
        <v>75.310501099999996</v>
      </c>
      <c r="K7512" s="31">
        <v>8.2056999000000008</v>
      </c>
      <c r="L7512" s="31"/>
      <c r="M7512" s="31" t="s">
        <v>854</v>
      </c>
      <c r="N7512" s="6" t="s">
        <v>856</v>
      </c>
    </row>
    <row r="7513" spans="1:14" ht="15" customHeight="1" x14ac:dyDescent="0.2">
      <c r="A7513" s="31">
        <v>6.1956895078837969E-2</v>
      </c>
      <c r="B7513" s="31"/>
      <c r="C7513" s="2" t="s">
        <v>855</v>
      </c>
      <c r="D7513" s="31">
        <f t="shared" si="211"/>
        <v>1.2143551435452243E-2</v>
      </c>
      <c r="F7513" s="2" t="s">
        <v>822</v>
      </c>
      <c r="G7513" s="23" t="s">
        <v>902</v>
      </c>
      <c r="H7513" s="2" t="s">
        <v>822</v>
      </c>
      <c r="J7513" s="31">
        <v>66.778198200000006</v>
      </c>
      <c r="K7513" s="31">
        <v>-3.8280799000000001</v>
      </c>
      <c r="L7513" s="31"/>
      <c r="M7513" s="31" t="s">
        <v>854</v>
      </c>
      <c r="N7513" s="6" t="s">
        <v>856</v>
      </c>
    </row>
    <row r="7514" spans="1:14" ht="15" customHeight="1" x14ac:dyDescent="0.2">
      <c r="A7514" s="31">
        <v>6.1867660713056251E-2</v>
      </c>
      <c r="B7514" s="31"/>
      <c r="C7514" s="2" t="s">
        <v>855</v>
      </c>
      <c r="D7514" s="31">
        <f t="shared" si="211"/>
        <v>1.2126061499759026E-2</v>
      </c>
      <c r="F7514" s="2" t="s">
        <v>822</v>
      </c>
      <c r="G7514" s="23" t="s">
        <v>902</v>
      </c>
      <c r="H7514" s="2" t="s">
        <v>822</v>
      </c>
      <c r="J7514" s="31">
        <v>71.463996899999998</v>
      </c>
      <c r="K7514" s="31">
        <v>0.86</v>
      </c>
      <c r="L7514" s="31"/>
      <c r="M7514" s="31" t="s">
        <v>854</v>
      </c>
      <c r="N7514" s="6" t="s">
        <v>856</v>
      </c>
    </row>
    <row r="7515" spans="1:14" ht="15" customHeight="1" x14ac:dyDescent="0.2">
      <c r="A7515" s="31">
        <v>6.1842040395060693E-2</v>
      </c>
      <c r="B7515" s="31"/>
      <c r="C7515" s="2" t="s">
        <v>855</v>
      </c>
      <c r="D7515" s="31">
        <f t="shared" si="211"/>
        <v>1.2121039917431896E-2</v>
      </c>
      <c r="F7515" s="2" t="s">
        <v>822</v>
      </c>
      <c r="G7515" s="23" t="s">
        <v>902</v>
      </c>
      <c r="H7515" s="2" t="s">
        <v>822</v>
      </c>
      <c r="J7515" s="31">
        <v>67.456001299999997</v>
      </c>
      <c r="K7515" s="31">
        <v>-21.184000000000001</v>
      </c>
      <c r="L7515" s="31"/>
      <c r="M7515" s="31" t="s">
        <v>854</v>
      </c>
      <c r="N7515" s="6" t="s">
        <v>856</v>
      </c>
    </row>
    <row r="7516" spans="1:14" ht="15" customHeight="1" x14ac:dyDescent="0.2">
      <c r="A7516" s="31">
        <v>6.181465919843801E-2</v>
      </c>
      <c r="B7516" s="31"/>
      <c r="C7516" s="2" t="s">
        <v>855</v>
      </c>
      <c r="D7516" s="31">
        <f t="shared" si="211"/>
        <v>1.211567320289385E-2</v>
      </c>
      <c r="F7516" s="2" t="s">
        <v>822</v>
      </c>
      <c r="G7516" s="23" t="s">
        <v>902</v>
      </c>
      <c r="H7516" s="2" t="s">
        <v>822</v>
      </c>
      <c r="J7516" s="31">
        <v>67.456001299999997</v>
      </c>
      <c r="K7516" s="31">
        <v>-2.48</v>
      </c>
      <c r="L7516" s="31"/>
      <c r="M7516" s="31" t="s">
        <v>854</v>
      </c>
      <c r="N7516" s="6" t="s">
        <v>856</v>
      </c>
    </row>
    <row r="7517" spans="1:14" ht="15" customHeight="1" x14ac:dyDescent="0.2">
      <c r="A7517" s="31">
        <v>6.1787514965368683E-2</v>
      </c>
      <c r="B7517" s="31"/>
      <c r="C7517" s="2" t="s">
        <v>855</v>
      </c>
      <c r="D7517" s="31">
        <f t="shared" si="211"/>
        <v>1.2110352933212262E-2</v>
      </c>
      <c r="F7517" s="2" t="s">
        <v>822</v>
      </c>
      <c r="G7517" s="23" t="s">
        <v>902</v>
      </c>
      <c r="H7517" s="2" t="s">
        <v>822</v>
      </c>
      <c r="J7517" s="31">
        <v>68.096298200000007</v>
      </c>
      <c r="K7517" s="31">
        <v>14.187299700000001</v>
      </c>
      <c r="L7517" s="31"/>
      <c r="M7517" s="31" t="s">
        <v>854</v>
      </c>
      <c r="N7517" s="6" t="s">
        <v>856</v>
      </c>
    </row>
    <row r="7518" spans="1:14" ht="15" customHeight="1" x14ac:dyDescent="0.2">
      <c r="A7518" s="31">
        <v>6.1759529985168163E-2</v>
      </c>
      <c r="B7518" s="31"/>
      <c r="C7518" s="2" t="s">
        <v>855</v>
      </c>
      <c r="D7518" s="31">
        <f t="shared" si="211"/>
        <v>1.2104867877092961E-2</v>
      </c>
      <c r="F7518" s="2" t="s">
        <v>822</v>
      </c>
      <c r="G7518" s="23" t="s">
        <v>902</v>
      </c>
      <c r="H7518" s="2" t="s">
        <v>822</v>
      </c>
      <c r="J7518" s="31">
        <v>70.908599899999999</v>
      </c>
      <c r="K7518" s="31">
        <v>34.285099000000002</v>
      </c>
      <c r="L7518" s="31"/>
      <c r="M7518" s="31" t="s">
        <v>854</v>
      </c>
      <c r="N7518" s="6" t="s">
        <v>856</v>
      </c>
    </row>
    <row r="7519" spans="1:14" ht="15" customHeight="1" x14ac:dyDescent="0.2">
      <c r="A7519" s="31">
        <v>6.1712649579560568E-2</v>
      </c>
      <c r="B7519" s="31"/>
      <c r="C7519" s="2" t="s">
        <v>855</v>
      </c>
      <c r="D7519" s="31">
        <f t="shared" si="211"/>
        <v>1.2095679317593871E-2</v>
      </c>
      <c r="F7519" s="2" t="s">
        <v>822</v>
      </c>
      <c r="G7519" s="23" t="s">
        <v>902</v>
      </c>
      <c r="H7519" s="2" t="s">
        <v>822</v>
      </c>
      <c r="J7519" s="31">
        <v>70.127998399999996</v>
      </c>
      <c r="K7519" s="31">
        <v>0.192</v>
      </c>
      <c r="L7519" s="31"/>
      <c r="M7519" s="31" t="s">
        <v>854</v>
      </c>
      <c r="N7519" s="6" t="s">
        <v>856</v>
      </c>
    </row>
    <row r="7520" spans="1:14" ht="15" customHeight="1" x14ac:dyDescent="0.2">
      <c r="A7520" s="31">
        <v>6.1696110363861988E-2</v>
      </c>
      <c r="B7520" s="31"/>
      <c r="C7520" s="2" t="s">
        <v>855</v>
      </c>
      <c r="D7520" s="31">
        <f t="shared" si="211"/>
        <v>1.2092437631316949E-2</v>
      </c>
      <c r="F7520" s="2" t="s">
        <v>822</v>
      </c>
      <c r="G7520" s="23" t="s">
        <v>902</v>
      </c>
      <c r="H7520" s="2" t="s">
        <v>822</v>
      </c>
      <c r="J7520" s="31">
        <v>72.800003099999998</v>
      </c>
      <c r="K7520" s="31">
        <v>6.2039999999999997</v>
      </c>
      <c r="L7520" s="31"/>
      <c r="M7520" s="31" t="s">
        <v>854</v>
      </c>
      <c r="N7520" s="6" t="s">
        <v>856</v>
      </c>
    </row>
    <row r="7521" spans="1:14" ht="15" customHeight="1" x14ac:dyDescent="0.2">
      <c r="A7521" s="31">
        <v>6.1680707492647223E-2</v>
      </c>
      <c r="B7521" s="31"/>
      <c r="C7521" s="2" t="s">
        <v>855</v>
      </c>
      <c r="D7521" s="31">
        <f t="shared" si="211"/>
        <v>1.2089418668558857E-2</v>
      </c>
      <c r="F7521" s="2" t="s">
        <v>822</v>
      </c>
      <c r="G7521" s="23" t="s">
        <v>902</v>
      </c>
      <c r="H7521" s="2" t="s">
        <v>822</v>
      </c>
      <c r="J7521" s="31">
        <v>64.783996599999995</v>
      </c>
      <c r="K7521" s="31">
        <v>-6.4879999000000002</v>
      </c>
      <c r="L7521" s="31"/>
      <c r="M7521" s="31" t="s">
        <v>854</v>
      </c>
      <c r="N7521" s="6" t="s">
        <v>856</v>
      </c>
    </row>
    <row r="7522" spans="1:14" ht="15" customHeight="1" x14ac:dyDescent="0.2">
      <c r="A7522" s="31">
        <v>6.161745940660214E-2</v>
      </c>
      <c r="B7522" s="31"/>
      <c r="C7522" s="2" t="s">
        <v>855</v>
      </c>
      <c r="D7522" s="31">
        <f t="shared" si="211"/>
        <v>1.207702204369402E-2</v>
      </c>
      <c r="F7522" s="2" t="s">
        <v>822</v>
      </c>
      <c r="G7522" s="23" t="s">
        <v>902</v>
      </c>
      <c r="H7522" s="2" t="s">
        <v>822</v>
      </c>
      <c r="J7522" s="31">
        <v>70.795997600000007</v>
      </c>
      <c r="K7522" s="31">
        <v>4.1999997999999996</v>
      </c>
      <c r="L7522" s="31"/>
      <c r="M7522" s="31" t="s">
        <v>854</v>
      </c>
      <c r="N7522" s="6" t="s">
        <v>856</v>
      </c>
    </row>
    <row r="7523" spans="1:14" ht="15" customHeight="1" x14ac:dyDescent="0.2">
      <c r="A7523" s="31">
        <v>6.1554169023129282E-2</v>
      </c>
      <c r="B7523" s="31"/>
      <c r="C7523" s="2" t="s">
        <v>855</v>
      </c>
      <c r="D7523" s="31">
        <f t="shared" si="211"/>
        <v>1.206461712853334E-2</v>
      </c>
      <c r="F7523" s="2" t="s">
        <v>822</v>
      </c>
      <c r="G7523" s="23" t="s">
        <v>902</v>
      </c>
      <c r="H7523" s="2" t="s">
        <v>822</v>
      </c>
      <c r="J7523" s="31">
        <v>65.857299800000007</v>
      </c>
      <c r="K7523" s="31">
        <v>-20.5447998</v>
      </c>
      <c r="L7523" s="31"/>
      <c r="M7523" s="31" t="s">
        <v>854</v>
      </c>
      <c r="N7523" s="6" t="s">
        <v>856</v>
      </c>
    </row>
    <row r="7524" spans="1:14" ht="15" customHeight="1" x14ac:dyDescent="0.2">
      <c r="A7524" s="31">
        <v>6.1551487405468459E-2</v>
      </c>
      <c r="B7524" s="31"/>
      <c r="C7524" s="2" t="s">
        <v>855</v>
      </c>
      <c r="D7524" s="31">
        <f t="shared" si="211"/>
        <v>1.2064091531471819E-2</v>
      </c>
      <c r="F7524" s="2" t="s">
        <v>822</v>
      </c>
      <c r="G7524" s="23" t="s">
        <v>902</v>
      </c>
      <c r="H7524" s="2" t="s">
        <v>822</v>
      </c>
      <c r="J7524" s="31">
        <v>68.791999799999999</v>
      </c>
      <c r="K7524" s="31">
        <v>-0.47599999999999998</v>
      </c>
      <c r="L7524" s="31"/>
      <c r="M7524" s="31" t="s">
        <v>854</v>
      </c>
      <c r="N7524" s="6" t="s">
        <v>856</v>
      </c>
    </row>
    <row r="7525" spans="1:14" ht="15" customHeight="1" x14ac:dyDescent="0.2">
      <c r="A7525" s="31">
        <v>6.142961613554937E-2</v>
      </c>
      <c r="B7525" s="31"/>
      <c r="C7525" s="2" t="s">
        <v>855</v>
      </c>
      <c r="D7525" s="31">
        <f t="shared" si="211"/>
        <v>1.2040204762567676E-2</v>
      </c>
      <c r="F7525" s="2" t="s">
        <v>822</v>
      </c>
      <c r="G7525" s="23" t="s">
        <v>902</v>
      </c>
      <c r="H7525" s="2" t="s">
        <v>822</v>
      </c>
      <c r="J7525" s="31">
        <v>67.0106964</v>
      </c>
      <c r="K7525" s="31">
        <v>-5.4188399</v>
      </c>
      <c r="L7525" s="31"/>
      <c r="M7525" s="31" t="s">
        <v>854</v>
      </c>
      <c r="N7525" s="6" t="s">
        <v>856</v>
      </c>
    </row>
    <row r="7526" spans="1:14" ht="15" customHeight="1" x14ac:dyDescent="0.2">
      <c r="A7526" s="31">
        <v>6.1363320460923243E-2</v>
      </c>
      <c r="B7526" s="31"/>
      <c r="C7526" s="2" t="s">
        <v>855</v>
      </c>
      <c r="D7526" s="31">
        <f t="shared" si="211"/>
        <v>1.2027210810340956E-2</v>
      </c>
      <c r="F7526" s="2" t="s">
        <v>822</v>
      </c>
      <c r="G7526" s="23" t="s">
        <v>902</v>
      </c>
      <c r="H7526" s="2" t="s">
        <v>822</v>
      </c>
      <c r="J7526" s="31">
        <v>73.468002299999995</v>
      </c>
      <c r="K7526" s="31">
        <v>15.5559998</v>
      </c>
      <c r="L7526" s="31"/>
      <c r="M7526" s="31" t="s">
        <v>854</v>
      </c>
      <c r="N7526" s="6" t="s">
        <v>856</v>
      </c>
    </row>
    <row r="7527" spans="1:14" ht="15" customHeight="1" x14ac:dyDescent="0.2">
      <c r="A7527" s="31">
        <v>6.1357510250629618E-2</v>
      </c>
      <c r="B7527" s="31"/>
      <c r="C7527" s="2" t="s">
        <v>855</v>
      </c>
      <c r="D7527" s="31">
        <f t="shared" si="211"/>
        <v>1.2026072009123406E-2</v>
      </c>
      <c r="F7527" s="2" t="s">
        <v>822</v>
      </c>
      <c r="G7527" s="23" t="s">
        <v>902</v>
      </c>
      <c r="H7527" s="2" t="s">
        <v>822</v>
      </c>
      <c r="J7527" s="31">
        <v>69.013999900000002</v>
      </c>
      <c r="K7527" s="31">
        <v>-6.5967697999999997</v>
      </c>
      <c r="L7527" s="31"/>
      <c r="M7527" s="31" t="s">
        <v>854</v>
      </c>
      <c r="N7527" s="6" t="s">
        <v>856</v>
      </c>
    </row>
    <row r="7528" spans="1:14" ht="15" customHeight="1" x14ac:dyDescent="0.2">
      <c r="A7528" s="31">
        <v>6.1283406957137923E-2</v>
      </c>
      <c r="B7528" s="31"/>
      <c r="C7528" s="2" t="s">
        <v>855</v>
      </c>
      <c r="D7528" s="31">
        <f t="shared" si="211"/>
        <v>1.2011547763599034E-2</v>
      </c>
      <c r="F7528" s="2" t="s">
        <v>822</v>
      </c>
      <c r="G7528" s="23" t="s">
        <v>902</v>
      </c>
      <c r="H7528" s="2" t="s">
        <v>822</v>
      </c>
      <c r="J7528" s="31">
        <v>69.014602699999998</v>
      </c>
      <c r="K7528" s="31">
        <v>47.386798900000002</v>
      </c>
      <c r="L7528" s="31"/>
      <c r="M7528" s="31" t="s">
        <v>854</v>
      </c>
      <c r="N7528" s="6" t="s">
        <v>856</v>
      </c>
    </row>
    <row r="7529" spans="1:14" ht="15" customHeight="1" x14ac:dyDescent="0.2">
      <c r="A7529" s="31">
        <v>6.1260539419966988E-2</v>
      </c>
      <c r="B7529" s="31"/>
      <c r="C7529" s="2" t="s">
        <v>855</v>
      </c>
      <c r="D7529" s="31">
        <f t="shared" si="211"/>
        <v>1.2007065726313529E-2</v>
      </c>
      <c r="F7529" s="2" t="s">
        <v>822</v>
      </c>
      <c r="G7529" s="23" t="s">
        <v>902</v>
      </c>
      <c r="H7529" s="2" t="s">
        <v>822</v>
      </c>
      <c r="J7529" s="31">
        <v>73.468002299999995</v>
      </c>
      <c r="K7529" s="31">
        <v>27.579999900000001</v>
      </c>
      <c r="L7529" s="31"/>
      <c r="M7529" s="31" t="s">
        <v>854</v>
      </c>
      <c r="N7529" s="6" t="s">
        <v>856</v>
      </c>
    </row>
    <row r="7530" spans="1:14" ht="15" customHeight="1" x14ac:dyDescent="0.2">
      <c r="A7530" s="31">
        <v>6.1152484567074859E-2</v>
      </c>
      <c r="B7530" s="31"/>
      <c r="C7530" s="2" t="s">
        <v>855</v>
      </c>
      <c r="D7530" s="31">
        <f t="shared" si="211"/>
        <v>1.1985886975146673E-2</v>
      </c>
      <c r="F7530" s="2" t="s">
        <v>822</v>
      </c>
      <c r="G7530" s="23" t="s">
        <v>902</v>
      </c>
      <c r="H7530" s="2" t="s">
        <v>822</v>
      </c>
      <c r="J7530" s="31">
        <v>64.115997300000004</v>
      </c>
      <c r="K7530" s="31">
        <v>-35.212001800000003</v>
      </c>
      <c r="L7530" s="31"/>
      <c r="M7530" s="31" t="s">
        <v>854</v>
      </c>
      <c r="N7530" s="6" t="s">
        <v>856</v>
      </c>
    </row>
    <row r="7531" spans="1:14" ht="15" customHeight="1" x14ac:dyDescent="0.2">
      <c r="A7531" s="31">
        <v>6.1083730959340561E-2</v>
      </c>
      <c r="B7531" s="31"/>
      <c r="C7531" s="2" t="s">
        <v>855</v>
      </c>
      <c r="D7531" s="31">
        <f t="shared" si="211"/>
        <v>1.1972411268030751E-2</v>
      </c>
      <c r="F7531" s="2" t="s">
        <v>822</v>
      </c>
      <c r="G7531" s="23" t="s">
        <v>902</v>
      </c>
      <c r="H7531" s="2" t="s">
        <v>822</v>
      </c>
      <c r="J7531" s="31">
        <v>69.459999100000005</v>
      </c>
      <c r="K7531" s="31">
        <v>-10.4960003</v>
      </c>
      <c r="L7531" s="31"/>
      <c r="M7531" s="31" t="s">
        <v>854</v>
      </c>
      <c r="N7531" s="6" t="s">
        <v>856</v>
      </c>
    </row>
    <row r="7532" spans="1:14" ht="15" customHeight="1" x14ac:dyDescent="0.2">
      <c r="A7532" s="31">
        <v>6.1041196620552449E-2</v>
      </c>
      <c r="B7532" s="31"/>
      <c r="C7532" s="2" t="s">
        <v>855</v>
      </c>
      <c r="D7532" s="31">
        <f t="shared" si="211"/>
        <v>1.196407453762828E-2</v>
      </c>
      <c r="F7532" s="2" t="s">
        <v>822</v>
      </c>
      <c r="G7532" s="23" t="s">
        <v>902</v>
      </c>
      <c r="H7532" s="2" t="s">
        <v>822</v>
      </c>
      <c r="J7532" s="31">
        <v>67.456001299999997</v>
      </c>
      <c r="K7532" s="31">
        <v>-0.47599999999999998</v>
      </c>
      <c r="L7532" s="31"/>
      <c r="M7532" s="31" t="s">
        <v>854</v>
      </c>
      <c r="N7532" s="6" t="s">
        <v>856</v>
      </c>
    </row>
    <row r="7533" spans="1:14" ht="15" customHeight="1" x14ac:dyDescent="0.2">
      <c r="A7533" s="31">
        <v>6.0975603164557461E-2</v>
      </c>
      <c r="B7533" s="31"/>
      <c r="C7533" s="2" t="s">
        <v>855</v>
      </c>
      <c r="D7533" s="31">
        <f t="shared" si="211"/>
        <v>1.1951218220253263E-2</v>
      </c>
      <c r="F7533" s="2" t="s">
        <v>822</v>
      </c>
      <c r="G7533" s="23" t="s">
        <v>902</v>
      </c>
      <c r="H7533" s="2" t="s">
        <v>822</v>
      </c>
      <c r="J7533" s="31">
        <v>64.115997300000004</v>
      </c>
      <c r="K7533" s="31">
        <v>-7.1560001</v>
      </c>
      <c r="L7533" s="31"/>
      <c r="M7533" s="31" t="s">
        <v>854</v>
      </c>
      <c r="N7533" s="6" t="s">
        <v>856</v>
      </c>
    </row>
    <row r="7534" spans="1:14" ht="15" customHeight="1" x14ac:dyDescent="0.2">
      <c r="A7534" s="31">
        <v>6.0973903524967843E-2</v>
      </c>
      <c r="B7534" s="31"/>
      <c r="C7534" s="2" t="s">
        <v>855</v>
      </c>
      <c r="D7534" s="31">
        <f t="shared" si="211"/>
        <v>1.1950885090893698E-2</v>
      </c>
      <c r="F7534" s="2" t="s">
        <v>822</v>
      </c>
      <c r="G7534" s="23" t="s">
        <v>902</v>
      </c>
      <c r="H7534" s="2" t="s">
        <v>822</v>
      </c>
      <c r="J7534" s="31">
        <v>68.101699800000006</v>
      </c>
      <c r="K7534" s="31">
        <v>-5.3470101000000003</v>
      </c>
      <c r="L7534" s="31"/>
      <c r="M7534" s="31" t="s">
        <v>854</v>
      </c>
      <c r="N7534" s="6" t="s">
        <v>856</v>
      </c>
    </row>
    <row r="7535" spans="1:14" ht="15" customHeight="1" x14ac:dyDescent="0.2">
      <c r="A7535" s="31">
        <v>6.0970829499194433E-2</v>
      </c>
      <c r="B7535" s="31"/>
      <c r="C7535" s="2" t="s">
        <v>855</v>
      </c>
      <c r="D7535" s="31">
        <f t="shared" si="211"/>
        <v>1.1950282581842109E-2</v>
      </c>
      <c r="F7535" s="2" t="s">
        <v>822</v>
      </c>
      <c r="G7535" s="23" t="s">
        <v>902</v>
      </c>
      <c r="H7535" s="2" t="s">
        <v>822</v>
      </c>
      <c r="J7535" s="31">
        <v>71.463996899999998</v>
      </c>
      <c r="K7535" s="31">
        <v>8.2080002000000007</v>
      </c>
      <c r="L7535" s="31"/>
      <c r="M7535" s="31" t="s">
        <v>854</v>
      </c>
      <c r="N7535" s="6" t="s">
        <v>856</v>
      </c>
    </row>
    <row r="7536" spans="1:14" ht="15" customHeight="1" x14ac:dyDescent="0.2">
      <c r="A7536" s="31">
        <v>6.0898859796826139E-2</v>
      </c>
      <c r="B7536" s="31"/>
      <c r="C7536" s="2" t="s">
        <v>855</v>
      </c>
      <c r="D7536" s="31">
        <f t="shared" si="211"/>
        <v>1.1936176520177923E-2</v>
      </c>
      <c r="F7536" s="2" t="s">
        <v>822</v>
      </c>
      <c r="G7536" s="23" t="s">
        <v>902</v>
      </c>
      <c r="H7536" s="2" t="s">
        <v>822</v>
      </c>
      <c r="J7536" s="31">
        <v>70.127998399999996</v>
      </c>
      <c r="K7536" s="31">
        <v>8.2080002000000007</v>
      </c>
      <c r="L7536" s="31"/>
      <c r="M7536" s="31" t="s">
        <v>854</v>
      </c>
      <c r="N7536" s="6" t="s">
        <v>856</v>
      </c>
    </row>
    <row r="7537" spans="1:14" ht="15" customHeight="1" x14ac:dyDescent="0.2">
      <c r="A7537" s="31">
        <v>6.0516577162319528E-2</v>
      </c>
      <c r="B7537" s="31"/>
      <c r="C7537" s="2" t="s">
        <v>855</v>
      </c>
      <c r="D7537" s="31">
        <f t="shared" si="211"/>
        <v>1.1861249123814628E-2</v>
      </c>
      <c r="F7537" s="2" t="s">
        <v>822</v>
      </c>
      <c r="G7537" s="23" t="s">
        <v>902</v>
      </c>
      <c r="H7537" s="2" t="s">
        <v>822</v>
      </c>
      <c r="J7537" s="31">
        <v>72.132003800000007</v>
      </c>
      <c r="K7537" s="31">
        <v>3.5320000999999999</v>
      </c>
      <c r="L7537" s="31"/>
      <c r="M7537" s="31" t="s">
        <v>854</v>
      </c>
      <c r="N7537" s="6" t="s">
        <v>856</v>
      </c>
    </row>
    <row r="7538" spans="1:14" ht="15" customHeight="1" x14ac:dyDescent="0.2">
      <c r="A7538" s="31">
        <v>6.0482659992447188E-2</v>
      </c>
      <c r="B7538" s="31"/>
      <c r="C7538" s="2" t="s">
        <v>855</v>
      </c>
      <c r="D7538" s="31">
        <f t="shared" si="211"/>
        <v>1.1854601358519649E-2</v>
      </c>
      <c r="F7538" s="2" t="s">
        <v>822</v>
      </c>
      <c r="G7538" s="23" t="s">
        <v>902</v>
      </c>
      <c r="H7538" s="2" t="s">
        <v>822</v>
      </c>
      <c r="J7538" s="31">
        <v>72.132003800000007</v>
      </c>
      <c r="K7538" s="31">
        <v>-1.1440001</v>
      </c>
      <c r="L7538" s="31"/>
      <c r="M7538" s="31" t="s">
        <v>854</v>
      </c>
      <c r="N7538" s="6" t="s">
        <v>856</v>
      </c>
    </row>
    <row r="7539" spans="1:14" ht="15" customHeight="1" x14ac:dyDescent="0.2">
      <c r="A7539" s="31">
        <v>6.0477812057230559E-2</v>
      </c>
      <c r="B7539" s="31"/>
      <c r="C7539" s="2" t="s">
        <v>855</v>
      </c>
      <c r="D7539" s="31">
        <f t="shared" si="211"/>
        <v>1.185365116321719E-2</v>
      </c>
      <c r="F7539" s="2" t="s">
        <v>822</v>
      </c>
      <c r="G7539" s="23" t="s">
        <v>902</v>
      </c>
      <c r="H7539" s="2" t="s">
        <v>822</v>
      </c>
      <c r="J7539" s="31">
        <v>70.795997600000007</v>
      </c>
      <c r="K7539" s="31">
        <v>-10.4960003</v>
      </c>
      <c r="L7539" s="31"/>
      <c r="M7539" s="31" t="s">
        <v>854</v>
      </c>
      <c r="N7539" s="6" t="s">
        <v>856</v>
      </c>
    </row>
    <row r="7540" spans="1:14" ht="15" customHeight="1" x14ac:dyDescent="0.2">
      <c r="A7540" s="31">
        <v>6.0397423836203841E-2</v>
      </c>
      <c r="B7540" s="31"/>
      <c r="C7540" s="2" t="s">
        <v>855</v>
      </c>
      <c r="D7540" s="31">
        <f t="shared" si="211"/>
        <v>1.1837895071895954E-2</v>
      </c>
      <c r="F7540" s="2" t="s">
        <v>822</v>
      </c>
      <c r="G7540" s="23" t="s">
        <v>902</v>
      </c>
      <c r="H7540" s="2" t="s">
        <v>822</v>
      </c>
      <c r="J7540" s="31">
        <v>70.127998399999996</v>
      </c>
      <c r="K7540" s="31">
        <v>4.1999997999999996</v>
      </c>
      <c r="L7540" s="31"/>
      <c r="M7540" s="31" t="s">
        <v>854</v>
      </c>
      <c r="N7540" s="6" t="s">
        <v>856</v>
      </c>
    </row>
    <row r="7541" spans="1:14" ht="15" customHeight="1" x14ac:dyDescent="0.2">
      <c r="A7541" s="31">
        <v>6.0179087765780508E-2</v>
      </c>
      <c r="B7541" s="31"/>
      <c r="C7541" s="2" t="s">
        <v>855</v>
      </c>
      <c r="D7541" s="31">
        <f t="shared" si="211"/>
        <v>1.179510120209298E-2</v>
      </c>
      <c r="F7541" s="2" t="s">
        <v>822</v>
      </c>
      <c r="G7541" s="23" t="s">
        <v>902</v>
      </c>
      <c r="H7541" s="2" t="s">
        <v>822</v>
      </c>
      <c r="J7541" s="31">
        <v>64.806198100000003</v>
      </c>
      <c r="K7541" s="31">
        <v>-9.1403399000000007</v>
      </c>
      <c r="L7541" s="31"/>
      <c r="M7541" s="31" t="s">
        <v>854</v>
      </c>
      <c r="N7541" s="6" t="s">
        <v>856</v>
      </c>
    </row>
    <row r="7542" spans="1:14" ht="15" customHeight="1" x14ac:dyDescent="0.2">
      <c r="A7542" s="31">
        <v>6.0170904079758072E-2</v>
      </c>
      <c r="B7542" s="31"/>
      <c r="C7542" s="2" t="s">
        <v>855</v>
      </c>
      <c r="D7542" s="31">
        <f t="shared" si="211"/>
        <v>1.1793497199632583E-2</v>
      </c>
      <c r="F7542" s="2" t="s">
        <v>822</v>
      </c>
      <c r="G7542" s="23" t="s">
        <v>902</v>
      </c>
      <c r="H7542" s="2" t="s">
        <v>822</v>
      </c>
      <c r="J7542" s="31">
        <v>72.132003800000007</v>
      </c>
      <c r="K7542" s="31">
        <v>5.5359997999999999</v>
      </c>
      <c r="L7542" s="31"/>
      <c r="M7542" s="31" t="s">
        <v>854</v>
      </c>
      <c r="N7542" s="6" t="s">
        <v>856</v>
      </c>
    </row>
    <row r="7543" spans="1:14" ht="15" customHeight="1" x14ac:dyDescent="0.2">
      <c r="A7543" s="31">
        <v>6.0141131524783717E-2</v>
      </c>
      <c r="B7543" s="31"/>
      <c r="C7543" s="2" t="s">
        <v>855</v>
      </c>
      <c r="D7543" s="31">
        <f t="shared" si="211"/>
        <v>1.1787661778857608E-2</v>
      </c>
      <c r="F7543" s="2" t="s">
        <v>822</v>
      </c>
      <c r="G7543" s="23" t="s">
        <v>902</v>
      </c>
      <c r="H7543" s="2" t="s">
        <v>822</v>
      </c>
      <c r="J7543" s="31">
        <v>71.141601600000001</v>
      </c>
      <c r="K7543" s="31">
        <v>-18.345199600000001</v>
      </c>
      <c r="L7543" s="31"/>
      <c r="M7543" s="31" t="s">
        <v>854</v>
      </c>
      <c r="N7543" s="6" t="s">
        <v>856</v>
      </c>
    </row>
    <row r="7544" spans="1:14" ht="15" customHeight="1" x14ac:dyDescent="0.2">
      <c r="A7544" s="31">
        <v>5.9901862311948453E-2</v>
      </c>
      <c r="B7544" s="31"/>
      <c r="C7544" s="2" t="s">
        <v>855</v>
      </c>
      <c r="D7544" s="31">
        <f t="shared" si="211"/>
        <v>1.1740765013141898E-2</v>
      </c>
      <c r="F7544" s="2" t="s">
        <v>822</v>
      </c>
      <c r="G7544" s="23" t="s">
        <v>902</v>
      </c>
      <c r="H7544" s="2" t="s">
        <v>822</v>
      </c>
      <c r="J7544" s="31">
        <v>72.800003099999998</v>
      </c>
      <c r="K7544" s="31">
        <v>0.192</v>
      </c>
      <c r="L7544" s="31"/>
      <c r="M7544" s="31" t="s">
        <v>854</v>
      </c>
      <c r="N7544" s="6" t="s">
        <v>856</v>
      </c>
    </row>
    <row r="7545" spans="1:14" ht="15" customHeight="1" x14ac:dyDescent="0.2">
      <c r="A7545" s="31">
        <v>5.9898620902183418E-2</v>
      </c>
      <c r="B7545" s="31"/>
      <c r="C7545" s="2" t="s">
        <v>855</v>
      </c>
      <c r="D7545" s="31">
        <f t="shared" si="211"/>
        <v>1.174012969682795E-2</v>
      </c>
      <c r="F7545" s="2" t="s">
        <v>822</v>
      </c>
      <c r="G7545" s="23" t="s">
        <v>902</v>
      </c>
      <c r="H7545" s="2" t="s">
        <v>822</v>
      </c>
      <c r="J7545" s="31">
        <v>63.7820015</v>
      </c>
      <c r="K7545" s="31">
        <v>-34.209999099999997</v>
      </c>
      <c r="L7545" s="31"/>
      <c r="M7545" s="31" t="s">
        <v>854</v>
      </c>
      <c r="N7545" s="6" t="s">
        <v>856</v>
      </c>
    </row>
    <row r="7546" spans="1:14" ht="15" customHeight="1" x14ac:dyDescent="0.2">
      <c r="A7546" s="31">
        <v>5.9824603847860737E-2</v>
      </c>
      <c r="B7546" s="31"/>
      <c r="C7546" s="2" t="s">
        <v>855</v>
      </c>
      <c r="D7546" s="31">
        <f t="shared" si="211"/>
        <v>1.1725622354180705E-2</v>
      </c>
      <c r="F7546" s="2" t="s">
        <v>822</v>
      </c>
      <c r="G7546" s="23" t="s">
        <v>902</v>
      </c>
      <c r="H7546" s="2" t="s">
        <v>822</v>
      </c>
      <c r="J7546" s="31">
        <v>73.468002299999995</v>
      </c>
      <c r="K7546" s="31">
        <v>11.5480003</v>
      </c>
      <c r="L7546" s="31"/>
      <c r="M7546" s="31" t="s">
        <v>854</v>
      </c>
      <c r="N7546" s="6" t="s">
        <v>856</v>
      </c>
    </row>
    <row r="7547" spans="1:14" ht="15" customHeight="1" x14ac:dyDescent="0.2">
      <c r="A7547" s="31">
        <v>5.9679719754755667E-2</v>
      </c>
      <c r="B7547" s="31"/>
      <c r="C7547" s="2" t="s">
        <v>855</v>
      </c>
      <c r="D7547" s="31">
        <f t="shared" si="211"/>
        <v>1.1697225071932112E-2</v>
      </c>
      <c r="F7547" s="2" t="s">
        <v>822</v>
      </c>
      <c r="G7547" s="23" t="s">
        <v>902</v>
      </c>
      <c r="H7547" s="2" t="s">
        <v>822</v>
      </c>
      <c r="J7547" s="31">
        <v>65.825103799999994</v>
      </c>
      <c r="K7547" s="31">
        <v>-26.062999699999999</v>
      </c>
      <c r="L7547" s="31"/>
      <c r="M7547" s="31" t="s">
        <v>854</v>
      </c>
      <c r="N7547" s="6" t="s">
        <v>856</v>
      </c>
    </row>
    <row r="7548" spans="1:14" ht="15" customHeight="1" x14ac:dyDescent="0.2">
      <c r="A7548" s="31">
        <v>5.9645189761246199E-2</v>
      </c>
      <c r="B7548" s="31"/>
      <c r="C7548" s="2" t="s">
        <v>855</v>
      </c>
      <c r="D7548" s="31">
        <f t="shared" si="211"/>
        <v>1.1690457193204256E-2</v>
      </c>
      <c r="F7548" s="2" t="s">
        <v>822</v>
      </c>
      <c r="G7548" s="23" t="s">
        <v>902</v>
      </c>
      <c r="H7548" s="2" t="s">
        <v>822</v>
      </c>
      <c r="J7548" s="31">
        <v>71.463996899999998</v>
      </c>
      <c r="K7548" s="31">
        <v>-3.1480000000000001</v>
      </c>
      <c r="L7548" s="31"/>
      <c r="M7548" s="31" t="s">
        <v>854</v>
      </c>
      <c r="N7548" s="6" t="s">
        <v>856</v>
      </c>
    </row>
    <row r="7549" spans="1:14" ht="15" customHeight="1" x14ac:dyDescent="0.2">
      <c r="A7549" s="31">
        <v>5.941789807224819E-2</v>
      </c>
      <c r="B7549" s="31"/>
      <c r="C7549" s="2" t="s">
        <v>855</v>
      </c>
      <c r="D7549" s="31">
        <f t="shared" si="211"/>
        <v>1.1645908022160647E-2</v>
      </c>
      <c r="F7549" s="2" t="s">
        <v>822</v>
      </c>
      <c r="G7549" s="23" t="s">
        <v>902</v>
      </c>
      <c r="H7549" s="2" t="s">
        <v>822</v>
      </c>
      <c r="J7549" s="31">
        <v>70.127998399999996</v>
      </c>
      <c r="K7549" s="31">
        <v>32.923999799999997</v>
      </c>
      <c r="L7549" s="31"/>
      <c r="M7549" s="31" t="s">
        <v>854</v>
      </c>
      <c r="N7549" s="6" t="s">
        <v>856</v>
      </c>
    </row>
    <row r="7550" spans="1:14" ht="15" customHeight="1" x14ac:dyDescent="0.2">
      <c r="A7550" s="31">
        <v>5.9397608629756973E-2</v>
      </c>
      <c r="B7550" s="31"/>
      <c r="C7550" s="2" t="s">
        <v>855</v>
      </c>
      <c r="D7550" s="31">
        <f t="shared" si="211"/>
        <v>1.1641931291432367E-2</v>
      </c>
      <c r="F7550" s="2" t="s">
        <v>822</v>
      </c>
      <c r="G7550" s="23" t="s">
        <v>902</v>
      </c>
      <c r="H7550" s="2" t="s">
        <v>822</v>
      </c>
      <c r="J7550" s="31">
        <v>69.389801000000006</v>
      </c>
      <c r="K7550" s="31">
        <v>-0.85881700000000005</v>
      </c>
      <c r="L7550" s="31"/>
      <c r="M7550" s="31" t="s">
        <v>854</v>
      </c>
      <c r="N7550" s="6" t="s">
        <v>856</v>
      </c>
    </row>
    <row r="7551" spans="1:14" ht="15" customHeight="1" x14ac:dyDescent="0.2">
      <c r="A7551" s="31">
        <v>5.9381808535262308E-2</v>
      </c>
      <c r="B7551" s="31"/>
      <c r="C7551" s="2" t="s">
        <v>855</v>
      </c>
      <c r="D7551" s="31">
        <f t="shared" si="211"/>
        <v>1.1638834472911412E-2</v>
      </c>
      <c r="F7551" s="2" t="s">
        <v>822</v>
      </c>
      <c r="G7551" s="23" t="s">
        <v>902</v>
      </c>
      <c r="H7551" s="2" t="s">
        <v>822</v>
      </c>
      <c r="J7551" s="31">
        <v>72.800003099999998</v>
      </c>
      <c r="K7551" s="31">
        <v>5.5359997999999999</v>
      </c>
      <c r="L7551" s="31"/>
      <c r="M7551" s="31" t="s">
        <v>854</v>
      </c>
      <c r="N7551" s="6" t="s">
        <v>856</v>
      </c>
    </row>
    <row r="7552" spans="1:14" ht="15" customHeight="1" x14ac:dyDescent="0.2">
      <c r="A7552" s="31">
        <v>5.9360174420347717E-2</v>
      </c>
      <c r="B7552" s="31"/>
      <c r="C7552" s="2" t="s">
        <v>855</v>
      </c>
      <c r="D7552" s="31">
        <f t="shared" ref="D7552:D7615" si="212" xml:space="preserve"> A7552 * 0.196</f>
        <v>1.1634594186388153E-2</v>
      </c>
      <c r="F7552" s="2" t="s">
        <v>822</v>
      </c>
      <c r="G7552" s="23" t="s">
        <v>902</v>
      </c>
      <c r="H7552" s="2" t="s">
        <v>822</v>
      </c>
      <c r="J7552" s="31">
        <v>66.788002000000006</v>
      </c>
      <c r="K7552" s="31">
        <v>-19.1800003</v>
      </c>
      <c r="L7552" s="31"/>
      <c r="M7552" s="31" t="s">
        <v>854</v>
      </c>
      <c r="N7552" s="6" t="s">
        <v>856</v>
      </c>
    </row>
    <row r="7553" spans="1:14" ht="15" customHeight="1" x14ac:dyDescent="0.2">
      <c r="A7553" s="31">
        <v>5.9290783588496071E-2</v>
      </c>
      <c r="B7553" s="31"/>
      <c r="C7553" s="2" t="s">
        <v>855</v>
      </c>
      <c r="D7553" s="31">
        <f t="shared" si="212"/>
        <v>1.1620993583345231E-2</v>
      </c>
      <c r="F7553" s="2" t="s">
        <v>822</v>
      </c>
      <c r="G7553" s="23" t="s">
        <v>902</v>
      </c>
      <c r="H7553" s="2" t="s">
        <v>822</v>
      </c>
      <c r="J7553" s="31">
        <v>70.127998399999996</v>
      </c>
      <c r="K7553" s="31">
        <v>2.1960001</v>
      </c>
      <c r="L7553" s="31"/>
      <c r="M7553" s="31" t="s">
        <v>854</v>
      </c>
      <c r="N7553" s="6" t="s">
        <v>856</v>
      </c>
    </row>
    <row r="7554" spans="1:14" ht="15" customHeight="1" x14ac:dyDescent="0.2">
      <c r="A7554" s="31">
        <v>5.9277583738459289E-2</v>
      </c>
      <c r="B7554" s="31"/>
      <c r="C7554" s="2" t="s">
        <v>855</v>
      </c>
      <c r="D7554" s="31">
        <f t="shared" si="212"/>
        <v>1.161840641273802E-2</v>
      </c>
      <c r="F7554" s="2" t="s">
        <v>822</v>
      </c>
      <c r="G7554" s="23" t="s">
        <v>902</v>
      </c>
      <c r="H7554" s="2" t="s">
        <v>822</v>
      </c>
      <c r="J7554" s="31">
        <v>70.795997600000007</v>
      </c>
      <c r="K7554" s="31">
        <v>-1.1440001</v>
      </c>
      <c r="L7554" s="31"/>
      <c r="M7554" s="31" t="s">
        <v>854</v>
      </c>
      <c r="N7554" s="6" t="s">
        <v>856</v>
      </c>
    </row>
    <row r="7555" spans="1:14" ht="15" customHeight="1" x14ac:dyDescent="0.2">
      <c r="A7555" s="31">
        <v>5.9201461689332713E-2</v>
      </c>
      <c r="B7555" s="31"/>
      <c r="C7555" s="2" t="s">
        <v>855</v>
      </c>
      <c r="D7555" s="31">
        <f t="shared" si="212"/>
        <v>1.1603486491109212E-2</v>
      </c>
      <c r="F7555" s="2" t="s">
        <v>822</v>
      </c>
      <c r="G7555" s="23" t="s">
        <v>902</v>
      </c>
      <c r="H7555" s="2" t="s">
        <v>822</v>
      </c>
      <c r="J7555" s="31">
        <v>70.127998399999996</v>
      </c>
      <c r="K7555" s="31">
        <v>-18.345199600000001</v>
      </c>
      <c r="L7555" s="31"/>
      <c r="M7555" s="31" t="s">
        <v>854</v>
      </c>
      <c r="N7555" s="6" t="s">
        <v>856</v>
      </c>
    </row>
    <row r="7556" spans="1:14" ht="15" customHeight="1" x14ac:dyDescent="0.2">
      <c r="A7556" s="31">
        <v>5.9152895812743272E-2</v>
      </c>
      <c r="B7556" s="31"/>
      <c r="C7556" s="2" t="s">
        <v>855</v>
      </c>
      <c r="D7556" s="31">
        <f t="shared" si="212"/>
        <v>1.1593967579297681E-2</v>
      </c>
      <c r="F7556" s="2" t="s">
        <v>822</v>
      </c>
      <c r="G7556" s="23" t="s">
        <v>902</v>
      </c>
      <c r="H7556" s="2" t="s">
        <v>822</v>
      </c>
      <c r="J7556" s="31">
        <v>69.389602699999998</v>
      </c>
      <c r="K7556" s="31">
        <v>45.968799599999997</v>
      </c>
      <c r="L7556" s="31"/>
      <c r="M7556" s="31" t="s">
        <v>854</v>
      </c>
      <c r="N7556" s="6" t="s">
        <v>856</v>
      </c>
    </row>
    <row r="7557" spans="1:14" ht="15" customHeight="1" x14ac:dyDescent="0.2">
      <c r="A7557" s="31">
        <v>5.9124187327977022E-2</v>
      </c>
      <c r="B7557" s="31"/>
      <c r="C7557" s="2" t="s">
        <v>855</v>
      </c>
      <c r="D7557" s="31">
        <f t="shared" si="212"/>
        <v>1.1588340716283497E-2</v>
      </c>
      <c r="F7557" s="2" t="s">
        <v>822</v>
      </c>
      <c r="G7557" s="23" t="s">
        <v>902</v>
      </c>
      <c r="H7557" s="2" t="s">
        <v>822</v>
      </c>
      <c r="J7557" s="31">
        <v>64.783996599999995</v>
      </c>
      <c r="K7557" s="31">
        <v>-3.8159999999999998</v>
      </c>
      <c r="L7557" s="31"/>
      <c r="M7557" s="31" t="s">
        <v>854</v>
      </c>
      <c r="N7557" s="6" t="s">
        <v>856</v>
      </c>
    </row>
    <row r="7558" spans="1:14" ht="15" customHeight="1" x14ac:dyDescent="0.2">
      <c r="A7558" s="31">
        <v>5.9117574836611793E-2</v>
      </c>
      <c r="B7558" s="31"/>
      <c r="C7558" s="2" t="s">
        <v>855</v>
      </c>
      <c r="D7558" s="31">
        <f t="shared" si="212"/>
        <v>1.1587044667975912E-2</v>
      </c>
      <c r="F7558" s="2" t="s">
        <v>822</v>
      </c>
      <c r="G7558" s="23" t="s">
        <v>902</v>
      </c>
      <c r="H7558" s="2" t="s">
        <v>822</v>
      </c>
      <c r="J7558" s="31">
        <v>74.1360016</v>
      </c>
      <c r="K7558" s="31">
        <v>8.2080002000000007</v>
      </c>
      <c r="L7558" s="31"/>
      <c r="M7558" s="31" t="s">
        <v>854</v>
      </c>
      <c r="N7558" s="6" t="s">
        <v>856</v>
      </c>
    </row>
    <row r="7559" spans="1:14" ht="15" customHeight="1" x14ac:dyDescent="0.2">
      <c r="A7559" s="31">
        <v>5.9096095712148362E-2</v>
      </c>
      <c r="B7559" s="31"/>
      <c r="C7559" s="2" t="s">
        <v>855</v>
      </c>
      <c r="D7559" s="31">
        <f t="shared" si="212"/>
        <v>1.1582834759581079E-2</v>
      </c>
      <c r="F7559" s="2" t="s">
        <v>822</v>
      </c>
      <c r="G7559" s="23" t="s">
        <v>902</v>
      </c>
      <c r="H7559" s="2" t="s">
        <v>822</v>
      </c>
      <c r="J7559" s="31">
        <v>67.456001299999997</v>
      </c>
      <c r="K7559" s="31">
        <v>-5.8200002</v>
      </c>
      <c r="L7559" s="31"/>
      <c r="M7559" s="31" t="s">
        <v>854</v>
      </c>
      <c r="N7559" s="6" t="s">
        <v>856</v>
      </c>
    </row>
    <row r="7560" spans="1:14" ht="15" customHeight="1" x14ac:dyDescent="0.2">
      <c r="A7560" s="31">
        <v>5.9019625188086372E-2</v>
      </c>
      <c r="B7560" s="31"/>
      <c r="C7560" s="2" t="s">
        <v>855</v>
      </c>
      <c r="D7560" s="31">
        <f t="shared" si="212"/>
        <v>1.1567846536864929E-2</v>
      </c>
      <c r="F7560" s="2" t="s">
        <v>822</v>
      </c>
      <c r="G7560" s="23" t="s">
        <v>902</v>
      </c>
      <c r="H7560" s="2" t="s">
        <v>822</v>
      </c>
      <c r="J7560" s="31">
        <v>74.804000900000005</v>
      </c>
      <c r="K7560" s="31">
        <v>16.2240009</v>
      </c>
      <c r="L7560" s="31"/>
      <c r="M7560" s="31" t="s">
        <v>854</v>
      </c>
      <c r="N7560" s="6" t="s">
        <v>856</v>
      </c>
    </row>
    <row r="7561" spans="1:14" ht="15" customHeight="1" x14ac:dyDescent="0.2">
      <c r="A7561" s="31">
        <v>5.896134823453679E-2</v>
      </c>
      <c r="B7561" s="31"/>
      <c r="C7561" s="2" t="s">
        <v>855</v>
      </c>
      <c r="D7561" s="31">
        <f t="shared" si="212"/>
        <v>1.1556424253969211E-2</v>
      </c>
      <c r="F7561" s="2" t="s">
        <v>822</v>
      </c>
      <c r="G7561" s="23" t="s">
        <v>902</v>
      </c>
      <c r="H7561" s="2" t="s">
        <v>822</v>
      </c>
      <c r="J7561" s="31">
        <v>66.788002000000006</v>
      </c>
      <c r="K7561" s="31">
        <v>-0.47599999999999998</v>
      </c>
      <c r="L7561" s="31"/>
      <c r="M7561" s="31" t="s">
        <v>854</v>
      </c>
      <c r="N7561" s="6" t="s">
        <v>856</v>
      </c>
    </row>
    <row r="7562" spans="1:14" ht="15" customHeight="1" x14ac:dyDescent="0.2">
      <c r="A7562" s="31">
        <v>5.8922178217336141E-2</v>
      </c>
      <c r="B7562" s="31"/>
      <c r="C7562" s="2" t="s">
        <v>855</v>
      </c>
      <c r="D7562" s="31">
        <f t="shared" si="212"/>
        <v>1.1548746930597884E-2</v>
      </c>
      <c r="F7562" s="2" t="s">
        <v>822</v>
      </c>
      <c r="G7562" s="23" t="s">
        <v>902</v>
      </c>
      <c r="H7562" s="2" t="s">
        <v>822</v>
      </c>
      <c r="J7562" s="31">
        <v>66.788002000000006</v>
      </c>
      <c r="K7562" s="31">
        <v>0.192</v>
      </c>
      <c r="L7562" s="31"/>
      <c r="M7562" s="31" t="s">
        <v>854</v>
      </c>
      <c r="N7562" s="6" t="s">
        <v>856</v>
      </c>
    </row>
    <row r="7563" spans="1:14" ht="15" customHeight="1" x14ac:dyDescent="0.2">
      <c r="A7563" s="31">
        <v>5.8906309172539043E-2</v>
      </c>
      <c r="B7563" s="31"/>
      <c r="C7563" s="2" t="s">
        <v>855</v>
      </c>
      <c r="D7563" s="31">
        <f t="shared" si="212"/>
        <v>1.1545636597817653E-2</v>
      </c>
      <c r="F7563" s="2" t="s">
        <v>822</v>
      </c>
      <c r="G7563" s="23" t="s">
        <v>902</v>
      </c>
      <c r="H7563" s="2" t="s">
        <v>822</v>
      </c>
      <c r="J7563" s="31">
        <v>72.800003099999998</v>
      </c>
      <c r="K7563" s="31">
        <v>13.552</v>
      </c>
      <c r="L7563" s="31"/>
      <c r="M7563" s="31" t="s">
        <v>854</v>
      </c>
      <c r="N7563" s="6" t="s">
        <v>856</v>
      </c>
    </row>
    <row r="7564" spans="1:14" ht="15" customHeight="1" x14ac:dyDescent="0.2">
      <c r="A7564" s="31">
        <v>5.8893875000995501E-2</v>
      </c>
      <c r="B7564" s="31"/>
      <c r="C7564" s="2" t="s">
        <v>855</v>
      </c>
      <c r="D7564" s="31">
        <f t="shared" si="212"/>
        <v>1.1543199500195118E-2</v>
      </c>
      <c r="F7564" s="2" t="s">
        <v>822</v>
      </c>
      <c r="G7564" s="23" t="s">
        <v>902</v>
      </c>
      <c r="H7564" s="2" t="s">
        <v>822</v>
      </c>
      <c r="J7564" s="31">
        <v>64.783996599999995</v>
      </c>
      <c r="K7564" s="31">
        <v>-5.1520000000000001</v>
      </c>
      <c r="L7564" s="31"/>
      <c r="M7564" s="31" t="s">
        <v>854</v>
      </c>
      <c r="N7564" s="6" t="s">
        <v>856</v>
      </c>
    </row>
    <row r="7565" spans="1:14" ht="15" customHeight="1" x14ac:dyDescent="0.2">
      <c r="A7565" s="31">
        <v>5.8885497732605242E-2</v>
      </c>
      <c r="B7565" s="31"/>
      <c r="C7565" s="2" t="s">
        <v>855</v>
      </c>
      <c r="D7565" s="31">
        <f t="shared" si="212"/>
        <v>1.1541557555590628E-2</v>
      </c>
      <c r="F7565" s="2" t="s">
        <v>822</v>
      </c>
      <c r="G7565" s="23" t="s">
        <v>902</v>
      </c>
      <c r="H7565" s="2" t="s">
        <v>822</v>
      </c>
      <c r="J7565" s="31">
        <v>68.792396499999995</v>
      </c>
      <c r="K7565" s="31">
        <v>-1.8123800000000001</v>
      </c>
      <c r="L7565" s="31"/>
      <c r="M7565" s="31" t="s">
        <v>854</v>
      </c>
      <c r="N7565" s="6" t="s">
        <v>856</v>
      </c>
    </row>
    <row r="7566" spans="1:14" ht="15" customHeight="1" x14ac:dyDescent="0.2">
      <c r="A7566" s="31">
        <v>5.8878829581783421E-2</v>
      </c>
      <c r="B7566" s="31"/>
      <c r="C7566" s="2" t="s">
        <v>855</v>
      </c>
      <c r="D7566" s="31">
        <f t="shared" si="212"/>
        <v>1.1540250598029551E-2</v>
      </c>
      <c r="F7566" s="2" t="s">
        <v>822</v>
      </c>
      <c r="G7566" s="23" t="s">
        <v>902</v>
      </c>
      <c r="H7566" s="2" t="s">
        <v>822</v>
      </c>
      <c r="J7566" s="31">
        <v>69.459999100000005</v>
      </c>
      <c r="K7566" s="31">
        <v>4.1999997999999996</v>
      </c>
      <c r="L7566" s="31"/>
      <c r="M7566" s="31" t="s">
        <v>854</v>
      </c>
      <c r="N7566" s="6" t="s">
        <v>856</v>
      </c>
    </row>
    <row r="7567" spans="1:14" ht="15" customHeight="1" x14ac:dyDescent="0.2">
      <c r="A7567" s="31">
        <v>5.8864471750138231E-2</v>
      </c>
      <c r="B7567" s="31"/>
      <c r="C7567" s="2" t="s">
        <v>855</v>
      </c>
      <c r="D7567" s="31">
        <f t="shared" si="212"/>
        <v>1.1537436463027094E-2</v>
      </c>
      <c r="F7567" s="2" t="s">
        <v>822</v>
      </c>
      <c r="G7567" s="23" t="s">
        <v>902</v>
      </c>
      <c r="H7567" s="2" t="s">
        <v>822</v>
      </c>
      <c r="J7567" s="31">
        <v>70.127998399999996</v>
      </c>
      <c r="K7567" s="31">
        <v>-4.4840001999999997</v>
      </c>
      <c r="L7567" s="31"/>
      <c r="M7567" s="31" t="s">
        <v>854</v>
      </c>
      <c r="N7567" s="6" t="s">
        <v>856</v>
      </c>
    </row>
    <row r="7568" spans="1:14" ht="15" customHeight="1" x14ac:dyDescent="0.2">
      <c r="A7568" s="31">
        <v>5.8853005055888023E-2</v>
      </c>
      <c r="B7568" s="31"/>
      <c r="C7568" s="2" t="s">
        <v>855</v>
      </c>
      <c r="D7568" s="31">
        <f t="shared" si="212"/>
        <v>1.1535188990954053E-2</v>
      </c>
      <c r="F7568" s="2" t="s">
        <v>822</v>
      </c>
      <c r="G7568" s="23" t="s">
        <v>902</v>
      </c>
      <c r="H7568" s="2" t="s">
        <v>822</v>
      </c>
      <c r="J7568" s="31">
        <v>66.168197599999999</v>
      </c>
      <c r="K7568" s="31">
        <v>-25.8689003</v>
      </c>
      <c r="L7568" s="31"/>
      <c r="M7568" s="31" t="s">
        <v>854</v>
      </c>
      <c r="N7568" s="6" t="s">
        <v>856</v>
      </c>
    </row>
    <row r="7569" spans="1:14" ht="15" customHeight="1" x14ac:dyDescent="0.2">
      <c r="A7569" s="31">
        <v>5.8832322445042239E-2</v>
      </c>
      <c r="B7569" s="31"/>
      <c r="C7569" s="2" t="s">
        <v>855</v>
      </c>
      <c r="D7569" s="31">
        <f t="shared" si="212"/>
        <v>1.1531135199228279E-2</v>
      </c>
      <c r="F7569" s="2" t="s">
        <v>822</v>
      </c>
      <c r="G7569" s="23" t="s">
        <v>902</v>
      </c>
      <c r="H7569" s="2" t="s">
        <v>822</v>
      </c>
      <c r="J7569" s="31">
        <v>74.804000900000005</v>
      </c>
      <c r="K7569" s="31">
        <v>14.887999499999999</v>
      </c>
      <c r="L7569" s="31"/>
      <c r="M7569" s="31" t="s">
        <v>854</v>
      </c>
      <c r="N7569" s="6" t="s">
        <v>856</v>
      </c>
    </row>
    <row r="7570" spans="1:14" ht="15" customHeight="1" x14ac:dyDescent="0.2">
      <c r="A7570" s="31">
        <v>5.8798076220171941E-2</v>
      </c>
      <c r="B7570" s="31"/>
      <c r="C7570" s="2" t="s">
        <v>855</v>
      </c>
      <c r="D7570" s="31">
        <f t="shared" si="212"/>
        <v>1.15244229391537E-2</v>
      </c>
      <c r="F7570" s="2" t="s">
        <v>822</v>
      </c>
      <c r="G7570" s="23" t="s">
        <v>902</v>
      </c>
      <c r="H7570" s="2" t="s">
        <v>822</v>
      </c>
      <c r="J7570" s="31">
        <v>68.124000499999994</v>
      </c>
      <c r="K7570" s="31">
        <v>-15.8400002</v>
      </c>
      <c r="L7570" s="31"/>
      <c r="M7570" s="31" t="s">
        <v>854</v>
      </c>
      <c r="N7570" s="6" t="s">
        <v>856</v>
      </c>
    </row>
    <row r="7571" spans="1:14" ht="15" customHeight="1" x14ac:dyDescent="0.2">
      <c r="A7571" s="31">
        <v>5.8781595329876687E-2</v>
      </c>
      <c r="B7571" s="31"/>
      <c r="C7571" s="2" t="s">
        <v>855</v>
      </c>
      <c r="D7571" s="31">
        <f t="shared" si="212"/>
        <v>1.1521192684655832E-2</v>
      </c>
      <c r="F7571" s="2" t="s">
        <v>822</v>
      </c>
      <c r="G7571" s="23" t="s">
        <v>902</v>
      </c>
      <c r="H7571" s="2" t="s">
        <v>822</v>
      </c>
      <c r="J7571" s="31">
        <v>66.264999399999994</v>
      </c>
      <c r="K7571" s="31">
        <v>-19.847000099999999</v>
      </c>
      <c r="L7571" s="31"/>
      <c r="M7571" s="31" t="s">
        <v>854</v>
      </c>
      <c r="N7571" s="6" t="s">
        <v>856</v>
      </c>
    </row>
    <row r="7572" spans="1:14" ht="15" customHeight="1" x14ac:dyDescent="0.2">
      <c r="A7572" s="31">
        <v>5.8690259124544571E-2</v>
      </c>
      <c r="B7572" s="31"/>
      <c r="C7572" s="2" t="s">
        <v>855</v>
      </c>
      <c r="D7572" s="31">
        <f t="shared" si="212"/>
        <v>1.1503290788410737E-2</v>
      </c>
      <c r="F7572" s="2" t="s">
        <v>822</v>
      </c>
      <c r="G7572" s="23" t="s">
        <v>902</v>
      </c>
      <c r="H7572" s="2" t="s">
        <v>822</v>
      </c>
      <c r="J7572" s="31">
        <v>72.132003800000007</v>
      </c>
      <c r="K7572" s="31">
        <v>4.1999997999999996</v>
      </c>
      <c r="L7572" s="31"/>
      <c r="M7572" s="31" t="s">
        <v>854</v>
      </c>
      <c r="N7572" s="6" t="s">
        <v>856</v>
      </c>
    </row>
    <row r="7573" spans="1:14" ht="15" customHeight="1" x14ac:dyDescent="0.2">
      <c r="A7573" s="31">
        <v>5.8542997217622947E-2</v>
      </c>
      <c r="B7573" s="31"/>
      <c r="C7573" s="2" t="s">
        <v>855</v>
      </c>
      <c r="D7573" s="31">
        <f t="shared" si="212"/>
        <v>1.1474427454654098E-2</v>
      </c>
      <c r="F7573" s="2" t="s">
        <v>822</v>
      </c>
      <c r="G7573" s="23" t="s">
        <v>902</v>
      </c>
      <c r="H7573" s="2" t="s">
        <v>822</v>
      </c>
      <c r="J7573" s="31">
        <v>66.565299999999993</v>
      </c>
      <c r="K7573" s="31">
        <v>-5.5531502000000001</v>
      </c>
      <c r="L7573" s="31"/>
      <c r="M7573" s="31" t="s">
        <v>854</v>
      </c>
      <c r="N7573" s="6" t="s">
        <v>856</v>
      </c>
    </row>
    <row r="7574" spans="1:14" ht="15" customHeight="1" x14ac:dyDescent="0.2">
      <c r="A7574" s="31">
        <v>5.8498565310155827E-2</v>
      </c>
      <c r="B7574" s="31"/>
      <c r="C7574" s="2" t="s">
        <v>855</v>
      </c>
      <c r="D7574" s="31">
        <f t="shared" si="212"/>
        <v>1.1465718800790543E-2</v>
      </c>
      <c r="F7574" s="2" t="s">
        <v>822</v>
      </c>
      <c r="G7574" s="23" t="s">
        <v>902</v>
      </c>
      <c r="H7574" s="2" t="s">
        <v>822</v>
      </c>
      <c r="J7574" s="31">
        <v>73.468002299999995</v>
      </c>
      <c r="K7574" s="31">
        <v>-5.8200002</v>
      </c>
      <c r="L7574" s="31"/>
      <c r="M7574" s="31" t="s">
        <v>854</v>
      </c>
      <c r="N7574" s="6" t="s">
        <v>856</v>
      </c>
    </row>
    <row r="7575" spans="1:14" ht="15" customHeight="1" x14ac:dyDescent="0.2">
      <c r="A7575" s="31">
        <v>5.8335267447519483E-2</v>
      </c>
      <c r="B7575" s="31"/>
      <c r="C7575" s="2" t="s">
        <v>855</v>
      </c>
      <c r="D7575" s="31">
        <f t="shared" si="212"/>
        <v>1.143371241971382E-2</v>
      </c>
      <c r="F7575" s="2" t="s">
        <v>822</v>
      </c>
      <c r="G7575" s="23" t="s">
        <v>902</v>
      </c>
      <c r="H7575" s="2" t="s">
        <v>822</v>
      </c>
      <c r="J7575" s="31">
        <v>65.843299900000005</v>
      </c>
      <c r="K7575" s="31">
        <v>-21.079700500000001</v>
      </c>
      <c r="L7575" s="31"/>
      <c r="M7575" s="31" t="s">
        <v>854</v>
      </c>
      <c r="N7575" s="6" t="s">
        <v>856</v>
      </c>
    </row>
    <row r="7576" spans="1:14" ht="15" customHeight="1" x14ac:dyDescent="0.2">
      <c r="A7576" s="31">
        <v>5.833366775660339E-2</v>
      </c>
      <c r="B7576" s="31"/>
      <c r="C7576" s="2" t="s">
        <v>855</v>
      </c>
      <c r="D7576" s="31">
        <f t="shared" si="212"/>
        <v>1.1433398880294265E-2</v>
      </c>
      <c r="F7576" s="2" t="s">
        <v>822</v>
      </c>
      <c r="G7576" s="23" t="s">
        <v>902</v>
      </c>
      <c r="H7576" s="2" t="s">
        <v>822</v>
      </c>
      <c r="J7576" s="31">
        <v>69.459999100000005</v>
      </c>
      <c r="K7576" s="31">
        <v>-4.8805199000000004</v>
      </c>
      <c r="L7576" s="31"/>
      <c r="M7576" s="31" t="s">
        <v>854</v>
      </c>
      <c r="N7576" s="6" t="s">
        <v>856</v>
      </c>
    </row>
    <row r="7577" spans="1:14" ht="15" customHeight="1" x14ac:dyDescent="0.2">
      <c r="A7577" s="31">
        <v>5.8314378293790332E-2</v>
      </c>
      <c r="B7577" s="31"/>
      <c r="C7577" s="2" t="s">
        <v>855</v>
      </c>
      <c r="D7577" s="31">
        <f t="shared" si="212"/>
        <v>1.1429618145582906E-2</v>
      </c>
      <c r="F7577" s="2" t="s">
        <v>822</v>
      </c>
      <c r="G7577" s="23" t="s">
        <v>902</v>
      </c>
      <c r="H7577" s="2" t="s">
        <v>822</v>
      </c>
      <c r="J7577" s="31">
        <v>67.456001299999997</v>
      </c>
      <c r="K7577" s="31">
        <v>-13.8360004</v>
      </c>
      <c r="L7577" s="31"/>
      <c r="M7577" s="31" t="s">
        <v>854</v>
      </c>
      <c r="N7577" s="6" t="s">
        <v>856</v>
      </c>
    </row>
    <row r="7578" spans="1:14" ht="15" customHeight="1" x14ac:dyDescent="0.2">
      <c r="A7578" s="31">
        <v>5.8303485445532939E-2</v>
      </c>
      <c r="B7578" s="31"/>
      <c r="C7578" s="2" t="s">
        <v>855</v>
      </c>
      <c r="D7578" s="31">
        <f t="shared" si="212"/>
        <v>1.1427483147324457E-2</v>
      </c>
      <c r="F7578" s="2" t="s">
        <v>822</v>
      </c>
      <c r="G7578" s="23" t="s">
        <v>902</v>
      </c>
      <c r="H7578" s="2" t="s">
        <v>822</v>
      </c>
      <c r="J7578" s="31">
        <v>72.800003099999998</v>
      </c>
      <c r="K7578" s="31">
        <v>18.228000600000001</v>
      </c>
      <c r="L7578" s="31"/>
      <c r="M7578" s="31" t="s">
        <v>854</v>
      </c>
      <c r="N7578" s="6" t="s">
        <v>856</v>
      </c>
    </row>
    <row r="7579" spans="1:14" ht="15" customHeight="1" x14ac:dyDescent="0.2">
      <c r="A7579" s="31">
        <v>5.8198562699130763E-2</v>
      </c>
      <c r="B7579" s="31"/>
      <c r="C7579" s="2" t="s">
        <v>855</v>
      </c>
      <c r="D7579" s="31">
        <f t="shared" si="212"/>
        <v>1.140691828902963E-2</v>
      </c>
      <c r="F7579" s="2" t="s">
        <v>822</v>
      </c>
      <c r="G7579" s="23" t="s">
        <v>902</v>
      </c>
      <c r="H7579" s="2" t="s">
        <v>822</v>
      </c>
      <c r="J7579" s="31">
        <v>71.083000200000001</v>
      </c>
      <c r="K7579" s="31">
        <v>33.097801199999999</v>
      </c>
      <c r="L7579" s="31"/>
      <c r="M7579" s="31" t="s">
        <v>854</v>
      </c>
      <c r="N7579" s="6" t="s">
        <v>856</v>
      </c>
    </row>
    <row r="7580" spans="1:14" ht="15" customHeight="1" x14ac:dyDescent="0.2">
      <c r="A7580" s="31">
        <v>5.8192844131965113E-2</v>
      </c>
      <c r="B7580" s="31"/>
      <c r="C7580" s="2" t="s">
        <v>855</v>
      </c>
      <c r="D7580" s="31">
        <f t="shared" si="212"/>
        <v>1.1405797449865163E-2</v>
      </c>
      <c r="F7580" s="2" t="s">
        <v>822</v>
      </c>
      <c r="G7580" s="23" t="s">
        <v>902</v>
      </c>
      <c r="H7580" s="2" t="s">
        <v>822</v>
      </c>
      <c r="J7580" s="31">
        <v>72.800003099999998</v>
      </c>
      <c r="K7580" s="31">
        <v>16.2240009</v>
      </c>
      <c r="L7580" s="31"/>
      <c r="M7580" s="31" t="s">
        <v>854</v>
      </c>
      <c r="N7580" s="6" t="s">
        <v>856</v>
      </c>
    </row>
    <row r="7581" spans="1:14" ht="15" customHeight="1" x14ac:dyDescent="0.2">
      <c r="A7581" s="31">
        <v>5.8180009603808459E-2</v>
      </c>
      <c r="B7581" s="31"/>
      <c r="C7581" s="2" t="s">
        <v>855</v>
      </c>
      <c r="D7581" s="31">
        <f t="shared" si="212"/>
        <v>1.1403281882346459E-2</v>
      </c>
      <c r="F7581" s="2" t="s">
        <v>822</v>
      </c>
      <c r="G7581" s="23" t="s">
        <v>902</v>
      </c>
      <c r="H7581" s="2" t="s">
        <v>822</v>
      </c>
      <c r="J7581" s="31">
        <v>72.800003099999998</v>
      </c>
      <c r="K7581" s="31">
        <v>-8.4919995999999998</v>
      </c>
      <c r="L7581" s="31"/>
      <c r="M7581" s="31" t="s">
        <v>854</v>
      </c>
      <c r="N7581" s="6" t="s">
        <v>856</v>
      </c>
    </row>
    <row r="7582" spans="1:14" ht="15" customHeight="1" x14ac:dyDescent="0.2">
      <c r="A7582" s="31">
        <v>5.8106676079924931E-2</v>
      </c>
      <c r="B7582" s="31"/>
      <c r="C7582" s="2" t="s">
        <v>855</v>
      </c>
      <c r="D7582" s="31">
        <f t="shared" si="212"/>
        <v>1.1388908511665286E-2</v>
      </c>
      <c r="F7582" s="2" t="s">
        <v>822</v>
      </c>
      <c r="G7582" s="23" t="s">
        <v>902</v>
      </c>
      <c r="H7582" s="2" t="s">
        <v>822</v>
      </c>
      <c r="J7582" s="31">
        <v>71.463996899999998</v>
      </c>
      <c r="K7582" s="31">
        <v>-5.8200002</v>
      </c>
      <c r="L7582" s="31"/>
      <c r="M7582" s="31" t="s">
        <v>854</v>
      </c>
      <c r="N7582" s="6" t="s">
        <v>856</v>
      </c>
    </row>
    <row r="7583" spans="1:14" ht="15" customHeight="1" x14ac:dyDescent="0.2">
      <c r="A7583" s="31">
        <v>5.8101677012629069E-2</v>
      </c>
      <c r="B7583" s="31"/>
      <c r="C7583" s="2" t="s">
        <v>855</v>
      </c>
      <c r="D7583" s="31">
        <f t="shared" si="212"/>
        <v>1.1387928694475299E-2</v>
      </c>
      <c r="F7583" s="2" t="s">
        <v>822</v>
      </c>
      <c r="G7583" s="23" t="s">
        <v>902</v>
      </c>
      <c r="H7583" s="2" t="s">
        <v>822</v>
      </c>
      <c r="J7583" s="31">
        <v>67.456001299999997</v>
      </c>
      <c r="K7583" s="31">
        <v>-1.8120000000000001</v>
      </c>
      <c r="L7583" s="31"/>
      <c r="M7583" s="31" t="s">
        <v>854</v>
      </c>
      <c r="N7583" s="6" t="s">
        <v>856</v>
      </c>
    </row>
    <row r="7584" spans="1:14" ht="15" customHeight="1" x14ac:dyDescent="0.2">
      <c r="A7584" s="31">
        <v>5.809409352237023E-2</v>
      </c>
      <c r="B7584" s="31"/>
      <c r="C7584" s="2" t="s">
        <v>855</v>
      </c>
      <c r="D7584" s="31">
        <f t="shared" si="212"/>
        <v>1.1386442330384565E-2</v>
      </c>
      <c r="F7584" s="2" t="s">
        <v>822</v>
      </c>
      <c r="G7584" s="23" t="s">
        <v>902</v>
      </c>
      <c r="H7584" s="2" t="s">
        <v>822</v>
      </c>
      <c r="J7584" s="31">
        <v>66.306899999999999</v>
      </c>
      <c r="K7584" s="31">
        <v>-19.201000199999999</v>
      </c>
      <c r="L7584" s="31"/>
      <c r="M7584" s="31" t="s">
        <v>854</v>
      </c>
      <c r="N7584" s="6" t="s">
        <v>856</v>
      </c>
    </row>
    <row r="7585" spans="1:14" ht="15" customHeight="1" x14ac:dyDescent="0.2">
      <c r="A7585" s="31">
        <v>5.8033785177237132E-2</v>
      </c>
      <c r="B7585" s="31"/>
      <c r="C7585" s="2" t="s">
        <v>855</v>
      </c>
      <c r="D7585" s="31">
        <f t="shared" si="212"/>
        <v>1.1374621894738479E-2</v>
      </c>
      <c r="F7585" s="2" t="s">
        <v>822</v>
      </c>
      <c r="G7585" s="23" t="s">
        <v>902</v>
      </c>
      <c r="H7585" s="2" t="s">
        <v>822</v>
      </c>
      <c r="J7585" s="31">
        <v>71.463996899999998</v>
      </c>
      <c r="K7585" s="31">
        <v>-1.1440001</v>
      </c>
      <c r="L7585" s="31"/>
      <c r="M7585" s="31" t="s">
        <v>854</v>
      </c>
      <c r="N7585" s="6" t="s">
        <v>856</v>
      </c>
    </row>
    <row r="7586" spans="1:14" ht="15" customHeight="1" x14ac:dyDescent="0.2">
      <c r="A7586" s="31">
        <v>5.8012964548302452E-2</v>
      </c>
      <c r="B7586" s="31"/>
      <c r="C7586" s="2" t="s">
        <v>855</v>
      </c>
      <c r="D7586" s="31">
        <f t="shared" si="212"/>
        <v>1.1370541051467281E-2</v>
      </c>
      <c r="F7586" s="2" t="s">
        <v>822</v>
      </c>
      <c r="G7586" s="23" t="s">
        <v>902</v>
      </c>
      <c r="H7586" s="2" t="s">
        <v>822</v>
      </c>
      <c r="J7586" s="31">
        <v>65.958396899999997</v>
      </c>
      <c r="K7586" s="31">
        <v>-19.687999699999999</v>
      </c>
      <c r="L7586" s="31"/>
      <c r="M7586" s="31" t="s">
        <v>854</v>
      </c>
      <c r="N7586" s="6" t="s">
        <v>856</v>
      </c>
    </row>
    <row r="7587" spans="1:14" ht="15" customHeight="1" x14ac:dyDescent="0.2">
      <c r="A7587" s="31">
        <v>5.7977046450170253E-2</v>
      </c>
      <c r="B7587" s="31"/>
      <c r="C7587" s="2" t="s">
        <v>855</v>
      </c>
      <c r="D7587" s="31">
        <f t="shared" si="212"/>
        <v>1.136350110423337E-2</v>
      </c>
      <c r="F7587" s="2" t="s">
        <v>822</v>
      </c>
      <c r="G7587" s="23" t="s">
        <v>902</v>
      </c>
      <c r="H7587" s="2" t="s">
        <v>822</v>
      </c>
      <c r="J7587" s="31">
        <v>72.800003099999998</v>
      </c>
      <c r="K7587" s="31">
        <v>-7.8239998999999996</v>
      </c>
      <c r="L7587" s="31"/>
      <c r="M7587" s="31" t="s">
        <v>854</v>
      </c>
      <c r="N7587" s="6" t="s">
        <v>856</v>
      </c>
    </row>
    <row r="7588" spans="1:14" ht="15" customHeight="1" x14ac:dyDescent="0.2">
      <c r="A7588" s="31">
        <v>5.7888143044876612E-2</v>
      </c>
      <c r="B7588" s="31"/>
      <c r="C7588" s="2" t="s">
        <v>855</v>
      </c>
      <c r="D7588" s="31">
        <f t="shared" si="212"/>
        <v>1.1346076036795816E-2</v>
      </c>
      <c r="F7588" s="2" t="s">
        <v>822</v>
      </c>
      <c r="G7588" s="23" t="s">
        <v>902</v>
      </c>
      <c r="H7588" s="2" t="s">
        <v>822</v>
      </c>
      <c r="J7588" s="31">
        <v>69.459999100000005</v>
      </c>
      <c r="K7588" s="31">
        <v>-7.1560001</v>
      </c>
      <c r="L7588" s="31"/>
      <c r="M7588" s="31" t="s">
        <v>854</v>
      </c>
      <c r="N7588" s="6" t="s">
        <v>856</v>
      </c>
    </row>
    <row r="7589" spans="1:14" ht="15" customHeight="1" x14ac:dyDescent="0.2">
      <c r="A7589" s="31">
        <v>5.7883821432018492E-2</v>
      </c>
      <c r="B7589" s="31"/>
      <c r="C7589" s="2" t="s">
        <v>855</v>
      </c>
      <c r="D7589" s="31">
        <f t="shared" si="212"/>
        <v>1.1345229000675625E-2</v>
      </c>
      <c r="F7589" s="2" t="s">
        <v>822</v>
      </c>
      <c r="G7589" s="23" t="s">
        <v>902</v>
      </c>
      <c r="H7589" s="2" t="s">
        <v>822</v>
      </c>
      <c r="J7589" s="31">
        <v>71.141601600000001</v>
      </c>
      <c r="K7589" s="31">
        <v>-16.5743008</v>
      </c>
      <c r="L7589" s="31"/>
      <c r="M7589" s="31" t="s">
        <v>854</v>
      </c>
      <c r="N7589" s="6" t="s">
        <v>856</v>
      </c>
    </row>
    <row r="7590" spans="1:14" ht="15" customHeight="1" x14ac:dyDescent="0.2">
      <c r="A7590" s="31">
        <v>5.7823858742068641E-2</v>
      </c>
      <c r="B7590" s="31"/>
      <c r="C7590" s="2" t="s">
        <v>855</v>
      </c>
      <c r="D7590" s="31">
        <f t="shared" si="212"/>
        <v>1.1333476313445454E-2</v>
      </c>
      <c r="F7590" s="2" t="s">
        <v>822</v>
      </c>
      <c r="G7590" s="23" t="s">
        <v>902</v>
      </c>
      <c r="H7590" s="2" t="s">
        <v>822</v>
      </c>
      <c r="J7590" s="31">
        <v>64.783996599999995</v>
      </c>
      <c r="K7590" s="31">
        <v>-7.1560001</v>
      </c>
      <c r="L7590" s="31"/>
      <c r="M7590" s="31" t="s">
        <v>854</v>
      </c>
      <c r="N7590" s="6" t="s">
        <v>856</v>
      </c>
    </row>
    <row r="7591" spans="1:14" ht="15" customHeight="1" x14ac:dyDescent="0.2">
      <c r="A7591" s="31">
        <v>5.7796594850133061E-2</v>
      </c>
      <c r="B7591" s="31"/>
      <c r="C7591" s="2" t="s">
        <v>855</v>
      </c>
      <c r="D7591" s="31">
        <f t="shared" si="212"/>
        <v>1.132813259062608E-2</v>
      </c>
      <c r="F7591" s="2" t="s">
        <v>822</v>
      </c>
      <c r="G7591" s="23" t="s">
        <v>902</v>
      </c>
      <c r="H7591" s="2" t="s">
        <v>822</v>
      </c>
      <c r="J7591" s="31">
        <v>71.463996899999998</v>
      </c>
      <c r="K7591" s="31">
        <v>-9.1599997999999996</v>
      </c>
      <c r="L7591" s="31"/>
      <c r="M7591" s="31" t="s">
        <v>854</v>
      </c>
      <c r="N7591" s="6" t="s">
        <v>856</v>
      </c>
    </row>
    <row r="7592" spans="1:14" ht="15" customHeight="1" x14ac:dyDescent="0.2">
      <c r="A7592" s="31">
        <v>5.7713251868799588E-2</v>
      </c>
      <c r="B7592" s="31"/>
      <c r="C7592" s="2" t="s">
        <v>855</v>
      </c>
      <c r="D7592" s="31">
        <f t="shared" si="212"/>
        <v>1.131179736628472E-2</v>
      </c>
      <c r="F7592" s="2" t="s">
        <v>822</v>
      </c>
      <c r="G7592" s="23" t="s">
        <v>902</v>
      </c>
      <c r="H7592" s="2" t="s">
        <v>822</v>
      </c>
      <c r="J7592" s="31">
        <v>72.529998800000001</v>
      </c>
      <c r="K7592" s="31">
        <v>-12.425299600000001</v>
      </c>
      <c r="L7592" s="31"/>
      <c r="M7592" s="31" t="s">
        <v>854</v>
      </c>
      <c r="N7592" s="6" t="s">
        <v>856</v>
      </c>
    </row>
    <row r="7593" spans="1:14" ht="15" customHeight="1" x14ac:dyDescent="0.2">
      <c r="A7593" s="31">
        <v>5.7656883084294952E-2</v>
      </c>
      <c r="B7593" s="31"/>
      <c r="C7593" s="2" t="s">
        <v>855</v>
      </c>
      <c r="D7593" s="31">
        <f t="shared" si="212"/>
        <v>1.130074908452181E-2</v>
      </c>
      <c r="F7593" s="2" t="s">
        <v>822</v>
      </c>
      <c r="G7593" s="23" t="s">
        <v>902</v>
      </c>
      <c r="H7593" s="2" t="s">
        <v>822</v>
      </c>
      <c r="J7593" s="31">
        <v>64.783996599999995</v>
      </c>
      <c r="K7593" s="31">
        <v>0.192</v>
      </c>
      <c r="L7593" s="31"/>
      <c r="M7593" s="31" t="s">
        <v>854</v>
      </c>
      <c r="N7593" s="6" t="s">
        <v>856</v>
      </c>
    </row>
    <row r="7594" spans="1:14" ht="15" customHeight="1" x14ac:dyDescent="0.2">
      <c r="A7594" s="31">
        <v>5.7605586748633121E-2</v>
      </c>
      <c r="B7594" s="31"/>
      <c r="C7594" s="2" t="s">
        <v>855</v>
      </c>
      <c r="D7594" s="31">
        <f t="shared" si="212"/>
        <v>1.1290695002732092E-2</v>
      </c>
      <c r="F7594" s="2" t="s">
        <v>822</v>
      </c>
      <c r="G7594" s="23" t="s">
        <v>902</v>
      </c>
      <c r="H7594" s="2" t="s">
        <v>822</v>
      </c>
      <c r="J7594" s="31">
        <v>70.127998399999996</v>
      </c>
      <c r="K7594" s="31">
        <v>-5.8200002</v>
      </c>
      <c r="L7594" s="31"/>
      <c r="M7594" s="31" t="s">
        <v>854</v>
      </c>
      <c r="N7594" s="6" t="s">
        <v>856</v>
      </c>
    </row>
    <row r="7595" spans="1:14" ht="15" customHeight="1" x14ac:dyDescent="0.2">
      <c r="A7595" s="31">
        <v>5.7467325790025413E-2</v>
      </c>
      <c r="B7595" s="31"/>
      <c r="C7595" s="2" t="s">
        <v>855</v>
      </c>
      <c r="D7595" s="31">
        <f t="shared" si="212"/>
        <v>1.1263595854844981E-2</v>
      </c>
      <c r="F7595" s="2" t="s">
        <v>822</v>
      </c>
      <c r="G7595" s="23" t="s">
        <v>902</v>
      </c>
      <c r="H7595" s="2" t="s">
        <v>822</v>
      </c>
      <c r="J7595" s="31">
        <v>72.111801099999994</v>
      </c>
      <c r="K7595" s="31">
        <v>-13.1567001</v>
      </c>
      <c r="L7595" s="31"/>
      <c r="M7595" s="31" t="s">
        <v>854</v>
      </c>
      <c r="N7595" s="6" t="s">
        <v>856</v>
      </c>
    </row>
    <row r="7596" spans="1:14" ht="15" customHeight="1" x14ac:dyDescent="0.2">
      <c r="A7596" s="31">
        <v>5.7457233830821818E-2</v>
      </c>
      <c r="B7596" s="31"/>
      <c r="C7596" s="2" t="s">
        <v>855</v>
      </c>
      <c r="D7596" s="31">
        <f t="shared" si="212"/>
        <v>1.1261617830841076E-2</v>
      </c>
      <c r="F7596" s="2" t="s">
        <v>822</v>
      </c>
      <c r="G7596" s="23" t="s">
        <v>902</v>
      </c>
      <c r="H7596" s="2" t="s">
        <v>822</v>
      </c>
      <c r="J7596" s="31">
        <v>70.161300699999998</v>
      </c>
      <c r="K7596" s="31">
        <v>49.013801600000001</v>
      </c>
      <c r="L7596" s="31"/>
      <c r="M7596" s="31" t="s">
        <v>854</v>
      </c>
      <c r="N7596" s="6" t="s">
        <v>856</v>
      </c>
    </row>
    <row r="7597" spans="1:14" ht="15" customHeight="1" x14ac:dyDescent="0.2">
      <c r="A7597" s="31">
        <v>5.7440982301253031E-2</v>
      </c>
      <c r="B7597" s="31"/>
      <c r="C7597" s="2" t="s">
        <v>855</v>
      </c>
      <c r="D7597" s="31">
        <f t="shared" si="212"/>
        <v>1.1258432531045595E-2</v>
      </c>
      <c r="F7597" s="2" t="s">
        <v>822</v>
      </c>
      <c r="G7597" s="23" t="s">
        <v>902</v>
      </c>
      <c r="H7597" s="2" t="s">
        <v>822</v>
      </c>
      <c r="J7597" s="31">
        <v>64.783996599999995</v>
      </c>
      <c r="K7597" s="31">
        <v>-11.1639996</v>
      </c>
      <c r="L7597" s="31"/>
      <c r="M7597" s="31" t="s">
        <v>854</v>
      </c>
      <c r="N7597" s="6" t="s">
        <v>856</v>
      </c>
    </row>
    <row r="7598" spans="1:14" ht="15" customHeight="1" x14ac:dyDescent="0.2">
      <c r="A7598" s="31">
        <v>5.740920679850664E-2</v>
      </c>
      <c r="B7598" s="31"/>
      <c r="C7598" s="2" t="s">
        <v>855</v>
      </c>
      <c r="D7598" s="31">
        <f t="shared" si="212"/>
        <v>1.1252204532507302E-2</v>
      </c>
      <c r="F7598" s="2" t="s">
        <v>822</v>
      </c>
      <c r="G7598" s="23" t="s">
        <v>902</v>
      </c>
      <c r="H7598" s="2" t="s">
        <v>822</v>
      </c>
      <c r="J7598" s="31">
        <v>71.463996899999998</v>
      </c>
      <c r="K7598" s="31">
        <v>-12.5</v>
      </c>
      <c r="L7598" s="31"/>
      <c r="M7598" s="31" t="s">
        <v>854</v>
      </c>
      <c r="N7598" s="6" t="s">
        <v>856</v>
      </c>
    </row>
    <row r="7599" spans="1:14" ht="15" customHeight="1" x14ac:dyDescent="0.2">
      <c r="A7599" s="31">
        <v>5.732076809064604E-2</v>
      </c>
      <c r="B7599" s="31"/>
      <c r="C7599" s="2" t="s">
        <v>855</v>
      </c>
      <c r="D7599" s="31">
        <f t="shared" si="212"/>
        <v>1.1234870545766624E-2</v>
      </c>
      <c r="F7599" s="2" t="s">
        <v>822</v>
      </c>
      <c r="G7599" s="23" t="s">
        <v>902</v>
      </c>
      <c r="H7599" s="2" t="s">
        <v>822</v>
      </c>
      <c r="J7599" s="31">
        <v>67.456001299999997</v>
      </c>
      <c r="K7599" s="31">
        <v>-7.8239998999999996</v>
      </c>
      <c r="L7599" s="31"/>
      <c r="M7599" s="31" t="s">
        <v>854</v>
      </c>
      <c r="N7599" s="6" t="s">
        <v>856</v>
      </c>
    </row>
    <row r="7600" spans="1:14" ht="15" customHeight="1" x14ac:dyDescent="0.2">
      <c r="A7600" s="31">
        <v>5.7307500195686478E-2</v>
      </c>
      <c r="B7600" s="31"/>
      <c r="C7600" s="2" t="s">
        <v>855</v>
      </c>
      <c r="D7600" s="31">
        <f t="shared" si="212"/>
        <v>1.1232270038354549E-2</v>
      </c>
      <c r="F7600" s="2" t="s">
        <v>822</v>
      </c>
      <c r="G7600" s="23" t="s">
        <v>902</v>
      </c>
      <c r="H7600" s="2" t="s">
        <v>822</v>
      </c>
      <c r="J7600" s="31">
        <v>74.1360016</v>
      </c>
      <c r="K7600" s="31">
        <v>4.1999997999999996</v>
      </c>
      <c r="L7600" s="31"/>
      <c r="M7600" s="31" t="s">
        <v>854</v>
      </c>
      <c r="N7600" s="6" t="s">
        <v>856</v>
      </c>
    </row>
    <row r="7601" spans="1:14" ht="15" customHeight="1" x14ac:dyDescent="0.2">
      <c r="A7601" s="31">
        <v>5.7185180177986808E-2</v>
      </c>
      <c r="B7601" s="31"/>
      <c r="C7601" s="2" t="s">
        <v>855</v>
      </c>
      <c r="D7601" s="31">
        <f t="shared" si="212"/>
        <v>1.1208295314885415E-2</v>
      </c>
      <c r="F7601" s="2" t="s">
        <v>822</v>
      </c>
      <c r="G7601" s="23" t="s">
        <v>902</v>
      </c>
      <c r="H7601" s="2" t="s">
        <v>822</v>
      </c>
      <c r="J7601" s="31">
        <v>66.120002700000001</v>
      </c>
      <c r="K7601" s="31">
        <v>-10.4960003</v>
      </c>
      <c r="L7601" s="31"/>
      <c r="M7601" s="31" t="s">
        <v>854</v>
      </c>
      <c r="N7601" s="6" t="s">
        <v>856</v>
      </c>
    </row>
    <row r="7602" spans="1:14" ht="15" customHeight="1" x14ac:dyDescent="0.2">
      <c r="A7602" s="31">
        <v>5.7136500581522427E-2</v>
      </c>
      <c r="B7602" s="31"/>
      <c r="C7602" s="2" t="s">
        <v>855</v>
      </c>
      <c r="D7602" s="31">
        <f t="shared" si="212"/>
        <v>1.1198754113978396E-2</v>
      </c>
      <c r="F7602" s="2" t="s">
        <v>822</v>
      </c>
      <c r="G7602" s="23" t="s">
        <v>902</v>
      </c>
      <c r="H7602" s="2" t="s">
        <v>822</v>
      </c>
      <c r="J7602" s="31">
        <v>68.0868988</v>
      </c>
      <c r="K7602" s="31">
        <v>-3.2222198999999998</v>
      </c>
      <c r="L7602" s="31"/>
      <c r="M7602" s="31" t="s">
        <v>854</v>
      </c>
      <c r="N7602" s="6" t="s">
        <v>856</v>
      </c>
    </row>
    <row r="7603" spans="1:14" ht="15" customHeight="1" x14ac:dyDescent="0.2">
      <c r="A7603" s="31">
        <v>5.6930394664465651E-2</v>
      </c>
      <c r="B7603" s="31"/>
      <c r="C7603" s="2" t="s">
        <v>855</v>
      </c>
      <c r="D7603" s="31">
        <f t="shared" si="212"/>
        <v>1.1158357354235269E-2</v>
      </c>
      <c r="F7603" s="2" t="s">
        <v>822</v>
      </c>
      <c r="G7603" s="23" t="s">
        <v>902</v>
      </c>
      <c r="H7603" s="2" t="s">
        <v>822</v>
      </c>
      <c r="J7603" s="31">
        <v>74.915298500000006</v>
      </c>
      <c r="K7603" s="31">
        <v>3.5320000999999999</v>
      </c>
      <c r="L7603" s="31"/>
      <c r="M7603" s="31" t="s">
        <v>854</v>
      </c>
      <c r="N7603" s="6" t="s">
        <v>856</v>
      </c>
    </row>
    <row r="7604" spans="1:14" ht="15" customHeight="1" x14ac:dyDescent="0.2">
      <c r="A7604" s="31">
        <v>5.6917812149921018E-2</v>
      </c>
      <c r="B7604" s="31"/>
      <c r="C7604" s="2" t="s">
        <v>855</v>
      </c>
      <c r="D7604" s="31">
        <f t="shared" si="212"/>
        <v>1.115589118138452E-2</v>
      </c>
      <c r="F7604" s="2" t="s">
        <v>822</v>
      </c>
      <c r="G7604" s="23" t="s">
        <v>902</v>
      </c>
      <c r="H7604" s="2" t="s">
        <v>822</v>
      </c>
      <c r="J7604" s="31">
        <v>75.296302800000007</v>
      </c>
      <c r="K7604" s="31">
        <v>9.5414896000000002</v>
      </c>
      <c r="L7604" s="31"/>
      <c r="M7604" s="31" t="s">
        <v>854</v>
      </c>
      <c r="N7604" s="6" t="s">
        <v>856</v>
      </c>
    </row>
    <row r="7605" spans="1:14" ht="15" customHeight="1" x14ac:dyDescent="0.2">
      <c r="A7605" s="31">
        <v>5.6871554228285069E-2</v>
      </c>
      <c r="B7605" s="31"/>
      <c r="C7605" s="2" t="s">
        <v>855</v>
      </c>
      <c r="D7605" s="31">
        <f t="shared" si="212"/>
        <v>1.1146824628743874E-2</v>
      </c>
      <c r="F7605" s="2" t="s">
        <v>822</v>
      </c>
      <c r="G7605" s="23" t="s">
        <v>902</v>
      </c>
      <c r="H7605" s="2" t="s">
        <v>822</v>
      </c>
      <c r="J7605" s="31">
        <v>72.800003099999998</v>
      </c>
      <c r="K7605" s="31">
        <v>6.8720001999999996</v>
      </c>
      <c r="L7605" s="31"/>
      <c r="M7605" s="31" t="s">
        <v>854</v>
      </c>
      <c r="N7605" s="6" t="s">
        <v>856</v>
      </c>
    </row>
    <row r="7606" spans="1:14" ht="15" customHeight="1" x14ac:dyDescent="0.2">
      <c r="A7606" s="31">
        <v>5.667265483872138E-2</v>
      </c>
      <c r="B7606" s="31"/>
      <c r="C7606" s="2" t="s">
        <v>855</v>
      </c>
      <c r="D7606" s="31">
        <f t="shared" si="212"/>
        <v>1.1107840348389391E-2</v>
      </c>
      <c r="F7606" s="2" t="s">
        <v>822</v>
      </c>
      <c r="G7606" s="23" t="s">
        <v>902</v>
      </c>
      <c r="H7606" s="2" t="s">
        <v>822</v>
      </c>
      <c r="J7606" s="31">
        <v>74.1360016</v>
      </c>
      <c r="K7606" s="31">
        <v>12.8839998</v>
      </c>
      <c r="L7606" s="31"/>
      <c r="M7606" s="31" t="s">
        <v>854</v>
      </c>
      <c r="N7606" s="6" t="s">
        <v>856</v>
      </c>
    </row>
    <row r="7607" spans="1:14" ht="15" customHeight="1" x14ac:dyDescent="0.2">
      <c r="A7607" s="31">
        <v>5.6666281017121553E-2</v>
      </c>
      <c r="B7607" s="31"/>
      <c r="C7607" s="2" t="s">
        <v>855</v>
      </c>
      <c r="D7607" s="31">
        <f t="shared" si="212"/>
        <v>1.1106591079355825E-2</v>
      </c>
      <c r="F7607" s="2" t="s">
        <v>822</v>
      </c>
      <c r="G7607" s="23" t="s">
        <v>902</v>
      </c>
      <c r="H7607" s="2" t="s">
        <v>822</v>
      </c>
      <c r="J7607" s="31">
        <v>74.804000900000005</v>
      </c>
      <c r="K7607" s="31">
        <v>8.2080002000000007</v>
      </c>
      <c r="L7607" s="31"/>
      <c r="M7607" s="31" t="s">
        <v>854</v>
      </c>
      <c r="N7607" s="6" t="s">
        <v>856</v>
      </c>
    </row>
    <row r="7608" spans="1:14" ht="15" customHeight="1" x14ac:dyDescent="0.2">
      <c r="A7608" s="31">
        <v>5.6661485884496259E-2</v>
      </c>
      <c r="B7608" s="31"/>
      <c r="C7608" s="2" t="s">
        <v>855</v>
      </c>
      <c r="D7608" s="31">
        <f t="shared" si="212"/>
        <v>1.1105651233361267E-2</v>
      </c>
      <c r="F7608" s="2" t="s">
        <v>822</v>
      </c>
      <c r="G7608" s="23" t="s">
        <v>902</v>
      </c>
      <c r="H7608" s="2" t="s">
        <v>822</v>
      </c>
      <c r="J7608" s="31">
        <v>75.381896999999995</v>
      </c>
      <c r="K7608" s="31">
        <v>1.52637</v>
      </c>
      <c r="L7608" s="31"/>
      <c r="M7608" s="31" t="s">
        <v>854</v>
      </c>
      <c r="N7608" s="6" t="s">
        <v>856</v>
      </c>
    </row>
    <row r="7609" spans="1:14" ht="15" customHeight="1" x14ac:dyDescent="0.2">
      <c r="A7609" s="31">
        <v>5.6567523313507943E-2</v>
      </c>
      <c r="B7609" s="31"/>
      <c r="C7609" s="2" t="s">
        <v>855</v>
      </c>
      <c r="D7609" s="31">
        <f t="shared" si="212"/>
        <v>1.1087234569447558E-2</v>
      </c>
      <c r="F7609" s="2" t="s">
        <v>822</v>
      </c>
      <c r="G7609" s="23" t="s">
        <v>902</v>
      </c>
      <c r="H7609" s="2" t="s">
        <v>822</v>
      </c>
      <c r="J7609" s="31">
        <v>65.137901299999996</v>
      </c>
      <c r="K7609" s="31">
        <v>-13.6213999</v>
      </c>
      <c r="L7609" s="31"/>
      <c r="M7609" s="31" t="s">
        <v>854</v>
      </c>
      <c r="N7609" s="6" t="s">
        <v>856</v>
      </c>
    </row>
    <row r="7610" spans="1:14" ht="15" customHeight="1" x14ac:dyDescent="0.2">
      <c r="A7610" s="31">
        <v>5.6466377704125173E-2</v>
      </c>
      <c r="B7610" s="31"/>
      <c r="C7610" s="2" t="s">
        <v>855</v>
      </c>
      <c r="D7610" s="31">
        <f t="shared" si="212"/>
        <v>1.1067410030008534E-2</v>
      </c>
      <c r="F7610" s="2" t="s">
        <v>822</v>
      </c>
      <c r="G7610" s="23" t="s">
        <v>902</v>
      </c>
      <c r="H7610" s="2" t="s">
        <v>822</v>
      </c>
      <c r="J7610" s="31">
        <v>71.463996899999998</v>
      </c>
      <c r="K7610" s="31">
        <v>2.1960001</v>
      </c>
      <c r="L7610" s="31"/>
      <c r="M7610" s="31" t="s">
        <v>854</v>
      </c>
      <c r="N7610" s="6" t="s">
        <v>856</v>
      </c>
    </row>
    <row r="7611" spans="1:14" ht="15" customHeight="1" x14ac:dyDescent="0.2">
      <c r="A7611" s="31">
        <v>5.6369009016722003E-2</v>
      </c>
      <c r="B7611" s="31"/>
      <c r="C7611" s="2" t="s">
        <v>855</v>
      </c>
      <c r="D7611" s="31">
        <f t="shared" si="212"/>
        <v>1.1048325767277514E-2</v>
      </c>
      <c r="F7611" s="2" t="s">
        <v>822</v>
      </c>
      <c r="G7611" s="23" t="s">
        <v>902</v>
      </c>
      <c r="H7611" s="2" t="s">
        <v>822</v>
      </c>
      <c r="J7611" s="31">
        <v>70.832603500000005</v>
      </c>
      <c r="K7611" s="31">
        <v>22.2140007</v>
      </c>
      <c r="L7611" s="31"/>
      <c r="M7611" s="31" t="s">
        <v>854</v>
      </c>
      <c r="N7611" s="6" t="s">
        <v>856</v>
      </c>
    </row>
    <row r="7612" spans="1:14" ht="15" customHeight="1" x14ac:dyDescent="0.2">
      <c r="A7612" s="31">
        <v>5.6349612168732938E-2</v>
      </c>
      <c r="B7612" s="31"/>
      <c r="C7612" s="2" t="s">
        <v>855</v>
      </c>
      <c r="D7612" s="31">
        <f t="shared" si="212"/>
        <v>1.1044523985071657E-2</v>
      </c>
      <c r="F7612" s="2" t="s">
        <v>822</v>
      </c>
      <c r="G7612" s="23" t="s">
        <v>902</v>
      </c>
      <c r="H7612" s="2" t="s">
        <v>822</v>
      </c>
      <c r="J7612" s="31">
        <v>74.1360016</v>
      </c>
      <c r="K7612" s="31">
        <v>7.54</v>
      </c>
      <c r="L7612" s="31"/>
      <c r="M7612" s="31" t="s">
        <v>854</v>
      </c>
      <c r="N7612" s="6" t="s">
        <v>856</v>
      </c>
    </row>
    <row r="7613" spans="1:14" ht="15" customHeight="1" x14ac:dyDescent="0.2">
      <c r="A7613" s="31">
        <v>5.6338979308506412E-2</v>
      </c>
      <c r="B7613" s="31"/>
      <c r="C7613" s="2" t="s">
        <v>855</v>
      </c>
      <c r="D7613" s="31">
        <f t="shared" si="212"/>
        <v>1.1042439944467257E-2</v>
      </c>
      <c r="F7613" s="2" t="s">
        <v>822</v>
      </c>
      <c r="G7613" s="23" t="s">
        <v>902</v>
      </c>
      <c r="H7613" s="2" t="s">
        <v>822</v>
      </c>
      <c r="J7613" s="31">
        <v>68.791999799999999</v>
      </c>
      <c r="K7613" s="31">
        <v>-12.5</v>
      </c>
      <c r="L7613" s="31"/>
      <c r="M7613" s="31" t="s">
        <v>854</v>
      </c>
      <c r="N7613" s="6" t="s">
        <v>856</v>
      </c>
    </row>
    <row r="7614" spans="1:14" ht="15" customHeight="1" x14ac:dyDescent="0.2">
      <c r="A7614" s="31">
        <v>5.631838072333032E-2</v>
      </c>
      <c r="B7614" s="31"/>
      <c r="C7614" s="2" t="s">
        <v>855</v>
      </c>
      <c r="D7614" s="31">
        <f t="shared" si="212"/>
        <v>1.1038402621772744E-2</v>
      </c>
      <c r="F7614" s="2" t="s">
        <v>822</v>
      </c>
      <c r="G7614" s="23" t="s">
        <v>902</v>
      </c>
      <c r="H7614" s="2" t="s">
        <v>822</v>
      </c>
      <c r="J7614" s="31">
        <v>75.020599399999995</v>
      </c>
      <c r="K7614" s="31">
        <v>-4.2061601</v>
      </c>
      <c r="L7614" s="31"/>
      <c r="M7614" s="31" t="s">
        <v>854</v>
      </c>
      <c r="N7614" s="6" t="s">
        <v>856</v>
      </c>
    </row>
    <row r="7615" spans="1:14" ht="15" customHeight="1" x14ac:dyDescent="0.2">
      <c r="A7615" s="31">
        <v>5.6257129469782223E-2</v>
      </c>
      <c r="B7615" s="31"/>
      <c r="C7615" s="2" t="s">
        <v>855</v>
      </c>
      <c r="D7615" s="31">
        <f t="shared" si="212"/>
        <v>1.1026397376077315E-2</v>
      </c>
      <c r="F7615" s="2" t="s">
        <v>822</v>
      </c>
      <c r="G7615" s="23" t="s">
        <v>902</v>
      </c>
      <c r="H7615" s="2" t="s">
        <v>822</v>
      </c>
      <c r="J7615" s="31">
        <v>72.132003800000007</v>
      </c>
      <c r="K7615" s="31">
        <v>28.247999199999999</v>
      </c>
      <c r="L7615" s="31"/>
      <c r="M7615" s="31" t="s">
        <v>854</v>
      </c>
      <c r="N7615" s="6" t="s">
        <v>856</v>
      </c>
    </row>
    <row r="7616" spans="1:14" ht="15" customHeight="1" x14ac:dyDescent="0.2">
      <c r="A7616" s="31">
        <v>5.6234922333526012E-2</v>
      </c>
      <c r="B7616" s="31"/>
      <c r="C7616" s="2" t="s">
        <v>855</v>
      </c>
      <c r="D7616" s="31">
        <f t="shared" ref="D7616:D7679" si="213" xml:space="preserve"> A7616 * 0.196</f>
        <v>1.1022044777371098E-2</v>
      </c>
      <c r="F7616" s="2" t="s">
        <v>822</v>
      </c>
      <c r="G7616" s="23" t="s">
        <v>902</v>
      </c>
      <c r="H7616" s="2" t="s">
        <v>822</v>
      </c>
      <c r="J7616" s="31">
        <v>68.139503500000004</v>
      </c>
      <c r="K7616" s="31">
        <v>-5.0161099</v>
      </c>
      <c r="L7616" s="31"/>
      <c r="M7616" s="31" t="s">
        <v>854</v>
      </c>
      <c r="N7616" s="6" t="s">
        <v>856</v>
      </c>
    </row>
    <row r="7617" spans="1:14" ht="15" customHeight="1" x14ac:dyDescent="0.2">
      <c r="A7617" s="31">
        <v>5.6214103530763469E-2</v>
      </c>
      <c r="B7617" s="31"/>
      <c r="C7617" s="2" t="s">
        <v>855</v>
      </c>
      <c r="D7617" s="31">
        <f t="shared" si="213"/>
        <v>1.101796429202964E-2</v>
      </c>
      <c r="F7617" s="2" t="s">
        <v>822</v>
      </c>
      <c r="G7617" s="23" t="s">
        <v>902</v>
      </c>
      <c r="H7617" s="2" t="s">
        <v>822</v>
      </c>
      <c r="J7617" s="31">
        <v>70.787399300000004</v>
      </c>
      <c r="K7617" s="31">
        <v>-0.47599999999999998</v>
      </c>
      <c r="L7617" s="31"/>
      <c r="M7617" s="31" t="s">
        <v>854</v>
      </c>
      <c r="N7617" s="6" t="s">
        <v>856</v>
      </c>
    </row>
    <row r="7618" spans="1:14" ht="15" customHeight="1" x14ac:dyDescent="0.2">
      <c r="A7618" s="31">
        <v>5.618057778587373E-2</v>
      </c>
      <c r="B7618" s="31"/>
      <c r="C7618" s="2" t="s">
        <v>855</v>
      </c>
      <c r="D7618" s="31">
        <f t="shared" si="213"/>
        <v>1.1011393246031252E-2</v>
      </c>
      <c r="F7618" s="2" t="s">
        <v>822</v>
      </c>
      <c r="G7618" s="23" t="s">
        <v>902</v>
      </c>
      <c r="H7618" s="2" t="s">
        <v>822</v>
      </c>
      <c r="J7618" s="31">
        <v>74.1360016</v>
      </c>
      <c r="K7618" s="31">
        <v>2.8640001000000002</v>
      </c>
      <c r="L7618" s="31"/>
      <c r="M7618" s="31" t="s">
        <v>854</v>
      </c>
      <c r="N7618" s="6" t="s">
        <v>856</v>
      </c>
    </row>
    <row r="7619" spans="1:14" ht="15" customHeight="1" x14ac:dyDescent="0.2">
      <c r="A7619" s="31">
        <v>5.6123887530868118E-2</v>
      </c>
      <c r="B7619" s="31"/>
      <c r="C7619" s="2" t="s">
        <v>855</v>
      </c>
      <c r="D7619" s="31">
        <f t="shared" si="213"/>
        <v>1.1000281956050151E-2</v>
      </c>
      <c r="F7619" s="2" t="s">
        <v>822</v>
      </c>
      <c r="G7619" s="23" t="s">
        <v>902</v>
      </c>
      <c r="H7619" s="2" t="s">
        <v>822</v>
      </c>
      <c r="J7619" s="31">
        <v>70.127998399999996</v>
      </c>
      <c r="K7619" s="31">
        <v>-15.171999899999999</v>
      </c>
      <c r="L7619" s="31"/>
      <c r="M7619" s="31" t="s">
        <v>854</v>
      </c>
      <c r="N7619" s="6" t="s">
        <v>856</v>
      </c>
    </row>
    <row r="7620" spans="1:14" ht="15" customHeight="1" x14ac:dyDescent="0.2">
      <c r="A7620" s="31">
        <v>5.6057063808175732E-2</v>
      </c>
      <c r="B7620" s="31"/>
      <c r="C7620" s="2" t="s">
        <v>855</v>
      </c>
      <c r="D7620" s="31">
        <f t="shared" si="213"/>
        <v>1.0987184506402443E-2</v>
      </c>
      <c r="F7620" s="2" t="s">
        <v>822</v>
      </c>
      <c r="G7620" s="23" t="s">
        <v>902</v>
      </c>
      <c r="H7620" s="2" t="s">
        <v>822</v>
      </c>
      <c r="J7620" s="31">
        <v>70.3125</v>
      </c>
      <c r="K7620" s="31">
        <v>22.222400700000001</v>
      </c>
      <c r="L7620" s="31"/>
      <c r="M7620" s="31" t="s">
        <v>854</v>
      </c>
      <c r="N7620" s="6" t="s">
        <v>856</v>
      </c>
    </row>
    <row r="7621" spans="1:14" ht="15" customHeight="1" x14ac:dyDescent="0.2">
      <c r="A7621" s="31">
        <v>5.5983972568981182E-2</v>
      </c>
      <c r="B7621" s="31"/>
      <c r="C7621" s="2" t="s">
        <v>855</v>
      </c>
      <c r="D7621" s="31">
        <f t="shared" si="213"/>
        <v>1.0972858623520312E-2</v>
      </c>
      <c r="F7621" s="2" t="s">
        <v>822</v>
      </c>
      <c r="G7621" s="23" t="s">
        <v>902</v>
      </c>
      <c r="H7621" s="2" t="s">
        <v>822</v>
      </c>
      <c r="J7621" s="31">
        <v>67.456001299999997</v>
      </c>
      <c r="K7621" s="31">
        <v>0.86</v>
      </c>
      <c r="L7621" s="31"/>
      <c r="M7621" s="31" t="s">
        <v>854</v>
      </c>
      <c r="N7621" s="6" t="s">
        <v>856</v>
      </c>
    </row>
    <row r="7622" spans="1:14" ht="15" customHeight="1" x14ac:dyDescent="0.2">
      <c r="A7622" s="31">
        <v>5.5924385865362997E-2</v>
      </c>
      <c r="B7622" s="31"/>
      <c r="C7622" s="2" t="s">
        <v>855</v>
      </c>
      <c r="D7622" s="31">
        <f t="shared" si="213"/>
        <v>1.0961179629611148E-2</v>
      </c>
      <c r="F7622" s="2" t="s">
        <v>822</v>
      </c>
      <c r="G7622" s="23" t="s">
        <v>902</v>
      </c>
      <c r="H7622" s="2" t="s">
        <v>822</v>
      </c>
      <c r="J7622" s="31">
        <v>68.717796300000003</v>
      </c>
      <c r="K7622" s="31">
        <v>-11.126899699999999</v>
      </c>
      <c r="L7622" s="31"/>
      <c r="M7622" s="31" t="s">
        <v>854</v>
      </c>
      <c r="N7622" s="6" t="s">
        <v>856</v>
      </c>
    </row>
    <row r="7623" spans="1:14" ht="15" customHeight="1" x14ac:dyDescent="0.2">
      <c r="A7623" s="31">
        <v>5.5895784893119187E-2</v>
      </c>
      <c r="B7623" s="31"/>
      <c r="C7623" s="2" t="s">
        <v>855</v>
      </c>
      <c r="D7623" s="31">
        <f t="shared" si="213"/>
        <v>1.0955573839051361E-2</v>
      </c>
      <c r="F7623" s="2" t="s">
        <v>822</v>
      </c>
      <c r="G7623" s="23" t="s">
        <v>902</v>
      </c>
      <c r="H7623" s="2" t="s">
        <v>822</v>
      </c>
      <c r="J7623" s="31">
        <v>69.723602299999996</v>
      </c>
      <c r="K7623" s="31">
        <v>45.616001099999998</v>
      </c>
      <c r="L7623" s="31"/>
      <c r="M7623" s="31" t="s">
        <v>854</v>
      </c>
      <c r="N7623" s="6" t="s">
        <v>856</v>
      </c>
    </row>
    <row r="7624" spans="1:14" ht="15" customHeight="1" x14ac:dyDescent="0.2">
      <c r="A7624" s="31">
        <v>5.5762170140797741E-2</v>
      </c>
      <c r="B7624" s="31"/>
      <c r="C7624" s="2" t="s">
        <v>855</v>
      </c>
      <c r="D7624" s="31">
        <f t="shared" si="213"/>
        <v>1.0929385347596358E-2</v>
      </c>
      <c r="F7624" s="2" t="s">
        <v>822</v>
      </c>
      <c r="G7624" s="23" t="s">
        <v>902</v>
      </c>
      <c r="H7624" s="2" t="s">
        <v>822</v>
      </c>
      <c r="J7624" s="31">
        <v>68.791999799999999</v>
      </c>
      <c r="K7624" s="31">
        <v>-13.8360004</v>
      </c>
      <c r="L7624" s="31"/>
      <c r="M7624" s="31" t="s">
        <v>854</v>
      </c>
      <c r="N7624" s="6" t="s">
        <v>856</v>
      </c>
    </row>
    <row r="7625" spans="1:14" ht="15" customHeight="1" x14ac:dyDescent="0.2">
      <c r="A7625" s="31">
        <v>5.5748257298921952E-2</v>
      </c>
      <c r="B7625" s="31"/>
      <c r="C7625" s="2" t="s">
        <v>855</v>
      </c>
      <c r="D7625" s="31">
        <f t="shared" si="213"/>
        <v>1.0926658430588702E-2</v>
      </c>
      <c r="F7625" s="2" t="s">
        <v>822</v>
      </c>
      <c r="G7625" s="23" t="s">
        <v>902</v>
      </c>
      <c r="H7625" s="2" t="s">
        <v>822</v>
      </c>
      <c r="J7625" s="31">
        <v>72.800003099999998</v>
      </c>
      <c r="K7625" s="31">
        <v>-1.478</v>
      </c>
      <c r="L7625" s="31"/>
      <c r="M7625" s="31" t="s">
        <v>854</v>
      </c>
      <c r="N7625" s="6" t="s">
        <v>856</v>
      </c>
    </row>
    <row r="7626" spans="1:14" ht="15" customHeight="1" x14ac:dyDescent="0.2">
      <c r="A7626" s="31">
        <v>5.5708904856968972E-2</v>
      </c>
      <c r="B7626" s="31"/>
      <c r="C7626" s="2" t="s">
        <v>855</v>
      </c>
      <c r="D7626" s="31">
        <f t="shared" si="213"/>
        <v>1.0918945351965919E-2</v>
      </c>
      <c r="F7626" s="2" t="s">
        <v>822</v>
      </c>
      <c r="G7626" s="23" t="s">
        <v>902</v>
      </c>
      <c r="H7626" s="2" t="s">
        <v>822</v>
      </c>
      <c r="J7626" s="31">
        <v>72.132003800000007</v>
      </c>
      <c r="K7626" s="31">
        <v>1.528</v>
      </c>
      <c r="L7626" s="31"/>
      <c r="M7626" s="31" t="s">
        <v>854</v>
      </c>
      <c r="N7626" s="6" t="s">
        <v>856</v>
      </c>
    </row>
    <row r="7627" spans="1:14" ht="15" customHeight="1" x14ac:dyDescent="0.2">
      <c r="A7627" s="31">
        <v>5.5687016174590272E-2</v>
      </c>
      <c r="B7627" s="31"/>
      <c r="C7627" s="2" t="s">
        <v>855</v>
      </c>
      <c r="D7627" s="31">
        <f t="shared" si="213"/>
        <v>1.0914655170219693E-2</v>
      </c>
      <c r="F7627" s="2" t="s">
        <v>822</v>
      </c>
      <c r="G7627" s="23" t="s">
        <v>902</v>
      </c>
      <c r="H7627" s="2" t="s">
        <v>822</v>
      </c>
      <c r="J7627" s="31">
        <v>75.395599399999995</v>
      </c>
      <c r="K7627" s="31">
        <v>-4.2061601</v>
      </c>
      <c r="L7627" s="31"/>
      <c r="M7627" s="31" t="s">
        <v>854</v>
      </c>
      <c r="N7627" s="6" t="s">
        <v>856</v>
      </c>
    </row>
    <row r="7628" spans="1:14" ht="15" customHeight="1" x14ac:dyDescent="0.2">
      <c r="A7628" s="31">
        <v>5.5643866598995839E-2</v>
      </c>
      <c r="B7628" s="31"/>
      <c r="C7628" s="2" t="s">
        <v>855</v>
      </c>
      <c r="D7628" s="31">
        <f t="shared" si="213"/>
        <v>1.0906197853403184E-2</v>
      </c>
      <c r="F7628" s="2" t="s">
        <v>822</v>
      </c>
      <c r="G7628" s="23" t="s">
        <v>902</v>
      </c>
      <c r="H7628" s="2" t="s">
        <v>822</v>
      </c>
      <c r="J7628" s="31">
        <v>66.120002700000001</v>
      </c>
      <c r="K7628" s="31">
        <v>-7.8239998999999996</v>
      </c>
      <c r="L7628" s="31"/>
      <c r="M7628" s="31" t="s">
        <v>854</v>
      </c>
      <c r="N7628" s="6" t="s">
        <v>856</v>
      </c>
    </row>
    <row r="7629" spans="1:14" ht="15" customHeight="1" x14ac:dyDescent="0.2">
      <c r="A7629" s="31">
        <v>5.5555766035010522E-2</v>
      </c>
      <c r="B7629" s="31"/>
      <c r="C7629" s="2" t="s">
        <v>855</v>
      </c>
      <c r="D7629" s="31">
        <f t="shared" si="213"/>
        <v>1.0888930142862062E-2</v>
      </c>
      <c r="F7629" s="2" t="s">
        <v>822</v>
      </c>
      <c r="G7629" s="23" t="s">
        <v>902</v>
      </c>
      <c r="H7629" s="2" t="s">
        <v>822</v>
      </c>
      <c r="J7629" s="31">
        <v>66.011200000000002</v>
      </c>
      <c r="K7629" s="31">
        <v>-8.2700005000000001</v>
      </c>
      <c r="L7629" s="31"/>
      <c r="M7629" s="31" t="s">
        <v>854</v>
      </c>
      <c r="N7629" s="6" t="s">
        <v>856</v>
      </c>
    </row>
    <row r="7630" spans="1:14" ht="15" customHeight="1" x14ac:dyDescent="0.2">
      <c r="A7630" s="31">
        <v>5.5535171273247023E-2</v>
      </c>
      <c r="B7630" s="31"/>
      <c r="C7630" s="2" t="s">
        <v>855</v>
      </c>
      <c r="D7630" s="31">
        <f t="shared" si="213"/>
        <v>1.0884893569556417E-2</v>
      </c>
      <c r="F7630" s="2" t="s">
        <v>822</v>
      </c>
      <c r="G7630" s="23" t="s">
        <v>902</v>
      </c>
      <c r="H7630" s="2" t="s">
        <v>822</v>
      </c>
      <c r="J7630" s="31">
        <v>70.905601500000003</v>
      </c>
      <c r="K7630" s="31">
        <v>28.343399000000002</v>
      </c>
      <c r="L7630" s="31"/>
      <c r="M7630" s="31" t="s">
        <v>854</v>
      </c>
      <c r="N7630" s="6" t="s">
        <v>856</v>
      </c>
    </row>
    <row r="7631" spans="1:14" ht="15" customHeight="1" x14ac:dyDescent="0.2">
      <c r="A7631" s="31">
        <v>5.550800526089715E-2</v>
      </c>
      <c r="B7631" s="31"/>
      <c r="C7631" s="2" t="s">
        <v>855</v>
      </c>
      <c r="D7631" s="31">
        <f t="shared" si="213"/>
        <v>1.0879569031135843E-2</v>
      </c>
      <c r="F7631" s="2" t="s">
        <v>822</v>
      </c>
      <c r="G7631" s="23" t="s">
        <v>902</v>
      </c>
      <c r="H7631" s="2" t="s">
        <v>822</v>
      </c>
      <c r="J7631" s="31">
        <v>73.304298399999993</v>
      </c>
      <c r="K7631" s="31">
        <v>-9.7593803000000001</v>
      </c>
      <c r="L7631" s="31"/>
      <c r="M7631" s="31" t="s">
        <v>854</v>
      </c>
      <c r="N7631" s="6" t="s">
        <v>856</v>
      </c>
    </row>
    <row r="7632" spans="1:14" ht="15" customHeight="1" x14ac:dyDescent="0.2">
      <c r="A7632" s="31">
        <v>5.5438015112879158E-2</v>
      </c>
      <c r="B7632" s="31"/>
      <c r="C7632" s="2" t="s">
        <v>855</v>
      </c>
      <c r="D7632" s="31">
        <f t="shared" si="213"/>
        <v>1.0865850962124316E-2</v>
      </c>
      <c r="F7632" s="2" t="s">
        <v>822</v>
      </c>
      <c r="G7632" s="23" t="s">
        <v>902</v>
      </c>
      <c r="H7632" s="2" t="s">
        <v>822</v>
      </c>
      <c r="J7632" s="31">
        <v>72.132003800000007</v>
      </c>
      <c r="K7632" s="31">
        <v>7.54</v>
      </c>
      <c r="L7632" s="31"/>
      <c r="M7632" s="31" t="s">
        <v>854</v>
      </c>
      <c r="N7632" s="6" t="s">
        <v>856</v>
      </c>
    </row>
    <row r="7633" spans="1:14" ht="15" customHeight="1" x14ac:dyDescent="0.2">
      <c r="A7633" s="31">
        <v>5.5427879114453751E-2</v>
      </c>
      <c r="B7633" s="31"/>
      <c r="C7633" s="2" t="s">
        <v>855</v>
      </c>
      <c r="D7633" s="31">
        <f t="shared" si="213"/>
        <v>1.0863864306432935E-2</v>
      </c>
      <c r="F7633" s="2" t="s">
        <v>822</v>
      </c>
      <c r="G7633" s="23" t="s">
        <v>902</v>
      </c>
      <c r="H7633" s="2" t="s">
        <v>822</v>
      </c>
      <c r="J7633" s="31">
        <v>72.800003099999998</v>
      </c>
      <c r="K7633" s="31">
        <v>28.916000400000001</v>
      </c>
      <c r="L7633" s="31"/>
      <c r="M7633" s="31" t="s">
        <v>854</v>
      </c>
      <c r="N7633" s="6" t="s">
        <v>856</v>
      </c>
    </row>
    <row r="7634" spans="1:14" ht="15" customHeight="1" x14ac:dyDescent="0.2">
      <c r="A7634" s="31">
        <v>5.5418330270551389E-2</v>
      </c>
      <c r="B7634" s="31"/>
      <c r="C7634" s="2" t="s">
        <v>855</v>
      </c>
      <c r="D7634" s="31">
        <f t="shared" si="213"/>
        <v>1.0861992733028073E-2</v>
      </c>
      <c r="F7634" s="2" t="s">
        <v>822</v>
      </c>
      <c r="G7634" s="23" t="s">
        <v>902</v>
      </c>
      <c r="H7634" s="2" t="s">
        <v>822</v>
      </c>
      <c r="J7634" s="31">
        <v>70.100898700000002</v>
      </c>
      <c r="K7634" s="31">
        <v>35.555599200000003</v>
      </c>
      <c r="L7634" s="31"/>
      <c r="M7634" s="31" t="s">
        <v>854</v>
      </c>
      <c r="N7634" s="6" t="s">
        <v>856</v>
      </c>
    </row>
    <row r="7635" spans="1:14" ht="15" customHeight="1" x14ac:dyDescent="0.2">
      <c r="A7635" s="31">
        <v>5.5393607864682427E-2</v>
      </c>
      <c r="B7635" s="31"/>
      <c r="C7635" s="2" t="s">
        <v>855</v>
      </c>
      <c r="D7635" s="31">
        <f t="shared" si="213"/>
        <v>1.0857147141477756E-2</v>
      </c>
      <c r="F7635" s="2" t="s">
        <v>822</v>
      </c>
      <c r="G7635" s="23" t="s">
        <v>902</v>
      </c>
      <c r="H7635" s="2" t="s">
        <v>822</v>
      </c>
      <c r="J7635" s="31">
        <v>72.479598999999993</v>
      </c>
      <c r="K7635" s="31">
        <v>-24.8719006</v>
      </c>
      <c r="L7635" s="31"/>
      <c r="M7635" s="31" t="s">
        <v>854</v>
      </c>
      <c r="N7635" s="6" t="s">
        <v>856</v>
      </c>
    </row>
    <row r="7636" spans="1:14" ht="15" customHeight="1" x14ac:dyDescent="0.2">
      <c r="A7636" s="31">
        <v>5.5369971516418308E-2</v>
      </c>
      <c r="B7636" s="31"/>
      <c r="C7636" s="2" t="s">
        <v>855</v>
      </c>
      <c r="D7636" s="31">
        <f t="shared" si="213"/>
        <v>1.0852514417217988E-2</v>
      </c>
      <c r="F7636" s="2" t="s">
        <v>822</v>
      </c>
      <c r="G7636" s="23" t="s">
        <v>902</v>
      </c>
      <c r="H7636" s="2" t="s">
        <v>822</v>
      </c>
      <c r="J7636" s="31">
        <v>66.120002700000001</v>
      </c>
      <c r="K7636" s="31">
        <v>0.192</v>
      </c>
      <c r="L7636" s="31"/>
      <c r="M7636" s="31" t="s">
        <v>854</v>
      </c>
      <c r="N7636" s="6" t="s">
        <v>856</v>
      </c>
    </row>
    <row r="7637" spans="1:14" ht="15" customHeight="1" x14ac:dyDescent="0.2">
      <c r="A7637" s="31">
        <v>5.5291848886692703E-2</v>
      </c>
      <c r="B7637" s="31"/>
      <c r="C7637" s="2" t="s">
        <v>855</v>
      </c>
      <c r="D7637" s="31">
        <f t="shared" si="213"/>
        <v>1.0837202381791771E-2</v>
      </c>
      <c r="F7637" s="2" t="s">
        <v>822</v>
      </c>
      <c r="G7637" s="23" t="s">
        <v>902</v>
      </c>
      <c r="H7637" s="2" t="s">
        <v>822</v>
      </c>
      <c r="J7637" s="31">
        <v>74.1360016</v>
      </c>
      <c r="K7637" s="31">
        <v>0.86</v>
      </c>
      <c r="L7637" s="31"/>
      <c r="M7637" s="31" t="s">
        <v>854</v>
      </c>
      <c r="N7637" s="6" t="s">
        <v>856</v>
      </c>
    </row>
    <row r="7638" spans="1:14" ht="15" customHeight="1" x14ac:dyDescent="0.2">
      <c r="A7638" s="31">
        <v>5.523272178949902E-2</v>
      </c>
      <c r="B7638" s="31"/>
      <c r="C7638" s="2" t="s">
        <v>855</v>
      </c>
      <c r="D7638" s="31">
        <f t="shared" si="213"/>
        <v>1.0825613470741808E-2</v>
      </c>
      <c r="F7638" s="2" t="s">
        <v>822</v>
      </c>
      <c r="G7638" s="23" t="s">
        <v>902</v>
      </c>
      <c r="H7638" s="2" t="s">
        <v>822</v>
      </c>
      <c r="J7638" s="31">
        <v>66.788002000000006</v>
      </c>
      <c r="K7638" s="31">
        <v>-12.5</v>
      </c>
      <c r="L7638" s="31"/>
      <c r="M7638" s="31" t="s">
        <v>854</v>
      </c>
      <c r="N7638" s="6" t="s">
        <v>856</v>
      </c>
    </row>
    <row r="7639" spans="1:14" ht="15" customHeight="1" x14ac:dyDescent="0.2">
      <c r="A7639" s="31">
        <v>5.5183320028181652E-2</v>
      </c>
      <c r="B7639" s="31"/>
      <c r="C7639" s="2" t="s">
        <v>855</v>
      </c>
      <c r="D7639" s="31">
        <f t="shared" si="213"/>
        <v>1.0815930725523604E-2</v>
      </c>
      <c r="F7639" s="2" t="s">
        <v>822</v>
      </c>
      <c r="G7639" s="23" t="s">
        <v>902</v>
      </c>
      <c r="H7639" s="2" t="s">
        <v>822</v>
      </c>
      <c r="J7639" s="31">
        <v>72.800003099999998</v>
      </c>
      <c r="K7639" s="31">
        <v>9.5439997000000005</v>
      </c>
      <c r="L7639" s="31"/>
      <c r="M7639" s="31" t="s">
        <v>854</v>
      </c>
      <c r="N7639" s="6" t="s">
        <v>856</v>
      </c>
    </row>
    <row r="7640" spans="1:14" ht="15" customHeight="1" x14ac:dyDescent="0.2">
      <c r="A7640" s="31">
        <v>5.5126911244354607E-2</v>
      </c>
      <c r="B7640" s="31"/>
      <c r="C7640" s="2" t="s">
        <v>855</v>
      </c>
      <c r="D7640" s="31">
        <f t="shared" si="213"/>
        <v>1.0804874603893504E-2</v>
      </c>
      <c r="F7640" s="2" t="s">
        <v>822</v>
      </c>
      <c r="G7640" s="23" t="s">
        <v>902</v>
      </c>
      <c r="H7640" s="2" t="s">
        <v>822</v>
      </c>
      <c r="J7640" s="31">
        <v>70.127998399999996</v>
      </c>
      <c r="K7640" s="31">
        <v>-9.8280001000000006</v>
      </c>
      <c r="L7640" s="31"/>
      <c r="M7640" s="31" t="s">
        <v>854</v>
      </c>
      <c r="N7640" s="6" t="s">
        <v>856</v>
      </c>
    </row>
    <row r="7641" spans="1:14" ht="15" customHeight="1" x14ac:dyDescent="0.2">
      <c r="A7641" s="31">
        <v>5.5109175153655661E-2</v>
      </c>
      <c r="B7641" s="31"/>
      <c r="C7641" s="2" t="s">
        <v>855</v>
      </c>
      <c r="D7641" s="31">
        <f t="shared" si="213"/>
        <v>1.0801398330116511E-2</v>
      </c>
      <c r="F7641" s="2" t="s">
        <v>822</v>
      </c>
      <c r="G7641" s="23" t="s">
        <v>902</v>
      </c>
      <c r="H7641" s="2" t="s">
        <v>822</v>
      </c>
      <c r="J7641" s="31">
        <v>66.034599299999996</v>
      </c>
      <c r="K7641" s="31">
        <v>-19.325300200000001</v>
      </c>
      <c r="L7641" s="31"/>
      <c r="M7641" s="31" t="s">
        <v>854</v>
      </c>
      <c r="N7641" s="6" t="s">
        <v>856</v>
      </c>
    </row>
    <row r="7642" spans="1:14" ht="15" customHeight="1" x14ac:dyDescent="0.2">
      <c r="A7642" s="31">
        <v>5.5049347164877367E-2</v>
      </c>
      <c r="B7642" s="31"/>
      <c r="C7642" s="2" t="s">
        <v>855</v>
      </c>
      <c r="D7642" s="31">
        <f t="shared" si="213"/>
        <v>1.0789672044315964E-2</v>
      </c>
      <c r="F7642" s="2" t="s">
        <v>822</v>
      </c>
      <c r="G7642" s="23" t="s">
        <v>902</v>
      </c>
      <c r="H7642" s="2" t="s">
        <v>822</v>
      </c>
      <c r="J7642" s="31">
        <v>70.127998399999996</v>
      </c>
      <c r="K7642" s="31">
        <v>-6.4879999000000002</v>
      </c>
      <c r="L7642" s="31"/>
      <c r="M7642" s="31" t="s">
        <v>854</v>
      </c>
      <c r="N7642" s="6" t="s">
        <v>856</v>
      </c>
    </row>
    <row r="7643" spans="1:14" ht="15" customHeight="1" x14ac:dyDescent="0.2">
      <c r="A7643" s="31">
        <v>5.5006753450442647E-2</v>
      </c>
      <c r="B7643" s="31"/>
      <c r="C7643" s="2" t="s">
        <v>855</v>
      </c>
      <c r="D7643" s="31">
        <f t="shared" si="213"/>
        <v>1.078132367628676E-2</v>
      </c>
      <c r="F7643" s="2" t="s">
        <v>822</v>
      </c>
      <c r="G7643" s="23" t="s">
        <v>902</v>
      </c>
      <c r="H7643" s="2" t="s">
        <v>822</v>
      </c>
      <c r="J7643" s="31">
        <v>65.452003500000004</v>
      </c>
      <c r="K7643" s="31">
        <v>-1.8120000000000001</v>
      </c>
      <c r="L7643" s="31"/>
      <c r="M7643" s="31" t="s">
        <v>854</v>
      </c>
      <c r="N7643" s="6" t="s">
        <v>856</v>
      </c>
    </row>
    <row r="7644" spans="1:14" ht="15" customHeight="1" x14ac:dyDescent="0.2">
      <c r="A7644" s="31">
        <v>5.4953230259294633E-2</v>
      </c>
      <c r="B7644" s="31"/>
      <c r="C7644" s="2" t="s">
        <v>855</v>
      </c>
      <c r="D7644" s="31">
        <f t="shared" si="213"/>
        <v>1.0770833130821748E-2</v>
      </c>
      <c r="F7644" s="2" t="s">
        <v>822</v>
      </c>
      <c r="G7644" s="23" t="s">
        <v>902</v>
      </c>
      <c r="H7644" s="2" t="s">
        <v>822</v>
      </c>
      <c r="J7644" s="31">
        <v>69.389602699999998</v>
      </c>
      <c r="K7644" s="31">
        <v>-19.847999600000001</v>
      </c>
      <c r="L7644" s="31"/>
      <c r="M7644" s="31" t="s">
        <v>854</v>
      </c>
      <c r="N7644" s="6" t="s">
        <v>856</v>
      </c>
    </row>
    <row r="7645" spans="1:14" ht="15" customHeight="1" x14ac:dyDescent="0.2">
      <c r="A7645" s="31">
        <v>5.488871369960719E-2</v>
      </c>
      <c r="B7645" s="31"/>
      <c r="C7645" s="2" t="s">
        <v>855</v>
      </c>
      <c r="D7645" s="31">
        <f t="shared" si="213"/>
        <v>1.075818788512301E-2</v>
      </c>
      <c r="F7645" s="2" t="s">
        <v>822</v>
      </c>
      <c r="G7645" s="23" t="s">
        <v>902</v>
      </c>
      <c r="H7645" s="2" t="s">
        <v>822</v>
      </c>
      <c r="J7645" s="31">
        <v>68.124000499999994</v>
      </c>
      <c r="K7645" s="31">
        <v>-11.8319998</v>
      </c>
      <c r="L7645" s="31"/>
      <c r="M7645" s="31" t="s">
        <v>854</v>
      </c>
      <c r="N7645" s="6" t="s">
        <v>856</v>
      </c>
    </row>
    <row r="7646" spans="1:14" ht="15" customHeight="1" x14ac:dyDescent="0.2">
      <c r="A7646" s="31">
        <v>5.4886766303541029E-2</v>
      </c>
      <c r="B7646" s="31"/>
      <c r="C7646" s="2" t="s">
        <v>855</v>
      </c>
      <c r="D7646" s="31">
        <f t="shared" si="213"/>
        <v>1.0757806195494043E-2</v>
      </c>
      <c r="F7646" s="2" t="s">
        <v>822</v>
      </c>
      <c r="G7646" s="23" t="s">
        <v>902</v>
      </c>
      <c r="H7646" s="2" t="s">
        <v>822</v>
      </c>
      <c r="J7646" s="31">
        <v>72.800003099999998</v>
      </c>
      <c r="K7646" s="31">
        <v>24.2399998</v>
      </c>
      <c r="L7646" s="31"/>
      <c r="M7646" s="31" t="s">
        <v>854</v>
      </c>
      <c r="N7646" s="6" t="s">
        <v>856</v>
      </c>
    </row>
    <row r="7647" spans="1:14" ht="15" customHeight="1" x14ac:dyDescent="0.2">
      <c r="A7647" s="31">
        <v>5.4823687968909338E-2</v>
      </c>
      <c r="B7647" s="31"/>
      <c r="C7647" s="2" t="s">
        <v>855</v>
      </c>
      <c r="D7647" s="31">
        <f t="shared" si="213"/>
        <v>1.0745442841906231E-2</v>
      </c>
      <c r="F7647" s="2" t="s">
        <v>822</v>
      </c>
      <c r="G7647" s="23" t="s">
        <v>902</v>
      </c>
      <c r="H7647" s="2" t="s">
        <v>822</v>
      </c>
      <c r="J7647" s="31">
        <v>72.132003800000007</v>
      </c>
      <c r="K7647" s="31">
        <v>-1.8120000000000001</v>
      </c>
      <c r="L7647" s="31"/>
      <c r="M7647" s="31" t="s">
        <v>854</v>
      </c>
      <c r="N7647" s="6" t="s">
        <v>856</v>
      </c>
    </row>
    <row r="7648" spans="1:14" ht="15" customHeight="1" x14ac:dyDescent="0.2">
      <c r="A7648" s="31">
        <v>5.4722015528422929E-2</v>
      </c>
      <c r="B7648" s="31"/>
      <c r="C7648" s="2" t="s">
        <v>855</v>
      </c>
      <c r="D7648" s="31">
        <f t="shared" si="213"/>
        <v>1.0725515043570895E-2</v>
      </c>
      <c r="F7648" s="2" t="s">
        <v>822</v>
      </c>
      <c r="G7648" s="23" t="s">
        <v>902</v>
      </c>
      <c r="H7648" s="2" t="s">
        <v>822</v>
      </c>
      <c r="J7648" s="31">
        <v>68.791999799999999</v>
      </c>
      <c r="K7648" s="31">
        <v>-9.8280001000000006</v>
      </c>
      <c r="L7648" s="31"/>
      <c r="M7648" s="31" t="s">
        <v>854</v>
      </c>
      <c r="N7648" s="6" t="s">
        <v>856</v>
      </c>
    </row>
    <row r="7649" spans="1:14" ht="15" customHeight="1" x14ac:dyDescent="0.2">
      <c r="A7649" s="31">
        <v>5.4705724348352358E-2</v>
      </c>
      <c r="B7649" s="31"/>
      <c r="C7649" s="2" t="s">
        <v>855</v>
      </c>
      <c r="D7649" s="31">
        <f t="shared" si="213"/>
        <v>1.0722321972277063E-2</v>
      </c>
      <c r="F7649" s="2" t="s">
        <v>822</v>
      </c>
      <c r="G7649" s="23" t="s">
        <v>902</v>
      </c>
      <c r="H7649" s="2" t="s">
        <v>822</v>
      </c>
      <c r="J7649" s="31">
        <v>68.124000499999994</v>
      </c>
      <c r="K7649" s="31">
        <v>-16.507999399999999</v>
      </c>
      <c r="L7649" s="31"/>
      <c r="M7649" s="31" t="s">
        <v>854</v>
      </c>
      <c r="N7649" s="6" t="s">
        <v>856</v>
      </c>
    </row>
    <row r="7650" spans="1:14" ht="15" customHeight="1" x14ac:dyDescent="0.2">
      <c r="A7650" s="31">
        <v>5.4680973588849983E-2</v>
      </c>
      <c r="B7650" s="31"/>
      <c r="C7650" s="2" t="s">
        <v>855</v>
      </c>
      <c r="D7650" s="31">
        <f t="shared" si="213"/>
        <v>1.0717470823414597E-2</v>
      </c>
      <c r="F7650" s="2" t="s">
        <v>822</v>
      </c>
      <c r="G7650" s="23" t="s">
        <v>902</v>
      </c>
      <c r="H7650" s="2" t="s">
        <v>822</v>
      </c>
      <c r="J7650" s="31">
        <v>69.459999100000005</v>
      </c>
      <c r="K7650" s="31">
        <v>-17.176000599999998</v>
      </c>
      <c r="L7650" s="31"/>
      <c r="M7650" s="31" t="s">
        <v>854</v>
      </c>
      <c r="N7650" s="6" t="s">
        <v>856</v>
      </c>
    </row>
    <row r="7651" spans="1:14" ht="15" customHeight="1" x14ac:dyDescent="0.2">
      <c r="A7651" s="31">
        <v>5.4641132457510691E-2</v>
      </c>
      <c r="B7651" s="31"/>
      <c r="C7651" s="2" t="s">
        <v>855</v>
      </c>
      <c r="D7651" s="31">
        <f t="shared" si="213"/>
        <v>1.0709661961672097E-2</v>
      </c>
      <c r="F7651" s="2" t="s">
        <v>822</v>
      </c>
      <c r="G7651" s="23" t="s">
        <v>902</v>
      </c>
      <c r="H7651" s="2" t="s">
        <v>822</v>
      </c>
      <c r="J7651" s="31">
        <v>71.463996899999998</v>
      </c>
      <c r="K7651" s="31">
        <v>-2.48</v>
      </c>
      <c r="L7651" s="31"/>
      <c r="M7651" s="31" t="s">
        <v>854</v>
      </c>
      <c r="N7651" s="6" t="s">
        <v>856</v>
      </c>
    </row>
    <row r="7652" spans="1:14" ht="15" customHeight="1" x14ac:dyDescent="0.2">
      <c r="A7652" s="31">
        <v>5.4634723047912268E-2</v>
      </c>
      <c r="B7652" s="31"/>
      <c r="C7652" s="2" t="s">
        <v>855</v>
      </c>
      <c r="D7652" s="31">
        <f t="shared" si="213"/>
        <v>1.0708405717390805E-2</v>
      </c>
      <c r="F7652" s="2" t="s">
        <v>822</v>
      </c>
      <c r="G7652" s="23" t="s">
        <v>902</v>
      </c>
      <c r="H7652" s="2" t="s">
        <v>822</v>
      </c>
      <c r="J7652" s="31">
        <v>66.7130966</v>
      </c>
      <c r="K7652" s="31">
        <v>-8.5297097999999991</v>
      </c>
      <c r="L7652" s="31"/>
      <c r="M7652" s="31" t="s">
        <v>854</v>
      </c>
      <c r="N7652" s="6" t="s">
        <v>856</v>
      </c>
    </row>
    <row r="7653" spans="1:14" ht="15" customHeight="1" x14ac:dyDescent="0.2">
      <c r="A7653" s="31">
        <v>5.4595345868425092E-2</v>
      </c>
      <c r="B7653" s="31"/>
      <c r="C7653" s="2" t="s">
        <v>855</v>
      </c>
      <c r="D7653" s="31">
        <f t="shared" si="213"/>
        <v>1.0700687790211319E-2</v>
      </c>
      <c r="F7653" s="2" t="s">
        <v>822</v>
      </c>
      <c r="G7653" s="23" t="s">
        <v>902</v>
      </c>
      <c r="H7653" s="2" t="s">
        <v>822</v>
      </c>
      <c r="J7653" s="31">
        <v>73.637397800000002</v>
      </c>
      <c r="K7653" s="31">
        <v>-1.7972399999999999</v>
      </c>
      <c r="L7653" s="31"/>
      <c r="M7653" s="31" t="s">
        <v>854</v>
      </c>
      <c r="N7653" s="6" t="s">
        <v>856</v>
      </c>
    </row>
    <row r="7654" spans="1:14" ht="15" customHeight="1" x14ac:dyDescent="0.2">
      <c r="A7654" s="31">
        <v>5.4589586184874181E-2</v>
      </c>
      <c r="B7654" s="31"/>
      <c r="C7654" s="2" t="s">
        <v>855</v>
      </c>
      <c r="D7654" s="31">
        <f t="shared" si="213"/>
        <v>1.0699558892235339E-2</v>
      </c>
      <c r="F7654" s="2" t="s">
        <v>822</v>
      </c>
      <c r="G7654" s="23" t="s">
        <v>902</v>
      </c>
      <c r="H7654" s="2" t="s">
        <v>822</v>
      </c>
      <c r="J7654" s="31">
        <v>66.120002700000001</v>
      </c>
      <c r="K7654" s="31">
        <v>10.8800001</v>
      </c>
      <c r="L7654" s="31"/>
      <c r="M7654" s="31" t="s">
        <v>854</v>
      </c>
      <c r="N7654" s="6" t="s">
        <v>856</v>
      </c>
    </row>
    <row r="7655" spans="1:14" ht="15" customHeight="1" x14ac:dyDescent="0.2">
      <c r="A7655" s="31">
        <v>5.4585968660575399E-2</v>
      </c>
      <c r="B7655" s="31"/>
      <c r="C7655" s="2" t="s">
        <v>855</v>
      </c>
      <c r="D7655" s="31">
        <f t="shared" si="213"/>
        <v>1.0698849857472778E-2</v>
      </c>
      <c r="F7655" s="2" t="s">
        <v>822</v>
      </c>
      <c r="G7655" s="23" t="s">
        <v>902</v>
      </c>
      <c r="H7655" s="2" t="s">
        <v>822</v>
      </c>
      <c r="J7655" s="31">
        <v>71.478301999999999</v>
      </c>
      <c r="K7655" s="31">
        <v>18.906999599999999</v>
      </c>
      <c r="L7655" s="31"/>
      <c r="M7655" s="31" t="s">
        <v>854</v>
      </c>
      <c r="N7655" s="6" t="s">
        <v>856</v>
      </c>
    </row>
    <row r="7656" spans="1:14" ht="15" customHeight="1" x14ac:dyDescent="0.2">
      <c r="A7656" s="31">
        <v>5.4418102742948192E-2</v>
      </c>
      <c r="B7656" s="31"/>
      <c r="C7656" s="2" t="s">
        <v>855</v>
      </c>
      <c r="D7656" s="31">
        <f t="shared" si="213"/>
        <v>1.0665948137617846E-2</v>
      </c>
      <c r="F7656" s="2" t="s">
        <v>822</v>
      </c>
      <c r="G7656" s="23" t="s">
        <v>902</v>
      </c>
      <c r="H7656" s="2" t="s">
        <v>822</v>
      </c>
      <c r="J7656" s="31">
        <v>67.456001299999997</v>
      </c>
      <c r="K7656" s="31">
        <v>-13.1680002</v>
      </c>
      <c r="L7656" s="31"/>
      <c r="M7656" s="31" t="s">
        <v>854</v>
      </c>
      <c r="N7656" s="6" t="s">
        <v>856</v>
      </c>
    </row>
    <row r="7657" spans="1:14" ht="15" customHeight="1" x14ac:dyDescent="0.2">
      <c r="A7657" s="31">
        <v>5.4409536638557639E-2</v>
      </c>
      <c r="B7657" s="31"/>
      <c r="C7657" s="2" t="s">
        <v>855</v>
      </c>
      <c r="D7657" s="31">
        <f t="shared" si="213"/>
        <v>1.0664269181157298E-2</v>
      </c>
      <c r="F7657" s="2" t="s">
        <v>822</v>
      </c>
      <c r="G7657" s="23" t="s">
        <v>902</v>
      </c>
      <c r="H7657" s="2" t="s">
        <v>822</v>
      </c>
      <c r="J7657" s="31">
        <v>66.788002000000006</v>
      </c>
      <c r="K7657" s="31">
        <v>-6.4879999000000002</v>
      </c>
      <c r="L7657" s="31"/>
      <c r="M7657" s="31" t="s">
        <v>854</v>
      </c>
      <c r="N7657" s="6" t="s">
        <v>856</v>
      </c>
    </row>
    <row r="7658" spans="1:14" ht="15" customHeight="1" x14ac:dyDescent="0.2">
      <c r="A7658" s="31">
        <v>5.4317156399404577E-2</v>
      </c>
      <c r="B7658" s="31"/>
      <c r="C7658" s="2" t="s">
        <v>855</v>
      </c>
      <c r="D7658" s="31">
        <f t="shared" si="213"/>
        <v>1.0646162654283298E-2</v>
      </c>
      <c r="F7658" s="2" t="s">
        <v>822</v>
      </c>
      <c r="G7658" s="23" t="s">
        <v>902</v>
      </c>
      <c r="H7658" s="2" t="s">
        <v>822</v>
      </c>
      <c r="J7658" s="31">
        <v>70.328796400000002</v>
      </c>
      <c r="K7658" s="31">
        <v>23.442399999999999</v>
      </c>
      <c r="L7658" s="31"/>
      <c r="M7658" s="31" t="s">
        <v>854</v>
      </c>
      <c r="N7658" s="6" t="s">
        <v>856</v>
      </c>
    </row>
    <row r="7659" spans="1:14" ht="15" customHeight="1" x14ac:dyDescent="0.2">
      <c r="A7659" s="31">
        <v>5.4186294030121228E-2</v>
      </c>
      <c r="B7659" s="31"/>
      <c r="C7659" s="2" t="s">
        <v>855</v>
      </c>
      <c r="D7659" s="31">
        <f t="shared" si="213"/>
        <v>1.0620513629903761E-2</v>
      </c>
      <c r="F7659" s="2" t="s">
        <v>822</v>
      </c>
      <c r="G7659" s="23" t="s">
        <v>902</v>
      </c>
      <c r="H7659" s="2" t="s">
        <v>822</v>
      </c>
      <c r="J7659" s="31">
        <v>70.795997600000007</v>
      </c>
      <c r="K7659" s="31">
        <v>0.86</v>
      </c>
      <c r="L7659" s="31"/>
      <c r="M7659" s="31" t="s">
        <v>854</v>
      </c>
      <c r="N7659" s="6" t="s">
        <v>856</v>
      </c>
    </row>
    <row r="7660" spans="1:14" ht="15" customHeight="1" x14ac:dyDescent="0.2">
      <c r="A7660" s="31">
        <v>5.4156147017192617E-2</v>
      </c>
      <c r="B7660" s="31"/>
      <c r="C7660" s="2" t="s">
        <v>855</v>
      </c>
      <c r="D7660" s="31">
        <f t="shared" si="213"/>
        <v>1.0614604815369754E-2</v>
      </c>
      <c r="F7660" s="2" t="s">
        <v>822</v>
      </c>
      <c r="G7660" s="23" t="s">
        <v>902</v>
      </c>
      <c r="H7660" s="2" t="s">
        <v>822</v>
      </c>
      <c r="J7660" s="31">
        <v>65.585502599999998</v>
      </c>
      <c r="K7660" s="31">
        <v>-3.1025200000000002</v>
      </c>
      <c r="L7660" s="31"/>
      <c r="M7660" s="31" t="s">
        <v>854</v>
      </c>
      <c r="N7660" s="6" t="s">
        <v>856</v>
      </c>
    </row>
    <row r="7661" spans="1:14" ht="15" customHeight="1" x14ac:dyDescent="0.2">
      <c r="A7661" s="31">
        <v>5.4137380006986958E-2</v>
      </c>
      <c r="B7661" s="31"/>
      <c r="C7661" s="2" t="s">
        <v>855</v>
      </c>
      <c r="D7661" s="31">
        <f t="shared" si="213"/>
        <v>1.0610926481369444E-2</v>
      </c>
      <c r="F7661" s="2" t="s">
        <v>822</v>
      </c>
      <c r="G7661" s="23" t="s">
        <v>902</v>
      </c>
      <c r="H7661" s="2" t="s">
        <v>822</v>
      </c>
      <c r="J7661" s="31">
        <v>70.795997600000007</v>
      </c>
      <c r="K7661" s="31">
        <v>-6.4879999000000002</v>
      </c>
      <c r="L7661" s="31"/>
      <c r="M7661" s="31" t="s">
        <v>854</v>
      </c>
      <c r="N7661" s="6" t="s">
        <v>856</v>
      </c>
    </row>
    <row r="7662" spans="1:14" ht="15" customHeight="1" x14ac:dyDescent="0.2">
      <c r="A7662" s="31">
        <v>5.4032839855267308E-2</v>
      </c>
      <c r="B7662" s="31"/>
      <c r="C7662" s="2" t="s">
        <v>855</v>
      </c>
      <c r="D7662" s="31">
        <f t="shared" si="213"/>
        <v>1.0590436611632392E-2</v>
      </c>
      <c r="F7662" s="2" t="s">
        <v>822</v>
      </c>
      <c r="G7662" s="23" t="s">
        <v>902</v>
      </c>
      <c r="H7662" s="2" t="s">
        <v>822</v>
      </c>
      <c r="J7662" s="31">
        <v>70.791297900000004</v>
      </c>
      <c r="K7662" s="31">
        <v>31.582599600000002</v>
      </c>
      <c r="L7662" s="31"/>
      <c r="M7662" s="31" t="s">
        <v>854</v>
      </c>
      <c r="N7662" s="6" t="s">
        <v>856</v>
      </c>
    </row>
    <row r="7663" spans="1:14" ht="15" customHeight="1" x14ac:dyDescent="0.2">
      <c r="A7663" s="31">
        <v>5.3993081283155588E-2</v>
      </c>
      <c r="B7663" s="31"/>
      <c r="C7663" s="2" t="s">
        <v>855</v>
      </c>
      <c r="D7663" s="31">
        <f t="shared" si="213"/>
        <v>1.0582643931498496E-2</v>
      </c>
      <c r="F7663" s="2" t="s">
        <v>822</v>
      </c>
      <c r="G7663" s="23" t="s">
        <v>902</v>
      </c>
      <c r="H7663" s="2" t="s">
        <v>822</v>
      </c>
      <c r="J7663" s="31">
        <v>71.850997899999996</v>
      </c>
      <c r="K7663" s="31">
        <v>-15.509200099999999</v>
      </c>
      <c r="L7663" s="31"/>
      <c r="M7663" s="31" t="s">
        <v>854</v>
      </c>
      <c r="N7663" s="6" t="s">
        <v>856</v>
      </c>
    </row>
    <row r="7664" spans="1:14" ht="15" customHeight="1" x14ac:dyDescent="0.2">
      <c r="A7664" s="31">
        <v>5.3976977178988798E-2</v>
      </c>
      <c r="B7664" s="31"/>
      <c r="C7664" s="2" t="s">
        <v>855</v>
      </c>
      <c r="D7664" s="31">
        <f t="shared" si="213"/>
        <v>1.0579487527081806E-2</v>
      </c>
      <c r="F7664" s="2" t="s">
        <v>822</v>
      </c>
      <c r="G7664" s="23" t="s">
        <v>902</v>
      </c>
      <c r="H7664" s="2" t="s">
        <v>822</v>
      </c>
      <c r="J7664" s="31">
        <v>68.124000499999994</v>
      </c>
      <c r="K7664" s="31">
        <v>-13.8360004</v>
      </c>
      <c r="L7664" s="31"/>
      <c r="M7664" s="31" t="s">
        <v>854</v>
      </c>
      <c r="N7664" s="6" t="s">
        <v>856</v>
      </c>
    </row>
    <row r="7665" spans="1:14" ht="15" customHeight="1" x14ac:dyDescent="0.2">
      <c r="A7665" s="31">
        <v>5.3952677975845999E-2</v>
      </c>
      <c r="B7665" s="31"/>
      <c r="C7665" s="2" t="s">
        <v>855</v>
      </c>
      <c r="D7665" s="31">
        <f t="shared" si="213"/>
        <v>1.0574724883265817E-2</v>
      </c>
      <c r="F7665" s="2" t="s">
        <v>822</v>
      </c>
      <c r="G7665" s="23" t="s">
        <v>902</v>
      </c>
      <c r="H7665" s="2" t="s">
        <v>822</v>
      </c>
      <c r="J7665" s="31">
        <v>72.862197899999998</v>
      </c>
      <c r="K7665" s="31">
        <v>11.4505997</v>
      </c>
      <c r="L7665" s="31"/>
      <c r="M7665" s="31" t="s">
        <v>854</v>
      </c>
      <c r="N7665" s="6" t="s">
        <v>856</v>
      </c>
    </row>
    <row r="7666" spans="1:14" ht="15" customHeight="1" x14ac:dyDescent="0.2">
      <c r="A7666" s="31">
        <v>5.3945749085336038E-2</v>
      </c>
      <c r="B7666" s="31"/>
      <c r="C7666" s="2" t="s">
        <v>855</v>
      </c>
      <c r="D7666" s="31">
        <f t="shared" si="213"/>
        <v>1.0573366820725865E-2</v>
      </c>
      <c r="F7666" s="2" t="s">
        <v>822</v>
      </c>
      <c r="G7666" s="23" t="s">
        <v>902</v>
      </c>
      <c r="H7666" s="2" t="s">
        <v>822</v>
      </c>
      <c r="J7666" s="31">
        <v>68.124000499999994</v>
      </c>
      <c r="K7666" s="31">
        <v>-7.8239998999999996</v>
      </c>
      <c r="L7666" s="31"/>
      <c r="M7666" s="31" t="s">
        <v>854</v>
      </c>
      <c r="N7666" s="6" t="s">
        <v>856</v>
      </c>
    </row>
    <row r="7667" spans="1:14" ht="15" customHeight="1" x14ac:dyDescent="0.2">
      <c r="A7667" s="31">
        <v>5.3854204029839023E-2</v>
      </c>
      <c r="B7667" s="31"/>
      <c r="C7667" s="2" t="s">
        <v>855</v>
      </c>
      <c r="D7667" s="31">
        <f t="shared" si="213"/>
        <v>1.0555423989848449E-2</v>
      </c>
      <c r="F7667" s="2" t="s">
        <v>822</v>
      </c>
      <c r="G7667" s="23" t="s">
        <v>902</v>
      </c>
      <c r="H7667" s="2" t="s">
        <v>822</v>
      </c>
      <c r="J7667" s="31">
        <v>70.817398100000005</v>
      </c>
      <c r="K7667" s="31">
        <v>34.941398599999999</v>
      </c>
      <c r="L7667" s="31"/>
      <c r="M7667" s="31" t="s">
        <v>854</v>
      </c>
      <c r="N7667" s="6" t="s">
        <v>856</v>
      </c>
    </row>
    <row r="7668" spans="1:14" ht="15" customHeight="1" x14ac:dyDescent="0.2">
      <c r="A7668" s="31">
        <v>5.385030879914926E-2</v>
      </c>
      <c r="B7668" s="31"/>
      <c r="C7668" s="2" t="s">
        <v>855</v>
      </c>
      <c r="D7668" s="31">
        <f t="shared" si="213"/>
        <v>1.0554660524633256E-2</v>
      </c>
      <c r="F7668" s="2" t="s">
        <v>822</v>
      </c>
      <c r="G7668" s="23" t="s">
        <v>902</v>
      </c>
      <c r="H7668" s="2" t="s">
        <v>822</v>
      </c>
      <c r="J7668" s="31">
        <v>69.723602299999996</v>
      </c>
      <c r="K7668" s="31">
        <v>49.624000500000001</v>
      </c>
      <c r="L7668" s="31"/>
      <c r="M7668" s="31" t="s">
        <v>854</v>
      </c>
      <c r="N7668" s="6" t="s">
        <v>856</v>
      </c>
    </row>
    <row r="7669" spans="1:14" ht="15" customHeight="1" x14ac:dyDescent="0.2">
      <c r="A7669" s="31">
        <v>5.3811129283728221E-2</v>
      </c>
      <c r="B7669" s="31"/>
      <c r="C7669" s="2" t="s">
        <v>855</v>
      </c>
      <c r="D7669" s="31">
        <f t="shared" si="213"/>
        <v>1.0546981339610732E-2</v>
      </c>
      <c r="F7669" s="2" t="s">
        <v>822</v>
      </c>
      <c r="G7669" s="23" t="s">
        <v>902</v>
      </c>
      <c r="H7669" s="2" t="s">
        <v>822</v>
      </c>
      <c r="J7669" s="31">
        <v>70.127998399999996</v>
      </c>
      <c r="K7669" s="31">
        <v>-1.1440001</v>
      </c>
      <c r="L7669" s="31"/>
      <c r="M7669" s="31" t="s">
        <v>854</v>
      </c>
      <c r="N7669" s="6" t="s">
        <v>856</v>
      </c>
    </row>
    <row r="7670" spans="1:14" ht="15" customHeight="1" x14ac:dyDescent="0.2">
      <c r="A7670" s="31">
        <v>5.3757522371001933E-2</v>
      </c>
      <c r="B7670" s="31"/>
      <c r="C7670" s="2" t="s">
        <v>855</v>
      </c>
      <c r="D7670" s="31">
        <f t="shared" si="213"/>
        <v>1.0536474384716379E-2</v>
      </c>
      <c r="F7670" s="2" t="s">
        <v>822</v>
      </c>
      <c r="G7670" s="23" t="s">
        <v>902</v>
      </c>
      <c r="H7670" s="2" t="s">
        <v>822</v>
      </c>
      <c r="J7670" s="31">
        <v>64.783996599999995</v>
      </c>
      <c r="K7670" s="31">
        <v>-1.8120000000000001</v>
      </c>
      <c r="L7670" s="31"/>
      <c r="M7670" s="31" t="s">
        <v>854</v>
      </c>
      <c r="N7670" s="6" t="s">
        <v>856</v>
      </c>
    </row>
    <row r="7671" spans="1:14" ht="15" customHeight="1" x14ac:dyDescent="0.2">
      <c r="A7671" s="31">
        <v>5.3746933589992989E-2</v>
      </c>
      <c r="B7671" s="31"/>
      <c r="C7671" s="2" t="s">
        <v>855</v>
      </c>
      <c r="D7671" s="31">
        <f t="shared" si="213"/>
        <v>1.0534398983638626E-2</v>
      </c>
      <c r="F7671" s="2" t="s">
        <v>822</v>
      </c>
      <c r="G7671" s="23" t="s">
        <v>902</v>
      </c>
      <c r="H7671" s="2" t="s">
        <v>822</v>
      </c>
      <c r="J7671" s="31">
        <v>70.818901100000005</v>
      </c>
      <c r="K7671" s="31">
        <v>-16.6114006</v>
      </c>
      <c r="L7671" s="31"/>
      <c r="M7671" s="31" t="s">
        <v>854</v>
      </c>
      <c r="N7671" s="6" t="s">
        <v>856</v>
      </c>
    </row>
    <row r="7672" spans="1:14" ht="15" customHeight="1" x14ac:dyDescent="0.2">
      <c r="A7672" s="31">
        <v>5.3559299253435159E-2</v>
      </c>
      <c r="B7672" s="31"/>
      <c r="C7672" s="2" t="s">
        <v>855</v>
      </c>
      <c r="D7672" s="31">
        <f t="shared" si="213"/>
        <v>1.0497622653673292E-2</v>
      </c>
      <c r="F7672" s="2" t="s">
        <v>822</v>
      </c>
      <c r="G7672" s="23" t="s">
        <v>902</v>
      </c>
      <c r="H7672" s="2" t="s">
        <v>822</v>
      </c>
      <c r="J7672" s="31">
        <v>74.127403299999997</v>
      </c>
      <c r="K7672" s="31">
        <v>1.528</v>
      </c>
      <c r="L7672" s="31"/>
      <c r="M7672" s="31" t="s">
        <v>854</v>
      </c>
      <c r="N7672" s="6" t="s">
        <v>856</v>
      </c>
    </row>
    <row r="7673" spans="1:14" ht="15" customHeight="1" x14ac:dyDescent="0.2">
      <c r="A7673" s="31">
        <v>5.3500220318432247E-2</v>
      </c>
      <c r="B7673" s="31"/>
      <c r="C7673" s="2" t="s">
        <v>855</v>
      </c>
      <c r="D7673" s="31">
        <f t="shared" si="213"/>
        <v>1.0486043182412721E-2</v>
      </c>
      <c r="F7673" s="2" t="s">
        <v>822</v>
      </c>
      <c r="G7673" s="23" t="s">
        <v>902</v>
      </c>
      <c r="H7673" s="2" t="s">
        <v>822</v>
      </c>
      <c r="J7673" s="31">
        <v>72.132003800000007</v>
      </c>
      <c r="K7673" s="31">
        <v>21.5680008</v>
      </c>
      <c r="L7673" s="31"/>
      <c r="M7673" s="31" t="s">
        <v>854</v>
      </c>
      <c r="N7673" s="6" t="s">
        <v>856</v>
      </c>
    </row>
    <row r="7674" spans="1:14" ht="15" customHeight="1" x14ac:dyDescent="0.2">
      <c r="A7674" s="31">
        <v>5.3362969169673813E-2</v>
      </c>
      <c r="B7674" s="31"/>
      <c r="C7674" s="2" t="s">
        <v>855</v>
      </c>
      <c r="D7674" s="31">
        <f t="shared" si="213"/>
        <v>1.0459141957256068E-2</v>
      </c>
      <c r="F7674" s="2" t="s">
        <v>822</v>
      </c>
      <c r="G7674" s="23" t="s">
        <v>902</v>
      </c>
      <c r="H7674" s="2" t="s">
        <v>822</v>
      </c>
      <c r="J7674" s="31">
        <v>67.382103000000001</v>
      </c>
      <c r="K7674" s="31">
        <v>-7.1928200999999996</v>
      </c>
      <c r="L7674" s="31"/>
      <c r="M7674" s="31" t="s">
        <v>854</v>
      </c>
      <c r="N7674" s="6" t="s">
        <v>856</v>
      </c>
    </row>
    <row r="7675" spans="1:14" ht="15" customHeight="1" x14ac:dyDescent="0.2">
      <c r="A7675" s="31">
        <v>5.3340889327837988E-2</v>
      </c>
      <c r="B7675" s="31"/>
      <c r="C7675" s="2" t="s">
        <v>855</v>
      </c>
      <c r="D7675" s="31">
        <f t="shared" si="213"/>
        <v>1.0454814308256247E-2</v>
      </c>
      <c r="F7675" s="2" t="s">
        <v>822</v>
      </c>
      <c r="G7675" s="23" t="s">
        <v>902</v>
      </c>
      <c r="H7675" s="2" t="s">
        <v>822</v>
      </c>
      <c r="J7675" s="31">
        <v>75.324798599999994</v>
      </c>
      <c r="K7675" s="31">
        <v>6.8698702000000003</v>
      </c>
      <c r="L7675" s="31"/>
      <c r="M7675" s="31" t="s">
        <v>854</v>
      </c>
      <c r="N7675" s="6" t="s">
        <v>856</v>
      </c>
    </row>
    <row r="7676" spans="1:14" ht="15" customHeight="1" x14ac:dyDescent="0.2">
      <c r="A7676" s="31">
        <v>5.3314934303767568E-2</v>
      </c>
      <c r="B7676" s="31"/>
      <c r="C7676" s="2" t="s">
        <v>855</v>
      </c>
      <c r="D7676" s="31">
        <f t="shared" si="213"/>
        <v>1.0449727123538444E-2</v>
      </c>
      <c r="F7676" s="2" t="s">
        <v>822</v>
      </c>
      <c r="G7676" s="23" t="s">
        <v>902</v>
      </c>
      <c r="H7676" s="2" t="s">
        <v>822</v>
      </c>
      <c r="J7676" s="31">
        <v>66.555496199999993</v>
      </c>
      <c r="K7676" s="31">
        <v>-27.874700499999999</v>
      </c>
      <c r="L7676" s="31"/>
      <c r="M7676" s="31" t="s">
        <v>854</v>
      </c>
      <c r="N7676" s="6" t="s">
        <v>856</v>
      </c>
    </row>
    <row r="7677" spans="1:14" ht="15" customHeight="1" x14ac:dyDescent="0.2">
      <c r="A7677" s="31">
        <v>5.3310164646665027E-2</v>
      </c>
      <c r="B7677" s="31"/>
      <c r="C7677" s="2" t="s">
        <v>855</v>
      </c>
      <c r="D7677" s="31">
        <f t="shared" si="213"/>
        <v>1.0448792270746346E-2</v>
      </c>
      <c r="F7677" s="2" t="s">
        <v>822</v>
      </c>
      <c r="G7677" s="23" t="s">
        <v>902</v>
      </c>
      <c r="H7677" s="2" t="s">
        <v>822</v>
      </c>
      <c r="J7677" s="31">
        <v>71.463996899999998</v>
      </c>
      <c r="K7677" s="31">
        <v>-3.8159999999999998</v>
      </c>
      <c r="L7677" s="31"/>
      <c r="M7677" s="31" t="s">
        <v>854</v>
      </c>
      <c r="N7677" s="6" t="s">
        <v>856</v>
      </c>
    </row>
    <row r="7678" spans="1:14" ht="15" customHeight="1" x14ac:dyDescent="0.2">
      <c r="A7678" s="31">
        <v>5.3300713151162721E-2</v>
      </c>
      <c r="B7678" s="31"/>
      <c r="C7678" s="2" t="s">
        <v>855</v>
      </c>
      <c r="D7678" s="31">
        <f t="shared" si="213"/>
        <v>1.0446939777627893E-2</v>
      </c>
      <c r="F7678" s="2" t="s">
        <v>822</v>
      </c>
      <c r="G7678" s="23" t="s">
        <v>902</v>
      </c>
      <c r="H7678" s="2" t="s">
        <v>822</v>
      </c>
      <c r="J7678" s="31">
        <v>70.127998399999996</v>
      </c>
      <c r="K7678" s="31">
        <v>12.8839998</v>
      </c>
      <c r="L7678" s="31"/>
      <c r="M7678" s="31" t="s">
        <v>854</v>
      </c>
      <c r="N7678" s="6" t="s">
        <v>856</v>
      </c>
    </row>
    <row r="7679" spans="1:14" ht="15" customHeight="1" x14ac:dyDescent="0.2">
      <c r="A7679" s="31">
        <v>5.3198748179448758E-2</v>
      </c>
      <c r="B7679" s="31"/>
      <c r="C7679" s="2" t="s">
        <v>855</v>
      </c>
      <c r="D7679" s="31">
        <f t="shared" si="213"/>
        <v>1.0426954643171957E-2</v>
      </c>
      <c r="F7679" s="2" t="s">
        <v>822</v>
      </c>
      <c r="G7679" s="23" t="s">
        <v>902</v>
      </c>
      <c r="H7679" s="2" t="s">
        <v>822</v>
      </c>
      <c r="J7679" s="31">
        <v>73.468002299999995</v>
      </c>
      <c r="K7679" s="31">
        <v>-4.4840001999999997</v>
      </c>
      <c r="L7679" s="31"/>
      <c r="M7679" s="31" t="s">
        <v>854</v>
      </c>
      <c r="N7679" s="6" t="s">
        <v>856</v>
      </c>
    </row>
    <row r="7680" spans="1:14" ht="15" customHeight="1" x14ac:dyDescent="0.2">
      <c r="A7680" s="31">
        <v>5.3166013073461887E-2</v>
      </c>
      <c r="B7680" s="31"/>
      <c r="C7680" s="2" t="s">
        <v>855</v>
      </c>
      <c r="D7680" s="31">
        <f t="shared" ref="D7680:D7743" si="214" xml:space="preserve"> A7680 * 0.196</f>
        <v>1.0420538562398531E-2</v>
      </c>
      <c r="F7680" s="2" t="s">
        <v>822</v>
      </c>
      <c r="G7680" s="23" t="s">
        <v>902</v>
      </c>
      <c r="H7680" s="2" t="s">
        <v>822</v>
      </c>
      <c r="J7680" s="31">
        <v>64.528999299999995</v>
      </c>
      <c r="K7680" s="31">
        <v>-9.3856897000000004</v>
      </c>
      <c r="L7680" s="31"/>
      <c r="M7680" s="31" t="s">
        <v>854</v>
      </c>
      <c r="N7680" s="6" t="s">
        <v>856</v>
      </c>
    </row>
    <row r="7681" spans="1:14" ht="15" customHeight="1" x14ac:dyDescent="0.2">
      <c r="A7681" s="31">
        <v>5.3156759386875203E-2</v>
      </c>
      <c r="B7681" s="31"/>
      <c r="C7681" s="2" t="s">
        <v>855</v>
      </c>
      <c r="D7681" s="31">
        <f t="shared" si="214"/>
        <v>1.041872483982754E-2</v>
      </c>
      <c r="F7681" s="2" t="s">
        <v>822</v>
      </c>
      <c r="G7681" s="23" t="s">
        <v>902</v>
      </c>
      <c r="H7681" s="2" t="s">
        <v>822</v>
      </c>
      <c r="J7681" s="31">
        <v>66.788002000000006</v>
      </c>
      <c r="K7681" s="31">
        <v>-13.8360004</v>
      </c>
      <c r="L7681" s="31"/>
      <c r="M7681" s="31" t="s">
        <v>854</v>
      </c>
      <c r="N7681" s="6" t="s">
        <v>856</v>
      </c>
    </row>
    <row r="7682" spans="1:14" ht="15" customHeight="1" x14ac:dyDescent="0.2">
      <c r="A7682" s="31">
        <v>5.315216688370647E-2</v>
      </c>
      <c r="B7682" s="31"/>
      <c r="C7682" s="2" t="s">
        <v>855</v>
      </c>
      <c r="D7682" s="31">
        <f t="shared" si="214"/>
        <v>1.0417824709206469E-2</v>
      </c>
      <c r="F7682" s="2" t="s">
        <v>822</v>
      </c>
      <c r="G7682" s="23" t="s">
        <v>902</v>
      </c>
      <c r="H7682" s="2" t="s">
        <v>822</v>
      </c>
      <c r="J7682" s="31">
        <v>69.462196399999996</v>
      </c>
      <c r="K7682" s="31">
        <v>-1.15306</v>
      </c>
      <c r="L7682" s="31"/>
      <c r="M7682" s="31" t="s">
        <v>854</v>
      </c>
      <c r="N7682" s="6" t="s">
        <v>856</v>
      </c>
    </row>
    <row r="7683" spans="1:14" ht="15" customHeight="1" x14ac:dyDescent="0.2">
      <c r="A7683" s="31">
        <v>5.3110723790387997E-2</v>
      </c>
      <c r="B7683" s="31"/>
      <c r="C7683" s="2" t="s">
        <v>855</v>
      </c>
      <c r="D7683" s="31">
        <f t="shared" si="214"/>
        <v>1.0409701862916048E-2</v>
      </c>
      <c r="F7683" s="2" t="s">
        <v>822</v>
      </c>
      <c r="G7683" s="23" t="s">
        <v>902</v>
      </c>
      <c r="H7683" s="2" t="s">
        <v>822</v>
      </c>
      <c r="J7683" s="31">
        <v>72.132003800000007</v>
      </c>
      <c r="K7683" s="31">
        <v>20.899999600000001</v>
      </c>
      <c r="L7683" s="31"/>
      <c r="M7683" s="31" t="s">
        <v>854</v>
      </c>
      <c r="N7683" s="6" t="s">
        <v>856</v>
      </c>
    </row>
    <row r="7684" spans="1:14" ht="15" customHeight="1" x14ac:dyDescent="0.2">
      <c r="A7684" s="31">
        <v>5.30663526562739E-2</v>
      </c>
      <c r="B7684" s="31"/>
      <c r="C7684" s="2" t="s">
        <v>855</v>
      </c>
      <c r="D7684" s="31">
        <f t="shared" si="214"/>
        <v>1.0401005120629685E-2</v>
      </c>
      <c r="F7684" s="2" t="s">
        <v>822</v>
      </c>
      <c r="G7684" s="23" t="s">
        <v>902</v>
      </c>
      <c r="H7684" s="2" t="s">
        <v>822</v>
      </c>
      <c r="J7684" s="31">
        <v>69.787300099999996</v>
      </c>
      <c r="K7684" s="31">
        <v>19.4325008</v>
      </c>
      <c r="L7684" s="31"/>
      <c r="M7684" s="31" t="s">
        <v>854</v>
      </c>
      <c r="N7684" s="6" t="s">
        <v>856</v>
      </c>
    </row>
    <row r="7685" spans="1:14" ht="15" customHeight="1" x14ac:dyDescent="0.2">
      <c r="A7685" s="31">
        <v>5.3057881532910162E-2</v>
      </c>
      <c r="B7685" s="31"/>
      <c r="C7685" s="2" t="s">
        <v>855</v>
      </c>
      <c r="D7685" s="31">
        <f t="shared" si="214"/>
        <v>1.0399344780450391E-2</v>
      </c>
      <c r="F7685" s="2" t="s">
        <v>822</v>
      </c>
      <c r="G7685" s="23" t="s">
        <v>902</v>
      </c>
      <c r="H7685" s="2" t="s">
        <v>822</v>
      </c>
      <c r="J7685" s="31">
        <v>66.120002700000001</v>
      </c>
      <c r="K7685" s="31">
        <v>-4.4840001999999997</v>
      </c>
      <c r="L7685" s="31"/>
      <c r="M7685" s="31" t="s">
        <v>854</v>
      </c>
      <c r="N7685" s="6" t="s">
        <v>856</v>
      </c>
    </row>
    <row r="7686" spans="1:14" ht="15" customHeight="1" x14ac:dyDescent="0.2">
      <c r="A7686" s="31">
        <v>5.3046261443891379E-2</v>
      </c>
      <c r="B7686" s="31"/>
      <c r="C7686" s="2" t="s">
        <v>855</v>
      </c>
      <c r="D7686" s="31">
        <f t="shared" si="214"/>
        <v>1.0397067243002711E-2</v>
      </c>
      <c r="F7686" s="2" t="s">
        <v>822</v>
      </c>
      <c r="G7686" s="23" t="s">
        <v>902</v>
      </c>
      <c r="H7686" s="2" t="s">
        <v>822</v>
      </c>
      <c r="J7686" s="31">
        <v>66.788002000000006</v>
      </c>
      <c r="K7686" s="31">
        <v>-15.171999899999999</v>
      </c>
      <c r="L7686" s="31"/>
      <c r="M7686" s="31" t="s">
        <v>854</v>
      </c>
      <c r="N7686" s="6" t="s">
        <v>856</v>
      </c>
    </row>
    <row r="7687" spans="1:14" ht="15" customHeight="1" x14ac:dyDescent="0.2">
      <c r="A7687" s="31">
        <v>5.2970296529973378E-2</v>
      </c>
      <c r="B7687" s="31"/>
      <c r="C7687" s="2" t="s">
        <v>855</v>
      </c>
      <c r="D7687" s="31">
        <f t="shared" si="214"/>
        <v>1.0382178119874783E-2</v>
      </c>
      <c r="F7687" s="2" t="s">
        <v>822</v>
      </c>
      <c r="G7687" s="23" t="s">
        <v>902</v>
      </c>
      <c r="H7687" s="2" t="s">
        <v>822</v>
      </c>
      <c r="J7687" s="31">
        <v>70.795997600000007</v>
      </c>
      <c r="K7687" s="31">
        <v>-4.4840001999999997</v>
      </c>
      <c r="L7687" s="31"/>
      <c r="M7687" s="31" t="s">
        <v>854</v>
      </c>
      <c r="N7687" s="6" t="s">
        <v>856</v>
      </c>
    </row>
    <row r="7688" spans="1:14" ht="15" customHeight="1" x14ac:dyDescent="0.2">
      <c r="A7688" s="31">
        <v>5.2961990217084143E-2</v>
      </c>
      <c r="B7688" s="31"/>
      <c r="C7688" s="2" t="s">
        <v>855</v>
      </c>
      <c r="D7688" s="31">
        <f t="shared" si="214"/>
        <v>1.0380550082548493E-2</v>
      </c>
      <c r="F7688" s="2" t="s">
        <v>822</v>
      </c>
      <c r="G7688" s="23" t="s">
        <v>902</v>
      </c>
      <c r="H7688" s="2" t="s">
        <v>822</v>
      </c>
      <c r="J7688" s="31">
        <v>70.795997600000007</v>
      </c>
      <c r="K7688" s="31">
        <v>5.5359997999999999</v>
      </c>
      <c r="L7688" s="31"/>
      <c r="M7688" s="31" t="s">
        <v>854</v>
      </c>
      <c r="N7688" s="6" t="s">
        <v>856</v>
      </c>
    </row>
    <row r="7689" spans="1:14" ht="15" customHeight="1" x14ac:dyDescent="0.2">
      <c r="A7689" s="31">
        <v>5.2955826007526192E-2</v>
      </c>
      <c r="B7689" s="31"/>
      <c r="C7689" s="2" t="s">
        <v>855</v>
      </c>
      <c r="D7689" s="31">
        <f t="shared" si="214"/>
        <v>1.0379341897475134E-2</v>
      </c>
      <c r="F7689" s="2" t="s">
        <v>822</v>
      </c>
      <c r="G7689" s="23" t="s">
        <v>902</v>
      </c>
      <c r="H7689" s="2" t="s">
        <v>822</v>
      </c>
      <c r="J7689" s="31">
        <v>65.452003500000004</v>
      </c>
      <c r="K7689" s="31">
        <v>-7.1560001</v>
      </c>
      <c r="L7689" s="31"/>
      <c r="M7689" s="31" t="s">
        <v>854</v>
      </c>
      <c r="N7689" s="6" t="s">
        <v>856</v>
      </c>
    </row>
    <row r="7690" spans="1:14" ht="15" customHeight="1" x14ac:dyDescent="0.2">
      <c r="A7690" s="31">
        <v>5.294798580878346E-2</v>
      </c>
      <c r="B7690" s="31"/>
      <c r="C7690" s="2" t="s">
        <v>855</v>
      </c>
      <c r="D7690" s="31">
        <f t="shared" si="214"/>
        <v>1.0377805218521559E-2</v>
      </c>
      <c r="F7690" s="2" t="s">
        <v>822</v>
      </c>
      <c r="G7690" s="23" t="s">
        <v>902</v>
      </c>
      <c r="H7690" s="2" t="s">
        <v>822</v>
      </c>
      <c r="J7690" s="31">
        <v>66.788002000000006</v>
      </c>
      <c r="K7690" s="31">
        <v>-2.48</v>
      </c>
      <c r="L7690" s="31"/>
      <c r="M7690" s="31" t="s">
        <v>854</v>
      </c>
      <c r="N7690" s="6" t="s">
        <v>856</v>
      </c>
    </row>
    <row r="7691" spans="1:14" ht="15" customHeight="1" x14ac:dyDescent="0.2">
      <c r="A7691" s="31">
        <v>5.2947767336728409E-2</v>
      </c>
      <c r="B7691" s="31"/>
      <c r="C7691" s="2" t="s">
        <v>855</v>
      </c>
      <c r="D7691" s="31">
        <f t="shared" si="214"/>
        <v>1.0377762397998768E-2</v>
      </c>
      <c r="F7691" s="2" t="s">
        <v>822</v>
      </c>
      <c r="G7691" s="23" t="s">
        <v>902</v>
      </c>
      <c r="H7691" s="2" t="s">
        <v>822</v>
      </c>
      <c r="J7691" s="31">
        <v>73.449096699999998</v>
      </c>
      <c r="K7691" s="31">
        <v>-9.1443396000000003</v>
      </c>
      <c r="L7691" s="31"/>
      <c r="M7691" s="31" t="s">
        <v>854</v>
      </c>
      <c r="N7691" s="6" t="s">
        <v>856</v>
      </c>
    </row>
    <row r="7692" spans="1:14" ht="15" customHeight="1" x14ac:dyDescent="0.2">
      <c r="A7692" s="31">
        <v>5.2947637684345787E-2</v>
      </c>
      <c r="B7692" s="31"/>
      <c r="C7692" s="2" t="s">
        <v>855</v>
      </c>
      <c r="D7692" s="31">
        <f t="shared" si="214"/>
        <v>1.0377736986131775E-2</v>
      </c>
      <c r="F7692" s="2" t="s">
        <v>822</v>
      </c>
      <c r="G7692" s="23" t="s">
        <v>902</v>
      </c>
      <c r="H7692" s="2" t="s">
        <v>822</v>
      </c>
      <c r="J7692" s="31">
        <v>75.303398099999995</v>
      </c>
      <c r="K7692" s="31">
        <v>8.8735999999999997</v>
      </c>
      <c r="L7692" s="31"/>
      <c r="M7692" s="31" t="s">
        <v>854</v>
      </c>
      <c r="N7692" s="6" t="s">
        <v>856</v>
      </c>
    </row>
    <row r="7693" spans="1:14" ht="15" customHeight="1" x14ac:dyDescent="0.2">
      <c r="A7693" s="31">
        <v>5.2922793901231342E-2</v>
      </c>
      <c r="B7693" s="31"/>
      <c r="C7693" s="2" t="s">
        <v>855</v>
      </c>
      <c r="D7693" s="31">
        <f t="shared" si="214"/>
        <v>1.0372867604641343E-2</v>
      </c>
      <c r="F7693" s="2" t="s">
        <v>822</v>
      </c>
      <c r="G7693" s="23" t="s">
        <v>902</v>
      </c>
      <c r="H7693" s="2" t="s">
        <v>822</v>
      </c>
      <c r="J7693" s="31">
        <v>72.132003800000007</v>
      </c>
      <c r="K7693" s="31">
        <v>28.916000400000001</v>
      </c>
      <c r="L7693" s="31"/>
      <c r="M7693" s="31" t="s">
        <v>854</v>
      </c>
      <c r="N7693" s="6" t="s">
        <v>856</v>
      </c>
    </row>
    <row r="7694" spans="1:14" ht="15" customHeight="1" x14ac:dyDescent="0.2">
      <c r="A7694" s="31">
        <v>5.2915595268197217E-2</v>
      </c>
      <c r="B7694" s="31"/>
      <c r="C7694" s="2" t="s">
        <v>855</v>
      </c>
      <c r="D7694" s="31">
        <f t="shared" si="214"/>
        <v>1.0371456672566655E-2</v>
      </c>
      <c r="F7694" s="2" t="s">
        <v>822</v>
      </c>
      <c r="G7694" s="23" t="s">
        <v>902</v>
      </c>
      <c r="H7694" s="2" t="s">
        <v>822</v>
      </c>
      <c r="J7694" s="31">
        <v>73.468002299999995</v>
      </c>
      <c r="K7694" s="31">
        <v>26.243999500000001</v>
      </c>
      <c r="L7694" s="31"/>
      <c r="M7694" s="31" t="s">
        <v>854</v>
      </c>
      <c r="N7694" s="6" t="s">
        <v>856</v>
      </c>
    </row>
    <row r="7695" spans="1:14" ht="15" customHeight="1" x14ac:dyDescent="0.2">
      <c r="A7695" s="31">
        <v>5.2878341401428469E-2</v>
      </c>
      <c r="B7695" s="31"/>
      <c r="C7695" s="2" t="s">
        <v>855</v>
      </c>
      <c r="D7695" s="31">
        <f t="shared" si="214"/>
        <v>1.036415491467998E-2</v>
      </c>
      <c r="F7695" s="2" t="s">
        <v>822</v>
      </c>
      <c r="G7695" s="23" t="s">
        <v>902</v>
      </c>
      <c r="H7695" s="2" t="s">
        <v>822</v>
      </c>
      <c r="J7695" s="31">
        <v>73.468002299999995</v>
      </c>
      <c r="K7695" s="31">
        <v>2.8640001000000002</v>
      </c>
      <c r="L7695" s="31"/>
      <c r="M7695" s="31" t="s">
        <v>854</v>
      </c>
      <c r="N7695" s="6" t="s">
        <v>856</v>
      </c>
    </row>
    <row r="7696" spans="1:14" ht="15" customHeight="1" x14ac:dyDescent="0.2">
      <c r="A7696" s="31">
        <v>5.2709824690471897E-2</v>
      </c>
      <c r="B7696" s="31"/>
      <c r="C7696" s="2" t="s">
        <v>855</v>
      </c>
      <c r="D7696" s="31">
        <f t="shared" si="214"/>
        <v>1.0331125639332491E-2</v>
      </c>
      <c r="F7696" s="2" t="s">
        <v>822</v>
      </c>
      <c r="G7696" s="23" t="s">
        <v>902</v>
      </c>
      <c r="H7696" s="2" t="s">
        <v>822</v>
      </c>
      <c r="J7696" s="31">
        <v>67.456001299999997</v>
      </c>
      <c r="K7696" s="31">
        <v>-22.520000499999998</v>
      </c>
      <c r="L7696" s="31"/>
      <c r="M7696" s="31" t="s">
        <v>854</v>
      </c>
      <c r="N7696" s="6" t="s">
        <v>856</v>
      </c>
    </row>
    <row r="7697" spans="1:14" ht="15" customHeight="1" x14ac:dyDescent="0.2">
      <c r="A7697" s="31">
        <v>5.2698072438235877E-2</v>
      </c>
      <c r="B7697" s="31"/>
      <c r="C7697" s="2" t="s">
        <v>855</v>
      </c>
      <c r="D7697" s="31">
        <f t="shared" si="214"/>
        <v>1.0328822197894232E-2</v>
      </c>
      <c r="F7697" s="2" t="s">
        <v>822</v>
      </c>
      <c r="G7697" s="23" t="s">
        <v>902</v>
      </c>
      <c r="H7697" s="2" t="s">
        <v>822</v>
      </c>
      <c r="J7697" s="31">
        <v>67.023902899999996</v>
      </c>
      <c r="K7697" s="31">
        <v>-3.5238700000000001</v>
      </c>
      <c r="L7697" s="31"/>
      <c r="M7697" s="31" t="s">
        <v>854</v>
      </c>
      <c r="N7697" s="6" t="s">
        <v>856</v>
      </c>
    </row>
    <row r="7698" spans="1:14" ht="15" customHeight="1" x14ac:dyDescent="0.2">
      <c r="A7698" s="31">
        <v>5.2658905500845822E-2</v>
      </c>
      <c r="B7698" s="31"/>
      <c r="C7698" s="2" t="s">
        <v>855</v>
      </c>
      <c r="D7698" s="31">
        <f t="shared" si="214"/>
        <v>1.0321145478165782E-2</v>
      </c>
      <c r="F7698" s="2" t="s">
        <v>822</v>
      </c>
      <c r="G7698" s="23" t="s">
        <v>902</v>
      </c>
      <c r="H7698" s="2" t="s">
        <v>822</v>
      </c>
      <c r="J7698" s="31">
        <v>72.862197899999998</v>
      </c>
      <c r="K7698" s="31">
        <v>10.977399800000001</v>
      </c>
      <c r="L7698" s="31"/>
      <c r="M7698" s="31" t="s">
        <v>854</v>
      </c>
      <c r="N7698" s="6" t="s">
        <v>856</v>
      </c>
    </row>
    <row r="7699" spans="1:14" ht="15" customHeight="1" x14ac:dyDescent="0.2">
      <c r="A7699" s="31">
        <v>5.2569119358257643E-2</v>
      </c>
      <c r="B7699" s="31"/>
      <c r="C7699" s="2" t="s">
        <v>855</v>
      </c>
      <c r="D7699" s="31">
        <f t="shared" si="214"/>
        <v>1.0303547394218498E-2</v>
      </c>
      <c r="F7699" s="2" t="s">
        <v>822</v>
      </c>
      <c r="G7699" s="23" t="s">
        <v>902</v>
      </c>
      <c r="H7699" s="2" t="s">
        <v>822</v>
      </c>
      <c r="J7699" s="31">
        <v>68.124000499999994</v>
      </c>
      <c r="K7699" s="31">
        <v>-11.1639996</v>
      </c>
      <c r="L7699" s="31"/>
      <c r="M7699" s="31" t="s">
        <v>854</v>
      </c>
      <c r="N7699" s="6" t="s">
        <v>856</v>
      </c>
    </row>
    <row r="7700" spans="1:14" ht="15" customHeight="1" x14ac:dyDescent="0.2">
      <c r="A7700" s="31">
        <v>5.2498298526617901E-2</v>
      </c>
      <c r="B7700" s="31"/>
      <c r="C7700" s="2" t="s">
        <v>855</v>
      </c>
      <c r="D7700" s="31">
        <f t="shared" si="214"/>
        <v>1.028966651121711E-2</v>
      </c>
      <c r="F7700" s="2" t="s">
        <v>822</v>
      </c>
      <c r="G7700" s="23" t="s">
        <v>902</v>
      </c>
      <c r="H7700" s="2" t="s">
        <v>822</v>
      </c>
      <c r="J7700" s="31">
        <v>69.459999100000005</v>
      </c>
      <c r="K7700" s="31">
        <v>-13.1680002</v>
      </c>
      <c r="L7700" s="31"/>
      <c r="M7700" s="31" t="s">
        <v>854</v>
      </c>
      <c r="N7700" s="6" t="s">
        <v>856</v>
      </c>
    </row>
    <row r="7701" spans="1:14" ht="15" customHeight="1" x14ac:dyDescent="0.2">
      <c r="A7701" s="31">
        <v>5.2409086325978231E-2</v>
      </c>
      <c r="B7701" s="31"/>
      <c r="C7701" s="2" t="s">
        <v>855</v>
      </c>
      <c r="D7701" s="31">
        <f t="shared" si="214"/>
        <v>1.0272180919891735E-2</v>
      </c>
      <c r="F7701" s="2" t="s">
        <v>822</v>
      </c>
      <c r="G7701" s="23" t="s">
        <v>902</v>
      </c>
      <c r="H7701" s="2" t="s">
        <v>822</v>
      </c>
      <c r="J7701" s="31">
        <v>71.463996899999998</v>
      </c>
      <c r="K7701" s="31">
        <v>-15.171999899999999</v>
      </c>
      <c r="L7701" s="31"/>
      <c r="M7701" s="31" t="s">
        <v>854</v>
      </c>
      <c r="N7701" s="6" t="s">
        <v>856</v>
      </c>
    </row>
    <row r="7702" spans="1:14" ht="15" customHeight="1" x14ac:dyDescent="0.2">
      <c r="A7702" s="31">
        <v>5.2341397264767567E-2</v>
      </c>
      <c r="B7702" s="31"/>
      <c r="C7702" s="2" t="s">
        <v>855</v>
      </c>
      <c r="D7702" s="31">
        <f t="shared" si="214"/>
        <v>1.0258913863894444E-2</v>
      </c>
      <c r="F7702" s="2" t="s">
        <v>822</v>
      </c>
      <c r="G7702" s="23" t="s">
        <v>902</v>
      </c>
      <c r="H7702" s="2" t="s">
        <v>822</v>
      </c>
      <c r="J7702" s="31">
        <v>70.124397299999998</v>
      </c>
      <c r="K7702" s="31">
        <v>-7.8210702000000003</v>
      </c>
      <c r="L7702" s="31"/>
      <c r="M7702" s="31" t="s">
        <v>854</v>
      </c>
      <c r="N7702" s="6" t="s">
        <v>856</v>
      </c>
    </row>
    <row r="7703" spans="1:14" ht="15" customHeight="1" x14ac:dyDescent="0.2">
      <c r="A7703" s="31">
        <v>5.227310545811218E-2</v>
      </c>
      <c r="B7703" s="31"/>
      <c r="C7703" s="2" t="s">
        <v>855</v>
      </c>
      <c r="D7703" s="31">
        <f t="shared" si="214"/>
        <v>1.0245528669789988E-2</v>
      </c>
      <c r="F7703" s="2" t="s">
        <v>822</v>
      </c>
      <c r="G7703" s="23" t="s">
        <v>902</v>
      </c>
      <c r="H7703" s="2" t="s">
        <v>822</v>
      </c>
      <c r="J7703" s="31">
        <v>68.680603000000005</v>
      </c>
      <c r="K7703" s="31">
        <v>46.302799200000003</v>
      </c>
      <c r="L7703" s="31"/>
      <c r="M7703" s="31" t="s">
        <v>854</v>
      </c>
      <c r="N7703" s="6" t="s">
        <v>856</v>
      </c>
    </row>
    <row r="7704" spans="1:14" ht="15" customHeight="1" x14ac:dyDescent="0.2">
      <c r="A7704" s="31">
        <v>5.2192754177801663E-2</v>
      </c>
      <c r="B7704" s="31"/>
      <c r="C7704" s="2" t="s">
        <v>855</v>
      </c>
      <c r="D7704" s="31">
        <f t="shared" si="214"/>
        <v>1.0229779818849127E-2</v>
      </c>
      <c r="F7704" s="2" t="s">
        <v>822</v>
      </c>
      <c r="G7704" s="23" t="s">
        <v>902</v>
      </c>
      <c r="H7704" s="2" t="s">
        <v>822</v>
      </c>
      <c r="J7704" s="31">
        <v>68.791999799999999</v>
      </c>
      <c r="K7704" s="31">
        <v>-16.507999399999999</v>
      </c>
      <c r="L7704" s="31"/>
      <c r="M7704" s="31" t="s">
        <v>854</v>
      </c>
      <c r="N7704" s="6" t="s">
        <v>856</v>
      </c>
    </row>
    <row r="7705" spans="1:14" ht="15" customHeight="1" x14ac:dyDescent="0.2">
      <c r="A7705" s="31">
        <v>5.2171255226732292E-2</v>
      </c>
      <c r="B7705" s="31"/>
      <c r="C7705" s="2" t="s">
        <v>855</v>
      </c>
      <c r="D7705" s="31">
        <f t="shared" si="214"/>
        <v>1.022556602443953E-2</v>
      </c>
      <c r="F7705" s="2" t="s">
        <v>822</v>
      </c>
      <c r="G7705" s="23" t="s">
        <v>902</v>
      </c>
      <c r="H7705" s="2" t="s">
        <v>822</v>
      </c>
      <c r="J7705" s="31">
        <v>72.132003800000007</v>
      </c>
      <c r="K7705" s="31">
        <v>-4.4840001999999997</v>
      </c>
      <c r="L7705" s="31"/>
      <c r="M7705" s="31" t="s">
        <v>854</v>
      </c>
      <c r="N7705" s="6" t="s">
        <v>856</v>
      </c>
    </row>
    <row r="7706" spans="1:14" ht="15" customHeight="1" x14ac:dyDescent="0.2">
      <c r="A7706" s="31">
        <v>5.2169805745451422E-2</v>
      </c>
      <c r="B7706" s="31"/>
      <c r="C7706" s="2" t="s">
        <v>855</v>
      </c>
      <c r="D7706" s="31">
        <f t="shared" si="214"/>
        <v>1.0225281926108479E-2</v>
      </c>
      <c r="F7706" s="2" t="s">
        <v>822</v>
      </c>
      <c r="G7706" s="23" t="s">
        <v>902</v>
      </c>
      <c r="H7706" s="2" t="s">
        <v>822</v>
      </c>
      <c r="J7706" s="31">
        <v>65.452003500000004</v>
      </c>
      <c r="K7706" s="31">
        <v>-7.8239998999999996</v>
      </c>
      <c r="L7706" s="31"/>
      <c r="M7706" s="31" t="s">
        <v>854</v>
      </c>
      <c r="N7706" s="6" t="s">
        <v>856</v>
      </c>
    </row>
    <row r="7707" spans="1:14" ht="15" customHeight="1" x14ac:dyDescent="0.2">
      <c r="A7707" s="31">
        <v>5.2157826657863803E-2</v>
      </c>
      <c r="B7707" s="31"/>
      <c r="C7707" s="2" t="s">
        <v>855</v>
      </c>
      <c r="D7707" s="31">
        <f t="shared" si="214"/>
        <v>1.0222934024941305E-2</v>
      </c>
      <c r="F7707" s="2" t="s">
        <v>822</v>
      </c>
      <c r="G7707" s="23" t="s">
        <v>902</v>
      </c>
      <c r="H7707" s="2" t="s">
        <v>822</v>
      </c>
      <c r="J7707" s="31">
        <v>66.788002000000006</v>
      </c>
      <c r="K7707" s="31">
        <v>-11.8319998</v>
      </c>
      <c r="L7707" s="31"/>
      <c r="M7707" s="31" t="s">
        <v>854</v>
      </c>
      <c r="N7707" s="6" t="s">
        <v>856</v>
      </c>
    </row>
    <row r="7708" spans="1:14" ht="15" customHeight="1" x14ac:dyDescent="0.2">
      <c r="A7708" s="31">
        <v>5.2034173166546988E-2</v>
      </c>
      <c r="B7708" s="31"/>
      <c r="C7708" s="2" t="s">
        <v>855</v>
      </c>
      <c r="D7708" s="31">
        <f t="shared" si="214"/>
        <v>1.0198697940643211E-2</v>
      </c>
      <c r="F7708" s="2" t="s">
        <v>822</v>
      </c>
      <c r="G7708" s="23" t="s">
        <v>902</v>
      </c>
      <c r="H7708" s="2" t="s">
        <v>822</v>
      </c>
      <c r="J7708" s="31">
        <v>66.120002700000001</v>
      </c>
      <c r="K7708" s="31">
        <v>-2.48</v>
      </c>
      <c r="L7708" s="31"/>
      <c r="M7708" s="31" t="s">
        <v>854</v>
      </c>
      <c r="N7708" s="6" t="s">
        <v>856</v>
      </c>
    </row>
    <row r="7709" spans="1:14" ht="15" customHeight="1" x14ac:dyDescent="0.2">
      <c r="A7709" s="31">
        <v>5.2010544362257681E-2</v>
      </c>
      <c r="B7709" s="31"/>
      <c r="C7709" s="2" t="s">
        <v>855</v>
      </c>
      <c r="D7709" s="31">
        <f t="shared" si="214"/>
        <v>1.0194066695002505E-2</v>
      </c>
      <c r="F7709" s="2" t="s">
        <v>822</v>
      </c>
      <c r="G7709" s="23" t="s">
        <v>902</v>
      </c>
      <c r="H7709" s="2" t="s">
        <v>822</v>
      </c>
      <c r="J7709" s="31">
        <v>72.377998399999996</v>
      </c>
      <c r="K7709" s="31">
        <v>11.150899900000001</v>
      </c>
      <c r="L7709" s="31"/>
      <c r="M7709" s="31" t="s">
        <v>854</v>
      </c>
      <c r="N7709" s="6" t="s">
        <v>856</v>
      </c>
    </row>
    <row r="7710" spans="1:14" ht="15" customHeight="1" x14ac:dyDescent="0.2">
      <c r="A7710" s="31">
        <v>5.1979000623389823E-2</v>
      </c>
      <c r="B7710" s="31"/>
      <c r="C7710" s="2" t="s">
        <v>855</v>
      </c>
      <c r="D7710" s="31">
        <f t="shared" si="214"/>
        <v>1.0187884122184406E-2</v>
      </c>
      <c r="F7710" s="2" t="s">
        <v>822</v>
      </c>
      <c r="G7710" s="23" t="s">
        <v>902</v>
      </c>
      <c r="H7710" s="2" t="s">
        <v>822</v>
      </c>
      <c r="J7710" s="31">
        <v>66.788002000000006</v>
      </c>
      <c r="K7710" s="31">
        <v>-20.516000699999999</v>
      </c>
      <c r="L7710" s="31"/>
      <c r="M7710" s="31" t="s">
        <v>854</v>
      </c>
      <c r="N7710" s="6" t="s">
        <v>856</v>
      </c>
    </row>
    <row r="7711" spans="1:14" ht="15" customHeight="1" x14ac:dyDescent="0.2">
      <c r="A7711" s="31">
        <v>5.1954867162808678E-2</v>
      </c>
      <c r="B7711" s="31"/>
      <c r="C7711" s="2" t="s">
        <v>855</v>
      </c>
      <c r="D7711" s="31">
        <f t="shared" si="214"/>
        <v>1.0183153963910502E-2</v>
      </c>
      <c r="F7711" s="2" t="s">
        <v>822</v>
      </c>
      <c r="G7711" s="23" t="s">
        <v>902</v>
      </c>
      <c r="H7711" s="2" t="s">
        <v>822</v>
      </c>
      <c r="J7711" s="31">
        <v>75.224998499999998</v>
      </c>
      <c r="K7711" s="31">
        <v>16.219400400000001</v>
      </c>
      <c r="L7711" s="31"/>
      <c r="M7711" s="31" t="s">
        <v>854</v>
      </c>
      <c r="N7711" s="6" t="s">
        <v>856</v>
      </c>
    </row>
    <row r="7712" spans="1:14" ht="15" customHeight="1" x14ac:dyDescent="0.2">
      <c r="A7712" s="31">
        <v>5.189468756496704E-2</v>
      </c>
      <c r="B7712" s="31"/>
      <c r="C7712" s="2" t="s">
        <v>855</v>
      </c>
      <c r="D7712" s="31">
        <f t="shared" si="214"/>
        <v>1.017135876273354E-2</v>
      </c>
      <c r="F7712" s="2" t="s">
        <v>822</v>
      </c>
      <c r="G7712" s="23" t="s">
        <v>902</v>
      </c>
      <c r="H7712" s="2" t="s">
        <v>822</v>
      </c>
      <c r="J7712" s="31">
        <v>71.431899999999999</v>
      </c>
      <c r="K7712" s="31">
        <v>47.636299100000002</v>
      </c>
      <c r="L7712" s="31"/>
      <c r="M7712" s="31" t="s">
        <v>854</v>
      </c>
      <c r="N7712" s="6" t="s">
        <v>856</v>
      </c>
    </row>
    <row r="7713" spans="1:14" ht="15" customHeight="1" x14ac:dyDescent="0.2">
      <c r="A7713" s="31">
        <v>5.1852914063096632E-2</v>
      </c>
      <c r="B7713" s="31"/>
      <c r="C7713" s="2" t="s">
        <v>855</v>
      </c>
      <c r="D7713" s="31">
        <f t="shared" si="214"/>
        <v>1.0163171156366941E-2</v>
      </c>
      <c r="F7713" s="2" t="s">
        <v>822</v>
      </c>
      <c r="G7713" s="23" t="s">
        <v>902</v>
      </c>
      <c r="H7713" s="2" t="s">
        <v>822</v>
      </c>
      <c r="J7713" s="31">
        <v>74.1360016</v>
      </c>
      <c r="K7713" s="31">
        <v>4.8680000000000003</v>
      </c>
      <c r="L7713" s="31"/>
      <c r="M7713" s="31" t="s">
        <v>854</v>
      </c>
      <c r="N7713" s="6" t="s">
        <v>856</v>
      </c>
    </row>
    <row r="7714" spans="1:14" ht="15" customHeight="1" x14ac:dyDescent="0.2">
      <c r="A7714" s="31">
        <v>5.1818372956607357E-2</v>
      </c>
      <c r="B7714" s="31"/>
      <c r="C7714" s="2" t="s">
        <v>855</v>
      </c>
      <c r="D7714" s="31">
        <f t="shared" si="214"/>
        <v>1.0156401099495043E-2</v>
      </c>
      <c r="F7714" s="2" t="s">
        <v>822</v>
      </c>
      <c r="G7714" s="23" t="s">
        <v>902</v>
      </c>
      <c r="H7714" s="2" t="s">
        <v>822</v>
      </c>
      <c r="J7714" s="31">
        <v>71.744796800000003</v>
      </c>
      <c r="K7714" s="31">
        <v>47.477199599999999</v>
      </c>
      <c r="L7714" s="31"/>
      <c r="M7714" s="31" t="s">
        <v>854</v>
      </c>
      <c r="N7714" s="6" t="s">
        <v>856</v>
      </c>
    </row>
    <row r="7715" spans="1:14" ht="15" customHeight="1" x14ac:dyDescent="0.2">
      <c r="A7715" s="31">
        <v>5.1761398944210217E-2</v>
      </c>
      <c r="B7715" s="31"/>
      <c r="C7715" s="2" t="s">
        <v>855</v>
      </c>
      <c r="D7715" s="31">
        <f t="shared" si="214"/>
        <v>1.0145234193065202E-2</v>
      </c>
      <c r="F7715" s="2" t="s">
        <v>822</v>
      </c>
      <c r="G7715" s="23" t="s">
        <v>902</v>
      </c>
      <c r="H7715" s="2" t="s">
        <v>822</v>
      </c>
      <c r="J7715" s="31">
        <v>70.127998399999996</v>
      </c>
      <c r="K7715" s="31">
        <v>1.528</v>
      </c>
      <c r="L7715" s="31"/>
      <c r="M7715" s="31" t="s">
        <v>854</v>
      </c>
      <c r="N7715" s="6" t="s">
        <v>856</v>
      </c>
    </row>
    <row r="7716" spans="1:14" ht="15" customHeight="1" x14ac:dyDescent="0.2">
      <c r="A7716" s="31">
        <v>5.1754826359716753E-2</v>
      </c>
      <c r="B7716" s="31"/>
      <c r="C7716" s="2" t="s">
        <v>855</v>
      </c>
      <c r="D7716" s="31">
        <f t="shared" si="214"/>
        <v>1.0143945966504484E-2</v>
      </c>
      <c r="F7716" s="2" t="s">
        <v>822</v>
      </c>
      <c r="G7716" s="23" t="s">
        <v>902</v>
      </c>
      <c r="H7716" s="2" t="s">
        <v>822</v>
      </c>
      <c r="J7716" s="31">
        <v>72.800003099999998</v>
      </c>
      <c r="K7716" s="31">
        <v>8.2080002000000007</v>
      </c>
      <c r="L7716" s="31"/>
      <c r="M7716" s="31" t="s">
        <v>854</v>
      </c>
      <c r="N7716" s="6" t="s">
        <v>856</v>
      </c>
    </row>
    <row r="7717" spans="1:14" ht="15" customHeight="1" x14ac:dyDescent="0.2">
      <c r="A7717" s="31">
        <v>5.1731484312538017E-2</v>
      </c>
      <c r="B7717" s="31"/>
      <c r="C7717" s="2" t="s">
        <v>855</v>
      </c>
      <c r="D7717" s="31">
        <f t="shared" si="214"/>
        <v>1.0139370925257452E-2</v>
      </c>
      <c r="F7717" s="2" t="s">
        <v>822</v>
      </c>
      <c r="G7717" s="23" t="s">
        <v>902</v>
      </c>
      <c r="H7717" s="2" t="s">
        <v>822</v>
      </c>
      <c r="J7717" s="31">
        <v>66.800598100000002</v>
      </c>
      <c r="K7717" s="31">
        <v>-15.830800099999999</v>
      </c>
      <c r="L7717" s="31"/>
      <c r="M7717" s="31" t="s">
        <v>854</v>
      </c>
      <c r="N7717" s="6" t="s">
        <v>856</v>
      </c>
    </row>
    <row r="7718" spans="1:14" ht="15" customHeight="1" x14ac:dyDescent="0.2">
      <c r="A7718" s="31">
        <v>5.1619508616595193E-2</v>
      </c>
      <c r="B7718" s="31"/>
      <c r="C7718" s="2" t="s">
        <v>855</v>
      </c>
      <c r="D7718" s="31">
        <f t="shared" si="214"/>
        <v>1.0117423688852658E-2</v>
      </c>
      <c r="F7718" s="2" t="s">
        <v>822</v>
      </c>
      <c r="G7718" s="23" t="s">
        <v>902</v>
      </c>
      <c r="H7718" s="2" t="s">
        <v>822</v>
      </c>
      <c r="J7718" s="31">
        <v>68.112396200000006</v>
      </c>
      <c r="K7718" s="31">
        <v>-20.4974995</v>
      </c>
      <c r="L7718" s="31"/>
      <c r="M7718" s="31" t="s">
        <v>854</v>
      </c>
      <c r="N7718" s="6" t="s">
        <v>856</v>
      </c>
    </row>
    <row r="7719" spans="1:14" ht="15" customHeight="1" x14ac:dyDescent="0.2">
      <c r="A7719" s="31">
        <v>5.1548236001217038E-2</v>
      </c>
      <c r="B7719" s="31"/>
      <c r="C7719" s="2" t="s">
        <v>855</v>
      </c>
      <c r="D7719" s="31">
        <f t="shared" si="214"/>
        <v>1.010345425623854E-2</v>
      </c>
      <c r="F7719" s="2" t="s">
        <v>822</v>
      </c>
      <c r="G7719" s="23" t="s">
        <v>902</v>
      </c>
      <c r="H7719" s="2" t="s">
        <v>822</v>
      </c>
      <c r="J7719" s="31">
        <v>69.467002899999997</v>
      </c>
      <c r="K7719" s="31">
        <v>-5.8155098000000001</v>
      </c>
      <c r="L7719" s="31"/>
      <c r="M7719" s="31" t="s">
        <v>854</v>
      </c>
      <c r="N7719" s="6" t="s">
        <v>856</v>
      </c>
    </row>
    <row r="7720" spans="1:14" ht="15" customHeight="1" x14ac:dyDescent="0.2">
      <c r="A7720" s="31">
        <v>5.1312792644195117E-2</v>
      </c>
      <c r="B7720" s="31"/>
      <c r="C7720" s="2" t="s">
        <v>855</v>
      </c>
      <c r="D7720" s="31">
        <f t="shared" si="214"/>
        <v>1.0057307358262242E-2</v>
      </c>
      <c r="F7720" s="2" t="s">
        <v>822</v>
      </c>
      <c r="G7720" s="23" t="s">
        <v>902</v>
      </c>
      <c r="H7720" s="2" t="s">
        <v>822</v>
      </c>
      <c r="J7720" s="31">
        <v>69.459999100000005</v>
      </c>
      <c r="K7720" s="31">
        <v>-3.1480000000000001</v>
      </c>
      <c r="L7720" s="31"/>
      <c r="M7720" s="31" t="s">
        <v>854</v>
      </c>
      <c r="N7720" s="6" t="s">
        <v>856</v>
      </c>
    </row>
    <row r="7721" spans="1:14" ht="15" customHeight="1" x14ac:dyDescent="0.2">
      <c r="A7721" s="31">
        <v>5.1268868969915393E-2</v>
      </c>
      <c r="B7721" s="31"/>
      <c r="C7721" s="2" t="s">
        <v>855</v>
      </c>
      <c r="D7721" s="31">
        <f t="shared" si="214"/>
        <v>1.0048698318103417E-2</v>
      </c>
      <c r="F7721" s="2" t="s">
        <v>822</v>
      </c>
      <c r="G7721" s="23" t="s">
        <v>902</v>
      </c>
      <c r="H7721" s="2" t="s">
        <v>822</v>
      </c>
      <c r="J7721" s="31">
        <v>65.493103000000005</v>
      </c>
      <c r="K7721" s="31">
        <v>11.309399600000001</v>
      </c>
      <c r="L7721" s="31"/>
      <c r="M7721" s="31" t="s">
        <v>854</v>
      </c>
      <c r="N7721" s="6" t="s">
        <v>856</v>
      </c>
    </row>
    <row r="7722" spans="1:14" ht="15" customHeight="1" x14ac:dyDescent="0.2">
      <c r="A7722" s="31">
        <v>5.1257676571831307E-2</v>
      </c>
      <c r="B7722" s="31"/>
      <c r="C7722" s="2" t="s">
        <v>855</v>
      </c>
      <c r="D7722" s="31">
        <f t="shared" si="214"/>
        <v>1.0046504608078936E-2</v>
      </c>
      <c r="F7722" s="2" t="s">
        <v>822</v>
      </c>
      <c r="G7722" s="23" t="s">
        <v>902</v>
      </c>
      <c r="H7722" s="2" t="s">
        <v>822</v>
      </c>
      <c r="J7722" s="31">
        <v>70.795997600000007</v>
      </c>
      <c r="K7722" s="31">
        <v>-11.1639996</v>
      </c>
      <c r="L7722" s="31"/>
      <c r="M7722" s="31" t="s">
        <v>854</v>
      </c>
      <c r="N7722" s="6" t="s">
        <v>856</v>
      </c>
    </row>
    <row r="7723" spans="1:14" ht="15" customHeight="1" x14ac:dyDescent="0.2">
      <c r="A7723" s="31">
        <v>5.1158332704358017E-2</v>
      </c>
      <c r="B7723" s="31"/>
      <c r="C7723" s="2" t="s">
        <v>855</v>
      </c>
      <c r="D7723" s="31">
        <f t="shared" si="214"/>
        <v>1.0027033210054171E-2</v>
      </c>
      <c r="F7723" s="2" t="s">
        <v>822</v>
      </c>
      <c r="G7723" s="23" t="s">
        <v>902</v>
      </c>
      <c r="H7723" s="2" t="s">
        <v>822</v>
      </c>
      <c r="J7723" s="31">
        <v>69.992301900000001</v>
      </c>
      <c r="K7723" s="31">
        <v>48.720600099999999</v>
      </c>
      <c r="L7723" s="31"/>
      <c r="M7723" s="31" t="s">
        <v>854</v>
      </c>
      <c r="N7723" s="6" t="s">
        <v>856</v>
      </c>
    </row>
    <row r="7724" spans="1:14" ht="15" customHeight="1" x14ac:dyDescent="0.2">
      <c r="A7724" s="31">
        <v>5.1092410286297463E-2</v>
      </c>
      <c r="B7724" s="31"/>
      <c r="C7724" s="2" t="s">
        <v>855</v>
      </c>
      <c r="D7724" s="31">
        <f t="shared" si="214"/>
        <v>1.0014112416114303E-2</v>
      </c>
      <c r="F7724" s="2" t="s">
        <v>822</v>
      </c>
      <c r="G7724" s="23" t="s">
        <v>902</v>
      </c>
      <c r="H7724" s="2" t="s">
        <v>822</v>
      </c>
      <c r="J7724" s="31">
        <v>67.456001299999997</v>
      </c>
      <c r="K7724" s="31">
        <v>-11.8319998</v>
      </c>
      <c r="L7724" s="31"/>
      <c r="M7724" s="31" t="s">
        <v>854</v>
      </c>
      <c r="N7724" s="6" t="s">
        <v>856</v>
      </c>
    </row>
    <row r="7725" spans="1:14" ht="15" customHeight="1" x14ac:dyDescent="0.2">
      <c r="A7725" s="31">
        <v>5.1071877688032667E-2</v>
      </c>
      <c r="B7725" s="31"/>
      <c r="C7725" s="2" t="s">
        <v>855</v>
      </c>
      <c r="D7725" s="31">
        <f t="shared" si="214"/>
        <v>1.0010088026854403E-2</v>
      </c>
      <c r="F7725" s="2" t="s">
        <v>822</v>
      </c>
      <c r="G7725" s="23" t="s">
        <v>902</v>
      </c>
      <c r="H7725" s="2" t="s">
        <v>822</v>
      </c>
      <c r="J7725" s="31">
        <v>72.132003800000007</v>
      </c>
      <c r="K7725" s="31">
        <v>-6.4879999000000002</v>
      </c>
      <c r="L7725" s="31"/>
      <c r="M7725" s="31" t="s">
        <v>854</v>
      </c>
      <c r="N7725" s="6" t="s">
        <v>856</v>
      </c>
    </row>
    <row r="7726" spans="1:14" ht="15" customHeight="1" x14ac:dyDescent="0.2">
      <c r="A7726" s="31">
        <v>5.1027438444494207E-2</v>
      </c>
      <c r="B7726" s="31"/>
      <c r="C7726" s="2" t="s">
        <v>855</v>
      </c>
      <c r="D7726" s="31">
        <f t="shared" si="214"/>
        <v>1.0001377935120865E-2</v>
      </c>
      <c r="F7726" s="2" t="s">
        <v>822</v>
      </c>
      <c r="G7726" s="23" t="s">
        <v>902</v>
      </c>
      <c r="H7726" s="2" t="s">
        <v>822</v>
      </c>
      <c r="J7726" s="31">
        <v>72.246002200000007</v>
      </c>
      <c r="K7726" s="31">
        <v>48.8152008</v>
      </c>
      <c r="L7726" s="31"/>
      <c r="M7726" s="31" t="s">
        <v>854</v>
      </c>
      <c r="N7726" s="6" t="s">
        <v>856</v>
      </c>
    </row>
    <row r="7727" spans="1:14" ht="15" customHeight="1" x14ac:dyDescent="0.2">
      <c r="A7727" s="31">
        <v>5.0954178163482272E-2</v>
      </c>
      <c r="B7727" s="31"/>
      <c r="C7727" s="2" t="s">
        <v>855</v>
      </c>
      <c r="D7727" s="31">
        <f t="shared" si="214"/>
        <v>9.9870189200425251E-3</v>
      </c>
      <c r="F7727" s="2" t="s">
        <v>822</v>
      </c>
      <c r="G7727" s="23" t="s">
        <v>902</v>
      </c>
      <c r="H7727" s="2" t="s">
        <v>822</v>
      </c>
      <c r="J7727" s="31">
        <v>72.132003800000007</v>
      </c>
      <c r="K7727" s="31">
        <v>-3.1480000000000001</v>
      </c>
      <c r="L7727" s="31"/>
      <c r="M7727" s="31" t="s">
        <v>854</v>
      </c>
      <c r="N7727" s="6" t="s">
        <v>856</v>
      </c>
    </row>
    <row r="7728" spans="1:14" ht="15" customHeight="1" x14ac:dyDescent="0.2">
      <c r="A7728" s="31">
        <v>5.0876252835188533E-2</v>
      </c>
      <c r="B7728" s="31"/>
      <c r="C7728" s="2" t="s">
        <v>855</v>
      </c>
      <c r="D7728" s="31">
        <f t="shared" si="214"/>
        <v>9.9717455556969526E-3</v>
      </c>
      <c r="F7728" s="2" t="s">
        <v>822</v>
      </c>
      <c r="G7728" s="23" t="s">
        <v>902</v>
      </c>
      <c r="H7728" s="2" t="s">
        <v>822</v>
      </c>
      <c r="J7728" s="31">
        <v>74.1360016</v>
      </c>
      <c r="K7728" s="31">
        <v>14.220000300000001</v>
      </c>
      <c r="L7728" s="31"/>
      <c r="M7728" s="31" t="s">
        <v>854</v>
      </c>
      <c r="N7728" s="6" t="s">
        <v>856</v>
      </c>
    </row>
    <row r="7729" spans="1:14" ht="15" customHeight="1" x14ac:dyDescent="0.2">
      <c r="A7729" s="31">
        <v>5.0841867625794138E-2</v>
      </c>
      <c r="B7729" s="31"/>
      <c r="C7729" s="2" t="s">
        <v>855</v>
      </c>
      <c r="D7729" s="31">
        <f t="shared" si="214"/>
        <v>9.9650060546556517E-3</v>
      </c>
      <c r="F7729" s="2" t="s">
        <v>822</v>
      </c>
      <c r="G7729" s="23" t="s">
        <v>902</v>
      </c>
      <c r="H7729" s="2" t="s">
        <v>822</v>
      </c>
      <c r="J7729" s="31">
        <v>72.132003800000007</v>
      </c>
      <c r="K7729" s="31">
        <v>-8.4919995999999998</v>
      </c>
      <c r="L7729" s="31"/>
      <c r="M7729" s="31" t="s">
        <v>854</v>
      </c>
      <c r="N7729" s="6" t="s">
        <v>856</v>
      </c>
    </row>
    <row r="7730" spans="1:14" ht="15" customHeight="1" x14ac:dyDescent="0.2">
      <c r="A7730" s="31">
        <v>5.0822146626862921E-2</v>
      </c>
      <c r="B7730" s="31"/>
      <c r="C7730" s="2" t="s">
        <v>855</v>
      </c>
      <c r="D7730" s="31">
        <f t="shared" si="214"/>
        <v>9.9611407388651325E-3</v>
      </c>
      <c r="F7730" s="2" t="s">
        <v>822</v>
      </c>
      <c r="G7730" s="23" t="s">
        <v>902</v>
      </c>
      <c r="H7730" s="2" t="s">
        <v>822</v>
      </c>
      <c r="J7730" s="31">
        <v>67.456001299999997</v>
      </c>
      <c r="K7730" s="31">
        <v>-15.171999899999999</v>
      </c>
      <c r="L7730" s="31"/>
      <c r="M7730" s="31" t="s">
        <v>854</v>
      </c>
      <c r="N7730" s="6" t="s">
        <v>856</v>
      </c>
    </row>
    <row r="7731" spans="1:14" ht="15" customHeight="1" x14ac:dyDescent="0.2">
      <c r="A7731" s="31">
        <v>5.0806488962134737E-2</v>
      </c>
      <c r="B7731" s="31"/>
      <c r="C7731" s="2" t="s">
        <v>855</v>
      </c>
      <c r="D7731" s="31">
        <f t="shared" si="214"/>
        <v>9.9580718365784096E-3</v>
      </c>
      <c r="F7731" s="2" t="s">
        <v>822</v>
      </c>
      <c r="G7731" s="23" t="s">
        <v>902</v>
      </c>
      <c r="H7731" s="2" t="s">
        <v>822</v>
      </c>
      <c r="J7731" s="31">
        <v>70.795997600000007</v>
      </c>
      <c r="K7731" s="31">
        <v>-5.8200002</v>
      </c>
      <c r="L7731" s="31"/>
      <c r="M7731" s="31" t="s">
        <v>854</v>
      </c>
      <c r="N7731" s="6" t="s">
        <v>856</v>
      </c>
    </row>
    <row r="7732" spans="1:14" ht="15" customHeight="1" x14ac:dyDescent="0.2">
      <c r="A7732" s="31">
        <v>5.0800396050091012E-2</v>
      </c>
      <c r="B7732" s="31"/>
      <c r="C7732" s="2" t="s">
        <v>855</v>
      </c>
      <c r="D7732" s="31">
        <f t="shared" si="214"/>
        <v>9.9568776258178397E-3</v>
      </c>
      <c r="F7732" s="2" t="s">
        <v>822</v>
      </c>
      <c r="G7732" s="23" t="s">
        <v>902</v>
      </c>
      <c r="H7732" s="2" t="s">
        <v>822</v>
      </c>
      <c r="J7732" s="31">
        <v>63.448001900000001</v>
      </c>
      <c r="K7732" s="31">
        <v>-3.8159999999999998</v>
      </c>
      <c r="L7732" s="31"/>
      <c r="M7732" s="31" t="s">
        <v>854</v>
      </c>
      <c r="N7732" s="6" t="s">
        <v>856</v>
      </c>
    </row>
    <row r="7733" spans="1:14" ht="15" customHeight="1" x14ac:dyDescent="0.2">
      <c r="A7733" s="31">
        <v>5.0774675224833872E-2</v>
      </c>
      <c r="B7733" s="31"/>
      <c r="C7733" s="2" t="s">
        <v>855</v>
      </c>
      <c r="D7733" s="31">
        <f t="shared" si="214"/>
        <v>9.9518363440674398E-3</v>
      </c>
      <c r="F7733" s="2" t="s">
        <v>822</v>
      </c>
      <c r="G7733" s="23" t="s">
        <v>902</v>
      </c>
      <c r="H7733" s="2" t="s">
        <v>822</v>
      </c>
      <c r="J7733" s="31">
        <v>67.262603799999994</v>
      </c>
      <c r="K7733" s="31">
        <v>-23.856000900000002</v>
      </c>
      <c r="L7733" s="31"/>
      <c r="M7733" s="31" t="s">
        <v>854</v>
      </c>
      <c r="N7733" s="6" t="s">
        <v>856</v>
      </c>
    </row>
    <row r="7734" spans="1:14" ht="15" customHeight="1" x14ac:dyDescent="0.2">
      <c r="A7734" s="31">
        <v>5.067506268104198E-2</v>
      </c>
      <c r="B7734" s="31"/>
      <c r="C7734" s="2" t="s">
        <v>855</v>
      </c>
      <c r="D7734" s="31">
        <f t="shared" si="214"/>
        <v>9.9323122854842287E-3</v>
      </c>
      <c r="F7734" s="2" t="s">
        <v>822</v>
      </c>
      <c r="G7734" s="23" t="s">
        <v>902</v>
      </c>
      <c r="H7734" s="2" t="s">
        <v>822</v>
      </c>
      <c r="J7734" s="31">
        <v>68.680702199999999</v>
      </c>
      <c r="K7734" s="31">
        <v>-3.3706700999999999</v>
      </c>
      <c r="L7734" s="31"/>
      <c r="M7734" s="31" t="s">
        <v>854</v>
      </c>
      <c r="N7734" s="6" t="s">
        <v>856</v>
      </c>
    </row>
    <row r="7735" spans="1:14" ht="15" customHeight="1" x14ac:dyDescent="0.2">
      <c r="A7735" s="31">
        <v>5.0639143079847779E-2</v>
      </c>
      <c r="B7735" s="31"/>
      <c r="C7735" s="2" t="s">
        <v>855</v>
      </c>
      <c r="D7735" s="31">
        <f t="shared" si="214"/>
        <v>9.9252720436501657E-3</v>
      </c>
      <c r="F7735" s="2" t="s">
        <v>822</v>
      </c>
      <c r="G7735" s="23" t="s">
        <v>902</v>
      </c>
      <c r="H7735" s="2" t="s">
        <v>822</v>
      </c>
      <c r="J7735" s="31">
        <v>70.127998399999996</v>
      </c>
      <c r="K7735" s="31">
        <v>-17.8439999</v>
      </c>
      <c r="L7735" s="31"/>
      <c r="M7735" s="31" t="s">
        <v>854</v>
      </c>
      <c r="N7735" s="6" t="s">
        <v>856</v>
      </c>
    </row>
    <row r="7736" spans="1:14" ht="15" customHeight="1" x14ac:dyDescent="0.2">
      <c r="A7736" s="31">
        <v>5.0564278505088593E-2</v>
      </c>
      <c r="B7736" s="31"/>
      <c r="C7736" s="2" t="s">
        <v>855</v>
      </c>
      <c r="D7736" s="31">
        <f t="shared" si="214"/>
        <v>9.9105985869973653E-3</v>
      </c>
      <c r="F7736" s="2" t="s">
        <v>822</v>
      </c>
      <c r="G7736" s="23" t="s">
        <v>902</v>
      </c>
      <c r="H7736" s="2" t="s">
        <v>822</v>
      </c>
      <c r="J7736" s="31">
        <v>74.036102299999996</v>
      </c>
      <c r="K7736" s="31">
        <v>-1.86487</v>
      </c>
      <c r="L7736" s="31"/>
      <c r="M7736" s="31" t="s">
        <v>854</v>
      </c>
      <c r="N7736" s="6" t="s">
        <v>856</v>
      </c>
    </row>
    <row r="7737" spans="1:14" ht="15" customHeight="1" x14ac:dyDescent="0.2">
      <c r="A7737" s="31">
        <v>5.0560419901042132E-2</v>
      </c>
      <c r="B7737" s="31"/>
      <c r="C7737" s="2" t="s">
        <v>855</v>
      </c>
      <c r="D7737" s="31">
        <f t="shared" si="214"/>
        <v>9.9098423006042588E-3</v>
      </c>
      <c r="F7737" s="2" t="s">
        <v>822</v>
      </c>
      <c r="G7737" s="23" t="s">
        <v>902</v>
      </c>
      <c r="H7737" s="2" t="s">
        <v>822</v>
      </c>
      <c r="J7737" s="31">
        <v>74.804000900000005</v>
      </c>
      <c r="K7737" s="31">
        <v>14.220000300000001</v>
      </c>
      <c r="L7737" s="31"/>
      <c r="M7737" s="31" t="s">
        <v>854</v>
      </c>
      <c r="N7737" s="6" t="s">
        <v>856</v>
      </c>
    </row>
    <row r="7738" spans="1:14" ht="15" customHeight="1" x14ac:dyDescent="0.2">
      <c r="A7738" s="31">
        <v>5.0550718592275827E-2</v>
      </c>
      <c r="B7738" s="31"/>
      <c r="C7738" s="2" t="s">
        <v>855</v>
      </c>
      <c r="D7738" s="31">
        <f t="shared" si="214"/>
        <v>9.907940844086062E-3</v>
      </c>
      <c r="F7738" s="2" t="s">
        <v>822</v>
      </c>
      <c r="G7738" s="23" t="s">
        <v>902</v>
      </c>
      <c r="H7738" s="2" t="s">
        <v>822</v>
      </c>
      <c r="J7738" s="31">
        <v>68.680702199999999</v>
      </c>
      <c r="K7738" s="31">
        <v>-4.0879998000000004</v>
      </c>
      <c r="L7738" s="31"/>
      <c r="M7738" s="31" t="s">
        <v>854</v>
      </c>
      <c r="N7738" s="6" t="s">
        <v>856</v>
      </c>
    </row>
    <row r="7739" spans="1:14" ht="15" customHeight="1" x14ac:dyDescent="0.2">
      <c r="A7739" s="31">
        <v>5.0508646288260788E-2</v>
      </c>
      <c r="B7739" s="31"/>
      <c r="C7739" s="2" t="s">
        <v>855</v>
      </c>
      <c r="D7739" s="31">
        <f t="shared" si="214"/>
        <v>9.8996946724991142E-3</v>
      </c>
      <c r="F7739" s="2" t="s">
        <v>822</v>
      </c>
      <c r="G7739" s="23" t="s">
        <v>902</v>
      </c>
      <c r="H7739" s="2" t="s">
        <v>822</v>
      </c>
      <c r="J7739" s="31">
        <v>72.800003099999998</v>
      </c>
      <c r="K7739" s="31">
        <v>-3.1480000000000001</v>
      </c>
      <c r="L7739" s="31"/>
      <c r="M7739" s="31" t="s">
        <v>854</v>
      </c>
      <c r="N7739" s="6" t="s">
        <v>856</v>
      </c>
    </row>
    <row r="7740" spans="1:14" ht="15" customHeight="1" x14ac:dyDescent="0.2">
      <c r="A7740" s="31">
        <v>5.0444106019130783E-2</v>
      </c>
      <c r="B7740" s="31"/>
      <c r="C7740" s="2" t="s">
        <v>855</v>
      </c>
      <c r="D7740" s="31">
        <f t="shared" si="214"/>
        <v>9.887044779749634E-3</v>
      </c>
      <c r="F7740" s="2" t="s">
        <v>822</v>
      </c>
      <c r="G7740" s="23" t="s">
        <v>902</v>
      </c>
      <c r="H7740" s="2" t="s">
        <v>822</v>
      </c>
      <c r="J7740" s="31">
        <v>70.127998399999996</v>
      </c>
      <c r="K7740" s="31">
        <v>34.259998299999999</v>
      </c>
      <c r="L7740" s="31"/>
      <c r="M7740" s="31" t="s">
        <v>854</v>
      </c>
      <c r="N7740" s="6" t="s">
        <v>856</v>
      </c>
    </row>
    <row r="7741" spans="1:14" ht="15" customHeight="1" x14ac:dyDescent="0.2">
      <c r="A7741" s="31">
        <v>5.042896126073837E-2</v>
      </c>
      <c r="B7741" s="31"/>
      <c r="C7741" s="2" t="s">
        <v>855</v>
      </c>
      <c r="D7741" s="31">
        <f t="shared" si="214"/>
        <v>9.88407640710472E-3</v>
      </c>
      <c r="F7741" s="2" t="s">
        <v>822</v>
      </c>
      <c r="G7741" s="23" t="s">
        <v>902</v>
      </c>
      <c r="H7741" s="2" t="s">
        <v>822</v>
      </c>
      <c r="J7741" s="31">
        <v>72.800003099999998</v>
      </c>
      <c r="K7741" s="31">
        <v>15.5559998</v>
      </c>
      <c r="L7741" s="31"/>
      <c r="M7741" s="31" t="s">
        <v>854</v>
      </c>
      <c r="N7741" s="6" t="s">
        <v>856</v>
      </c>
    </row>
    <row r="7742" spans="1:14" ht="15" customHeight="1" x14ac:dyDescent="0.2">
      <c r="A7742" s="31">
        <v>5.0401961313912107E-2</v>
      </c>
      <c r="B7742" s="31"/>
      <c r="C7742" s="2" t="s">
        <v>855</v>
      </c>
      <c r="D7742" s="31">
        <f t="shared" si="214"/>
        <v>9.8787844175267734E-3</v>
      </c>
      <c r="F7742" s="2" t="s">
        <v>822</v>
      </c>
      <c r="G7742" s="23" t="s">
        <v>902</v>
      </c>
      <c r="H7742" s="2" t="s">
        <v>822</v>
      </c>
      <c r="J7742" s="31">
        <v>71.352699299999998</v>
      </c>
      <c r="K7742" s="31">
        <v>-0.47599999999999998</v>
      </c>
      <c r="L7742" s="31"/>
      <c r="M7742" s="31" t="s">
        <v>854</v>
      </c>
      <c r="N7742" s="6" t="s">
        <v>856</v>
      </c>
    </row>
    <row r="7743" spans="1:14" ht="15" customHeight="1" x14ac:dyDescent="0.2">
      <c r="A7743" s="31">
        <v>5.0372801400503403E-2</v>
      </c>
      <c r="B7743" s="31"/>
      <c r="C7743" s="2" t="s">
        <v>855</v>
      </c>
      <c r="D7743" s="31">
        <f t="shared" si="214"/>
        <v>9.8730690744986676E-3</v>
      </c>
      <c r="F7743" s="2" t="s">
        <v>822</v>
      </c>
      <c r="G7743" s="23" t="s">
        <v>902</v>
      </c>
      <c r="H7743" s="2" t="s">
        <v>822</v>
      </c>
      <c r="J7743" s="31">
        <v>68.124000499999994</v>
      </c>
      <c r="K7743" s="31">
        <v>-19.847999600000001</v>
      </c>
      <c r="L7743" s="31"/>
      <c r="M7743" s="31" t="s">
        <v>854</v>
      </c>
      <c r="N7743" s="6" t="s">
        <v>856</v>
      </c>
    </row>
    <row r="7744" spans="1:14" ht="15" customHeight="1" x14ac:dyDescent="0.2">
      <c r="A7744" s="31">
        <v>5.0313539898078449E-2</v>
      </c>
      <c r="B7744" s="31"/>
      <c r="C7744" s="2" t="s">
        <v>855</v>
      </c>
      <c r="D7744" s="31">
        <f t="shared" ref="D7744:D7807" si="215" xml:space="preserve"> A7744 * 0.196</f>
        <v>9.8614538200233765E-3</v>
      </c>
      <c r="F7744" s="2" t="s">
        <v>822</v>
      </c>
      <c r="G7744" s="23" t="s">
        <v>902</v>
      </c>
      <c r="H7744" s="2" t="s">
        <v>822</v>
      </c>
      <c r="J7744" s="31">
        <v>68.791999799999999</v>
      </c>
      <c r="K7744" s="31">
        <v>-15.171999899999999</v>
      </c>
      <c r="L7744" s="31"/>
      <c r="M7744" s="31" t="s">
        <v>854</v>
      </c>
      <c r="N7744" s="6" t="s">
        <v>856</v>
      </c>
    </row>
    <row r="7745" spans="1:14" ht="15" customHeight="1" x14ac:dyDescent="0.2">
      <c r="A7745" s="31">
        <v>5.0281142809978981E-2</v>
      </c>
      <c r="B7745" s="31"/>
      <c r="C7745" s="2" t="s">
        <v>855</v>
      </c>
      <c r="D7745" s="31">
        <f t="shared" si="215"/>
        <v>9.8551039907558806E-3</v>
      </c>
      <c r="F7745" s="2" t="s">
        <v>822</v>
      </c>
      <c r="G7745" s="23" t="s">
        <v>902</v>
      </c>
      <c r="H7745" s="2" t="s">
        <v>822</v>
      </c>
      <c r="J7745" s="31">
        <v>72.800003099999998</v>
      </c>
      <c r="K7745" s="31">
        <v>-5.8200002</v>
      </c>
      <c r="L7745" s="31"/>
      <c r="M7745" s="31" t="s">
        <v>854</v>
      </c>
      <c r="N7745" s="6" t="s">
        <v>856</v>
      </c>
    </row>
    <row r="7746" spans="1:14" ht="15" customHeight="1" x14ac:dyDescent="0.2">
      <c r="A7746" s="31">
        <v>5.0156140831265413E-2</v>
      </c>
      <c r="B7746" s="31"/>
      <c r="C7746" s="2" t="s">
        <v>855</v>
      </c>
      <c r="D7746" s="31">
        <f t="shared" si="215"/>
        <v>9.830603602928022E-3</v>
      </c>
      <c r="F7746" s="2" t="s">
        <v>822</v>
      </c>
      <c r="G7746" s="23" t="s">
        <v>902</v>
      </c>
      <c r="H7746" s="2" t="s">
        <v>822</v>
      </c>
      <c r="J7746" s="31">
        <v>68.865898099999995</v>
      </c>
      <c r="K7746" s="31">
        <v>-7.1928200999999996</v>
      </c>
      <c r="L7746" s="31"/>
      <c r="M7746" s="31" t="s">
        <v>854</v>
      </c>
      <c r="N7746" s="6" t="s">
        <v>856</v>
      </c>
    </row>
    <row r="7747" spans="1:14" ht="15" customHeight="1" x14ac:dyDescent="0.2">
      <c r="A7747" s="31">
        <v>5.0153654623636502E-2</v>
      </c>
      <c r="B7747" s="31"/>
      <c r="C7747" s="2" t="s">
        <v>855</v>
      </c>
      <c r="D7747" s="31">
        <f t="shared" si="215"/>
        <v>9.8301163062327543E-3</v>
      </c>
      <c r="F7747" s="2" t="s">
        <v>822</v>
      </c>
      <c r="G7747" s="23" t="s">
        <v>902</v>
      </c>
      <c r="H7747" s="2" t="s">
        <v>822</v>
      </c>
      <c r="J7747" s="31">
        <v>70.585197399999998</v>
      </c>
      <c r="K7747" s="31">
        <v>34.213001300000002</v>
      </c>
      <c r="L7747" s="31"/>
      <c r="M7747" s="31" t="s">
        <v>854</v>
      </c>
      <c r="N7747" s="6" t="s">
        <v>856</v>
      </c>
    </row>
    <row r="7748" spans="1:14" ht="15" customHeight="1" x14ac:dyDescent="0.2">
      <c r="A7748" s="31">
        <v>5.0149989432898237E-2</v>
      </c>
      <c r="B7748" s="31"/>
      <c r="C7748" s="2" t="s">
        <v>855</v>
      </c>
      <c r="D7748" s="31">
        <f t="shared" si="215"/>
        <v>9.8293979288480542E-3</v>
      </c>
      <c r="F7748" s="2" t="s">
        <v>822</v>
      </c>
      <c r="G7748" s="23" t="s">
        <v>902</v>
      </c>
      <c r="H7748" s="2" t="s">
        <v>822</v>
      </c>
      <c r="J7748" s="31">
        <v>66.120002700000001</v>
      </c>
      <c r="K7748" s="31">
        <v>-13.8360004</v>
      </c>
      <c r="L7748" s="31"/>
      <c r="M7748" s="31" t="s">
        <v>854</v>
      </c>
      <c r="N7748" s="6" t="s">
        <v>856</v>
      </c>
    </row>
    <row r="7749" spans="1:14" ht="15" customHeight="1" x14ac:dyDescent="0.2">
      <c r="A7749" s="31">
        <v>5.0090443666634572E-2</v>
      </c>
      <c r="B7749" s="31"/>
      <c r="C7749" s="2" t="s">
        <v>855</v>
      </c>
      <c r="D7749" s="31">
        <f t="shared" si="215"/>
        <v>9.8177269586603774E-3</v>
      </c>
      <c r="F7749" s="2" t="s">
        <v>822</v>
      </c>
      <c r="G7749" s="23" t="s">
        <v>902</v>
      </c>
      <c r="H7749" s="2" t="s">
        <v>822</v>
      </c>
      <c r="J7749" s="31">
        <v>72.132003800000007</v>
      </c>
      <c r="K7749" s="31">
        <v>32.256000499999999</v>
      </c>
      <c r="L7749" s="31"/>
      <c r="M7749" s="31" t="s">
        <v>854</v>
      </c>
      <c r="N7749" s="6" t="s">
        <v>856</v>
      </c>
    </row>
    <row r="7750" spans="1:14" ht="15" customHeight="1" x14ac:dyDescent="0.2">
      <c r="A7750" s="31">
        <v>5.0015558675330023E-2</v>
      </c>
      <c r="B7750" s="31"/>
      <c r="C7750" s="2" t="s">
        <v>855</v>
      </c>
      <c r="D7750" s="31">
        <f t="shared" si="215"/>
        <v>9.8030495003646849E-3</v>
      </c>
      <c r="F7750" s="2" t="s">
        <v>822</v>
      </c>
      <c r="G7750" s="23" t="s">
        <v>902</v>
      </c>
      <c r="H7750" s="2" t="s">
        <v>822</v>
      </c>
      <c r="J7750" s="31">
        <v>72.132003800000007</v>
      </c>
      <c r="K7750" s="31">
        <v>-7.1560001</v>
      </c>
      <c r="L7750" s="31"/>
      <c r="M7750" s="31" t="s">
        <v>854</v>
      </c>
      <c r="N7750" s="6" t="s">
        <v>856</v>
      </c>
    </row>
    <row r="7751" spans="1:14" ht="15" customHeight="1" x14ac:dyDescent="0.2">
      <c r="A7751" s="31">
        <v>5.0005400871657231E-2</v>
      </c>
      <c r="B7751" s="31"/>
      <c r="C7751" s="2" t="s">
        <v>855</v>
      </c>
      <c r="D7751" s="31">
        <f t="shared" si="215"/>
        <v>9.8010585708448172E-3</v>
      </c>
      <c r="F7751" s="2" t="s">
        <v>822</v>
      </c>
      <c r="G7751" s="23" t="s">
        <v>902</v>
      </c>
      <c r="H7751" s="2" t="s">
        <v>822</v>
      </c>
      <c r="J7751" s="31">
        <v>69.459999100000005</v>
      </c>
      <c r="K7751" s="31">
        <v>-4.5953302000000003</v>
      </c>
      <c r="L7751" s="31"/>
      <c r="M7751" s="31" t="s">
        <v>854</v>
      </c>
      <c r="N7751" s="6" t="s">
        <v>856</v>
      </c>
    </row>
    <row r="7752" spans="1:14" ht="15" customHeight="1" x14ac:dyDescent="0.2">
      <c r="A7752" s="31">
        <v>4.9972813322659758E-2</v>
      </c>
      <c r="B7752" s="31"/>
      <c r="C7752" s="2" t="s">
        <v>855</v>
      </c>
      <c r="D7752" s="31">
        <f t="shared" si="215"/>
        <v>9.7946714112413132E-3</v>
      </c>
      <c r="F7752" s="2" t="s">
        <v>822</v>
      </c>
      <c r="G7752" s="23" t="s">
        <v>902</v>
      </c>
      <c r="H7752" s="2" t="s">
        <v>822</v>
      </c>
      <c r="J7752" s="31">
        <v>72.800003099999998</v>
      </c>
      <c r="K7752" s="31">
        <v>23.572000500000001</v>
      </c>
      <c r="L7752" s="31"/>
      <c r="M7752" s="31" t="s">
        <v>854</v>
      </c>
      <c r="N7752" s="6" t="s">
        <v>856</v>
      </c>
    </row>
    <row r="7753" spans="1:14" ht="15" customHeight="1" x14ac:dyDescent="0.2">
      <c r="A7753" s="31">
        <v>4.9953749080267618E-2</v>
      </c>
      <c r="B7753" s="31"/>
      <c r="C7753" s="2" t="s">
        <v>855</v>
      </c>
      <c r="D7753" s="31">
        <f t="shared" si="215"/>
        <v>9.7909348197324532E-3</v>
      </c>
      <c r="F7753" s="2" t="s">
        <v>822</v>
      </c>
      <c r="G7753" s="23" t="s">
        <v>902</v>
      </c>
      <c r="H7753" s="2" t="s">
        <v>822</v>
      </c>
      <c r="J7753" s="31">
        <v>71.463996899999998</v>
      </c>
      <c r="K7753" s="31">
        <v>-11.8319998</v>
      </c>
      <c r="L7753" s="31"/>
      <c r="M7753" s="31" t="s">
        <v>854</v>
      </c>
      <c r="N7753" s="6" t="s">
        <v>856</v>
      </c>
    </row>
    <row r="7754" spans="1:14" ht="15" customHeight="1" x14ac:dyDescent="0.2">
      <c r="A7754" s="31">
        <v>4.9907805225357933E-2</v>
      </c>
      <c r="B7754" s="31"/>
      <c r="C7754" s="2" t="s">
        <v>855</v>
      </c>
      <c r="D7754" s="31">
        <f t="shared" si="215"/>
        <v>9.7819298241701557E-3</v>
      </c>
      <c r="F7754" s="2" t="s">
        <v>822</v>
      </c>
      <c r="G7754" s="23" t="s">
        <v>902</v>
      </c>
      <c r="H7754" s="2" t="s">
        <v>822</v>
      </c>
      <c r="J7754" s="31">
        <v>71.121200599999995</v>
      </c>
      <c r="K7754" s="31">
        <v>25.9689999</v>
      </c>
      <c r="L7754" s="31"/>
      <c r="M7754" s="31" t="s">
        <v>854</v>
      </c>
      <c r="N7754" s="6" t="s">
        <v>856</v>
      </c>
    </row>
    <row r="7755" spans="1:14" ht="15" customHeight="1" x14ac:dyDescent="0.2">
      <c r="A7755" s="31">
        <v>4.9890133132165268E-2</v>
      </c>
      <c r="B7755" s="31"/>
      <c r="C7755" s="2" t="s">
        <v>855</v>
      </c>
      <c r="D7755" s="31">
        <f t="shared" si="215"/>
        <v>9.7784660939043925E-3</v>
      </c>
      <c r="F7755" s="2" t="s">
        <v>822</v>
      </c>
      <c r="G7755" s="23" t="s">
        <v>902</v>
      </c>
      <c r="H7755" s="2" t="s">
        <v>822</v>
      </c>
      <c r="J7755" s="31">
        <v>74.423103299999994</v>
      </c>
      <c r="K7755" s="31">
        <v>-21.589500399999999</v>
      </c>
      <c r="L7755" s="31"/>
      <c r="M7755" s="31" t="s">
        <v>854</v>
      </c>
      <c r="N7755" s="6" t="s">
        <v>856</v>
      </c>
    </row>
    <row r="7756" spans="1:14" ht="15" customHeight="1" x14ac:dyDescent="0.2">
      <c r="A7756" s="31">
        <v>4.9844918734229478E-2</v>
      </c>
      <c r="B7756" s="31"/>
      <c r="C7756" s="2" t="s">
        <v>855</v>
      </c>
      <c r="D7756" s="31">
        <f t="shared" si="215"/>
        <v>9.7696040719089782E-3</v>
      </c>
      <c r="F7756" s="2" t="s">
        <v>822</v>
      </c>
      <c r="G7756" s="23" t="s">
        <v>902</v>
      </c>
      <c r="H7756" s="2" t="s">
        <v>822</v>
      </c>
      <c r="J7756" s="31">
        <v>68.809997600000003</v>
      </c>
      <c r="K7756" s="31">
        <v>-3.7720001000000001</v>
      </c>
      <c r="L7756" s="31"/>
      <c r="M7756" s="31" t="s">
        <v>854</v>
      </c>
      <c r="N7756" s="6" t="s">
        <v>856</v>
      </c>
    </row>
    <row r="7757" spans="1:14" ht="15" customHeight="1" x14ac:dyDescent="0.2">
      <c r="A7757" s="31">
        <v>4.973879895564897E-2</v>
      </c>
      <c r="B7757" s="31"/>
      <c r="C7757" s="2" t="s">
        <v>855</v>
      </c>
      <c r="D7757" s="31">
        <f t="shared" si="215"/>
        <v>9.7488045953071992E-3</v>
      </c>
      <c r="F7757" s="2" t="s">
        <v>822</v>
      </c>
      <c r="G7757" s="23" t="s">
        <v>902</v>
      </c>
      <c r="H7757" s="2" t="s">
        <v>822</v>
      </c>
      <c r="J7757" s="31">
        <v>74.581298799999999</v>
      </c>
      <c r="K7757" s="31">
        <v>2.7526700000000002</v>
      </c>
      <c r="L7757" s="31"/>
      <c r="M7757" s="31" t="s">
        <v>854</v>
      </c>
      <c r="N7757" s="6" t="s">
        <v>856</v>
      </c>
    </row>
    <row r="7758" spans="1:14" ht="15" customHeight="1" x14ac:dyDescent="0.2">
      <c r="A7758" s="31">
        <v>4.9522459168670672E-2</v>
      </c>
      <c r="B7758" s="31"/>
      <c r="C7758" s="2" t="s">
        <v>855</v>
      </c>
      <c r="D7758" s="31">
        <f t="shared" si="215"/>
        <v>9.7064019970594523E-3</v>
      </c>
      <c r="F7758" s="2" t="s">
        <v>822</v>
      </c>
      <c r="G7758" s="23" t="s">
        <v>902</v>
      </c>
      <c r="H7758" s="2" t="s">
        <v>822</v>
      </c>
      <c r="J7758" s="31">
        <v>73.866500900000005</v>
      </c>
      <c r="K7758" s="31">
        <v>-8.9415502999999994</v>
      </c>
      <c r="L7758" s="31"/>
      <c r="M7758" s="31" t="s">
        <v>854</v>
      </c>
      <c r="N7758" s="6" t="s">
        <v>856</v>
      </c>
    </row>
    <row r="7759" spans="1:14" ht="15" customHeight="1" x14ac:dyDescent="0.2">
      <c r="A7759" s="31">
        <v>4.9518655172869207E-2</v>
      </c>
      <c r="B7759" s="31"/>
      <c r="C7759" s="2" t="s">
        <v>855</v>
      </c>
      <c r="D7759" s="31">
        <f t="shared" si="215"/>
        <v>9.7056564138823642E-3</v>
      </c>
      <c r="F7759" s="2" t="s">
        <v>822</v>
      </c>
      <c r="G7759" s="23" t="s">
        <v>902</v>
      </c>
      <c r="H7759" s="2" t="s">
        <v>822</v>
      </c>
      <c r="J7759" s="31">
        <v>69.7401962</v>
      </c>
      <c r="K7759" s="31">
        <v>34.205501599999998</v>
      </c>
      <c r="L7759" s="31"/>
      <c r="M7759" s="31" t="s">
        <v>854</v>
      </c>
      <c r="N7759" s="6" t="s">
        <v>856</v>
      </c>
    </row>
    <row r="7760" spans="1:14" ht="15" customHeight="1" x14ac:dyDescent="0.2">
      <c r="A7760" s="31">
        <v>4.9503064097924238E-2</v>
      </c>
      <c r="B7760" s="31"/>
      <c r="C7760" s="2" t="s">
        <v>855</v>
      </c>
      <c r="D7760" s="31">
        <f t="shared" si="215"/>
        <v>9.7026005631931506E-3</v>
      </c>
      <c r="F7760" s="2" t="s">
        <v>822</v>
      </c>
      <c r="G7760" s="23" t="s">
        <v>902</v>
      </c>
      <c r="H7760" s="2" t="s">
        <v>822</v>
      </c>
      <c r="J7760" s="31">
        <v>74.1360016</v>
      </c>
      <c r="K7760" s="31">
        <v>16.2240009</v>
      </c>
      <c r="L7760" s="31"/>
      <c r="M7760" s="31" t="s">
        <v>854</v>
      </c>
      <c r="N7760" s="6" t="s">
        <v>856</v>
      </c>
    </row>
    <row r="7761" spans="1:14" ht="15" customHeight="1" x14ac:dyDescent="0.2">
      <c r="A7761" s="31">
        <v>4.9426935096168738E-2</v>
      </c>
      <c r="B7761" s="31"/>
      <c r="C7761" s="2" t="s">
        <v>855</v>
      </c>
      <c r="D7761" s="31">
        <f t="shared" si="215"/>
        <v>9.6876792788490734E-3</v>
      </c>
      <c r="F7761" s="2" t="s">
        <v>822</v>
      </c>
      <c r="G7761" s="23" t="s">
        <v>902</v>
      </c>
      <c r="H7761" s="2" t="s">
        <v>822</v>
      </c>
      <c r="J7761" s="31">
        <v>66.120002700000001</v>
      </c>
      <c r="K7761" s="31">
        <v>-11.8319998</v>
      </c>
      <c r="L7761" s="31"/>
      <c r="M7761" s="31" t="s">
        <v>854</v>
      </c>
      <c r="N7761" s="6" t="s">
        <v>856</v>
      </c>
    </row>
    <row r="7762" spans="1:14" ht="15" customHeight="1" x14ac:dyDescent="0.2">
      <c r="A7762" s="31">
        <v>4.9420656218833382E-2</v>
      </c>
      <c r="B7762" s="31"/>
      <c r="C7762" s="2" t="s">
        <v>855</v>
      </c>
      <c r="D7762" s="31">
        <f t="shared" si="215"/>
        <v>9.686448618891343E-3</v>
      </c>
      <c r="F7762" s="2" t="s">
        <v>822</v>
      </c>
      <c r="G7762" s="23" t="s">
        <v>902</v>
      </c>
      <c r="H7762" s="2" t="s">
        <v>822</v>
      </c>
      <c r="J7762" s="31">
        <v>70.795997600000007</v>
      </c>
      <c r="K7762" s="31">
        <v>-3.1480000000000001</v>
      </c>
      <c r="L7762" s="31"/>
      <c r="M7762" s="31" t="s">
        <v>854</v>
      </c>
      <c r="N7762" s="6" t="s">
        <v>856</v>
      </c>
    </row>
    <row r="7763" spans="1:14" ht="15" customHeight="1" x14ac:dyDescent="0.2">
      <c r="A7763" s="31">
        <v>4.9346786758868492E-2</v>
      </c>
      <c r="B7763" s="31"/>
      <c r="C7763" s="2" t="s">
        <v>855</v>
      </c>
      <c r="D7763" s="31">
        <f t="shared" si="215"/>
        <v>9.6719702047382249E-3</v>
      </c>
      <c r="F7763" s="2" t="s">
        <v>822</v>
      </c>
      <c r="G7763" s="23" t="s">
        <v>902</v>
      </c>
      <c r="H7763" s="2" t="s">
        <v>822</v>
      </c>
      <c r="J7763" s="31">
        <v>68.124000499999994</v>
      </c>
      <c r="K7763" s="31">
        <v>-1.1440001</v>
      </c>
      <c r="L7763" s="31"/>
      <c r="M7763" s="31" t="s">
        <v>854</v>
      </c>
      <c r="N7763" s="6" t="s">
        <v>856</v>
      </c>
    </row>
    <row r="7764" spans="1:14" ht="15" customHeight="1" x14ac:dyDescent="0.2">
      <c r="A7764" s="31">
        <v>4.9341794951917761E-2</v>
      </c>
      <c r="B7764" s="31"/>
      <c r="C7764" s="2" t="s">
        <v>855</v>
      </c>
      <c r="D7764" s="31">
        <f t="shared" si="215"/>
        <v>9.670991810575881E-3</v>
      </c>
      <c r="F7764" s="2" t="s">
        <v>822</v>
      </c>
      <c r="G7764" s="23" t="s">
        <v>902</v>
      </c>
      <c r="H7764" s="2" t="s">
        <v>822</v>
      </c>
      <c r="J7764" s="31">
        <v>70.726600599999998</v>
      </c>
      <c r="K7764" s="31">
        <v>33.020198800000003</v>
      </c>
      <c r="L7764" s="31"/>
      <c r="M7764" s="31" t="s">
        <v>854</v>
      </c>
      <c r="N7764" s="6" t="s">
        <v>856</v>
      </c>
    </row>
    <row r="7765" spans="1:14" ht="15" customHeight="1" x14ac:dyDescent="0.2">
      <c r="A7765" s="31">
        <v>4.9165976195612818E-2</v>
      </c>
      <c r="B7765" s="31"/>
      <c r="C7765" s="2" t="s">
        <v>855</v>
      </c>
      <c r="D7765" s="31">
        <f t="shared" si="215"/>
        <v>9.6365313343401132E-3</v>
      </c>
      <c r="F7765" s="2" t="s">
        <v>822</v>
      </c>
      <c r="G7765" s="23" t="s">
        <v>902</v>
      </c>
      <c r="H7765" s="2" t="s">
        <v>822</v>
      </c>
      <c r="J7765" s="31">
        <v>73.468002299999995</v>
      </c>
      <c r="K7765" s="31">
        <v>-6.4879999000000002</v>
      </c>
      <c r="L7765" s="31"/>
      <c r="M7765" s="31" t="s">
        <v>854</v>
      </c>
      <c r="N7765" s="6" t="s">
        <v>856</v>
      </c>
    </row>
    <row r="7766" spans="1:14" ht="15" customHeight="1" x14ac:dyDescent="0.2">
      <c r="A7766" s="31">
        <v>4.9148014876447849E-2</v>
      </c>
      <c r="B7766" s="31"/>
      <c r="C7766" s="2" t="s">
        <v>855</v>
      </c>
      <c r="D7766" s="31">
        <f t="shared" si="215"/>
        <v>9.6330109157837795E-3</v>
      </c>
      <c r="F7766" s="2" t="s">
        <v>822</v>
      </c>
      <c r="G7766" s="23" t="s">
        <v>902</v>
      </c>
      <c r="H7766" s="2" t="s">
        <v>822</v>
      </c>
      <c r="J7766" s="31">
        <v>66.794403099999997</v>
      </c>
      <c r="K7766" s="31">
        <v>-7.8098897999999997</v>
      </c>
      <c r="L7766" s="31"/>
      <c r="M7766" s="31" t="s">
        <v>854</v>
      </c>
      <c r="N7766" s="6" t="s">
        <v>856</v>
      </c>
    </row>
    <row r="7767" spans="1:14" ht="15" customHeight="1" x14ac:dyDescent="0.2">
      <c r="A7767" s="31">
        <v>4.9130077463696617E-2</v>
      </c>
      <c r="B7767" s="31"/>
      <c r="C7767" s="2" t="s">
        <v>855</v>
      </c>
      <c r="D7767" s="31">
        <f t="shared" si="215"/>
        <v>9.6294951828845374E-3</v>
      </c>
      <c r="F7767" s="2" t="s">
        <v>822</v>
      </c>
      <c r="G7767" s="23" t="s">
        <v>902</v>
      </c>
      <c r="H7767" s="2" t="s">
        <v>822</v>
      </c>
      <c r="J7767" s="31">
        <v>72.132003800000007</v>
      </c>
      <c r="K7767" s="31">
        <v>-0.47599999999999998</v>
      </c>
      <c r="L7767" s="31"/>
      <c r="M7767" s="31" t="s">
        <v>854</v>
      </c>
      <c r="N7767" s="6" t="s">
        <v>856</v>
      </c>
    </row>
    <row r="7768" spans="1:14" ht="15" customHeight="1" x14ac:dyDescent="0.2">
      <c r="A7768" s="31">
        <v>4.9050090829511547E-2</v>
      </c>
      <c r="B7768" s="31"/>
      <c r="C7768" s="2" t="s">
        <v>855</v>
      </c>
      <c r="D7768" s="31">
        <f t="shared" si="215"/>
        <v>9.6138178025842631E-3</v>
      </c>
      <c r="F7768" s="2" t="s">
        <v>822</v>
      </c>
      <c r="G7768" s="23" t="s">
        <v>902</v>
      </c>
      <c r="H7768" s="2" t="s">
        <v>822</v>
      </c>
      <c r="J7768" s="31">
        <v>71.435203599999994</v>
      </c>
      <c r="K7768" s="31">
        <v>32.914901700000001</v>
      </c>
      <c r="L7768" s="31"/>
      <c r="M7768" s="31" t="s">
        <v>854</v>
      </c>
      <c r="N7768" s="6" t="s">
        <v>856</v>
      </c>
    </row>
    <row r="7769" spans="1:14" ht="15" customHeight="1" x14ac:dyDescent="0.2">
      <c r="A7769" s="31">
        <v>4.8915301417716398E-2</v>
      </c>
      <c r="B7769" s="31"/>
      <c r="C7769" s="2" t="s">
        <v>855</v>
      </c>
      <c r="D7769" s="31">
        <f t="shared" si="215"/>
        <v>9.587399077872415E-3</v>
      </c>
      <c r="F7769" s="2" t="s">
        <v>822</v>
      </c>
      <c r="G7769" s="23" t="s">
        <v>902</v>
      </c>
      <c r="H7769" s="2" t="s">
        <v>822</v>
      </c>
      <c r="J7769" s="31">
        <v>65.452003500000004</v>
      </c>
      <c r="K7769" s="31">
        <v>-11.1639996</v>
      </c>
      <c r="L7769" s="31"/>
      <c r="M7769" s="31" t="s">
        <v>854</v>
      </c>
      <c r="N7769" s="6" t="s">
        <v>856</v>
      </c>
    </row>
    <row r="7770" spans="1:14" ht="15" customHeight="1" x14ac:dyDescent="0.2">
      <c r="A7770" s="31">
        <v>4.8780364416347102E-2</v>
      </c>
      <c r="B7770" s="31"/>
      <c r="C7770" s="2" t="s">
        <v>855</v>
      </c>
      <c r="D7770" s="31">
        <f t="shared" si="215"/>
        <v>9.5609514256040327E-3</v>
      </c>
      <c r="F7770" s="2" t="s">
        <v>822</v>
      </c>
      <c r="G7770" s="23" t="s">
        <v>902</v>
      </c>
      <c r="H7770" s="2" t="s">
        <v>822</v>
      </c>
      <c r="J7770" s="31">
        <v>74.804000900000005</v>
      </c>
      <c r="K7770" s="31">
        <v>7.54</v>
      </c>
      <c r="L7770" s="31"/>
      <c r="M7770" s="31" t="s">
        <v>854</v>
      </c>
      <c r="N7770" s="6" t="s">
        <v>856</v>
      </c>
    </row>
    <row r="7771" spans="1:14" ht="15" customHeight="1" x14ac:dyDescent="0.2">
      <c r="A7771" s="31">
        <v>4.8772618616842768E-2</v>
      </c>
      <c r="B7771" s="31"/>
      <c r="C7771" s="2" t="s">
        <v>855</v>
      </c>
      <c r="D7771" s="31">
        <f t="shared" si="215"/>
        <v>9.5594332489011835E-3</v>
      </c>
      <c r="F7771" s="2" t="s">
        <v>822</v>
      </c>
      <c r="G7771" s="23" t="s">
        <v>902</v>
      </c>
      <c r="H7771" s="2" t="s">
        <v>822</v>
      </c>
      <c r="J7771" s="31">
        <v>66.078697199999993</v>
      </c>
      <c r="K7771" s="31">
        <v>-5.6789798999999999</v>
      </c>
      <c r="L7771" s="31"/>
      <c r="M7771" s="31" t="s">
        <v>854</v>
      </c>
      <c r="N7771" s="6" t="s">
        <v>856</v>
      </c>
    </row>
    <row r="7772" spans="1:14" ht="15" customHeight="1" x14ac:dyDescent="0.2">
      <c r="A7772" s="31">
        <v>4.8772065403017303E-2</v>
      </c>
      <c r="B7772" s="31"/>
      <c r="C7772" s="2" t="s">
        <v>855</v>
      </c>
      <c r="D7772" s="31">
        <f t="shared" si="215"/>
        <v>9.5593248189913913E-3</v>
      </c>
      <c r="F7772" s="2" t="s">
        <v>822</v>
      </c>
      <c r="G7772" s="23" t="s">
        <v>902</v>
      </c>
      <c r="H7772" s="2" t="s">
        <v>822</v>
      </c>
      <c r="J7772" s="31">
        <v>67.456001299999997</v>
      </c>
      <c r="K7772" s="31">
        <v>-14.5039997</v>
      </c>
      <c r="L7772" s="31"/>
      <c r="M7772" s="31" t="s">
        <v>854</v>
      </c>
      <c r="N7772" s="6" t="s">
        <v>856</v>
      </c>
    </row>
    <row r="7773" spans="1:14" ht="15" customHeight="1" x14ac:dyDescent="0.2">
      <c r="A7773" s="31">
        <v>4.8567554669134379E-2</v>
      </c>
      <c r="B7773" s="31"/>
      <c r="C7773" s="2" t="s">
        <v>855</v>
      </c>
      <c r="D7773" s="31">
        <f t="shared" si="215"/>
        <v>9.5192407151503382E-3</v>
      </c>
      <c r="F7773" s="2" t="s">
        <v>822</v>
      </c>
      <c r="G7773" s="23" t="s">
        <v>902</v>
      </c>
      <c r="H7773" s="2" t="s">
        <v>822</v>
      </c>
      <c r="J7773" s="31">
        <v>64.783996599999995</v>
      </c>
      <c r="K7773" s="31">
        <v>-8.4919995999999998</v>
      </c>
      <c r="L7773" s="31"/>
      <c r="M7773" s="31" t="s">
        <v>854</v>
      </c>
      <c r="N7773" s="6" t="s">
        <v>856</v>
      </c>
    </row>
    <row r="7774" spans="1:14" ht="15" customHeight="1" x14ac:dyDescent="0.2">
      <c r="A7774" s="31">
        <v>4.8408270197069468E-2</v>
      </c>
      <c r="B7774" s="31"/>
      <c r="C7774" s="2" t="s">
        <v>855</v>
      </c>
      <c r="D7774" s="31">
        <f t="shared" si="215"/>
        <v>9.4880209586256162E-3</v>
      </c>
      <c r="F7774" s="2" t="s">
        <v>822</v>
      </c>
      <c r="G7774" s="23" t="s">
        <v>902</v>
      </c>
      <c r="H7774" s="2" t="s">
        <v>822</v>
      </c>
      <c r="J7774" s="31">
        <v>67.530197099999995</v>
      </c>
      <c r="K7774" s="31">
        <v>-19.885099400000001</v>
      </c>
      <c r="L7774" s="31"/>
      <c r="M7774" s="31" t="s">
        <v>854</v>
      </c>
      <c r="N7774" s="6" t="s">
        <v>856</v>
      </c>
    </row>
    <row r="7775" spans="1:14" ht="15" customHeight="1" x14ac:dyDescent="0.2">
      <c r="A7775" s="31">
        <v>4.8387286044506081E-2</v>
      </c>
      <c r="B7775" s="31"/>
      <c r="C7775" s="2" t="s">
        <v>855</v>
      </c>
      <c r="D7775" s="31">
        <f t="shared" si="215"/>
        <v>9.483908064723193E-3</v>
      </c>
      <c r="F7775" s="2" t="s">
        <v>822</v>
      </c>
      <c r="G7775" s="23" t="s">
        <v>902</v>
      </c>
      <c r="H7775" s="2" t="s">
        <v>822</v>
      </c>
      <c r="J7775" s="31">
        <v>74.804000900000005</v>
      </c>
      <c r="K7775" s="31">
        <v>15.5559998</v>
      </c>
      <c r="L7775" s="31"/>
      <c r="M7775" s="31" t="s">
        <v>854</v>
      </c>
      <c r="N7775" s="6" t="s">
        <v>856</v>
      </c>
    </row>
    <row r="7776" spans="1:14" ht="15" customHeight="1" x14ac:dyDescent="0.2">
      <c r="A7776" s="31">
        <v>4.8078631474757313E-2</v>
      </c>
      <c r="B7776" s="31"/>
      <c r="C7776" s="2" t="s">
        <v>855</v>
      </c>
      <c r="D7776" s="31">
        <f t="shared" si="215"/>
        <v>9.4234117690524342E-3</v>
      </c>
      <c r="F7776" s="2" t="s">
        <v>822</v>
      </c>
      <c r="G7776" s="23" t="s">
        <v>902</v>
      </c>
      <c r="H7776" s="2" t="s">
        <v>822</v>
      </c>
      <c r="J7776" s="31">
        <v>72.132003800000007</v>
      </c>
      <c r="K7776" s="31">
        <v>-7.8239998999999996</v>
      </c>
      <c r="L7776" s="31"/>
      <c r="M7776" s="31" t="s">
        <v>854</v>
      </c>
      <c r="N7776" s="6" t="s">
        <v>856</v>
      </c>
    </row>
    <row r="7777" spans="1:14" ht="15" customHeight="1" x14ac:dyDescent="0.2">
      <c r="A7777" s="31">
        <v>4.8034372389048903E-2</v>
      </c>
      <c r="B7777" s="31"/>
      <c r="C7777" s="2" t="s">
        <v>855</v>
      </c>
      <c r="D7777" s="31">
        <f t="shared" si="215"/>
        <v>9.4147369882535848E-3</v>
      </c>
      <c r="F7777" s="2" t="s">
        <v>822</v>
      </c>
      <c r="G7777" s="23" t="s">
        <v>902</v>
      </c>
      <c r="H7777" s="2" t="s">
        <v>822</v>
      </c>
      <c r="J7777" s="31">
        <v>70.795997600000007</v>
      </c>
      <c r="K7777" s="31">
        <v>-3.8159999999999998</v>
      </c>
      <c r="L7777" s="31"/>
      <c r="M7777" s="31" t="s">
        <v>854</v>
      </c>
      <c r="N7777" s="6" t="s">
        <v>856</v>
      </c>
    </row>
    <row r="7778" spans="1:14" ht="15" customHeight="1" x14ac:dyDescent="0.2">
      <c r="A7778" s="31">
        <v>4.7986621363866278E-2</v>
      </c>
      <c r="B7778" s="31"/>
      <c r="C7778" s="2" t="s">
        <v>855</v>
      </c>
      <c r="D7778" s="31">
        <f t="shared" si="215"/>
        <v>9.4053777873177903E-3</v>
      </c>
      <c r="F7778" s="2" t="s">
        <v>822</v>
      </c>
      <c r="G7778" s="23" t="s">
        <v>902</v>
      </c>
      <c r="H7778" s="2" t="s">
        <v>822</v>
      </c>
      <c r="J7778" s="31">
        <v>70.127998399999996</v>
      </c>
      <c r="K7778" s="31">
        <v>-14.5039997</v>
      </c>
      <c r="L7778" s="31"/>
      <c r="M7778" s="31" t="s">
        <v>854</v>
      </c>
      <c r="N7778" s="6" t="s">
        <v>856</v>
      </c>
    </row>
    <row r="7779" spans="1:14" ht="15" customHeight="1" x14ac:dyDescent="0.2">
      <c r="A7779" s="31">
        <v>4.7975303004780083E-2</v>
      </c>
      <c r="B7779" s="31"/>
      <c r="C7779" s="2" t="s">
        <v>855</v>
      </c>
      <c r="D7779" s="31">
        <f t="shared" si="215"/>
        <v>9.4031593889368961E-3</v>
      </c>
      <c r="F7779" s="2" t="s">
        <v>822</v>
      </c>
      <c r="G7779" s="23" t="s">
        <v>902</v>
      </c>
      <c r="H7779" s="2" t="s">
        <v>822</v>
      </c>
      <c r="J7779" s="31">
        <v>67.233299299999999</v>
      </c>
      <c r="K7779" s="31">
        <v>-19.7367001</v>
      </c>
      <c r="L7779" s="31"/>
      <c r="M7779" s="31" t="s">
        <v>854</v>
      </c>
      <c r="N7779" s="6" t="s">
        <v>856</v>
      </c>
    </row>
    <row r="7780" spans="1:14" ht="15" customHeight="1" x14ac:dyDescent="0.2">
      <c r="A7780" s="31">
        <v>4.7956622848479957E-2</v>
      </c>
      <c r="B7780" s="31"/>
      <c r="C7780" s="2" t="s">
        <v>855</v>
      </c>
      <c r="D7780" s="31">
        <f t="shared" si="215"/>
        <v>9.3994980783020723E-3</v>
      </c>
      <c r="F7780" s="2" t="s">
        <v>822</v>
      </c>
      <c r="G7780" s="23" t="s">
        <v>902</v>
      </c>
      <c r="H7780" s="2" t="s">
        <v>822</v>
      </c>
      <c r="J7780" s="31">
        <v>67.436599700000002</v>
      </c>
      <c r="K7780" s="31">
        <v>-4.9911699</v>
      </c>
      <c r="L7780" s="31"/>
      <c r="M7780" s="31" t="s">
        <v>854</v>
      </c>
      <c r="N7780" s="6" t="s">
        <v>856</v>
      </c>
    </row>
    <row r="7781" spans="1:14" ht="15" customHeight="1" x14ac:dyDescent="0.2">
      <c r="A7781" s="31">
        <v>4.7870127151606663E-2</v>
      </c>
      <c r="B7781" s="31"/>
      <c r="C7781" s="2" t="s">
        <v>855</v>
      </c>
      <c r="D7781" s="31">
        <f t="shared" si="215"/>
        <v>9.3825449217149071E-3</v>
      </c>
      <c r="F7781" s="2" t="s">
        <v>822</v>
      </c>
      <c r="G7781" s="23" t="s">
        <v>902</v>
      </c>
      <c r="H7781" s="2" t="s">
        <v>822</v>
      </c>
      <c r="J7781" s="31">
        <v>73.468002299999995</v>
      </c>
      <c r="K7781" s="31">
        <v>6.8720001999999996</v>
      </c>
      <c r="L7781" s="31"/>
      <c r="M7781" s="31" t="s">
        <v>854</v>
      </c>
      <c r="N7781" s="6" t="s">
        <v>856</v>
      </c>
    </row>
    <row r="7782" spans="1:14" ht="15" customHeight="1" x14ac:dyDescent="0.2">
      <c r="A7782" s="31">
        <v>4.7846561254515627E-2</v>
      </c>
      <c r="B7782" s="31"/>
      <c r="C7782" s="2" t="s">
        <v>855</v>
      </c>
      <c r="D7782" s="31">
        <f t="shared" si="215"/>
        <v>9.3779260058850632E-3</v>
      </c>
      <c r="F7782" s="2" t="s">
        <v>822</v>
      </c>
      <c r="G7782" s="23" t="s">
        <v>902</v>
      </c>
      <c r="H7782" s="2" t="s">
        <v>822</v>
      </c>
      <c r="J7782" s="31">
        <v>65.415199299999998</v>
      </c>
      <c r="K7782" s="31">
        <v>-8.4181404000000004</v>
      </c>
      <c r="L7782" s="31"/>
      <c r="M7782" s="31" t="s">
        <v>854</v>
      </c>
      <c r="N7782" s="6" t="s">
        <v>856</v>
      </c>
    </row>
    <row r="7783" spans="1:14" ht="15" customHeight="1" x14ac:dyDescent="0.2">
      <c r="A7783" s="31">
        <v>4.7838987771944022E-2</v>
      </c>
      <c r="B7783" s="31"/>
      <c r="C7783" s="2" t="s">
        <v>855</v>
      </c>
      <c r="D7783" s="31">
        <f t="shared" si="215"/>
        <v>9.3764416033010282E-3</v>
      </c>
      <c r="F7783" s="2" t="s">
        <v>822</v>
      </c>
      <c r="G7783" s="23" t="s">
        <v>902</v>
      </c>
      <c r="H7783" s="2" t="s">
        <v>822</v>
      </c>
      <c r="J7783" s="31">
        <v>68.124000499999994</v>
      </c>
      <c r="K7783" s="31">
        <v>-18.511999100000001</v>
      </c>
      <c r="L7783" s="31"/>
      <c r="M7783" s="31" t="s">
        <v>854</v>
      </c>
      <c r="N7783" s="6" t="s">
        <v>856</v>
      </c>
    </row>
    <row r="7784" spans="1:14" ht="15" customHeight="1" x14ac:dyDescent="0.2">
      <c r="A7784" s="31">
        <v>4.775570795433353E-2</v>
      </c>
      <c r="B7784" s="31"/>
      <c r="C7784" s="2" t="s">
        <v>855</v>
      </c>
      <c r="D7784" s="31">
        <f t="shared" si="215"/>
        <v>9.3601187590493726E-3</v>
      </c>
      <c r="F7784" s="2" t="s">
        <v>822</v>
      </c>
      <c r="G7784" s="23" t="s">
        <v>902</v>
      </c>
      <c r="H7784" s="2" t="s">
        <v>822</v>
      </c>
      <c r="J7784" s="31">
        <v>68.124000499999994</v>
      </c>
      <c r="K7784" s="31">
        <v>-8.4919995999999998</v>
      </c>
      <c r="L7784" s="31"/>
      <c r="M7784" s="31" t="s">
        <v>854</v>
      </c>
      <c r="N7784" s="6" t="s">
        <v>856</v>
      </c>
    </row>
    <row r="7785" spans="1:14" ht="15" customHeight="1" x14ac:dyDescent="0.2">
      <c r="A7785" s="31">
        <v>4.7705070747524857E-2</v>
      </c>
      <c r="B7785" s="31"/>
      <c r="C7785" s="2" t="s">
        <v>855</v>
      </c>
      <c r="D7785" s="31">
        <f t="shared" si="215"/>
        <v>9.3501938665148717E-3</v>
      </c>
      <c r="F7785" s="2" t="s">
        <v>822</v>
      </c>
      <c r="G7785" s="23" t="s">
        <v>902</v>
      </c>
      <c r="H7785" s="2" t="s">
        <v>822</v>
      </c>
      <c r="J7785" s="31">
        <v>72.800003099999998</v>
      </c>
      <c r="K7785" s="31">
        <v>1.528</v>
      </c>
      <c r="L7785" s="31"/>
      <c r="M7785" s="31" t="s">
        <v>854</v>
      </c>
      <c r="N7785" s="6" t="s">
        <v>856</v>
      </c>
    </row>
    <row r="7786" spans="1:14" ht="15" customHeight="1" x14ac:dyDescent="0.2">
      <c r="A7786" s="31">
        <v>4.7427620138233539E-2</v>
      </c>
      <c r="B7786" s="31"/>
      <c r="C7786" s="2" t="s">
        <v>855</v>
      </c>
      <c r="D7786" s="31">
        <f t="shared" si="215"/>
        <v>9.2958135470937748E-3</v>
      </c>
      <c r="F7786" s="2" t="s">
        <v>822</v>
      </c>
      <c r="G7786" s="23" t="s">
        <v>902</v>
      </c>
      <c r="H7786" s="2" t="s">
        <v>822</v>
      </c>
      <c r="J7786" s="31">
        <v>74.089798000000002</v>
      </c>
      <c r="K7786" s="31">
        <v>-7.1441698000000002</v>
      </c>
      <c r="L7786" s="31"/>
      <c r="M7786" s="31" t="s">
        <v>854</v>
      </c>
      <c r="N7786" s="6" t="s">
        <v>856</v>
      </c>
    </row>
    <row r="7787" spans="1:14" ht="15" customHeight="1" x14ac:dyDescent="0.2">
      <c r="A7787" s="31">
        <v>4.7427370601749161E-2</v>
      </c>
      <c r="B7787" s="31"/>
      <c r="C7787" s="2" t="s">
        <v>855</v>
      </c>
      <c r="D7787" s="31">
        <f t="shared" si="215"/>
        <v>9.2957646379428355E-3</v>
      </c>
      <c r="F7787" s="2" t="s">
        <v>822</v>
      </c>
      <c r="G7787" s="23" t="s">
        <v>902</v>
      </c>
      <c r="H7787" s="2" t="s">
        <v>822</v>
      </c>
      <c r="J7787" s="31">
        <v>66.120002700000001</v>
      </c>
      <c r="K7787" s="31">
        <v>-3.1480000000000001</v>
      </c>
      <c r="L7787" s="31"/>
      <c r="M7787" s="31" t="s">
        <v>854</v>
      </c>
      <c r="N7787" s="6" t="s">
        <v>856</v>
      </c>
    </row>
    <row r="7788" spans="1:14" ht="15" customHeight="1" x14ac:dyDescent="0.2">
      <c r="A7788" s="31">
        <v>4.7369578420542173E-2</v>
      </c>
      <c r="B7788" s="31"/>
      <c r="C7788" s="2" t="s">
        <v>855</v>
      </c>
      <c r="D7788" s="31">
        <f t="shared" si="215"/>
        <v>9.2844373704262656E-3</v>
      </c>
      <c r="F7788" s="2" t="s">
        <v>822</v>
      </c>
      <c r="G7788" s="23" t="s">
        <v>902</v>
      </c>
      <c r="H7788" s="2" t="s">
        <v>822</v>
      </c>
      <c r="J7788" s="31">
        <v>73.468002299999995</v>
      </c>
      <c r="K7788" s="31">
        <v>6.2039999999999997</v>
      </c>
      <c r="L7788" s="31"/>
      <c r="M7788" s="31" t="s">
        <v>854</v>
      </c>
      <c r="N7788" s="6" t="s">
        <v>856</v>
      </c>
    </row>
    <row r="7789" spans="1:14" ht="15" customHeight="1" x14ac:dyDescent="0.2">
      <c r="A7789" s="31">
        <v>4.728745500350108E-2</v>
      </c>
      <c r="B7789" s="31"/>
      <c r="C7789" s="2" t="s">
        <v>855</v>
      </c>
      <c r="D7789" s="31">
        <f t="shared" si="215"/>
        <v>9.2683411806862119E-3</v>
      </c>
      <c r="F7789" s="2" t="s">
        <v>822</v>
      </c>
      <c r="G7789" s="23" t="s">
        <v>902</v>
      </c>
      <c r="H7789" s="2" t="s">
        <v>822</v>
      </c>
      <c r="J7789" s="31">
        <v>71.463996899999998</v>
      </c>
      <c r="K7789" s="31">
        <v>9.5439997000000005</v>
      </c>
      <c r="L7789" s="31"/>
      <c r="M7789" s="31" t="s">
        <v>854</v>
      </c>
      <c r="N7789" s="6" t="s">
        <v>856</v>
      </c>
    </row>
    <row r="7790" spans="1:14" ht="15" customHeight="1" x14ac:dyDescent="0.2">
      <c r="A7790" s="31">
        <v>4.7282054132122657E-2</v>
      </c>
      <c r="B7790" s="31"/>
      <c r="C7790" s="2" t="s">
        <v>855</v>
      </c>
      <c r="D7790" s="31">
        <f t="shared" si="215"/>
        <v>9.2672826098960416E-3</v>
      </c>
      <c r="F7790" s="2" t="s">
        <v>822</v>
      </c>
      <c r="G7790" s="23" t="s">
        <v>902</v>
      </c>
      <c r="H7790" s="2" t="s">
        <v>822</v>
      </c>
      <c r="J7790" s="31">
        <v>67.188102700000002</v>
      </c>
      <c r="K7790" s="31">
        <v>-25.108499500000001</v>
      </c>
      <c r="L7790" s="31"/>
      <c r="M7790" s="31" t="s">
        <v>854</v>
      </c>
      <c r="N7790" s="6" t="s">
        <v>856</v>
      </c>
    </row>
    <row r="7791" spans="1:14" ht="15" customHeight="1" x14ac:dyDescent="0.2">
      <c r="A7791" s="31">
        <v>4.7236749358071858E-2</v>
      </c>
      <c r="B7791" s="31"/>
      <c r="C7791" s="2" t="s">
        <v>855</v>
      </c>
      <c r="D7791" s="31">
        <f t="shared" si="215"/>
        <v>9.258402874182085E-3</v>
      </c>
      <c r="F7791" s="2" t="s">
        <v>822</v>
      </c>
      <c r="G7791" s="23" t="s">
        <v>902</v>
      </c>
      <c r="H7791" s="2" t="s">
        <v>822</v>
      </c>
      <c r="J7791" s="31">
        <v>70.127998399999996</v>
      </c>
      <c r="K7791" s="31">
        <v>-9.1599997999999996</v>
      </c>
      <c r="L7791" s="31"/>
      <c r="M7791" s="31" t="s">
        <v>854</v>
      </c>
      <c r="N7791" s="6" t="s">
        <v>856</v>
      </c>
    </row>
    <row r="7792" spans="1:14" ht="15" customHeight="1" x14ac:dyDescent="0.2">
      <c r="A7792" s="31">
        <v>4.7191849716676823E-2</v>
      </c>
      <c r="B7792" s="31"/>
      <c r="C7792" s="2" t="s">
        <v>855</v>
      </c>
      <c r="D7792" s="31">
        <f t="shared" si="215"/>
        <v>9.2496025444686585E-3</v>
      </c>
      <c r="F7792" s="2" t="s">
        <v>822</v>
      </c>
      <c r="G7792" s="23" t="s">
        <v>902</v>
      </c>
      <c r="H7792" s="2" t="s">
        <v>822</v>
      </c>
      <c r="J7792" s="31">
        <v>67.456001299999997</v>
      </c>
      <c r="K7792" s="31">
        <v>-21.851999299999999</v>
      </c>
      <c r="L7792" s="31"/>
      <c r="M7792" s="31" t="s">
        <v>854</v>
      </c>
      <c r="N7792" s="6" t="s">
        <v>856</v>
      </c>
    </row>
    <row r="7793" spans="1:14" ht="15" customHeight="1" x14ac:dyDescent="0.2">
      <c r="A7793" s="31">
        <v>4.7148313677886897E-2</v>
      </c>
      <c r="B7793" s="31"/>
      <c r="C7793" s="2" t="s">
        <v>855</v>
      </c>
      <c r="D7793" s="31">
        <f t="shared" si="215"/>
        <v>9.2410694808658326E-3</v>
      </c>
      <c r="F7793" s="2" t="s">
        <v>822</v>
      </c>
      <c r="G7793" s="23" t="s">
        <v>902</v>
      </c>
      <c r="H7793" s="2" t="s">
        <v>822</v>
      </c>
      <c r="J7793" s="31">
        <v>74.804000900000005</v>
      </c>
      <c r="K7793" s="31">
        <v>4.8680000000000003</v>
      </c>
      <c r="L7793" s="31"/>
      <c r="M7793" s="31" t="s">
        <v>854</v>
      </c>
      <c r="N7793" s="6" t="s">
        <v>856</v>
      </c>
    </row>
    <row r="7794" spans="1:14" ht="15" customHeight="1" x14ac:dyDescent="0.2">
      <c r="A7794" s="31">
        <v>4.7147600522566023E-2</v>
      </c>
      <c r="B7794" s="31"/>
      <c r="C7794" s="2" t="s">
        <v>855</v>
      </c>
      <c r="D7794" s="31">
        <f t="shared" si="215"/>
        <v>9.2409297024229411E-3</v>
      </c>
      <c r="F7794" s="2" t="s">
        <v>822</v>
      </c>
      <c r="G7794" s="23" t="s">
        <v>902</v>
      </c>
      <c r="H7794" s="2" t="s">
        <v>822</v>
      </c>
      <c r="J7794" s="31">
        <v>73.468002299999995</v>
      </c>
      <c r="K7794" s="31">
        <v>24.908000900000001</v>
      </c>
      <c r="L7794" s="31"/>
      <c r="M7794" s="31" t="s">
        <v>854</v>
      </c>
      <c r="N7794" s="6" t="s">
        <v>856</v>
      </c>
    </row>
    <row r="7795" spans="1:14" ht="15" customHeight="1" x14ac:dyDescent="0.2">
      <c r="A7795" s="31">
        <v>4.710840016349687E-2</v>
      </c>
      <c r="B7795" s="31"/>
      <c r="C7795" s="2" t="s">
        <v>855</v>
      </c>
      <c r="D7795" s="31">
        <f t="shared" si="215"/>
        <v>9.2332464320453878E-3</v>
      </c>
      <c r="F7795" s="2" t="s">
        <v>822</v>
      </c>
      <c r="G7795" s="23" t="s">
        <v>902</v>
      </c>
      <c r="H7795" s="2" t="s">
        <v>822</v>
      </c>
      <c r="J7795" s="31">
        <v>73.468002299999995</v>
      </c>
      <c r="K7795" s="31">
        <v>29.583999599999999</v>
      </c>
      <c r="L7795" s="31"/>
      <c r="M7795" s="31" t="s">
        <v>854</v>
      </c>
      <c r="N7795" s="6" t="s">
        <v>856</v>
      </c>
    </row>
    <row r="7796" spans="1:14" ht="15" customHeight="1" x14ac:dyDescent="0.2">
      <c r="A7796" s="31">
        <v>4.7080603570371631E-2</v>
      </c>
      <c r="B7796" s="31"/>
      <c r="C7796" s="2" t="s">
        <v>855</v>
      </c>
      <c r="D7796" s="31">
        <f t="shared" si="215"/>
        <v>9.2277982997928405E-3</v>
      </c>
      <c r="F7796" s="2" t="s">
        <v>822</v>
      </c>
      <c r="G7796" s="23" t="s">
        <v>902</v>
      </c>
      <c r="H7796" s="2" t="s">
        <v>822</v>
      </c>
      <c r="J7796" s="31">
        <v>73.468002299999995</v>
      </c>
      <c r="K7796" s="31">
        <v>4.8680000000000003</v>
      </c>
      <c r="L7796" s="31"/>
      <c r="M7796" s="31" t="s">
        <v>854</v>
      </c>
      <c r="N7796" s="6" t="s">
        <v>856</v>
      </c>
    </row>
    <row r="7797" spans="1:14" ht="15" customHeight="1" x14ac:dyDescent="0.2">
      <c r="A7797" s="31">
        <v>4.7043097504521909E-2</v>
      </c>
      <c r="B7797" s="31"/>
      <c r="C7797" s="2" t="s">
        <v>855</v>
      </c>
      <c r="D7797" s="31">
        <f t="shared" si="215"/>
        <v>9.2204471108862946E-3</v>
      </c>
      <c r="F7797" s="2" t="s">
        <v>822</v>
      </c>
      <c r="G7797" s="23" t="s">
        <v>902</v>
      </c>
      <c r="H7797" s="2" t="s">
        <v>822</v>
      </c>
      <c r="J7797" s="31">
        <v>72.800003099999998</v>
      </c>
      <c r="K7797" s="31">
        <v>-9.8280001000000006</v>
      </c>
      <c r="L7797" s="31"/>
      <c r="M7797" s="31" t="s">
        <v>854</v>
      </c>
      <c r="N7797" s="6" t="s">
        <v>856</v>
      </c>
    </row>
    <row r="7798" spans="1:14" ht="15" customHeight="1" x14ac:dyDescent="0.2">
      <c r="A7798" s="31">
        <v>4.6949088608293138E-2</v>
      </c>
      <c r="B7798" s="31"/>
      <c r="C7798" s="2" t="s">
        <v>855</v>
      </c>
      <c r="D7798" s="31">
        <f t="shared" si="215"/>
        <v>9.2020213672254561E-3</v>
      </c>
      <c r="F7798" s="2" t="s">
        <v>822</v>
      </c>
      <c r="G7798" s="23" t="s">
        <v>902</v>
      </c>
      <c r="H7798" s="2" t="s">
        <v>822</v>
      </c>
      <c r="J7798" s="31">
        <v>69.783996599999995</v>
      </c>
      <c r="K7798" s="31">
        <v>31.6548996</v>
      </c>
      <c r="L7798" s="31"/>
      <c r="M7798" s="31" t="s">
        <v>854</v>
      </c>
      <c r="N7798" s="6" t="s">
        <v>856</v>
      </c>
    </row>
    <row r="7799" spans="1:14" ht="15" customHeight="1" x14ac:dyDescent="0.2">
      <c r="A7799" s="31">
        <v>4.6918262432669118E-2</v>
      </c>
      <c r="B7799" s="31"/>
      <c r="C7799" s="2" t="s">
        <v>855</v>
      </c>
      <c r="D7799" s="31">
        <f t="shared" si="215"/>
        <v>9.1959794368031474E-3</v>
      </c>
      <c r="F7799" s="2" t="s">
        <v>822</v>
      </c>
      <c r="G7799" s="23" t="s">
        <v>902</v>
      </c>
      <c r="H7799" s="2" t="s">
        <v>822</v>
      </c>
      <c r="J7799" s="31">
        <v>74.1360016</v>
      </c>
      <c r="K7799" s="31">
        <v>17.5599995</v>
      </c>
      <c r="L7799" s="31"/>
      <c r="M7799" s="31" t="s">
        <v>854</v>
      </c>
      <c r="N7799" s="6" t="s">
        <v>856</v>
      </c>
    </row>
    <row r="7800" spans="1:14" ht="15" customHeight="1" x14ac:dyDescent="0.2">
      <c r="A7800" s="31">
        <v>4.6906718368619142E-2</v>
      </c>
      <c r="B7800" s="31"/>
      <c r="C7800" s="2" t="s">
        <v>855</v>
      </c>
      <c r="D7800" s="31">
        <f t="shared" si="215"/>
        <v>9.1937168002493522E-3</v>
      </c>
      <c r="F7800" s="2" t="s">
        <v>822</v>
      </c>
      <c r="G7800" s="23" t="s">
        <v>902</v>
      </c>
      <c r="H7800" s="2" t="s">
        <v>822</v>
      </c>
      <c r="J7800" s="31">
        <v>66.679298399999993</v>
      </c>
      <c r="K7800" s="31">
        <v>-26.507099199999999</v>
      </c>
      <c r="L7800" s="31"/>
      <c r="M7800" s="31" t="s">
        <v>854</v>
      </c>
      <c r="N7800" s="6" t="s">
        <v>856</v>
      </c>
    </row>
    <row r="7801" spans="1:14" ht="15" customHeight="1" x14ac:dyDescent="0.2">
      <c r="A7801" s="31">
        <v>4.6879769473874983E-2</v>
      </c>
      <c r="B7801" s="31"/>
      <c r="C7801" s="2" t="s">
        <v>855</v>
      </c>
      <c r="D7801" s="31">
        <f t="shared" si="215"/>
        <v>9.1884348168794969E-3</v>
      </c>
      <c r="F7801" s="2" t="s">
        <v>822</v>
      </c>
      <c r="G7801" s="23" t="s">
        <v>902</v>
      </c>
      <c r="H7801" s="2" t="s">
        <v>822</v>
      </c>
      <c r="J7801" s="31">
        <v>69.721198999999999</v>
      </c>
      <c r="K7801" s="31">
        <v>48.787998199999997</v>
      </c>
      <c r="L7801" s="31"/>
      <c r="M7801" s="31" t="s">
        <v>854</v>
      </c>
      <c r="N7801" s="6" t="s">
        <v>856</v>
      </c>
    </row>
    <row r="7802" spans="1:14" ht="15" customHeight="1" x14ac:dyDescent="0.2">
      <c r="A7802" s="31">
        <v>4.6803814377055913E-2</v>
      </c>
      <c r="B7802" s="31"/>
      <c r="C7802" s="2" t="s">
        <v>855</v>
      </c>
      <c r="D7802" s="31">
        <f t="shared" si="215"/>
        <v>9.1735476179029586E-3</v>
      </c>
      <c r="F7802" s="2" t="s">
        <v>822</v>
      </c>
      <c r="G7802" s="23" t="s">
        <v>902</v>
      </c>
      <c r="H7802" s="2" t="s">
        <v>822</v>
      </c>
      <c r="J7802" s="31">
        <v>70.127998399999996</v>
      </c>
      <c r="K7802" s="31">
        <v>2.8640001000000002</v>
      </c>
      <c r="L7802" s="31"/>
      <c r="M7802" s="31" t="s">
        <v>854</v>
      </c>
      <c r="N7802" s="6" t="s">
        <v>856</v>
      </c>
    </row>
    <row r="7803" spans="1:14" ht="15" customHeight="1" x14ac:dyDescent="0.2">
      <c r="A7803" s="31">
        <v>4.6778831319032023E-2</v>
      </c>
      <c r="B7803" s="31"/>
      <c r="C7803" s="2" t="s">
        <v>855</v>
      </c>
      <c r="D7803" s="31">
        <f t="shared" si="215"/>
        <v>9.1686509385302765E-3</v>
      </c>
      <c r="F7803" s="2" t="s">
        <v>822</v>
      </c>
      <c r="G7803" s="23" t="s">
        <v>902</v>
      </c>
      <c r="H7803" s="2" t="s">
        <v>822</v>
      </c>
      <c r="J7803" s="31">
        <v>71.463996899999998</v>
      </c>
      <c r="K7803" s="31">
        <v>28.916000400000001</v>
      </c>
      <c r="L7803" s="31"/>
      <c r="M7803" s="31" t="s">
        <v>854</v>
      </c>
      <c r="N7803" s="6" t="s">
        <v>856</v>
      </c>
    </row>
    <row r="7804" spans="1:14" ht="15" customHeight="1" x14ac:dyDescent="0.2">
      <c r="A7804" s="31">
        <v>4.6684999039309193E-2</v>
      </c>
      <c r="B7804" s="31"/>
      <c r="C7804" s="2" t="s">
        <v>855</v>
      </c>
      <c r="D7804" s="31">
        <f t="shared" si="215"/>
        <v>9.150259811704602E-3</v>
      </c>
      <c r="F7804" s="2" t="s">
        <v>822</v>
      </c>
      <c r="G7804" s="23" t="s">
        <v>902</v>
      </c>
      <c r="H7804" s="2" t="s">
        <v>822</v>
      </c>
      <c r="J7804" s="31">
        <v>74.1360016</v>
      </c>
      <c r="K7804" s="31">
        <v>9.5439997000000005</v>
      </c>
      <c r="L7804" s="31"/>
      <c r="M7804" s="31" t="s">
        <v>854</v>
      </c>
      <c r="N7804" s="6" t="s">
        <v>856</v>
      </c>
    </row>
    <row r="7805" spans="1:14" ht="15" customHeight="1" x14ac:dyDescent="0.2">
      <c r="A7805" s="31">
        <v>4.6653389260419308E-2</v>
      </c>
      <c r="B7805" s="31"/>
      <c r="C7805" s="2" t="s">
        <v>855</v>
      </c>
      <c r="D7805" s="31">
        <f t="shared" si="215"/>
        <v>9.1440642950421855E-3</v>
      </c>
      <c r="F7805" s="2" t="s">
        <v>822</v>
      </c>
      <c r="G7805" s="23" t="s">
        <v>902</v>
      </c>
      <c r="H7805" s="2" t="s">
        <v>822</v>
      </c>
      <c r="J7805" s="31">
        <v>73.468002299999995</v>
      </c>
      <c r="K7805" s="31">
        <v>22.903999299999999</v>
      </c>
      <c r="L7805" s="31"/>
      <c r="M7805" s="31" t="s">
        <v>854</v>
      </c>
      <c r="N7805" s="6" t="s">
        <v>856</v>
      </c>
    </row>
    <row r="7806" spans="1:14" ht="15" customHeight="1" x14ac:dyDescent="0.2">
      <c r="A7806" s="31">
        <v>4.6651215554598773E-2</v>
      </c>
      <c r="B7806" s="31"/>
      <c r="C7806" s="2" t="s">
        <v>855</v>
      </c>
      <c r="D7806" s="31">
        <f t="shared" si="215"/>
        <v>9.1436382487013589E-3</v>
      </c>
      <c r="F7806" s="2" t="s">
        <v>822</v>
      </c>
      <c r="G7806" s="23" t="s">
        <v>902</v>
      </c>
      <c r="H7806" s="2" t="s">
        <v>822</v>
      </c>
      <c r="J7806" s="31">
        <v>70.127998399999996</v>
      </c>
      <c r="K7806" s="31">
        <v>4.8680000000000003</v>
      </c>
      <c r="L7806" s="31"/>
      <c r="M7806" s="31" t="s">
        <v>854</v>
      </c>
      <c r="N7806" s="6" t="s">
        <v>856</v>
      </c>
    </row>
    <row r="7807" spans="1:14" ht="15" customHeight="1" x14ac:dyDescent="0.2">
      <c r="A7807" s="31">
        <v>4.6641879298213611E-2</v>
      </c>
      <c r="B7807" s="31"/>
      <c r="C7807" s="2" t="s">
        <v>855</v>
      </c>
      <c r="D7807" s="31">
        <f t="shared" si="215"/>
        <v>9.1418083424498683E-3</v>
      </c>
      <c r="F7807" s="2" t="s">
        <v>822</v>
      </c>
      <c r="G7807" s="23" t="s">
        <v>902</v>
      </c>
      <c r="H7807" s="2" t="s">
        <v>822</v>
      </c>
      <c r="J7807" s="31">
        <v>69.014602699999998</v>
      </c>
      <c r="K7807" s="31">
        <v>46.302799200000003</v>
      </c>
      <c r="L7807" s="31"/>
      <c r="M7807" s="31" t="s">
        <v>854</v>
      </c>
      <c r="N7807" s="6" t="s">
        <v>856</v>
      </c>
    </row>
    <row r="7808" spans="1:14" ht="15" customHeight="1" x14ac:dyDescent="0.2">
      <c r="A7808" s="31">
        <v>4.6634254463002497E-2</v>
      </c>
      <c r="B7808" s="31"/>
      <c r="C7808" s="2" t="s">
        <v>855</v>
      </c>
      <c r="D7808" s="31">
        <f t="shared" ref="D7808:D7871" si="216" xml:space="preserve"> A7808 * 0.196</f>
        <v>9.1403138747484895E-3</v>
      </c>
      <c r="F7808" s="2" t="s">
        <v>822</v>
      </c>
      <c r="G7808" s="23" t="s">
        <v>902</v>
      </c>
      <c r="H7808" s="2" t="s">
        <v>822</v>
      </c>
      <c r="J7808" s="31">
        <v>70.127998399999996</v>
      </c>
      <c r="K7808" s="31">
        <v>-13.8360004</v>
      </c>
      <c r="L7808" s="31"/>
      <c r="M7808" s="31" t="s">
        <v>854</v>
      </c>
      <c r="N7808" s="6" t="s">
        <v>856</v>
      </c>
    </row>
    <row r="7809" spans="1:14" ht="15" customHeight="1" x14ac:dyDescent="0.2">
      <c r="A7809" s="31">
        <v>4.6537435156299191E-2</v>
      </c>
      <c r="B7809" s="31"/>
      <c r="C7809" s="2" t="s">
        <v>855</v>
      </c>
      <c r="D7809" s="31">
        <f t="shared" si="216"/>
        <v>9.1213372906346415E-3</v>
      </c>
      <c r="F7809" s="2" t="s">
        <v>822</v>
      </c>
      <c r="G7809" s="23" t="s">
        <v>902</v>
      </c>
      <c r="H7809" s="2" t="s">
        <v>822</v>
      </c>
      <c r="J7809" s="31">
        <v>70.795997600000007</v>
      </c>
      <c r="K7809" s="31">
        <v>-7.1560001</v>
      </c>
      <c r="L7809" s="31"/>
      <c r="M7809" s="31" t="s">
        <v>854</v>
      </c>
      <c r="N7809" s="6" t="s">
        <v>856</v>
      </c>
    </row>
    <row r="7810" spans="1:14" ht="15" customHeight="1" x14ac:dyDescent="0.2">
      <c r="A7810" s="31">
        <v>4.64537457086543E-2</v>
      </c>
      <c r="B7810" s="31"/>
      <c r="C7810" s="2" t="s">
        <v>855</v>
      </c>
      <c r="D7810" s="31">
        <f t="shared" si="216"/>
        <v>9.1049341588962437E-3</v>
      </c>
      <c r="F7810" s="2" t="s">
        <v>822</v>
      </c>
      <c r="G7810" s="23" t="s">
        <v>902</v>
      </c>
      <c r="H7810" s="2" t="s">
        <v>822</v>
      </c>
      <c r="J7810" s="31">
        <v>68.124000499999994</v>
      </c>
      <c r="K7810" s="31">
        <v>-19.1800003</v>
      </c>
      <c r="L7810" s="31"/>
      <c r="M7810" s="31" t="s">
        <v>854</v>
      </c>
      <c r="N7810" s="6" t="s">
        <v>856</v>
      </c>
    </row>
    <row r="7811" spans="1:14" ht="15" customHeight="1" x14ac:dyDescent="0.2">
      <c r="A7811" s="31">
        <v>4.6434826257130413E-2</v>
      </c>
      <c r="B7811" s="31"/>
      <c r="C7811" s="2" t="s">
        <v>855</v>
      </c>
      <c r="D7811" s="31">
        <f t="shared" si="216"/>
        <v>9.101225946397562E-3</v>
      </c>
      <c r="F7811" s="2" t="s">
        <v>822</v>
      </c>
      <c r="G7811" s="23" t="s">
        <v>902</v>
      </c>
      <c r="H7811" s="2" t="s">
        <v>822</v>
      </c>
      <c r="J7811" s="31">
        <v>75.374702499999998</v>
      </c>
      <c r="K7811" s="31">
        <v>2.1943199999999998</v>
      </c>
      <c r="L7811" s="31"/>
      <c r="M7811" s="31" t="s">
        <v>854</v>
      </c>
      <c r="N7811" s="6" t="s">
        <v>856</v>
      </c>
    </row>
    <row r="7812" spans="1:14" ht="15" customHeight="1" x14ac:dyDescent="0.2">
      <c r="A7812" s="31">
        <v>4.6401850825061111E-2</v>
      </c>
      <c r="B7812" s="31"/>
      <c r="C7812" s="2" t="s">
        <v>855</v>
      </c>
      <c r="D7812" s="31">
        <f t="shared" si="216"/>
        <v>9.0947627617119775E-3</v>
      </c>
      <c r="F7812" s="2" t="s">
        <v>822</v>
      </c>
      <c r="G7812" s="23" t="s">
        <v>902</v>
      </c>
      <c r="H7812" s="2" t="s">
        <v>822</v>
      </c>
      <c r="J7812" s="31">
        <v>73.468002299999995</v>
      </c>
      <c r="K7812" s="31">
        <v>0.86</v>
      </c>
      <c r="L7812" s="31"/>
      <c r="M7812" s="31" t="s">
        <v>854</v>
      </c>
      <c r="N7812" s="6" t="s">
        <v>856</v>
      </c>
    </row>
    <row r="7813" spans="1:14" ht="15" customHeight="1" x14ac:dyDescent="0.2">
      <c r="A7813" s="31">
        <v>4.6234779317233417E-2</v>
      </c>
      <c r="B7813" s="31"/>
      <c r="C7813" s="2" t="s">
        <v>855</v>
      </c>
      <c r="D7813" s="31">
        <f t="shared" si="216"/>
        <v>9.0620167461777507E-3</v>
      </c>
      <c r="F7813" s="2" t="s">
        <v>822</v>
      </c>
      <c r="G7813" s="23" t="s">
        <v>902</v>
      </c>
      <c r="H7813" s="2" t="s">
        <v>822</v>
      </c>
      <c r="J7813" s="31">
        <v>67.456001299999997</v>
      </c>
      <c r="K7813" s="31">
        <v>-11.1639996</v>
      </c>
      <c r="L7813" s="31"/>
      <c r="M7813" s="31" t="s">
        <v>854</v>
      </c>
      <c r="N7813" s="6" t="s">
        <v>856</v>
      </c>
    </row>
    <row r="7814" spans="1:14" ht="15" customHeight="1" x14ac:dyDescent="0.2">
      <c r="A7814" s="31">
        <v>4.6208237516551252E-2</v>
      </c>
      <c r="B7814" s="31"/>
      <c r="C7814" s="2" t="s">
        <v>855</v>
      </c>
      <c r="D7814" s="31">
        <f t="shared" si="216"/>
        <v>9.0568145532440459E-3</v>
      </c>
      <c r="F7814" s="2" t="s">
        <v>822</v>
      </c>
      <c r="G7814" s="23" t="s">
        <v>902</v>
      </c>
      <c r="H7814" s="2" t="s">
        <v>822</v>
      </c>
      <c r="J7814" s="31">
        <v>73.305297899999999</v>
      </c>
      <c r="K7814" s="31">
        <v>-1.8261799999999999</v>
      </c>
      <c r="L7814" s="31"/>
      <c r="M7814" s="31" t="s">
        <v>854</v>
      </c>
      <c r="N7814" s="6" t="s">
        <v>856</v>
      </c>
    </row>
    <row r="7815" spans="1:14" ht="15" customHeight="1" x14ac:dyDescent="0.2">
      <c r="A7815" s="31">
        <v>4.6096811897393772E-2</v>
      </c>
      <c r="B7815" s="31"/>
      <c r="C7815" s="2" t="s">
        <v>855</v>
      </c>
      <c r="D7815" s="31">
        <f t="shared" si="216"/>
        <v>9.034975131889179E-3</v>
      </c>
      <c r="F7815" s="2" t="s">
        <v>822</v>
      </c>
      <c r="G7815" s="23" t="s">
        <v>902</v>
      </c>
      <c r="H7815" s="2" t="s">
        <v>822</v>
      </c>
      <c r="J7815" s="31">
        <v>72.800003099999998</v>
      </c>
      <c r="K7815" s="31">
        <v>24.908000900000001</v>
      </c>
      <c r="L7815" s="31"/>
      <c r="M7815" s="31" t="s">
        <v>854</v>
      </c>
      <c r="N7815" s="6" t="s">
        <v>856</v>
      </c>
    </row>
    <row r="7816" spans="1:14" ht="15" customHeight="1" x14ac:dyDescent="0.2">
      <c r="A7816" s="31">
        <v>4.6016389196070498E-2</v>
      </c>
      <c r="B7816" s="31"/>
      <c r="C7816" s="2" t="s">
        <v>855</v>
      </c>
      <c r="D7816" s="31">
        <f t="shared" si="216"/>
        <v>9.0192122824298178E-3</v>
      </c>
      <c r="F7816" s="2" t="s">
        <v>822</v>
      </c>
      <c r="G7816" s="23" t="s">
        <v>902</v>
      </c>
      <c r="H7816" s="2" t="s">
        <v>822</v>
      </c>
      <c r="J7816" s="31">
        <v>73.468002299999995</v>
      </c>
      <c r="K7816" s="31">
        <v>-7.8239998999999996</v>
      </c>
      <c r="L7816" s="31"/>
      <c r="M7816" s="31" t="s">
        <v>854</v>
      </c>
      <c r="N7816" s="6" t="s">
        <v>856</v>
      </c>
    </row>
    <row r="7817" spans="1:14" ht="15" customHeight="1" x14ac:dyDescent="0.2">
      <c r="A7817" s="31">
        <v>4.5937172812779078E-2</v>
      </c>
      <c r="B7817" s="31"/>
      <c r="C7817" s="2" t="s">
        <v>855</v>
      </c>
      <c r="D7817" s="31">
        <f t="shared" si="216"/>
        <v>9.0036858713046994E-3</v>
      </c>
      <c r="F7817" s="2" t="s">
        <v>822</v>
      </c>
      <c r="G7817" s="23" t="s">
        <v>902</v>
      </c>
      <c r="H7817" s="2" t="s">
        <v>822</v>
      </c>
      <c r="J7817" s="31">
        <v>70.440902699999995</v>
      </c>
      <c r="K7817" s="31">
        <v>-8.0773697000000002</v>
      </c>
      <c r="L7817" s="31"/>
      <c r="M7817" s="31" t="s">
        <v>854</v>
      </c>
      <c r="N7817" s="6" t="s">
        <v>856</v>
      </c>
    </row>
    <row r="7818" spans="1:14" ht="15" customHeight="1" x14ac:dyDescent="0.2">
      <c r="A7818" s="31">
        <v>4.5936964613630941E-2</v>
      </c>
      <c r="B7818" s="31"/>
      <c r="C7818" s="2" t="s">
        <v>855</v>
      </c>
      <c r="D7818" s="31">
        <f t="shared" si="216"/>
        <v>9.0036450642716655E-3</v>
      </c>
      <c r="F7818" s="2" t="s">
        <v>822</v>
      </c>
      <c r="G7818" s="23" t="s">
        <v>902</v>
      </c>
      <c r="H7818" s="2" t="s">
        <v>822</v>
      </c>
      <c r="J7818" s="31">
        <v>73.680396999999999</v>
      </c>
      <c r="K7818" s="31">
        <v>-2.4599099</v>
      </c>
      <c r="L7818" s="31"/>
      <c r="M7818" s="31" t="s">
        <v>854</v>
      </c>
      <c r="N7818" s="6" t="s">
        <v>856</v>
      </c>
    </row>
    <row r="7819" spans="1:14" ht="15" customHeight="1" x14ac:dyDescent="0.2">
      <c r="A7819" s="31">
        <v>4.5784161392557761E-2</v>
      </c>
      <c r="B7819" s="31"/>
      <c r="C7819" s="2" t="s">
        <v>855</v>
      </c>
      <c r="D7819" s="31">
        <f t="shared" si="216"/>
        <v>8.9736956329413212E-3</v>
      </c>
      <c r="F7819" s="2" t="s">
        <v>822</v>
      </c>
      <c r="G7819" s="23" t="s">
        <v>902</v>
      </c>
      <c r="H7819" s="2" t="s">
        <v>822</v>
      </c>
      <c r="J7819" s="31">
        <v>74.692703199999997</v>
      </c>
      <c r="K7819" s="31">
        <v>1.528</v>
      </c>
      <c r="L7819" s="31"/>
      <c r="M7819" s="31" t="s">
        <v>854</v>
      </c>
      <c r="N7819" s="6" t="s">
        <v>856</v>
      </c>
    </row>
    <row r="7820" spans="1:14" ht="15" customHeight="1" x14ac:dyDescent="0.2">
      <c r="A7820" s="31">
        <v>4.5735561824315547E-2</v>
      </c>
      <c r="B7820" s="31"/>
      <c r="C7820" s="2" t="s">
        <v>855</v>
      </c>
      <c r="D7820" s="31">
        <f t="shared" si="216"/>
        <v>8.9641701175658482E-3</v>
      </c>
      <c r="F7820" s="2" t="s">
        <v>822</v>
      </c>
      <c r="G7820" s="23" t="s">
        <v>902</v>
      </c>
      <c r="H7820" s="2" t="s">
        <v>822</v>
      </c>
      <c r="J7820" s="31">
        <v>73.468002299999995</v>
      </c>
      <c r="K7820" s="31">
        <v>5.5359997999999999</v>
      </c>
      <c r="L7820" s="31"/>
      <c r="M7820" s="31" t="s">
        <v>854</v>
      </c>
      <c r="N7820" s="6" t="s">
        <v>856</v>
      </c>
    </row>
    <row r="7821" spans="1:14" ht="15" customHeight="1" x14ac:dyDescent="0.2">
      <c r="A7821" s="31">
        <v>4.5716025607614209E-2</v>
      </c>
      <c r="B7821" s="31"/>
      <c r="C7821" s="2" t="s">
        <v>855</v>
      </c>
      <c r="D7821" s="31">
        <f t="shared" si="216"/>
        <v>8.9603410190923858E-3</v>
      </c>
      <c r="F7821" s="2" t="s">
        <v>822</v>
      </c>
      <c r="G7821" s="23" t="s">
        <v>902</v>
      </c>
      <c r="H7821" s="2" t="s">
        <v>822</v>
      </c>
      <c r="J7821" s="31">
        <v>69.726097100000004</v>
      </c>
      <c r="K7821" s="31">
        <v>47.692699400000002</v>
      </c>
      <c r="L7821" s="31"/>
      <c r="M7821" s="31" t="s">
        <v>854</v>
      </c>
      <c r="N7821" s="6" t="s">
        <v>856</v>
      </c>
    </row>
    <row r="7822" spans="1:14" ht="15" customHeight="1" x14ac:dyDescent="0.2">
      <c r="A7822" s="31">
        <v>4.5585784143365747E-2</v>
      </c>
      <c r="B7822" s="31"/>
      <c r="C7822" s="2" t="s">
        <v>855</v>
      </c>
      <c r="D7822" s="31">
        <f t="shared" si="216"/>
        <v>8.9348136920996864E-3</v>
      </c>
      <c r="F7822" s="2" t="s">
        <v>822</v>
      </c>
      <c r="G7822" s="23" t="s">
        <v>902</v>
      </c>
      <c r="H7822" s="2" t="s">
        <v>822</v>
      </c>
      <c r="J7822" s="31">
        <v>68.124000499999994</v>
      </c>
      <c r="K7822" s="31">
        <v>-10.4960003</v>
      </c>
      <c r="L7822" s="31"/>
      <c r="M7822" s="31" t="s">
        <v>854</v>
      </c>
      <c r="N7822" s="6" t="s">
        <v>856</v>
      </c>
    </row>
    <row r="7823" spans="1:14" ht="15" customHeight="1" x14ac:dyDescent="0.2">
      <c r="A7823" s="31">
        <v>4.555796689866181E-2</v>
      </c>
      <c r="B7823" s="31"/>
      <c r="C7823" s="2" t="s">
        <v>855</v>
      </c>
      <c r="D7823" s="31">
        <f t="shared" si="216"/>
        <v>8.9293615121377144E-3</v>
      </c>
      <c r="F7823" s="2" t="s">
        <v>822</v>
      </c>
      <c r="G7823" s="23" t="s">
        <v>902</v>
      </c>
      <c r="H7823" s="2" t="s">
        <v>822</v>
      </c>
      <c r="J7823" s="31">
        <v>71.463996899999998</v>
      </c>
      <c r="K7823" s="31">
        <v>22.903999299999999</v>
      </c>
      <c r="L7823" s="31"/>
      <c r="M7823" s="31" t="s">
        <v>854</v>
      </c>
      <c r="N7823" s="6" t="s">
        <v>856</v>
      </c>
    </row>
    <row r="7824" spans="1:14" ht="15" customHeight="1" x14ac:dyDescent="0.2">
      <c r="A7824" s="31">
        <v>4.5531791852534663E-2</v>
      </c>
      <c r="B7824" s="31"/>
      <c r="C7824" s="2" t="s">
        <v>855</v>
      </c>
      <c r="D7824" s="31">
        <f t="shared" si="216"/>
        <v>8.9242312030967941E-3</v>
      </c>
      <c r="F7824" s="2" t="s">
        <v>822</v>
      </c>
      <c r="G7824" s="23" t="s">
        <v>902</v>
      </c>
      <c r="H7824" s="2" t="s">
        <v>822</v>
      </c>
      <c r="J7824" s="31">
        <v>74.878196700000004</v>
      </c>
      <c r="K7824" s="31">
        <v>2.9011098999999998</v>
      </c>
      <c r="L7824" s="31"/>
      <c r="M7824" s="31" t="s">
        <v>854</v>
      </c>
      <c r="N7824" s="6" t="s">
        <v>856</v>
      </c>
    </row>
    <row r="7825" spans="1:14" ht="15" customHeight="1" x14ac:dyDescent="0.2">
      <c r="A7825" s="31">
        <v>4.5482960999364733E-2</v>
      </c>
      <c r="B7825" s="31"/>
      <c r="C7825" s="2" t="s">
        <v>855</v>
      </c>
      <c r="D7825" s="31">
        <f t="shared" si="216"/>
        <v>8.9146603558754884E-3</v>
      </c>
      <c r="F7825" s="2" t="s">
        <v>822</v>
      </c>
      <c r="G7825" s="23" t="s">
        <v>902</v>
      </c>
      <c r="H7825" s="2" t="s">
        <v>822</v>
      </c>
      <c r="J7825" s="31">
        <v>69.723602299999996</v>
      </c>
      <c r="K7825" s="31">
        <v>46.284000399999996</v>
      </c>
      <c r="L7825" s="31"/>
      <c r="M7825" s="31" t="s">
        <v>854</v>
      </c>
      <c r="N7825" s="6" t="s">
        <v>856</v>
      </c>
    </row>
    <row r="7826" spans="1:14" ht="15" customHeight="1" x14ac:dyDescent="0.2">
      <c r="A7826" s="31">
        <v>4.5455059197143467E-2</v>
      </c>
      <c r="B7826" s="31"/>
      <c r="C7826" s="2" t="s">
        <v>855</v>
      </c>
      <c r="D7826" s="31">
        <f t="shared" si="216"/>
        <v>8.9091916026401204E-3</v>
      </c>
      <c r="F7826" s="2" t="s">
        <v>822</v>
      </c>
      <c r="G7826" s="23" t="s">
        <v>902</v>
      </c>
      <c r="H7826" s="2" t="s">
        <v>822</v>
      </c>
      <c r="J7826" s="31">
        <v>72.800003099999998</v>
      </c>
      <c r="K7826" s="31">
        <v>27.579999900000001</v>
      </c>
      <c r="L7826" s="31"/>
      <c r="M7826" s="31" t="s">
        <v>854</v>
      </c>
      <c r="N7826" s="6" t="s">
        <v>856</v>
      </c>
    </row>
    <row r="7827" spans="1:14" ht="15" customHeight="1" x14ac:dyDescent="0.2">
      <c r="A7827" s="31">
        <v>4.5440616148616379E-2</v>
      </c>
      <c r="B7827" s="31"/>
      <c r="C7827" s="2" t="s">
        <v>855</v>
      </c>
      <c r="D7827" s="31">
        <f t="shared" si="216"/>
        <v>8.9063607651288113E-3</v>
      </c>
      <c r="F7827" s="2" t="s">
        <v>822</v>
      </c>
      <c r="G7827" s="23" t="s">
        <v>902</v>
      </c>
      <c r="H7827" s="2" t="s">
        <v>822</v>
      </c>
      <c r="J7827" s="31">
        <v>69.459999100000005</v>
      </c>
      <c r="K7827" s="31">
        <v>-16.507999399999999</v>
      </c>
      <c r="L7827" s="31"/>
      <c r="M7827" s="31" t="s">
        <v>854</v>
      </c>
      <c r="N7827" s="6" t="s">
        <v>856</v>
      </c>
    </row>
    <row r="7828" spans="1:14" ht="15" customHeight="1" x14ac:dyDescent="0.2">
      <c r="A7828" s="31">
        <v>4.5395621445485979E-2</v>
      </c>
      <c r="B7828" s="31"/>
      <c r="C7828" s="2" t="s">
        <v>855</v>
      </c>
      <c r="D7828" s="31">
        <f t="shared" si="216"/>
        <v>8.897541803315253E-3</v>
      </c>
      <c r="F7828" s="2" t="s">
        <v>822</v>
      </c>
      <c r="G7828" s="23" t="s">
        <v>902</v>
      </c>
      <c r="H7828" s="2" t="s">
        <v>822</v>
      </c>
      <c r="J7828" s="31">
        <v>70.795997600000007</v>
      </c>
      <c r="K7828" s="31">
        <v>-15.8400002</v>
      </c>
      <c r="L7828" s="31"/>
      <c r="M7828" s="31" t="s">
        <v>854</v>
      </c>
      <c r="N7828" s="6" t="s">
        <v>856</v>
      </c>
    </row>
    <row r="7829" spans="1:14" ht="15" customHeight="1" x14ac:dyDescent="0.2">
      <c r="A7829" s="31">
        <v>4.531757946292754E-2</v>
      </c>
      <c r="B7829" s="31"/>
      <c r="C7829" s="2" t="s">
        <v>855</v>
      </c>
      <c r="D7829" s="31">
        <f t="shared" si="216"/>
        <v>8.8822455747337974E-3</v>
      </c>
      <c r="F7829" s="2" t="s">
        <v>822</v>
      </c>
      <c r="G7829" s="23" t="s">
        <v>902</v>
      </c>
      <c r="H7829" s="2" t="s">
        <v>822</v>
      </c>
      <c r="J7829" s="31">
        <v>69.459999100000005</v>
      </c>
      <c r="K7829" s="31">
        <v>-17.8439999</v>
      </c>
      <c r="L7829" s="31"/>
      <c r="M7829" s="31" t="s">
        <v>854</v>
      </c>
      <c r="N7829" s="6" t="s">
        <v>856</v>
      </c>
    </row>
    <row r="7830" spans="1:14" ht="15" customHeight="1" x14ac:dyDescent="0.2">
      <c r="A7830" s="31">
        <v>4.5306980813189637E-2</v>
      </c>
      <c r="B7830" s="31"/>
      <c r="C7830" s="2" t="s">
        <v>855</v>
      </c>
      <c r="D7830" s="31">
        <f t="shared" si="216"/>
        <v>8.8801682393851687E-3</v>
      </c>
      <c r="F7830" s="2" t="s">
        <v>822</v>
      </c>
      <c r="G7830" s="23" t="s">
        <v>902</v>
      </c>
      <c r="H7830" s="2" t="s">
        <v>822</v>
      </c>
      <c r="J7830" s="31">
        <v>73.172698999999994</v>
      </c>
      <c r="K7830" s="31">
        <v>-10.2313004</v>
      </c>
      <c r="L7830" s="31"/>
      <c r="M7830" s="31" t="s">
        <v>854</v>
      </c>
      <c r="N7830" s="6" t="s">
        <v>856</v>
      </c>
    </row>
    <row r="7831" spans="1:14" ht="15" customHeight="1" x14ac:dyDescent="0.2">
      <c r="A7831" s="31">
        <v>4.529037911554782E-2</v>
      </c>
      <c r="B7831" s="31"/>
      <c r="C7831" s="2" t="s">
        <v>855</v>
      </c>
      <c r="D7831" s="31">
        <f t="shared" si="216"/>
        <v>8.8769143066473738E-3</v>
      </c>
      <c r="F7831" s="2" t="s">
        <v>822</v>
      </c>
      <c r="G7831" s="23" t="s">
        <v>902</v>
      </c>
      <c r="H7831" s="2" t="s">
        <v>822</v>
      </c>
      <c r="J7831" s="31">
        <v>74.6078033</v>
      </c>
      <c r="K7831" s="31">
        <v>-5.1269698000000004</v>
      </c>
      <c r="L7831" s="31"/>
      <c r="M7831" s="31" t="s">
        <v>854</v>
      </c>
      <c r="N7831" s="6" t="s">
        <v>856</v>
      </c>
    </row>
    <row r="7832" spans="1:14" ht="15" customHeight="1" x14ac:dyDescent="0.2">
      <c r="A7832" s="31">
        <v>4.5223282410699631E-2</v>
      </c>
      <c r="B7832" s="31"/>
      <c r="C7832" s="2" t="s">
        <v>855</v>
      </c>
      <c r="D7832" s="31">
        <f t="shared" si="216"/>
        <v>8.8637633524971272E-3</v>
      </c>
      <c r="F7832" s="2" t="s">
        <v>822</v>
      </c>
      <c r="G7832" s="23" t="s">
        <v>902</v>
      </c>
      <c r="H7832" s="2" t="s">
        <v>822</v>
      </c>
      <c r="J7832" s="31">
        <v>74.1360016</v>
      </c>
      <c r="K7832" s="31">
        <v>6.2039999999999997</v>
      </c>
      <c r="L7832" s="31"/>
      <c r="M7832" s="31" t="s">
        <v>854</v>
      </c>
      <c r="N7832" s="6" t="s">
        <v>856</v>
      </c>
    </row>
    <row r="7833" spans="1:14" ht="15" customHeight="1" x14ac:dyDescent="0.2">
      <c r="A7833" s="31">
        <v>4.5218549352341771E-2</v>
      </c>
      <c r="B7833" s="31"/>
      <c r="C7833" s="2" t="s">
        <v>855</v>
      </c>
      <c r="D7833" s="31">
        <f t="shared" si="216"/>
        <v>8.8628356730589882E-3</v>
      </c>
      <c r="F7833" s="2" t="s">
        <v>822</v>
      </c>
      <c r="G7833" s="23" t="s">
        <v>902</v>
      </c>
      <c r="H7833" s="2" t="s">
        <v>822</v>
      </c>
      <c r="J7833" s="31">
        <v>70.989502000000002</v>
      </c>
      <c r="K7833" s="31">
        <v>28.902200700000002</v>
      </c>
      <c r="L7833" s="31"/>
      <c r="M7833" s="31" t="s">
        <v>854</v>
      </c>
      <c r="N7833" s="6" t="s">
        <v>856</v>
      </c>
    </row>
    <row r="7834" spans="1:14" ht="15" customHeight="1" x14ac:dyDescent="0.2">
      <c r="A7834" s="31">
        <v>4.5208960819468777E-2</v>
      </c>
      <c r="B7834" s="31"/>
      <c r="C7834" s="2" t="s">
        <v>855</v>
      </c>
      <c r="D7834" s="31">
        <f t="shared" si="216"/>
        <v>8.8609563206158808E-3</v>
      </c>
      <c r="F7834" s="2" t="s">
        <v>822</v>
      </c>
      <c r="G7834" s="23" t="s">
        <v>902</v>
      </c>
      <c r="H7834" s="2" t="s">
        <v>822</v>
      </c>
      <c r="J7834" s="31">
        <v>73.468002299999995</v>
      </c>
      <c r="K7834" s="31">
        <v>16.892000199999998</v>
      </c>
      <c r="L7834" s="31"/>
      <c r="M7834" s="31" t="s">
        <v>854</v>
      </c>
      <c r="N7834" s="6" t="s">
        <v>856</v>
      </c>
    </row>
    <row r="7835" spans="1:14" ht="15" customHeight="1" x14ac:dyDescent="0.2">
      <c r="A7835" s="31">
        <v>4.5045717724247432E-2</v>
      </c>
      <c r="B7835" s="31"/>
      <c r="C7835" s="2" t="s">
        <v>855</v>
      </c>
      <c r="D7835" s="31">
        <f t="shared" si="216"/>
        <v>8.8289606739524965E-3</v>
      </c>
      <c r="F7835" s="2" t="s">
        <v>822</v>
      </c>
      <c r="G7835" s="23" t="s">
        <v>902</v>
      </c>
      <c r="H7835" s="2" t="s">
        <v>822</v>
      </c>
      <c r="J7835" s="31">
        <v>65.636299100000002</v>
      </c>
      <c r="K7835" s="31">
        <v>-4.4849701</v>
      </c>
      <c r="L7835" s="31"/>
      <c r="M7835" s="31" t="s">
        <v>854</v>
      </c>
      <c r="N7835" s="6" t="s">
        <v>856</v>
      </c>
    </row>
    <row r="7836" spans="1:14" ht="15" customHeight="1" x14ac:dyDescent="0.2">
      <c r="A7836" s="31">
        <v>4.504340589157705E-2</v>
      </c>
      <c r="B7836" s="31"/>
      <c r="C7836" s="2" t="s">
        <v>855</v>
      </c>
      <c r="D7836" s="31">
        <f t="shared" si="216"/>
        <v>8.8285075547491019E-3</v>
      </c>
      <c r="F7836" s="2" t="s">
        <v>822</v>
      </c>
      <c r="G7836" s="23" t="s">
        <v>902</v>
      </c>
      <c r="H7836" s="2" t="s">
        <v>822</v>
      </c>
      <c r="J7836" s="31">
        <v>69.459999100000005</v>
      </c>
      <c r="K7836" s="31">
        <v>1.528</v>
      </c>
      <c r="L7836" s="31"/>
      <c r="M7836" s="31" t="s">
        <v>854</v>
      </c>
      <c r="N7836" s="6" t="s">
        <v>856</v>
      </c>
    </row>
    <row r="7837" spans="1:14" ht="15" customHeight="1" x14ac:dyDescent="0.2">
      <c r="A7837" s="31">
        <v>4.5028304896181051E-2</v>
      </c>
      <c r="B7837" s="31"/>
      <c r="C7837" s="2" t="s">
        <v>855</v>
      </c>
      <c r="D7837" s="31">
        <f t="shared" si="216"/>
        <v>8.8255477596514871E-3</v>
      </c>
      <c r="F7837" s="2" t="s">
        <v>822</v>
      </c>
      <c r="G7837" s="23" t="s">
        <v>902</v>
      </c>
      <c r="H7837" s="2" t="s">
        <v>822</v>
      </c>
      <c r="J7837" s="31">
        <v>71.415000899999995</v>
      </c>
      <c r="K7837" s="31">
        <v>50.198398599999997</v>
      </c>
      <c r="L7837" s="31"/>
      <c r="M7837" s="31" t="s">
        <v>854</v>
      </c>
      <c r="N7837" s="6" t="s">
        <v>856</v>
      </c>
    </row>
    <row r="7838" spans="1:14" ht="15" customHeight="1" x14ac:dyDescent="0.2">
      <c r="A7838" s="31">
        <v>4.4926717909809268E-2</v>
      </c>
      <c r="B7838" s="31"/>
      <c r="C7838" s="2" t="s">
        <v>855</v>
      </c>
      <c r="D7838" s="31">
        <f t="shared" si="216"/>
        <v>8.8056367103226171E-3</v>
      </c>
      <c r="F7838" s="2" t="s">
        <v>822</v>
      </c>
      <c r="G7838" s="23" t="s">
        <v>902</v>
      </c>
      <c r="H7838" s="2" t="s">
        <v>822</v>
      </c>
      <c r="J7838" s="31">
        <v>72.800003099999998</v>
      </c>
      <c r="K7838" s="31">
        <v>-9.1599997999999996</v>
      </c>
      <c r="L7838" s="31"/>
      <c r="M7838" s="31" t="s">
        <v>854</v>
      </c>
      <c r="N7838" s="6" t="s">
        <v>856</v>
      </c>
    </row>
    <row r="7839" spans="1:14" ht="15" customHeight="1" x14ac:dyDescent="0.2">
      <c r="A7839" s="31">
        <v>4.4920383458172577E-2</v>
      </c>
      <c r="B7839" s="31"/>
      <c r="C7839" s="2" t="s">
        <v>855</v>
      </c>
      <c r="D7839" s="31">
        <f t="shared" si="216"/>
        <v>8.804395157801825E-3</v>
      </c>
      <c r="F7839" s="2" t="s">
        <v>822</v>
      </c>
      <c r="G7839" s="23" t="s">
        <v>902</v>
      </c>
      <c r="H7839" s="2" t="s">
        <v>822</v>
      </c>
      <c r="J7839" s="31">
        <v>73.468002299999995</v>
      </c>
      <c r="K7839" s="31">
        <v>-5.1520000000000001</v>
      </c>
      <c r="L7839" s="31"/>
      <c r="M7839" s="31" t="s">
        <v>854</v>
      </c>
      <c r="N7839" s="6" t="s">
        <v>856</v>
      </c>
    </row>
    <row r="7840" spans="1:14" ht="15" customHeight="1" x14ac:dyDescent="0.2">
      <c r="A7840" s="31">
        <v>4.4771162022014283E-2</v>
      </c>
      <c r="B7840" s="31"/>
      <c r="C7840" s="2" t="s">
        <v>855</v>
      </c>
      <c r="D7840" s="31">
        <f t="shared" si="216"/>
        <v>8.7751477563147995E-3</v>
      </c>
      <c r="F7840" s="2" t="s">
        <v>822</v>
      </c>
      <c r="G7840" s="23" t="s">
        <v>902</v>
      </c>
      <c r="H7840" s="2" t="s">
        <v>822</v>
      </c>
      <c r="J7840" s="31">
        <v>72.800003099999998</v>
      </c>
      <c r="K7840" s="31">
        <v>-2.48</v>
      </c>
      <c r="L7840" s="31"/>
      <c r="M7840" s="31" t="s">
        <v>854</v>
      </c>
      <c r="N7840" s="6" t="s">
        <v>856</v>
      </c>
    </row>
    <row r="7841" spans="1:14" ht="15" customHeight="1" x14ac:dyDescent="0.2">
      <c r="A7841" s="31">
        <v>4.4757022626653209E-2</v>
      </c>
      <c r="B7841" s="31"/>
      <c r="C7841" s="2" t="s">
        <v>855</v>
      </c>
      <c r="D7841" s="31">
        <f t="shared" si="216"/>
        <v>8.7723764348240293E-3</v>
      </c>
      <c r="F7841" s="2" t="s">
        <v>822</v>
      </c>
      <c r="G7841" s="23" t="s">
        <v>902</v>
      </c>
      <c r="H7841" s="2" t="s">
        <v>822</v>
      </c>
      <c r="J7841" s="31">
        <v>66.157096899999999</v>
      </c>
      <c r="K7841" s="31">
        <v>-8.5677403999999999</v>
      </c>
      <c r="L7841" s="31"/>
      <c r="M7841" s="31" t="s">
        <v>854</v>
      </c>
      <c r="N7841" s="6" t="s">
        <v>856</v>
      </c>
    </row>
    <row r="7842" spans="1:14" ht="15" customHeight="1" x14ac:dyDescent="0.2">
      <c r="A7842" s="31">
        <v>4.4703128299083891E-2</v>
      </c>
      <c r="B7842" s="31"/>
      <c r="C7842" s="2" t="s">
        <v>855</v>
      </c>
      <c r="D7842" s="31">
        <f t="shared" si="216"/>
        <v>8.7618131466204435E-3</v>
      </c>
      <c r="F7842" s="2" t="s">
        <v>822</v>
      </c>
      <c r="G7842" s="23" t="s">
        <v>902</v>
      </c>
      <c r="H7842" s="2" t="s">
        <v>822</v>
      </c>
      <c r="J7842" s="31">
        <v>70.795997600000007</v>
      </c>
      <c r="K7842" s="31">
        <v>-5.1520000000000001</v>
      </c>
      <c r="L7842" s="31"/>
      <c r="M7842" s="31" t="s">
        <v>854</v>
      </c>
      <c r="N7842" s="6" t="s">
        <v>856</v>
      </c>
    </row>
    <row r="7843" spans="1:14" ht="15" customHeight="1" x14ac:dyDescent="0.2">
      <c r="A7843" s="31">
        <v>4.4696525404429192E-2</v>
      </c>
      <c r="B7843" s="31"/>
      <c r="C7843" s="2" t="s">
        <v>855</v>
      </c>
      <c r="D7843" s="31">
        <f t="shared" si="216"/>
        <v>8.7605189792681216E-3</v>
      </c>
      <c r="F7843" s="2" t="s">
        <v>822</v>
      </c>
      <c r="G7843" s="23" t="s">
        <v>902</v>
      </c>
      <c r="H7843" s="2" t="s">
        <v>822</v>
      </c>
      <c r="J7843" s="31">
        <v>68.124000499999994</v>
      </c>
      <c r="K7843" s="31">
        <v>-14.5039997</v>
      </c>
      <c r="L7843" s="31"/>
      <c r="M7843" s="31" t="s">
        <v>854</v>
      </c>
      <c r="N7843" s="6" t="s">
        <v>856</v>
      </c>
    </row>
    <row r="7844" spans="1:14" ht="15" customHeight="1" x14ac:dyDescent="0.2">
      <c r="A7844" s="31">
        <v>4.4688322238697467E-2</v>
      </c>
      <c r="B7844" s="31"/>
      <c r="C7844" s="2" t="s">
        <v>855</v>
      </c>
      <c r="D7844" s="31">
        <f t="shared" si="216"/>
        <v>8.7589111587847036E-3</v>
      </c>
      <c r="F7844" s="2" t="s">
        <v>822</v>
      </c>
      <c r="G7844" s="23" t="s">
        <v>902</v>
      </c>
      <c r="H7844" s="2" t="s">
        <v>822</v>
      </c>
      <c r="J7844" s="31">
        <v>72.132003800000007</v>
      </c>
      <c r="K7844" s="31">
        <v>30.252000800000001</v>
      </c>
      <c r="L7844" s="31"/>
      <c r="M7844" s="31" t="s">
        <v>854</v>
      </c>
      <c r="N7844" s="6" t="s">
        <v>856</v>
      </c>
    </row>
    <row r="7845" spans="1:14" ht="15" customHeight="1" x14ac:dyDescent="0.2">
      <c r="A7845" s="31">
        <v>4.4607100195557442E-2</v>
      </c>
      <c r="B7845" s="31"/>
      <c r="C7845" s="2" t="s">
        <v>855</v>
      </c>
      <c r="D7845" s="31">
        <f t="shared" si="216"/>
        <v>8.7429916383292595E-3</v>
      </c>
      <c r="F7845" s="2" t="s">
        <v>822</v>
      </c>
      <c r="G7845" s="23" t="s">
        <v>902</v>
      </c>
      <c r="H7845" s="2" t="s">
        <v>822</v>
      </c>
      <c r="J7845" s="31">
        <v>70.291702299999997</v>
      </c>
      <c r="K7845" s="31">
        <v>47.010799400000003</v>
      </c>
      <c r="L7845" s="31"/>
      <c r="M7845" s="31" t="s">
        <v>854</v>
      </c>
      <c r="N7845" s="6" t="s">
        <v>856</v>
      </c>
    </row>
    <row r="7846" spans="1:14" ht="15" customHeight="1" x14ac:dyDescent="0.2">
      <c r="A7846" s="31">
        <v>4.4539553607059308E-2</v>
      </c>
      <c r="B7846" s="31"/>
      <c r="C7846" s="2" t="s">
        <v>855</v>
      </c>
      <c r="D7846" s="31">
        <f t="shared" si="216"/>
        <v>8.7297525069836256E-3</v>
      </c>
      <c r="F7846" s="2" t="s">
        <v>822</v>
      </c>
      <c r="G7846" s="23" t="s">
        <v>902</v>
      </c>
      <c r="H7846" s="2" t="s">
        <v>822</v>
      </c>
      <c r="J7846" s="31">
        <v>72.765800499999997</v>
      </c>
      <c r="K7846" s="31">
        <v>-10.4743996</v>
      </c>
      <c r="L7846" s="31"/>
      <c r="M7846" s="31" t="s">
        <v>854</v>
      </c>
      <c r="N7846" s="6" t="s">
        <v>856</v>
      </c>
    </row>
    <row r="7847" spans="1:14" ht="15" customHeight="1" x14ac:dyDescent="0.2">
      <c r="A7847" s="31">
        <v>4.4405077306185731E-2</v>
      </c>
      <c r="B7847" s="31"/>
      <c r="C7847" s="2" t="s">
        <v>855</v>
      </c>
      <c r="D7847" s="31">
        <f t="shared" si="216"/>
        <v>8.7033951520124036E-3</v>
      </c>
      <c r="F7847" s="2" t="s">
        <v>822</v>
      </c>
      <c r="G7847" s="23" t="s">
        <v>902</v>
      </c>
      <c r="H7847" s="2" t="s">
        <v>822</v>
      </c>
      <c r="J7847" s="31">
        <v>72.599998499999998</v>
      </c>
      <c r="K7847" s="31">
        <v>-11.8001003</v>
      </c>
      <c r="L7847" s="31"/>
      <c r="M7847" s="31" t="s">
        <v>854</v>
      </c>
      <c r="N7847" s="6" t="s">
        <v>856</v>
      </c>
    </row>
    <row r="7848" spans="1:14" ht="15" customHeight="1" x14ac:dyDescent="0.2">
      <c r="A7848" s="31">
        <v>4.4397540054050132E-2</v>
      </c>
      <c r="B7848" s="31"/>
      <c r="C7848" s="2" t="s">
        <v>855</v>
      </c>
      <c r="D7848" s="31">
        <f t="shared" si="216"/>
        <v>8.7019178505938263E-3</v>
      </c>
      <c r="F7848" s="2" t="s">
        <v>822</v>
      </c>
      <c r="G7848" s="23" t="s">
        <v>902</v>
      </c>
      <c r="H7848" s="2" t="s">
        <v>822</v>
      </c>
      <c r="J7848" s="31">
        <v>72.800003099999998</v>
      </c>
      <c r="K7848" s="31">
        <v>22.903999299999999</v>
      </c>
      <c r="L7848" s="31"/>
      <c r="M7848" s="31" t="s">
        <v>854</v>
      </c>
      <c r="N7848" s="6" t="s">
        <v>856</v>
      </c>
    </row>
    <row r="7849" spans="1:14" ht="15" customHeight="1" x14ac:dyDescent="0.2">
      <c r="A7849" s="31">
        <v>4.4239896405213509E-2</v>
      </c>
      <c r="B7849" s="31"/>
      <c r="C7849" s="2" t="s">
        <v>855</v>
      </c>
      <c r="D7849" s="31">
        <f t="shared" si="216"/>
        <v>8.6710196954218489E-3</v>
      </c>
      <c r="F7849" s="2" t="s">
        <v>822</v>
      </c>
      <c r="G7849" s="23" t="s">
        <v>902</v>
      </c>
      <c r="H7849" s="2" t="s">
        <v>822</v>
      </c>
      <c r="J7849" s="31">
        <v>73.468002299999995</v>
      </c>
      <c r="K7849" s="31">
        <v>10.2119999</v>
      </c>
      <c r="L7849" s="31"/>
      <c r="M7849" s="31" t="s">
        <v>854</v>
      </c>
      <c r="N7849" s="6" t="s">
        <v>856</v>
      </c>
    </row>
    <row r="7850" spans="1:14" ht="15" customHeight="1" x14ac:dyDescent="0.2">
      <c r="A7850" s="31">
        <v>4.4224225256119687E-2</v>
      </c>
      <c r="B7850" s="31"/>
      <c r="C7850" s="2" t="s">
        <v>855</v>
      </c>
      <c r="D7850" s="31">
        <f t="shared" si="216"/>
        <v>8.6679481501994587E-3</v>
      </c>
      <c r="F7850" s="2" t="s">
        <v>822</v>
      </c>
      <c r="G7850" s="23" t="s">
        <v>902</v>
      </c>
      <c r="H7850" s="2" t="s">
        <v>822</v>
      </c>
      <c r="J7850" s="31">
        <v>71.003700300000006</v>
      </c>
      <c r="K7850" s="31">
        <v>33.637599899999998</v>
      </c>
      <c r="L7850" s="31"/>
      <c r="M7850" s="31" t="s">
        <v>854</v>
      </c>
      <c r="N7850" s="6" t="s">
        <v>856</v>
      </c>
    </row>
    <row r="7851" spans="1:14" ht="15" customHeight="1" x14ac:dyDescent="0.2">
      <c r="A7851" s="31">
        <v>4.4153587658693039E-2</v>
      </c>
      <c r="B7851" s="31"/>
      <c r="C7851" s="2" t="s">
        <v>855</v>
      </c>
      <c r="D7851" s="31">
        <f t="shared" si="216"/>
        <v>8.6541031811038366E-3</v>
      </c>
      <c r="F7851" s="2" t="s">
        <v>822</v>
      </c>
      <c r="G7851" s="23" t="s">
        <v>902</v>
      </c>
      <c r="H7851" s="2" t="s">
        <v>822</v>
      </c>
      <c r="J7851" s="31">
        <v>71.148300199999994</v>
      </c>
      <c r="K7851" s="31">
        <v>32.652500199999999</v>
      </c>
      <c r="L7851" s="31"/>
      <c r="M7851" s="31" t="s">
        <v>854</v>
      </c>
      <c r="N7851" s="6" t="s">
        <v>856</v>
      </c>
    </row>
    <row r="7852" spans="1:14" ht="15" customHeight="1" x14ac:dyDescent="0.2">
      <c r="A7852" s="31">
        <v>4.4143088883425663E-2</v>
      </c>
      <c r="B7852" s="31"/>
      <c r="C7852" s="2" t="s">
        <v>855</v>
      </c>
      <c r="D7852" s="31">
        <f t="shared" si="216"/>
        <v>8.6520454211514303E-3</v>
      </c>
      <c r="F7852" s="2" t="s">
        <v>822</v>
      </c>
      <c r="G7852" s="23" t="s">
        <v>902</v>
      </c>
      <c r="H7852" s="2" t="s">
        <v>822</v>
      </c>
      <c r="J7852" s="31">
        <v>71.463996899999998</v>
      </c>
      <c r="K7852" s="31">
        <v>20.2320004</v>
      </c>
      <c r="L7852" s="31"/>
      <c r="M7852" s="31" t="s">
        <v>854</v>
      </c>
      <c r="N7852" s="6" t="s">
        <v>856</v>
      </c>
    </row>
    <row r="7853" spans="1:14" ht="15" customHeight="1" x14ac:dyDescent="0.2">
      <c r="A7853" s="31">
        <v>4.4133711480081959E-2</v>
      </c>
      <c r="B7853" s="31"/>
      <c r="C7853" s="2" t="s">
        <v>855</v>
      </c>
      <c r="D7853" s="31">
        <f t="shared" si="216"/>
        <v>8.6502074500960646E-3</v>
      </c>
      <c r="F7853" s="2" t="s">
        <v>822</v>
      </c>
      <c r="G7853" s="23" t="s">
        <v>902</v>
      </c>
      <c r="H7853" s="2" t="s">
        <v>822</v>
      </c>
      <c r="J7853" s="31">
        <v>73.977401700000001</v>
      </c>
      <c r="K7853" s="31">
        <v>-2.44503</v>
      </c>
      <c r="L7853" s="31"/>
      <c r="M7853" s="31" t="s">
        <v>854</v>
      </c>
      <c r="N7853" s="6" t="s">
        <v>856</v>
      </c>
    </row>
    <row r="7854" spans="1:14" ht="15" customHeight="1" x14ac:dyDescent="0.2">
      <c r="A7854" s="31">
        <v>4.4123662254382162E-2</v>
      </c>
      <c r="B7854" s="31"/>
      <c r="C7854" s="2" t="s">
        <v>855</v>
      </c>
      <c r="D7854" s="31">
        <f t="shared" si="216"/>
        <v>8.6482378018589035E-3</v>
      </c>
      <c r="F7854" s="2" t="s">
        <v>822</v>
      </c>
      <c r="G7854" s="23" t="s">
        <v>902</v>
      </c>
      <c r="H7854" s="2" t="s">
        <v>822</v>
      </c>
      <c r="J7854" s="31">
        <v>74.1360016</v>
      </c>
      <c r="K7854" s="31">
        <v>8.8760004000000006</v>
      </c>
      <c r="L7854" s="31"/>
      <c r="M7854" s="31" t="s">
        <v>854</v>
      </c>
      <c r="N7854" s="6" t="s">
        <v>856</v>
      </c>
    </row>
    <row r="7855" spans="1:14" ht="15" customHeight="1" x14ac:dyDescent="0.2">
      <c r="A7855" s="31">
        <v>4.4108819575637052E-2</v>
      </c>
      <c r="B7855" s="31"/>
      <c r="C7855" s="2" t="s">
        <v>855</v>
      </c>
      <c r="D7855" s="31">
        <f t="shared" si="216"/>
        <v>8.6453286368248627E-3</v>
      </c>
      <c r="F7855" s="2" t="s">
        <v>822</v>
      </c>
      <c r="G7855" s="23" t="s">
        <v>902</v>
      </c>
      <c r="H7855" s="2" t="s">
        <v>822</v>
      </c>
      <c r="J7855" s="31">
        <v>74.1360016</v>
      </c>
      <c r="K7855" s="31">
        <v>2.1960001</v>
      </c>
      <c r="L7855" s="31"/>
      <c r="M7855" s="31" t="s">
        <v>854</v>
      </c>
      <c r="N7855" s="6" t="s">
        <v>856</v>
      </c>
    </row>
    <row r="7856" spans="1:14" ht="15" customHeight="1" x14ac:dyDescent="0.2">
      <c r="A7856" s="31">
        <v>4.4095312558629432E-2</v>
      </c>
      <c r="B7856" s="31"/>
      <c r="C7856" s="2" t="s">
        <v>855</v>
      </c>
      <c r="D7856" s="31">
        <f t="shared" si="216"/>
        <v>8.6426812614913695E-3</v>
      </c>
      <c r="F7856" s="2" t="s">
        <v>822</v>
      </c>
      <c r="G7856" s="23" t="s">
        <v>902</v>
      </c>
      <c r="H7856" s="2" t="s">
        <v>822</v>
      </c>
      <c r="J7856" s="31">
        <v>65.452003500000004</v>
      </c>
      <c r="K7856" s="31">
        <v>-10.4960003</v>
      </c>
      <c r="L7856" s="31"/>
      <c r="M7856" s="31" t="s">
        <v>854</v>
      </c>
      <c r="N7856" s="6" t="s">
        <v>856</v>
      </c>
    </row>
    <row r="7857" spans="1:14" ht="15" customHeight="1" x14ac:dyDescent="0.2">
      <c r="A7857" s="31">
        <v>4.3937369087390377E-2</v>
      </c>
      <c r="B7857" s="31"/>
      <c r="C7857" s="2" t="s">
        <v>855</v>
      </c>
      <c r="D7857" s="31">
        <f t="shared" si="216"/>
        <v>8.6117243411285137E-3</v>
      </c>
      <c r="F7857" s="2" t="s">
        <v>822</v>
      </c>
      <c r="G7857" s="23" t="s">
        <v>902</v>
      </c>
      <c r="H7857" s="2" t="s">
        <v>822</v>
      </c>
      <c r="J7857" s="31">
        <v>70.127998399999996</v>
      </c>
      <c r="K7857" s="31">
        <v>-17.176000599999998</v>
      </c>
      <c r="L7857" s="31"/>
      <c r="M7857" s="31" t="s">
        <v>854</v>
      </c>
      <c r="N7857" s="6" t="s">
        <v>856</v>
      </c>
    </row>
    <row r="7858" spans="1:14" ht="15" customHeight="1" x14ac:dyDescent="0.2">
      <c r="A7858" s="31">
        <v>4.3893198147569673E-2</v>
      </c>
      <c r="B7858" s="31"/>
      <c r="C7858" s="2" t="s">
        <v>855</v>
      </c>
      <c r="D7858" s="31">
        <f t="shared" si="216"/>
        <v>8.6030668369236566E-3</v>
      </c>
      <c r="F7858" s="2" t="s">
        <v>822</v>
      </c>
      <c r="G7858" s="23" t="s">
        <v>902</v>
      </c>
      <c r="H7858" s="2" t="s">
        <v>822</v>
      </c>
      <c r="J7858" s="31">
        <v>71.463996899999998</v>
      </c>
      <c r="K7858" s="31">
        <v>-9.8280001000000006</v>
      </c>
      <c r="L7858" s="31"/>
      <c r="M7858" s="31" t="s">
        <v>854</v>
      </c>
      <c r="N7858" s="6" t="s">
        <v>856</v>
      </c>
    </row>
    <row r="7859" spans="1:14" ht="15" customHeight="1" x14ac:dyDescent="0.2">
      <c r="A7859" s="31">
        <v>4.3832020508944212E-2</v>
      </c>
      <c r="B7859" s="31"/>
      <c r="C7859" s="2" t="s">
        <v>855</v>
      </c>
      <c r="D7859" s="31">
        <f t="shared" si="216"/>
        <v>8.5910760197530668E-3</v>
      </c>
      <c r="F7859" s="2" t="s">
        <v>822</v>
      </c>
      <c r="G7859" s="23" t="s">
        <v>902</v>
      </c>
      <c r="H7859" s="2" t="s">
        <v>822</v>
      </c>
      <c r="J7859" s="31">
        <v>66.788002000000006</v>
      </c>
      <c r="K7859" s="31">
        <v>-19.847999600000001</v>
      </c>
      <c r="L7859" s="31"/>
      <c r="M7859" s="31" t="s">
        <v>854</v>
      </c>
      <c r="N7859" s="6" t="s">
        <v>856</v>
      </c>
    </row>
    <row r="7860" spans="1:14" ht="15" customHeight="1" x14ac:dyDescent="0.2">
      <c r="A7860" s="31">
        <v>4.3824704895051282E-2</v>
      </c>
      <c r="B7860" s="31"/>
      <c r="C7860" s="2" t="s">
        <v>855</v>
      </c>
      <c r="D7860" s="31">
        <f t="shared" si="216"/>
        <v>8.5896421594300523E-3</v>
      </c>
      <c r="F7860" s="2" t="s">
        <v>822</v>
      </c>
      <c r="G7860" s="23" t="s">
        <v>902</v>
      </c>
      <c r="H7860" s="2" t="s">
        <v>822</v>
      </c>
      <c r="J7860" s="31">
        <v>67.574302700000004</v>
      </c>
      <c r="K7860" s="31">
        <v>-6.5573502000000001</v>
      </c>
      <c r="L7860" s="31"/>
      <c r="M7860" s="31" t="s">
        <v>854</v>
      </c>
      <c r="N7860" s="6" t="s">
        <v>856</v>
      </c>
    </row>
    <row r="7861" spans="1:14" ht="15" customHeight="1" x14ac:dyDescent="0.2">
      <c r="A7861" s="31">
        <v>4.3666137176385227E-2</v>
      </c>
      <c r="B7861" s="31"/>
      <c r="C7861" s="2" t="s">
        <v>855</v>
      </c>
      <c r="D7861" s="31">
        <f t="shared" si="216"/>
        <v>8.5585628865715042E-3</v>
      </c>
      <c r="F7861" s="2" t="s">
        <v>822</v>
      </c>
      <c r="G7861" s="23" t="s">
        <v>902</v>
      </c>
      <c r="H7861" s="2" t="s">
        <v>822</v>
      </c>
      <c r="J7861" s="31">
        <v>68.866203299999995</v>
      </c>
      <c r="K7861" s="31">
        <v>-11.8690996</v>
      </c>
      <c r="L7861" s="31"/>
      <c r="M7861" s="31" t="s">
        <v>854</v>
      </c>
      <c r="N7861" s="6" t="s">
        <v>856</v>
      </c>
    </row>
    <row r="7862" spans="1:14" ht="15" customHeight="1" x14ac:dyDescent="0.2">
      <c r="A7862" s="31">
        <v>4.365202260200262E-2</v>
      </c>
      <c r="B7862" s="31"/>
      <c r="C7862" s="2" t="s">
        <v>855</v>
      </c>
      <c r="D7862" s="31">
        <f t="shared" si="216"/>
        <v>8.555796429992513E-3</v>
      </c>
      <c r="F7862" s="2" t="s">
        <v>822</v>
      </c>
      <c r="G7862" s="23" t="s">
        <v>902</v>
      </c>
      <c r="H7862" s="2" t="s">
        <v>822</v>
      </c>
      <c r="J7862" s="31">
        <v>72.800003099999998</v>
      </c>
      <c r="K7862" s="31">
        <v>22.236000099999998</v>
      </c>
      <c r="L7862" s="31"/>
      <c r="M7862" s="31" t="s">
        <v>854</v>
      </c>
      <c r="N7862" s="6" t="s">
        <v>856</v>
      </c>
    </row>
    <row r="7863" spans="1:14" ht="15" customHeight="1" x14ac:dyDescent="0.2">
      <c r="A7863" s="31">
        <v>4.3600917158598373E-2</v>
      </c>
      <c r="B7863" s="31"/>
      <c r="C7863" s="2" t="s">
        <v>855</v>
      </c>
      <c r="D7863" s="31">
        <f t="shared" si="216"/>
        <v>8.5457797630852823E-3</v>
      </c>
      <c r="F7863" s="2" t="s">
        <v>822</v>
      </c>
      <c r="G7863" s="23" t="s">
        <v>902</v>
      </c>
      <c r="H7863" s="2" t="s">
        <v>822</v>
      </c>
      <c r="J7863" s="31">
        <v>69.459999100000005</v>
      </c>
      <c r="K7863" s="31">
        <v>-15.171999899999999</v>
      </c>
      <c r="L7863" s="31"/>
      <c r="M7863" s="31" t="s">
        <v>854</v>
      </c>
      <c r="N7863" s="6" t="s">
        <v>856</v>
      </c>
    </row>
    <row r="7864" spans="1:14" ht="15" customHeight="1" x14ac:dyDescent="0.2">
      <c r="A7864" s="31">
        <v>4.358897607746743E-2</v>
      </c>
      <c r="B7864" s="31"/>
      <c r="C7864" s="2" t="s">
        <v>855</v>
      </c>
      <c r="D7864" s="31">
        <f t="shared" si="216"/>
        <v>8.543439311183617E-3</v>
      </c>
      <c r="F7864" s="2" t="s">
        <v>822</v>
      </c>
      <c r="G7864" s="23" t="s">
        <v>902</v>
      </c>
      <c r="H7864" s="2" t="s">
        <v>822</v>
      </c>
      <c r="J7864" s="31">
        <v>70.2393036</v>
      </c>
      <c r="K7864" s="31">
        <v>-16.731300399999999</v>
      </c>
      <c r="L7864" s="31"/>
      <c r="M7864" s="31" t="s">
        <v>854</v>
      </c>
      <c r="N7864" s="6" t="s">
        <v>856</v>
      </c>
    </row>
    <row r="7865" spans="1:14" ht="15" customHeight="1" x14ac:dyDescent="0.2">
      <c r="A7865" s="31">
        <v>4.3474039293490717E-2</v>
      </c>
      <c r="B7865" s="31"/>
      <c r="C7865" s="2" t="s">
        <v>855</v>
      </c>
      <c r="D7865" s="31">
        <f t="shared" si="216"/>
        <v>8.5209117015241816E-3</v>
      </c>
      <c r="F7865" s="2" t="s">
        <v>822</v>
      </c>
      <c r="G7865" s="23" t="s">
        <v>902</v>
      </c>
      <c r="H7865" s="2" t="s">
        <v>822</v>
      </c>
      <c r="J7865" s="31">
        <v>69.459999100000005</v>
      </c>
      <c r="K7865" s="31">
        <v>2.8640001000000002</v>
      </c>
      <c r="L7865" s="31"/>
      <c r="M7865" s="31" t="s">
        <v>854</v>
      </c>
      <c r="N7865" s="6" t="s">
        <v>856</v>
      </c>
    </row>
    <row r="7866" spans="1:14" ht="15" customHeight="1" x14ac:dyDescent="0.2">
      <c r="A7866" s="31">
        <v>4.3386140965320043E-2</v>
      </c>
      <c r="B7866" s="31"/>
      <c r="C7866" s="2" t="s">
        <v>855</v>
      </c>
      <c r="D7866" s="31">
        <f t="shared" si="216"/>
        <v>8.5036836292027296E-3</v>
      </c>
      <c r="F7866" s="2" t="s">
        <v>822</v>
      </c>
      <c r="G7866" s="23" t="s">
        <v>902</v>
      </c>
      <c r="H7866" s="2" t="s">
        <v>822</v>
      </c>
      <c r="J7866" s="31">
        <v>75.200500500000004</v>
      </c>
      <c r="K7866" s="31">
        <v>3.5320000999999999</v>
      </c>
      <c r="L7866" s="31"/>
      <c r="M7866" s="31" t="s">
        <v>854</v>
      </c>
      <c r="N7866" s="6" t="s">
        <v>856</v>
      </c>
    </row>
    <row r="7867" spans="1:14" ht="15" customHeight="1" x14ac:dyDescent="0.2">
      <c r="A7867" s="31">
        <v>4.3141859131334392E-2</v>
      </c>
      <c r="B7867" s="31"/>
      <c r="C7867" s="2" t="s">
        <v>855</v>
      </c>
      <c r="D7867" s="31">
        <f t="shared" si="216"/>
        <v>8.4558043897415419E-3</v>
      </c>
      <c r="F7867" s="2" t="s">
        <v>822</v>
      </c>
      <c r="G7867" s="23" t="s">
        <v>902</v>
      </c>
      <c r="H7867" s="2" t="s">
        <v>822</v>
      </c>
      <c r="J7867" s="31">
        <v>72.800003099999998</v>
      </c>
      <c r="K7867" s="31">
        <v>-6.4879999000000002</v>
      </c>
      <c r="L7867" s="31"/>
      <c r="M7867" s="31" t="s">
        <v>854</v>
      </c>
      <c r="N7867" s="6" t="s">
        <v>856</v>
      </c>
    </row>
    <row r="7868" spans="1:14" ht="15" customHeight="1" x14ac:dyDescent="0.2">
      <c r="A7868" s="31">
        <v>4.3069952065908162E-2</v>
      </c>
      <c r="B7868" s="31"/>
      <c r="C7868" s="2" t="s">
        <v>855</v>
      </c>
      <c r="D7868" s="31">
        <f t="shared" si="216"/>
        <v>8.4417106049180009E-3</v>
      </c>
      <c r="F7868" s="2" t="s">
        <v>822</v>
      </c>
      <c r="G7868" s="23" t="s">
        <v>902</v>
      </c>
      <c r="H7868" s="2" t="s">
        <v>822</v>
      </c>
      <c r="J7868" s="31">
        <v>74.1360016</v>
      </c>
      <c r="K7868" s="31">
        <v>-4.4840001999999997</v>
      </c>
      <c r="L7868" s="31"/>
      <c r="M7868" s="31" t="s">
        <v>854</v>
      </c>
      <c r="N7868" s="6" t="s">
        <v>856</v>
      </c>
    </row>
    <row r="7869" spans="1:14" ht="15" customHeight="1" x14ac:dyDescent="0.2">
      <c r="A7869" s="31">
        <v>4.2953758886663328E-2</v>
      </c>
      <c r="B7869" s="31"/>
      <c r="C7869" s="2" t="s">
        <v>855</v>
      </c>
      <c r="D7869" s="31">
        <f t="shared" si="216"/>
        <v>8.418936741786013E-3</v>
      </c>
      <c r="F7869" s="2" t="s">
        <v>822</v>
      </c>
      <c r="G7869" s="23" t="s">
        <v>902</v>
      </c>
      <c r="H7869" s="2" t="s">
        <v>822</v>
      </c>
      <c r="J7869" s="31">
        <v>67.381797800000001</v>
      </c>
      <c r="K7869" s="31">
        <v>-19.1429005</v>
      </c>
      <c r="L7869" s="31"/>
      <c r="M7869" s="31" t="s">
        <v>854</v>
      </c>
      <c r="N7869" s="6" t="s">
        <v>856</v>
      </c>
    </row>
    <row r="7870" spans="1:14" ht="15" customHeight="1" x14ac:dyDescent="0.2">
      <c r="A7870" s="31">
        <v>4.2933416338316148E-2</v>
      </c>
      <c r="B7870" s="31"/>
      <c r="C7870" s="2" t="s">
        <v>855</v>
      </c>
      <c r="D7870" s="31">
        <f t="shared" si="216"/>
        <v>8.4149496023099655E-3</v>
      </c>
      <c r="F7870" s="2" t="s">
        <v>822</v>
      </c>
      <c r="G7870" s="23" t="s">
        <v>902</v>
      </c>
      <c r="H7870" s="2" t="s">
        <v>822</v>
      </c>
      <c r="J7870" s="31">
        <v>68.754898100000005</v>
      </c>
      <c r="K7870" s="31">
        <v>-5.4006499999999997</v>
      </c>
      <c r="L7870" s="31"/>
      <c r="M7870" s="31" t="s">
        <v>854</v>
      </c>
      <c r="N7870" s="6" t="s">
        <v>856</v>
      </c>
    </row>
    <row r="7871" spans="1:14" ht="15" customHeight="1" x14ac:dyDescent="0.2">
      <c r="A7871" s="31">
        <v>4.2905563386876969E-2</v>
      </c>
      <c r="B7871" s="31"/>
      <c r="C7871" s="2" t="s">
        <v>855</v>
      </c>
      <c r="D7871" s="31">
        <f t="shared" si="216"/>
        <v>8.4094904238278863E-3</v>
      </c>
      <c r="F7871" s="2" t="s">
        <v>822</v>
      </c>
      <c r="G7871" s="23" t="s">
        <v>902</v>
      </c>
      <c r="H7871" s="2" t="s">
        <v>822</v>
      </c>
      <c r="J7871" s="31">
        <v>71.463996899999998</v>
      </c>
      <c r="K7871" s="31">
        <v>28.247999199999999</v>
      </c>
      <c r="L7871" s="31"/>
      <c r="M7871" s="31" t="s">
        <v>854</v>
      </c>
      <c r="N7871" s="6" t="s">
        <v>856</v>
      </c>
    </row>
    <row r="7872" spans="1:14" ht="15" customHeight="1" x14ac:dyDescent="0.2">
      <c r="A7872" s="31">
        <v>4.2900387653880268E-2</v>
      </c>
      <c r="B7872" s="31"/>
      <c r="C7872" s="2" t="s">
        <v>855</v>
      </c>
      <c r="D7872" s="31">
        <f t="shared" ref="D7872:D7935" si="217" xml:space="preserve"> A7872 * 0.196</f>
        <v>8.4084759801605329E-3</v>
      </c>
      <c r="F7872" s="2" t="s">
        <v>822</v>
      </c>
      <c r="G7872" s="23" t="s">
        <v>902</v>
      </c>
      <c r="H7872" s="2" t="s">
        <v>822</v>
      </c>
      <c r="J7872" s="31">
        <v>69.723602299999996</v>
      </c>
      <c r="K7872" s="31">
        <v>33.591999100000002</v>
      </c>
      <c r="L7872" s="31"/>
      <c r="M7872" s="31" t="s">
        <v>854</v>
      </c>
      <c r="N7872" s="6" t="s">
        <v>856</v>
      </c>
    </row>
    <row r="7873" spans="1:14" ht="15" customHeight="1" x14ac:dyDescent="0.2">
      <c r="A7873" s="31">
        <v>4.2881262038198129E-2</v>
      </c>
      <c r="B7873" s="31"/>
      <c r="C7873" s="2" t="s">
        <v>855</v>
      </c>
      <c r="D7873" s="31">
        <f t="shared" si="217"/>
        <v>8.4047273594868334E-3</v>
      </c>
      <c r="F7873" s="2" t="s">
        <v>822</v>
      </c>
      <c r="G7873" s="23" t="s">
        <v>902</v>
      </c>
      <c r="H7873" s="2" t="s">
        <v>822</v>
      </c>
      <c r="J7873" s="31">
        <v>73.468002299999995</v>
      </c>
      <c r="K7873" s="31">
        <v>7.54</v>
      </c>
      <c r="L7873" s="31"/>
      <c r="M7873" s="31" t="s">
        <v>854</v>
      </c>
      <c r="N7873" s="6" t="s">
        <v>856</v>
      </c>
    </row>
    <row r="7874" spans="1:14" ht="15" customHeight="1" x14ac:dyDescent="0.2">
      <c r="A7874" s="31">
        <v>4.2835215072908002E-2</v>
      </c>
      <c r="B7874" s="31"/>
      <c r="C7874" s="2" t="s">
        <v>855</v>
      </c>
      <c r="D7874" s="31">
        <f t="shared" si="217"/>
        <v>8.3957021542899694E-3</v>
      </c>
      <c r="F7874" s="2" t="s">
        <v>822</v>
      </c>
      <c r="G7874" s="23" t="s">
        <v>902</v>
      </c>
      <c r="H7874" s="2" t="s">
        <v>822</v>
      </c>
      <c r="J7874" s="31">
        <v>66.7606964</v>
      </c>
      <c r="K7874" s="31">
        <v>-25.845899599999999</v>
      </c>
      <c r="L7874" s="31"/>
      <c r="M7874" s="31" t="s">
        <v>854</v>
      </c>
      <c r="N7874" s="6" t="s">
        <v>856</v>
      </c>
    </row>
    <row r="7875" spans="1:14" ht="15" customHeight="1" x14ac:dyDescent="0.2">
      <c r="A7875" s="31">
        <v>4.2827493936793262E-2</v>
      </c>
      <c r="B7875" s="31"/>
      <c r="C7875" s="2" t="s">
        <v>855</v>
      </c>
      <c r="D7875" s="31">
        <f t="shared" si="217"/>
        <v>8.3941888116114798E-3</v>
      </c>
      <c r="F7875" s="2" t="s">
        <v>822</v>
      </c>
      <c r="G7875" s="23" t="s">
        <v>902</v>
      </c>
      <c r="H7875" s="2" t="s">
        <v>822</v>
      </c>
      <c r="J7875" s="31">
        <v>66.120002700000001</v>
      </c>
      <c r="K7875" s="31">
        <v>-13.1680002</v>
      </c>
      <c r="L7875" s="31"/>
      <c r="M7875" s="31" t="s">
        <v>854</v>
      </c>
      <c r="N7875" s="6" t="s">
        <v>856</v>
      </c>
    </row>
    <row r="7876" spans="1:14" ht="15" customHeight="1" x14ac:dyDescent="0.2">
      <c r="A7876" s="31">
        <v>4.2683398496733832E-2</v>
      </c>
      <c r="B7876" s="31"/>
      <c r="C7876" s="2" t="s">
        <v>855</v>
      </c>
      <c r="D7876" s="31">
        <f t="shared" si="217"/>
        <v>8.3659461053598311E-3</v>
      </c>
      <c r="F7876" s="2" t="s">
        <v>822</v>
      </c>
      <c r="G7876" s="23" t="s">
        <v>902</v>
      </c>
      <c r="H7876" s="2" t="s">
        <v>822</v>
      </c>
      <c r="J7876" s="31">
        <v>71.360603299999994</v>
      </c>
      <c r="K7876" s="31">
        <v>33.569099399999999</v>
      </c>
      <c r="L7876" s="31"/>
      <c r="M7876" s="31" t="s">
        <v>854</v>
      </c>
      <c r="N7876" s="6" t="s">
        <v>856</v>
      </c>
    </row>
    <row r="7877" spans="1:14" ht="15" customHeight="1" x14ac:dyDescent="0.2">
      <c r="A7877" s="31">
        <v>4.254525052148779E-2</v>
      </c>
      <c r="B7877" s="31"/>
      <c r="C7877" s="2" t="s">
        <v>855</v>
      </c>
      <c r="D7877" s="31">
        <f t="shared" si="217"/>
        <v>8.3388691022116077E-3</v>
      </c>
      <c r="F7877" s="2" t="s">
        <v>822</v>
      </c>
      <c r="G7877" s="23" t="s">
        <v>902</v>
      </c>
      <c r="H7877" s="2" t="s">
        <v>822</v>
      </c>
      <c r="J7877" s="31">
        <v>74.1360016</v>
      </c>
      <c r="K7877" s="31">
        <v>3.5320000999999999</v>
      </c>
      <c r="L7877" s="31"/>
      <c r="M7877" s="31" t="s">
        <v>854</v>
      </c>
      <c r="N7877" s="6" t="s">
        <v>856</v>
      </c>
    </row>
    <row r="7878" spans="1:14" ht="15" customHeight="1" x14ac:dyDescent="0.2">
      <c r="A7878" s="31">
        <v>4.2495820712289398E-2</v>
      </c>
      <c r="B7878" s="31"/>
      <c r="C7878" s="2" t="s">
        <v>855</v>
      </c>
      <c r="D7878" s="31">
        <f t="shared" si="217"/>
        <v>8.329180859608723E-3</v>
      </c>
      <c r="F7878" s="2" t="s">
        <v>822</v>
      </c>
      <c r="G7878" s="23" t="s">
        <v>902</v>
      </c>
      <c r="H7878" s="2" t="s">
        <v>822</v>
      </c>
      <c r="J7878" s="31">
        <v>72.800003099999998</v>
      </c>
      <c r="K7878" s="31">
        <v>-7.1560001</v>
      </c>
      <c r="L7878" s="31"/>
      <c r="M7878" s="31" t="s">
        <v>854</v>
      </c>
      <c r="N7878" s="6" t="s">
        <v>856</v>
      </c>
    </row>
    <row r="7879" spans="1:14" ht="15" customHeight="1" x14ac:dyDescent="0.2">
      <c r="A7879" s="31">
        <v>4.2441992612045218E-2</v>
      </c>
      <c r="B7879" s="31"/>
      <c r="C7879" s="2" t="s">
        <v>855</v>
      </c>
      <c r="D7879" s="31">
        <f t="shared" si="217"/>
        <v>8.3186305519608629E-3</v>
      </c>
      <c r="F7879" s="2" t="s">
        <v>822</v>
      </c>
      <c r="G7879" s="23" t="s">
        <v>902</v>
      </c>
      <c r="H7879" s="2" t="s">
        <v>822</v>
      </c>
      <c r="J7879" s="31">
        <v>75.346198999999999</v>
      </c>
      <c r="K7879" s="31">
        <v>4.8660898000000001</v>
      </c>
      <c r="L7879" s="31"/>
      <c r="M7879" s="31" t="s">
        <v>854</v>
      </c>
      <c r="N7879" s="6" t="s">
        <v>856</v>
      </c>
    </row>
    <row r="7880" spans="1:14" ht="15" customHeight="1" x14ac:dyDescent="0.2">
      <c r="A7880" s="31">
        <v>4.2367687780385077E-2</v>
      </c>
      <c r="B7880" s="31"/>
      <c r="C7880" s="2" t="s">
        <v>855</v>
      </c>
      <c r="D7880" s="31">
        <f t="shared" si="217"/>
        <v>8.3040668049554761E-3</v>
      </c>
      <c r="F7880" s="2" t="s">
        <v>822</v>
      </c>
      <c r="G7880" s="23" t="s">
        <v>902</v>
      </c>
      <c r="H7880" s="2" t="s">
        <v>822</v>
      </c>
      <c r="J7880" s="31">
        <v>70.127998399999996</v>
      </c>
      <c r="K7880" s="31">
        <v>33.591999100000002</v>
      </c>
      <c r="L7880" s="31"/>
      <c r="M7880" s="31" t="s">
        <v>854</v>
      </c>
      <c r="N7880" s="6" t="s">
        <v>856</v>
      </c>
    </row>
    <row r="7881" spans="1:14" ht="15" customHeight="1" x14ac:dyDescent="0.2">
      <c r="A7881" s="31">
        <v>4.2284235268988529E-2</v>
      </c>
      <c r="B7881" s="31"/>
      <c r="C7881" s="2" t="s">
        <v>855</v>
      </c>
      <c r="D7881" s="31">
        <f t="shared" si="217"/>
        <v>8.2877101127217523E-3</v>
      </c>
      <c r="F7881" s="2" t="s">
        <v>822</v>
      </c>
      <c r="G7881" s="23" t="s">
        <v>902</v>
      </c>
      <c r="H7881" s="2" t="s">
        <v>822</v>
      </c>
      <c r="J7881" s="31">
        <v>72.132003800000007</v>
      </c>
      <c r="K7881" s="31">
        <v>-5.1520000000000001</v>
      </c>
      <c r="L7881" s="31"/>
      <c r="M7881" s="31" t="s">
        <v>854</v>
      </c>
      <c r="N7881" s="6" t="s">
        <v>856</v>
      </c>
    </row>
    <row r="7882" spans="1:14" ht="15" customHeight="1" x14ac:dyDescent="0.2">
      <c r="A7882" s="31">
        <v>4.2168353392474073E-2</v>
      </c>
      <c r="B7882" s="31"/>
      <c r="C7882" s="2" t="s">
        <v>855</v>
      </c>
      <c r="D7882" s="31">
        <f t="shared" si="217"/>
        <v>8.2649972649249184E-3</v>
      </c>
      <c r="F7882" s="2" t="s">
        <v>822</v>
      </c>
      <c r="G7882" s="23" t="s">
        <v>902</v>
      </c>
      <c r="H7882" s="2" t="s">
        <v>822</v>
      </c>
      <c r="J7882" s="31">
        <v>71.463996899999998</v>
      </c>
      <c r="K7882" s="31">
        <v>-4.4840001999999997</v>
      </c>
      <c r="L7882" s="31"/>
      <c r="M7882" s="31" t="s">
        <v>854</v>
      </c>
      <c r="N7882" s="6" t="s">
        <v>856</v>
      </c>
    </row>
    <row r="7883" spans="1:14" ht="15" customHeight="1" x14ac:dyDescent="0.2">
      <c r="A7883" s="31">
        <v>4.214797022702059E-2</v>
      </c>
      <c r="B7883" s="31"/>
      <c r="C7883" s="2" t="s">
        <v>855</v>
      </c>
      <c r="D7883" s="31">
        <f t="shared" si="217"/>
        <v>8.2610021644960365E-3</v>
      </c>
      <c r="F7883" s="2" t="s">
        <v>822</v>
      </c>
      <c r="G7883" s="23" t="s">
        <v>902</v>
      </c>
      <c r="H7883" s="2" t="s">
        <v>822</v>
      </c>
      <c r="J7883" s="31">
        <v>69.459999100000005</v>
      </c>
      <c r="K7883" s="31">
        <v>-15.8400002</v>
      </c>
      <c r="L7883" s="31"/>
      <c r="M7883" s="31" t="s">
        <v>854</v>
      </c>
      <c r="N7883" s="6" t="s">
        <v>856</v>
      </c>
    </row>
    <row r="7884" spans="1:14" ht="15" customHeight="1" x14ac:dyDescent="0.2">
      <c r="A7884" s="31">
        <v>4.2133193018285553E-2</v>
      </c>
      <c r="B7884" s="31"/>
      <c r="C7884" s="2" t="s">
        <v>855</v>
      </c>
      <c r="D7884" s="31">
        <f t="shared" si="217"/>
        <v>8.2581058315839683E-3</v>
      </c>
      <c r="F7884" s="2" t="s">
        <v>822</v>
      </c>
      <c r="G7884" s="23" t="s">
        <v>902</v>
      </c>
      <c r="H7884" s="2" t="s">
        <v>822</v>
      </c>
      <c r="J7884" s="31">
        <v>70.795997600000007</v>
      </c>
      <c r="K7884" s="31">
        <v>4.8680000000000003</v>
      </c>
      <c r="L7884" s="31"/>
      <c r="M7884" s="31" t="s">
        <v>854</v>
      </c>
      <c r="N7884" s="6" t="s">
        <v>856</v>
      </c>
    </row>
    <row r="7885" spans="1:14" ht="15" customHeight="1" x14ac:dyDescent="0.2">
      <c r="A7885" s="31">
        <v>4.2109374914339193E-2</v>
      </c>
      <c r="B7885" s="31"/>
      <c r="C7885" s="2" t="s">
        <v>855</v>
      </c>
      <c r="D7885" s="31">
        <f t="shared" si="217"/>
        <v>8.2534374832104827E-3</v>
      </c>
      <c r="F7885" s="2" t="s">
        <v>822</v>
      </c>
      <c r="G7885" s="23" t="s">
        <v>902</v>
      </c>
      <c r="H7885" s="2" t="s">
        <v>822</v>
      </c>
      <c r="J7885" s="31">
        <v>67.456001299999997</v>
      </c>
      <c r="K7885" s="31">
        <v>-18.511999100000001</v>
      </c>
      <c r="L7885" s="31"/>
      <c r="M7885" s="31" t="s">
        <v>854</v>
      </c>
      <c r="N7885" s="6" t="s">
        <v>856</v>
      </c>
    </row>
    <row r="7886" spans="1:14" ht="15" customHeight="1" x14ac:dyDescent="0.2">
      <c r="A7886" s="31">
        <v>4.206841113380283E-2</v>
      </c>
      <c r="B7886" s="31"/>
      <c r="C7886" s="2" t="s">
        <v>855</v>
      </c>
      <c r="D7886" s="31">
        <f t="shared" si="217"/>
        <v>8.2454085822253557E-3</v>
      </c>
      <c r="F7886" s="2" t="s">
        <v>822</v>
      </c>
      <c r="G7886" s="23" t="s">
        <v>902</v>
      </c>
      <c r="H7886" s="2" t="s">
        <v>822</v>
      </c>
      <c r="J7886" s="31">
        <v>70.795997600000007</v>
      </c>
      <c r="K7886" s="31">
        <v>-13.1680002</v>
      </c>
      <c r="L7886" s="31"/>
      <c r="M7886" s="31" t="s">
        <v>854</v>
      </c>
      <c r="N7886" s="6" t="s">
        <v>856</v>
      </c>
    </row>
    <row r="7887" spans="1:14" ht="15" customHeight="1" x14ac:dyDescent="0.2">
      <c r="A7887" s="31">
        <v>4.2053525657947892E-2</v>
      </c>
      <c r="B7887" s="31"/>
      <c r="C7887" s="2" t="s">
        <v>855</v>
      </c>
      <c r="D7887" s="31">
        <f t="shared" si="217"/>
        <v>8.2424910289577869E-3</v>
      </c>
      <c r="F7887" s="2" t="s">
        <v>822</v>
      </c>
      <c r="G7887" s="23" t="s">
        <v>902</v>
      </c>
      <c r="H7887" s="2" t="s">
        <v>822</v>
      </c>
      <c r="J7887" s="31">
        <v>71.463996899999998</v>
      </c>
      <c r="K7887" s="31">
        <v>6.2039999999999997</v>
      </c>
      <c r="L7887" s="31"/>
      <c r="M7887" s="31" t="s">
        <v>854</v>
      </c>
      <c r="N7887" s="6" t="s">
        <v>856</v>
      </c>
    </row>
    <row r="7888" spans="1:14" ht="15" customHeight="1" x14ac:dyDescent="0.2">
      <c r="A7888" s="31">
        <v>4.1997828730818913E-2</v>
      </c>
      <c r="B7888" s="31"/>
      <c r="C7888" s="2" t="s">
        <v>855</v>
      </c>
      <c r="D7888" s="31">
        <f t="shared" si="217"/>
        <v>8.231574431240507E-3</v>
      </c>
      <c r="F7888" s="2" t="s">
        <v>822</v>
      </c>
      <c r="G7888" s="23" t="s">
        <v>902</v>
      </c>
      <c r="H7888" s="2" t="s">
        <v>822</v>
      </c>
      <c r="J7888" s="31">
        <v>68.305603000000005</v>
      </c>
      <c r="K7888" s="31">
        <v>-20.8062</v>
      </c>
      <c r="L7888" s="31"/>
      <c r="M7888" s="31" t="s">
        <v>854</v>
      </c>
      <c r="N7888" s="6" t="s">
        <v>856</v>
      </c>
    </row>
    <row r="7889" spans="1:14" ht="15" customHeight="1" x14ac:dyDescent="0.2">
      <c r="A7889" s="31">
        <v>4.1928357045949348E-2</v>
      </c>
      <c r="B7889" s="31"/>
      <c r="C7889" s="2" t="s">
        <v>855</v>
      </c>
      <c r="D7889" s="31">
        <f t="shared" si="217"/>
        <v>8.2179579810060729E-3</v>
      </c>
      <c r="F7889" s="2" t="s">
        <v>822</v>
      </c>
      <c r="G7889" s="23" t="s">
        <v>902</v>
      </c>
      <c r="H7889" s="2" t="s">
        <v>822</v>
      </c>
      <c r="J7889" s="31">
        <v>66.358703599999998</v>
      </c>
      <c r="K7889" s="31">
        <v>33.698700000000002</v>
      </c>
      <c r="L7889" s="31"/>
      <c r="M7889" s="31" t="s">
        <v>854</v>
      </c>
      <c r="N7889" s="6" t="s">
        <v>856</v>
      </c>
    </row>
    <row r="7890" spans="1:14" ht="15" customHeight="1" x14ac:dyDescent="0.2">
      <c r="A7890" s="31">
        <v>4.1840345903344643E-2</v>
      </c>
      <c r="B7890" s="31"/>
      <c r="C7890" s="2" t="s">
        <v>855</v>
      </c>
      <c r="D7890" s="31">
        <f t="shared" si="217"/>
        <v>8.2007077970555498E-3</v>
      </c>
      <c r="F7890" s="2" t="s">
        <v>822</v>
      </c>
      <c r="G7890" s="23" t="s">
        <v>902</v>
      </c>
      <c r="H7890" s="2" t="s">
        <v>822</v>
      </c>
      <c r="J7890" s="31">
        <v>70.795997600000007</v>
      </c>
      <c r="K7890" s="31">
        <v>-9.8280001000000006</v>
      </c>
      <c r="L7890" s="31"/>
      <c r="M7890" s="31" t="s">
        <v>854</v>
      </c>
      <c r="N7890" s="6" t="s">
        <v>856</v>
      </c>
    </row>
    <row r="7891" spans="1:14" ht="15" customHeight="1" x14ac:dyDescent="0.2">
      <c r="A7891" s="31">
        <v>4.1812752608364673E-2</v>
      </c>
      <c r="B7891" s="31"/>
      <c r="C7891" s="2" t="s">
        <v>855</v>
      </c>
      <c r="D7891" s="31">
        <f t="shared" si="217"/>
        <v>8.1952995112394757E-3</v>
      </c>
      <c r="F7891" s="2" t="s">
        <v>822</v>
      </c>
      <c r="G7891" s="23" t="s">
        <v>902</v>
      </c>
      <c r="H7891" s="2" t="s">
        <v>822</v>
      </c>
      <c r="J7891" s="31">
        <v>69.459999100000005</v>
      </c>
      <c r="K7891" s="31">
        <v>-6.4879999000000002</v>
      </c>
      <c r="L7891" s="31"/>
      <c r="M7891" s="31" t="s">
        <v>854</v>
      </c>
      <c r="N7891" s="6" t="s">
        <v>856</v>
      </c>
    </row>
    <row r="7892" spans="1:14" ht="15" customHeight="1" x14ac:dyDescent="0.2">
      <c r="A7892" s="31">
        <v>4.1720820930785822E-2</v>
      </c>
      <c r="B7892" s="31"/>
      <c r="C7892" s="2" t="s">
        <v>855</v>
      </c>
      <c r="D7892" s="31">
        <f t="shared" si="217"/>
        <v>8.1772809024340219E-3</v>
      </c>
      <c r="F7892" s="2" t="s">
        <v>822</v>
      </c>
      <c r="G7892" s="23" t="s">
        <v>902</v>
      </c>
      <c r="H7892" s="2" t="s">
        <v>822</v>
      </c>
      <c r="J7892" s="31">
        <v>73.468002299999995</v>
      </c>
      <c r="K7892" s="31">
        <v>1.528</v>
      </c>
      <c r="L7892" s="31"/>
      <c r="M7892" s="31" t="s">
        <v>854</v>
      </c>
      <c r="N7892" s="6" t="s">
        <v>856</v>
      </c>
    </row>
    <row r="7893" spans="1:14" ht="15" customHeight="1" x14ac:dyDescent="0.2">
      <c r="A7893" s="31">
        <v>4.1688434902253199E-2</v>
      </c>
      <c r="B7893" s="31"/>
      <c r="C7893" s="2" t="s">
        <v>855</v>
      </c>
      <c r="D7893" s="31">
        <f t="shared" si="217"/>
        <v>8.1709332408416279E-3</v>
      </c>
      <c r="F7893" s="2" t="s">
        <v>822</v>
      </c>
      <c r="G7893" s="23" t="s">
        <v>902</v>
      </c>
      <c r="H7893" s="2" t="s">
        <v>822</v>
      </c>
      <c r="J7893" s="31">
        <v>69.470298799999995</v>
      </c>
      <c r="K7893" s="31">
        <v>-5.1338800999999998</v>
      </c>
      <c r="L7893" s="31"/>
      <c r="M7893" s="31" t="s">
        <v>854</v>
      </c>
      <c r="N7893" s="6" t="s">
        <v>856</v>
      </c>
    </row>
    <row r="7894" spans="1:14" ht="15" customHeight="1" x14ac:dyDescent="0.2">
      <c r="A7894" s="31">
        <v>4.1585224189170517E-2</v>
      </c>
      <c r="B7894" s="31"/>
      <c r="C7894" s="2" t="s">
        <v>855</v>
      </c>
      <c r="D7894" s="31">
        <f t="shared" si="217"/>
        <v>8.1507039410774213E-3</v>
      </c>
      <c r="F7894" s="2" t="s">
        <v>822</v>
      </c>
      <c r="G7894" s="23" t="s">
        <v>902</v>
      </c>
      <c r="H7894" s="2" t="s">
        <v>822</v>
      </c>
      <c r="J7894" s="31">
        <v>74.1360016</v>
      </c>
      <c r="K7894" s="31">
        <v>15.5559998</v>
      </c>
      <c r="L7894" s="31"/>
      <c r="M7894" s="31" t="s">
        <v>854</v>
      </c>
      <c r="N7894" s="6" t="s">
        <v>856</v>
      </c>
    </row>
    <row r="7895" spans="1:14" ht="15" customHeight="1" x14ac:dyDescent="0.2">
      <c r="A7895" s="31">
        <v>4.1562845876267053E-2</v>
      </c>
      <c r="B7895" s="31"/>
      <c r="C7895" s="2" t="s">
        <v>855</v>
      </c>
      <c r="D7895" s="31">
        <f t="shared" si="217"/>
        <v>8.1463177917483424E-3</v>
      </c>
      <c r="F7895" s="2" t="s">
        <v>822</v>
      </c>
      <c r="G7895" s="23" t="s">
        <v>902</v>
      </c>
      <c r="H7895" s="2" t="s">
        <v>822</v>
      </c>
      <c r="J7895" s="31">
        <v>75.331901599999995</v>
      </c>
      <c r="K7895" s="31">
        <v>6.2019501000000004</v>
      </c>
      <c r="L7895" s="31"/>
      <c r="M7895" s="31" t="s">
        <v>854</v>
      </c>
      <c r="N7895" s="6" t="s">
        <v>856</v>
      </c>
    </row>
    <row r="7896" spans="1:14" ht="15" customHeight="1" x14ac:dyDescent="0.2">
      <c r="A7896" s="31">
        <v>4.1511870516250091E-2</v>
      </c>
      <c r="B7896" s="31"/>
      <c r="C7896" s="2" t="s">
        <v>855</v>
      </c>
      <c r="D7896" s="31">
        <f t="shared" si="217"/>
        <v>8.1363266211850176E-3</v>
      </c>
      <c r="F7896" s="2" t="s">
        <v>822</v>
      </c>
      <c r="G7896" s="23" t="s">
        <v>902</v>
      </c>
      <c r="H7896" s="2" t="s">
        <v>822</v>
      </c>
      <c r="J7896" s="31">
        <v>71.217002899999997</v>
      </c>
      <c r="K7896" s="31">
        <v>32.184699999999999</v>
      </c>
      <c r="L7896" s="31"/>
      <c r="M7896" s="31" t="s">
        <v>854</v>
      </c>
      <c r="N7896" s="6" t="s">
        <v>856</v>
      </c>
    </row>
    <row r="7897" spans="1:14" ht="15" customHeight="1" x14ac:dyDescent="0.2">
      <c r="A7897" s="31">
        <v>4.1507185620038543E-2</v>
      </c>
      <c r="B7897" s="31"/>
      <c r="C7897" s="2" t="s">
        <v>855</v>
      </c>
      <c r="D7897" s="31">
        <f t="shared" si="217"/>
        <v>8.1354083815275546E-3</v>
      </c>
      <c r="F7897" s="2" t="s">
        <v>822</v>
      </c>
      <c r="G7897" s="23" t="s">
        <v>902</v>
      </c>
      <c r="H7897" s="2" t="s">
        <v>822</v>
      </c>
      <c r="J7897" s="31">
        <v>74.666900600000005</v>
      </c>
      <c r="K7897" s="31">
        <v>-4.4679599000000003</v>
      </c>
      <c r="L7897" s="31"/>
      <c r="M7897" s="31" t="s">
        <v>854</v>
      </c>
      <c r="N7897" s="6" t="s">
        <v>856</v>
      </c>
    </row>
    <row r="7898" spans="1:14" ht="15" customHeight="1" x14ac:dyDescent="0.2">
      <c r="A7898" s="31">
        <v>4.1419169561579747E-2</v>
      </c>
      <c r="B7898" s="31"/>
      <c r="C7898" s="2" t="s">
        <v>855</v>
      </c>
      <c r="D7898" s="31">
        <f t="shared" si="217"/>
        <v>8.1181572340696308E-3</v>
      </c>
      <c r="F7898" s="2" t="s">
        <v>822</v>
      </c>
      <c r="G7898" s="23" t="s">
        <v>902</v>
      </c>
      <c r="H7898" s="2" t="s">
        <v>822</v>
      </c>
      <c r="J7898" s="31">
        <v>70.1399002</v>
      </c>
      <c r="K7898" s="31">
        <v>31.584999100000001</v>
      </c>
      <c r="L7898" s="31"/>
      <c r="M7898" s="31" t="s">
        <v>854</v>
      </c>
      <c r="N7898" s="6" t="s">
        <v>856</v>
      </c>
    </row>
    <row r="7899" spans="1:14" ht="15" customHeight="1" x14ac:dyDescent="0.2">
      <c r="A7899" s="31">
        <v>4.1406067074315933E-2</v>
      </c>
      <c r="B7899" s="31"/>
      <c r="C7899" s="2" t="s">
        <v>855</v>
      </c>
      <c r="D7899" s="31">
        <f t="shared" si="217"/>
        <v>8.1155891465659238E-3</v>
      </c>
      <c r="F7899" s="2" t="s">
        <v>822</v>
      </c>
      <c r="G7899" s="23" t="s">
        <v>902</v>
      </c>
      <c r="H7899" s="2" t="s">
        <v>822</v>
      </c>
      <c r="J7899" s="31">
        <v>72.800003099999998</v>
      </c>
      <c r="K7899" s="31">
        <v>30.252000800000001</v>
      </c>
      <c r="L7899" s="31"/>
      <c r="M7899" s="31" t="s">
        <v>854</v>
      </c>
      <c r="N7899" s="6" t="s">
        <v>856</v>
      </c>
    </row>
    <row r="7900" spans="1:14" ht="15" customHeight="1" x14ac:dyDescent="0.2">
      <c r="A7900" s="31">
        <v>4.1358084520915529E-2</v>
      </c>
      <c r="B7900" s="31"/>
      <c r="C7900" s="2" t="s">
        <v>855</v>
      </c>
      <c r="D7900" s="31">
        <f t="shared" si="217"/>
        <v>8.106184566099444E-3</v>
      </c>
      <c r="F7900" s="2" t="s">
        <v>822</v>
      </c>
      <c r="G7900" s="23" t="s">
        <v>902</v>
      </c>
      <c r="H7900" s="2" t="s">
        <v>822</v>
      </c>
      <c r="J7900" s="31">
        <v>72.800003099999998</v>
      </c>
      <c r="K7900" s="31">
        <v>7.54</v>
      </c>
      <c r="L7900" s="31"/>
      <c r="M7900" s="31" t="s">
        <v>854</v>
      </c>
      <c r="N7900" s="6" t="s">
        <v>856</v>
      </c>
    </row>
    <row r="7901" spans="1:14" ht="15" customHeight="1" x14ac:dyDescent="0.2">
      <c r="A7901" s="31">
        <v>4.1336283118642687E-2</v>
      </c>
      <c r="B7901" s="31"/>
      <c r="C7901" s="2" t="s">
        <v>855</v>
      </c>
      <c r="D7901" s="31">
        <f t="shared" si="217"/>
        <v>8.1019114912539679E-3</v>
      </c>
      <c r="F7901" s="2" t="s">
        <v>822</v>
      </c>
      <c r="G7901" s="23" t="s">
        <v>902</v>
      </c>
      <c r="H7901" s="2" t="s">
        <v>822</v>
      </c>
      <c r="J7901" s="31">
        <v>67.971603400000006</v>
      </c>
      <c r="K7901" s="31">
        <v>-22.520000499999998</v>
      </c>
      <c r="L7901" s="31"/>
      <c r="M7901" s="31" t="s">
        <v>854</v>
      </c>
      <c r="N7901" s="6" t="s">
        <v>856</v>
      </c>
    </row>
    <row r="7902" spans="1:14" ht="15" customHeight="1" x14ac:dyDescent="0.2">
      <c r="A7902" s="31">
        <v>4.1274302646377548E-2</v>
      </c>
      <c r="B7902" s="31"/>
      <c r="C7902" s="2" t="s">
        <v>855</v>
      </c>
      <c r="D7902" s="31">
        <f t="shared" si="217"/>
        <v>8.0897633186899996E-3</v>
      </c>
      <c r="F7902" s="2" t="s">
        <v>822</v>
      </c>
      <c r="G7902" s="23" t="s">
        <v>902</v>
      </c>
      <c r="H7902" s="2" t="s">
        <v>822</v>
      </c>
      <c r="J7902" s="31">
        <v>67.456001299999997</v>
      </c>
      <c r="K7902" s="31">
        <v>-17.8439999</v>
      </c>
      <c r="L7902" s="31"/>
      <c r="M7902" s="31" t="s">
        <v>854</v>
      </c>
      <c r="N7902" s="6" t="s">
        <v>856</v>
      </c>
    </row>
    <row r="7903" spans="1:14" ht="15" customHeight="1" x14ac:dyDescent="0.2">
      <c r="A7903" s="31">
        <v>4.1193483377643628E-2</v>
      </c>
      <c r="B7903" s="31"/>
      <c r="C7903" s="2" t="s">
        <v>855</v>
      </c>
      <c r="D7903" s="31">
        <f t="shared" si="217"/>
        <v>8.0739227420181508E-3</v>
      </c>
      <c r="F7903" s="2" t="s">
        <v>822</v>
      </c>
      <c r="G7903" s="23" t="s">
        <v>902</v>
      </c>
      <c r="H7903" s="2" t="s">
        <v>822</v>
      </c>
      <c r="J7903" s="31">
        <v>69.1619034</v>
      </c>
      <c r="K7903" s="31">
        <v>-6.0103102000000002</v>
      </c>
      <c r="L7903" s="31"/>
      <c r="M7903" s="31" t="s">
        <v>854</v>
      </c>
      <c r="N7903" s="6" t="s">
        <v>856</v>
      </c>
    </row>
    <row r="7904" spans="1:14" ht="15" customHeight="1" x14ac:dyDescent="0.2">
      <c r="A7904" s="31">
        <v>4.1157470877172843E-2</v>
      </c>
      <c r="B7904" s="31"/>
      <c r="C7904" s="2" t="s">
        <v>855</v>
      </c>
      <c r="D7904" s="31">
        <f t="shared" si="217"/>
        <v>8.0668642919258775E-3</v>
      </c>
      <c r="F7904" s="2" t="s">
        <v>822</v>
      </c>
      <c r="G7904" s="23" t="s">
        <v>902</v>
      </c>
      <c r="H7904" s="2" t="s">
        <v>822</v>
      </c>
      <c r="J7904" s="31">
        <v>74.875297500000002</v>
      </c>
      <c r="K7904" s="31">
        <v>1.528</v>
      </c>
      <c r="L7904" s="31"/>
      <c r="M7904" s="31" t="s">
        <v>854</v>
      </c>
      <c r="N7904" s="6" t="s">
        <v>856</v>
      </c>
    </row>
    <row r="7905" spans="1:14" ht="15" customHeight="1" x14ac:dyDescent="0.2">
      <c r="A7905" s="31">
        <v>4.1113913436220763E-2</v>
      </c>
      <c r="B7905" s="31"/>
      <c r="C7905" s="2" t="s">
        <v>855</v>
      </c>
      <c r="D7905" s="31">
        <f t="shared" si="217"/>
        <v>8.0583270334992699E-3</v>
      </c>
      <c r="F7905" s="2" t="s">
        <v>822</v>
      </c>
      <c r="G7905" s="23" t="s">
        <v>902</v>
      </c>
      <c r="H7905" s="2" t="s">
        <v>822</v>
      </c>
      <c r="J7905" s="31">
        <v>73.468002299999995</v>
      </c>
      <c r="K7905" s="31">
        <v>24.2399998</v>
      </c>
      <c r="L7905" s="31"/>
      <c r="M7905" s="31" t="s">
        <v>854</v>
      </c>
      <c r="N7905" s="6" t="s">
        <v>856</v>
      </c>
    </row>
    <row r="7906" spans="1:14" ht="15" customHeight="1" x14ac:dyDescent="0.2">
      <c r="A7906" s="31">
        <v>4.1087052319876791E-2</v>
      </c>
      <c r="B7906" s="31"/>
      <c r="C7906" s="2" t="s">
        <v>855</v>
      </c>
      <c r="D7906" s="31">
        <f t="shared" si="217"/>
        <v>8.0530622546958509E-3</v>
      </c>
      <c r="F7906" s="2" t="s">
        <v>822</v>
      </c>
      <c r="G7906" s="23" t="s">
        <v>902</v>
      </c>
      <c r="H7906" s="2" t="s">
        <v>822</v>
      </c>
      <c r="J7906" s="31">
        <v>71.8506012</v>
      </c>
      <c r="K7906" s="31">
        <v>-15.8431997</v>
      </c>
      <c r="L7906" s="31"/>
      <c r="M7906" s="31" t="s">
        <v>854</v>
      </c>
      <c r="N7906" s="6" t="s">
        <v>856</v>
      </c>
    </row>
    <row r="7907" spans="1:14" ht="15" customHeight="1" x14ac:dyDescent="0.2">
      <c r="A7907" s="31">
        <v>4.1015093084528928E-2</v>
      </c>
      <c r="B7907" s="31"/>
      <c r="C7907" s="2" t="s">
        <v>855</v>
      </c>
      <c r="D7907" s="31">
        <f t="shared" si="217"/>
        <v>8.0389582445676705E-3</v>
      </c>
      <c r="F7907" s="2" t="s">
        <v>822</v>
      </c>
      <c r="G7907" s="23" t="s">
        <v>902</v>
      </c>
      <c r="H7907" s="2" t="s">
        <v>822</v>
      </c>
      <c r="J7907" s="31">
        <v>66.120002700000001</v>
      </c>
      <c r="K7907" s="31">
        <v>-12.5</v>
      </c>
      <c r="L7907" s="31"/>
      <c r="M7907" s="31" t="s">
        <v>854</v>
      </c>
      <c r="N7907" s="6" t="s">
        <v>856</v>
      </c>
    </row>
    <row r="7908" spans="1:14" ht="15" customHeight="1" x14ac:dyDescent="0.2">
      <c r="A7908" s="31">
        <v>4.100895346939501E-2</v>
      </c>
      <c r="B7908" s="31"/>
      <c r="C7908" s="2" t="s">
        <v>855</v>
      </c>
      <c r="D7908" s="31">
        <f t="shared" si="217"/>
        <v>8.0377548800014218E-3</v>
      </c>
      <c r="F7908" s="2" t="s">
        <v>822</v>
      </c>
      <c r="G7908" s="23" t="s">
        <v>902</v>
      </c>
      <c r="H7908" s="2" t="s">
        <v>822</v>
      </c>
      <c r="J7908" s="31">
        <v>66.788002000000006</v>
      </c>
      <c r="K7908" s="31">
        <v>-13.1680002</v>
      </c>
      <c r="L7908" s="31"/>
      <c r="M7908" s="31" t="s">
        <v>854</v>
      </c>
      <c r="N7908" s="6" t="s">
        <v>856</v>
      </c>
    </row>
    <row r="7909" spans="1:14" ht="15" customHeight="1" x14ac:dyDescent="0.2">
      <c r="A7909" s="31">
        <v>4.0913384419864252E-2</v>
      </c>
      <c r="B7909" s="31"/>
      <c r="C7909" s="2" t="s">
        <v>855</v>
      </c>
      <c r="D7909" s="31">
        <f t="shared" si="217"/>
        <v>8.0190233462933934E-3</v>
      </c>
      <c r="F7909" s="2" t="s">
        <v>822</v>
      </c>
      <c r="G7909" s="23" t="s">
        <v>902</v>
      </c>
      <c r="H7909" s="2" t="s">
        <v>822</v>
      </c>
      <c r="J7909" s="31">
        <v>72.800003099999998</v>
      </c>
      <c r="K7909" s="31">
        <v>0.86</v>
      </c>
      <c r="L7909" s="31"/>
      <c r="M7909" s="31" t="s">
        <v>854</v>
      </c>
      <c r="N7909" s="6" t="s">
        <v>856</v>
      </c>
    </row>
    <row r="7910" spans="1:14" ht="15" customHeight="1" x14ac:dyDescent="0.2">
      <c r="A7910" s="31">
        <v>4.0859055810072709E-2</v>
      </c>
      <c r="B7910" s="31"/>
      <c r="C7910" s="2" t="s">
        <v>855</v>
      </c>
      <c r="D7910" s="31">
        <f t="shared" si="217"/>
        <v>8.0083749387742514E-3</v>
      </c>
      <c r="F7910" s="2" t="s">
        <v>822</v>
      </c>
      <c r="G7910" s="23" t="s">
        <v>902</v>
      </c>
      <c r="H7910" s="2" t="s">
        <v>822</v>
      </c>
      <c r="J7910" s="31">
        <v>67.344703699999997</v>
      </c>
      <c r="K7910" s="31">
        <v>-23.125400500000001</v>
      </c>
      <c r="L7910" s="31"/>
      <c r="M7910" s="31" t="s">
        <v>854</v>
      </c>
      <c r="N7910" s="6" t="s">
        <v>856</v>
      </c>
    </row>
    <row r="7911" spans="1:14" ht="15" customHeight="1" x14ac:dyDescent="0.2">
      <c r="A7911" s="31">
        <v>4.0832702341487781E-2</v>
      </c>
      <c r="B7911" s="31"/>
      <c r="C7911" s="2" t="s">
        <v>855</v>
      </c>
      <c r="D7911" s="31">
        <f t="shared" si="217"/>
        <v>8.0032096589316062E-3</v>
      </c>
      <c r="F7911" s="2" t="s">
        <v>822</v>
      </c>
      <c r="G7911" s="23" t="s">
        <v>902</v>
      </c>
      <c r="H7911" s="2" t="s">
        <v>822</v>
      </c>
      <c r="J7911" s="31">
        <v>72.800003099999998</v>
      </c>
      <c r="K7911" s="31">
        <v>18.8959999</v>
      </c>
      <c r="L7911" s="31"/>
      <c r="M7911" s="31" t="s">
        <v>854</v>
      </c>
      <c r="N7911" s="6" t="s">
        <v>856</v>
      </c>
    </row>
    <row r="7912" spans="1:14" ht="15" customHeight="1" x14ac:dyDescent="0.2">
      <c r="A7912" s="31">
        <v>4.079574779441561E-2</v>
      </c>
      <c r="B7912" s="31"/>
      <c r="C7912" s="2" t="s">
        <v>855</v>
      </c>
      <c r="D7912" s="31">
        <f t="shared" si="217"/>
        <v>7.9959665677054592E-3</v>
      </c>
      <c r="F7912" s="2" t="s">
        <v>822</v>
      </c>
      <c r="G7912" s="23" t="s">
        <v>902</v>
      </c>
      <c r="H7912" s="2" t="s">
        <v>822</v>
      </c>
      <c r="J7912" s="31">
        <v>71.199203499999996</v>
      </c>
      <c r="K7912" s="31">
        <v>-8.3182497000000009</v>
      </c>
      <c r="L7912" s="31"/>
      <c r="M7912" s="31" t="s">
        <v>854</v>
      </c>
      <c r="N7912" s="6" t="s">
        <v>856</v>
      </c>
    </row>
    <row r="7913" spans="1:14" ht="15" customHeight="1" x14ac:dyDescent="0.2">
      <c r="A7913" s="31">
        <v>4.0632533530333227E-2</v>
      </c>
      <c r="B7913" s="31"/>
      <c r="C7913" s="2" t="s">
        <v>855</v>
      </c>
      <c r="D7913" s="31">
        <f t="shared" si="217"/>
        <v>7.9639765719453134E-3</v>
      </c>
      <c r="F7913" s="2" t="s">
        <v>822</v>
      </c>
      <c r="G7913" s="23" t="s">
        <v>902</v>
      </c>
      <c r="H7913" s="2" t="s">
        <v>822</v>
      </c>
      <c r="J7913" s="31">
        <v>73.468002299999995</v>
      </c>
      <c r="K7913" s="31">
        <v>16.2240009</v>
      </c>
      <c r="L7913" s="31"/>
      <c r="M7913" s="31" t="s">
        <v>854</v>
      </c>
      <c r="N7913" s="6" t="s">
        <v>856</v>
      </c>
    </row>
    <row r="7914" spans="1:14" ht="15" customHeight="1" x14ac:dyDescent="0.2">
      <c r="A7914" s="31">
        <v>4.0617186918559707E-2</v>
      </c>
      <c r="B7914" s="31"/>
      <c r="C7914" s="2" t="s">
        <v>855</v>
      </c>
      <c r="D7914" s="31">
        <f t="shared" si="217"/>
        <v>7.9609686360377022E-3</v>
      </c>
      <c r="F7914" s="2" t="s">
        <v>822</v>
      </c>
      <c r="G7914" s="23" t="s">
        <v>902</v>
      </c>
      <c r="H7914" s="2" t="s">
        <v>822</v>
      </c>
      <c r="J7914" s="31">
        <v>74.1360016</v>
      </c>
      <c r="K7914" s="31">
        <v>-5.8200002</v>
      </c>
      <c r="L7914" s="31"/>
      <c r="M7914" s="31" t="s">
        <v>854</v>
      </c>
      <c r="N7914" s="6" t="s">
        <v>856</v>
      </c>
    </row>
    <row r="7915" spans="1:14" ht="15" customHeight="1" x14ac:dyDescent="0.2">
      <c r="A7915" s="31">
        <v>4.052445705162732E-2</v>
      </c>
      <c r="B7915" s="31"/>
      <c r="C7915" s="2" t="s">
        <v>855</v>
      </c>
      <c r="D7915" s="31">
        <f t="shared" si="217"/>
        <v>7.9427935821189555E-3</v>
      </c>
      <c r="F7915" s="2" t="s">
        <v>822</v>
      </c>
      <c r="G7915" s="23" t="s">
        <v>902</v>
      </c>
      <c r="H7915" s="2" t="s">
        <v>822</v>
      </c>
      <c r="J7915" s="31">
        <v>69.429000900000005</v>
      </c>
      <c r="K7915" s="31">
        <v>-18.4923</v>
      </c>
      <c r="L7915" s="31"/>
      <c r="M7915" s="31" t="s">
        <v>854</v>
      </c>
      <c r="N7915" s="6" t="s">
        <v>856</v>
      </c>
    </row>
    <row r="7916" spans="1:14" ht="15" customHeight="1" x14ac:dyDescent="0.2">
      <c r="A7916" s="31">
        <v>4.0513638270113457E-2</v>
      </c>
      <c r="B7916" s="31"/>
      <c r="C7916" s="2" t="s">
        <v>855</v>
      </c>
      <c r="D7916" s="31">
        <f t="shared" si="217"/>
        <v>7.9406731009422377E-3</v>
      </c>
      <c r="F7916" s="2" t="s">
        <v>822</v>
      </c>
      <c r="G7916" s="23" t="s">
        <v>902</v>
      </c>
      <c r="H7916" s="2" t="s">
        <v>822</v>
      </c>
      <c r="J7916" s="31">
        <v>72.132003800000007</v>
      </c>
      <c r="K7916" s="31">
        <v>-10.4960003</v>
      </c>
      <c r="L7916" s="31"/>
      <c r="M7916" s="31" t="s">
        <v>854</v>
      </c>
      <c r="N7916" s="6" t="s">
        <v>856</v>
      </c>
    </row>
    <row r="7917" spans="1:14" ht="15" customHeight="1" x14ac:dyDescent="0.2">
      <c r="A7917" s="31">
        <v>4.0476677070519052E-2</v>
      </c>
      <c r="B7917" s="31"/>
      <c r="C7917" s="2" t="s">
        <v>855</v>
      </c>
      <c r="D7917" s="31">
        <f t="shared" si="217"/>
        <v>7.9334287058217337E-3</v>
      </c>
      <c r="F7917" s="2" t="s">
        <v>822</v>
      </c>
      <c r="G7917" s="23" t="s">
        <v>902</v>
      </c>
      <c r="H7917" s="2" t="s">
        <v>822</v>
      </c>
      <c r="J7917" s="31">
        <v>69.722099299999996</v>
      </c>
      <c r="K7917" s="31">
        <v>47.026298500000003</v>
      </c>
      <c r="L7917" s="31"/>
      <c r="M7917" s="31" t="s">
        <v>854</v>
      </c>
      <c r="N7917" s="6" t="s">
        <v>856</v>
      </c>
    </row>
    <row r="7918" spans="1:14" ht="15" customHeight="1" x14ac:dyDescent="0.2">
      <c r="A7918" s="31">
        <v>4.0436105730655363E-2</v>
      </c>
      <c r="B7918" s="31"/>
      <c r="C7918" s="2" t="s">
        <v>855</v>
      </c>
      <c r="D7918" s="31">
        <f t="shared" si="217"/>
        <v>7.9254767232084522E-3</v>
      </c>
      <c r="F7918" s="2" t="s">
        <v>822</v>
      </c>
      <c r="G7918" s="23" t="s">
        <v>902</v>
      </c>
      <c r="H7918" s="2" t="s">
        <v>822</v>
      </c>
      <c r="J7918" s="31">
        <v>65.245597799999999</v>
      </c>
      <c r="K7918" s="31">
        <v>-5.1148901000000002</v>
      </c>
      <c r="L7918" s="31"/>
      <c r="M7918" s="31" t="s">
        <v>854</v>
      </c>
      <c r="N7918" s="6" t="s">
        <v>856</v>
      </c>
    </row>
    <row r="7919" spans="1:14" ht="15" customHeight="1" x14ac:dyDescent="0.2">
      <c r="A7919" s="31">
        <v>4.0383302478461558E-2</v>
      </c>
      <c r="B7919" s="31"/>
      <c r="C7919" s="2" t="s">
        <v>855</v>
      </c>
      <c r="D7919" s="31">
        <f t="shared" si="217"/>
        <v>7.9151272857784661E-3</v>
      </c>
      <c r="F7919" s="2" t="s">
        <v>822</v>
      </c>
      <c r="G7919" s="23" t="s">
        <v>902</v>
      </c>
      <c r="H7919" s="2" t="s">
        <v>822</v>
      </c>
      <c r="J7919" s="31">
        <v>73.468002299999995</v>
      </c>
      <c r="K7919" s="31">
        <v>30.920000099999999</v>
      </c>
      <c r="L7919" s="31"/>
      <c r="M7919" s="31" t="s">
        <v>854</v>
      </c>
      <c r="N7919" s="6" t="s">
        <v>856</v>
      </c>
    </row>
    <row r="7920" spans="1:14" ht="15" customHeight="1" x14ac:dyDescent="0.2">
      <c r="A7920" s="31">
        <v>4.0324958307211708E-2</v>
      </c>
      <c r="B7920" s="31"/>
      <c r="C7920" s="2" t="s">
        <v>855</v>
      </c>
      <c r="D7920" s="31">
        <f t="shared" si="217"/>
        <v>7.9036918282134952E-3</v>
      </c>
      <c r="F7920" s="2" t="s">
        <v>822</v>
      </c>
      <c r="G7920" s="23" t="s">
        <v>902</v>
      </c>
      <c r="H7920" s="2" t="s">
        <v>822</v>
      </c>
      <c r="J7920" s="31">
        <v>73.468002299999995</v>
      </c>
      <c r="K7920" s="31">
        <v>28.916000400000001</v>
      </c>
      <c r="L7920" s="31"/>
      <c r="M7920" s="31" t="s">
        <v>854</v>
      </c>
      <c r="N7920" s="6" t="s">
        <v>856</v>
      </c>
    </row>
    <row r="7921" spans="1:14" ht="15" customHeight="1" x14ac:dyDescent="0.2">
      <c r="A7921" s="31">
        <v>4.026508015208851E-2</v>
      </c>
      <c r="B7921" s="31"/>
      <c r="C7921" s="2" t="s">
        <v>855</v>
      </c>
      <c r="D7921" s="31">
        <f t="shared" si="217"/>
        <v>7.8919557098093476E-3</v>
      </c>
      <c r="F7921" s="2" t="s">
        <v>822</v>
      </c>
      <c r="G7921" s="23" t="s">
        <v>902</v>
      </c>
      <c r="H7921" s="2" t="s">
        <v>822</v>
      </c>
      <c r="J7921" s="31">
        <v>70.795997600000007</v>
      </c>
      <c r="K7921" s="31">
        <v>-17.176000599999998</v>
      </c>
      <c r="L7921" s="31"/>
      <c r="M7921" s="31" t="s">
        <v>854</v>
      </c>
      <c r="N7921" s="6" t="s">
        <v>856</v>
      </c>
    </row>
    <row r="7922" spans="1:14" ht="15" customHeight="1" x14ac:dyDescent="0.2">
      <c r="A7922" s="31">
        <v>4.0013936478990257E-2</v>
      </c>
      <c r="B7922" s="31"/>
      <c r="C7922" s="2" t="s">
        <v>855</v>
      </c>
      <c r="D7922" s="31">
        <f t="shared" si="217"/>
        <v>7.8427315498820899E-3</v>
      </c>
      <c r="F7922" s="2" t="s">
        <v>822</v>
      </c>
      <c r="G7922" s="23" t="s">
        <v>902</v>
      </c>
      <c r="H7922" s="2" t="s">
        <v>822</v>
      </c>
      <c r="J7922" s="31">
        <v>68.791999799999999</v>
      </c>
      <c r="K7922" s="31">
        <v>2.8640001000000002</v>
      </c>
      <c r="L7922" s="31"/>
      <c r="M7922" s="31" t="s">
        <v>854</v>
      </c>
      <c r="N7922" s="6" t="s">
        <v>856</v>
      </c>
    </row>
    <row r="7923" spans="1:14" ht="15" customHeight="1" x14ac:dyDescent="0.2">
      <c r="A7923" s="31">
        <v>4.0011426153359501E-2</v>
      </c>
      <c r="B7923" s="31"/>
      <c r="C7923" s="2" t="s">
        <v>855</v>
      </c>
      <c r="D7923" s="31">
        <f t="shared" si="217"/>
        <v>7.8422395260584633E-3</v>
      </c>
      <c r="F7923" s="2" t="s">
        <v>822</v>
      </c>
      <c r="G7923" s="23" t="s">
        <v>902</v>
      </c>
      <c r="H7923" s="2" t="s">
        <v>822</v>
      </c>
      <c r="J7923" s="31">
        <v>71.463996899999998</v>
      </c>
      <c r="K7923" s="31">
        <v>21.5680008</v>
      </c>
      <c r="L7923" s="31"/>
      <c r="M7923" s="31" t="s">
        <v>854</v>
      </c>
      <c r="N7923" s="6" t="s">
        <v>856</v>
      </c>
    </row>
    <row r="7924" spans="1:14" ht="15" customHeight="1" x14ac:dyDescent="0.2">
      <c r="A7924" s="31">
        <v>3.9967714420069307E-2</v>
      </c>
      <c r="B7924" s="31"/>
      <c r="C7924" s="2" t="s">
        <v>855</v>
      </c>
      <c r="D7924" s="31">
        <f t="shared" si="217"/>
        <v>7.8336720263335845E-3</v>
      </c>
      <c r="F7924" s="2" t="s">
        <v>822</v>
      </c>
      <c r="G7924" s="23" t="s">
        <v>902</v>
      </c>
      <c r="H7924" s="2" t="s">
        <v>822</v>
      </c>
      <c r="J7924" s="31">
        <v>70.795997600000007</v>
      </c>
      <c r="K7924" s="31">
        <v>32.852699299999998</v>
      </c>
      <c r="L7924" s="31"/>
      <c r="M7924" s="31" t="s">
        <v>854</v>
      </c>
      <c r="N7924" s="6" t="s">
        <v>856</v>
      </c>
    </row>
    <row r="7925" spans="1:14" ht="15" customHeight="1" x14ac:dyDescent="0.2">
      <c r="A7925" s="31">
        <v>3.9890049145802152E-2</v>
      </c>
      <c r="B7925" s="31"/>
      <c r="C7925" s="2" t="s">
        <v>855</v>
      </c>
      <c r="D7925" s="31">
        <f t="shared" si="217"/>
        <v>7.8184496325772214E-3</v>
      </c>
      <c r="F7925" s="2" t="s">
        <v>822</v>
      </c>
      <c r="G7925" s="23" t="s">
        <v>902</v>
      </c>
      <c r="H7925" s="2" t="s">
        <v>822</v>
      </c>
      <c r="J7925" s="31">
        <v>74.439498900000004</v>
      </c>
      <c r="K7925" s="31">
        <v>-20.846300100000001</v>
      </c>
      <c r="L7925" s="31"/>
      <c r="M7925" s="31" t="s">
        <v>854</v>
      </c>
      <c r="N7925" s="6" t="s">
        <v>856</v>
      </c>
    </row>
    <row r="7926" spans="1:14" ht="15" customHeight="1" x14ac:dyDescent="0.2">
      <c r="A7926" s="31">
        <v>3.9876635322199178E-2</v>
      </c>
      <c r="B7926" s="31"/>
      <c r="C7926" s="2" t="s">
        <v>855</v>
      </c>
      <c r="D7926" s="31">
        <f t="shared" si="217"/>
        <v>7.8158205231510392E-3</v>
      </c>
      <c r="F7926" s="2" t="s">
        <v>822</v>
      </c>
      <c r="G7926" s="23" t="s">
        <v>902</v>
      </c>
      <c r="H7926" s="2" t="s">
        <v>822</v>
      </c>
      <c r="J7926" s="31">
        <v>66.120002700000001</v>
      </c>
      <c r="K7926" s="31">
        <v>-11.1639996</v>
      </c>
      <c r="L7926" s="31"/>
      <c r="M7926" s="31" t="s">
        <v>854</v>
      </c>
      <c r="N7926" s="6" t="s">
        <v>856</v>
      </c>
    </row>
    <row r="7927" spans="1:14" ht="15" customHeight="1" x14ac:dyDescent="0.2">
      <c r="A7927" s="31">
        <v>3.9874667354953847E-2</v>
      </c>
      <c r="B7927" s="31"/>
      <c r="C7927" s="2" t="s">
        <v>855</v>
      </c>
      <c r="D7927" s="31">
        <f t="shared" si="217"/>
        <v>7.815434801570955E-3</v>
      </c>
      <c r="F7927" s="2" t="s">
        <v>822</v>
      </c>
      <c r="G7927" s="23" t="s">
        <v>902</v>
      </c>
      <c r="H7927" s="2" t="s">
        <v>822</v>
      </c>
      <c r="J7927" s="31">
        <v>73.391799899999995</v>
      </c>
      <c r="K7927" s="31">
        <v>-3.1573999000000001</v>
      </c>
      <c r="L7927" s="31"/>
      <c r="M7927" s="31" t="s">
        <v>854</v>
      </c>
      <c r="N7927" s="6" t="s">
        <v>856</v>
      </c>
    </row>
    <row r="7928" spans="1:14" ht="15" customHeight="1" x14ac:dyDescent="0.2">
      <c r="A7928" s="31">
        <v>3.9799722267242238E-2</v>
      </c>
      <c r="B7928" s="31"/>
      <c r="C7928" s="2" t="s">
        <v>855</v>
      </c>
      <c r="D7928" s="31">
        <f t="shared" si="217"/>
        <v>7.8007455643794793E-3</v>
      </c>
      <c r="F7928" s="2" t="s">
        <v>822</v>
      </c>
      <c r="G7928" s="23" t="s">
        <v>902</v>
      </c>
      <c r="H7928" s="2" t="s">
        <v>822</v>
      </c>
      <c r="J7928" s="31">
        <v>74.804000900000005</v>
      </c>
      <c r="K7928" s="31">
        <v>10.2119999</v>
      </c>
      <c r="L7928" s="31"/>
      <c r="M7928" s="31" t="s">
        <v>854</v>
      </c>
      <c r="N7928" s="6" t="s">
        <v>856</v>
      </c>
    </row>
    <row r="7929" spans="1:14" ht="15" customHeight="1" x14ac:dyDescent="0.2">
      <c r="A7929" s="31">
        <v>3.9751332011023773E-2</v>
      </c>
      <c r="B7929" s="31"/>
      <c r="C7929" s="2" t="s">
        <v>855</v>
      </c>
      <c r="D7929" s="31">
        <f t="shared" si="217"/>
        <v>7.7912610741606601E-3</v>
      </c>
      <c r="F7929" s="2" t="s">
        <v>822</v>
      </c>
      <c r="G7929" s="23" t="s">
        <v>902</v>
      </c>
      <c r="H7929" s="2" t="s">
        <v>822</v>
      </c>
      <c r="J7929" s="31">
        <v>67.971603400000006</v>
      </c>
      <c r="K7929" s="31">
        <v>-21.851999299999999</v>
      </c>
      <c r="L7929" s="31"/>
      <c r="M7929" s="31" t="s">
        <v>854</v>
      </c>
      <c r="N7929" s="6" t="s">
        <v>856</v>
      </c>
    </row>
    <row r="7930" spans="1:14" ht="15" customHeight="1" x14ac:dyDescent="0.2">
      <c r="A7930" s="31">
        <v>3.9588355896042857E-2</v>
      </c>
      <c r="B7930" s="31"/>
      <c r="C7930" s="2" t="s">
        <v>855</v>
      </c>
      <c r="D7930" s="31">
        <f t="shared" si="217"/>
        <v>7.7593177556243998E-3</v>
      </c>
      <c r="F7930" s="2" t="s">
        <v>822</v>
      </c>
      <c r="G7930" s="23" t="s">
        <v>902</v>
      </c>
      <c r="H7930" s="2" t="s">
        <v>822</v>
      </c>
      <c r="J7930" s="31">
        <v>70.127998399999996</v>
      </c>
      <c r="K7930" s="31">
        <v>49.624000500000001</v>
      </c>
      <c r="L7930" s="31"/>
      <c r="M7930" s="31" t="s">
        <v>854</v>
      </c>
      <c r="N7930" s="6" t="s">
        <v>856</v>
      </c>
    </row>
    <row r="7931" spans="1:14" ht="15" customHeight="1" x14ac:dyDescent="0.2">
      <c r="A7931" s="31">
        <v>3.9542538532678077E-2</v>
      </c>
      <c r="B7931" s="31"/>
      <c r="C7931" s="2" t="s">
        <v>855</v>
      </c>
      <c r="D7931" s="31">
        <f t="shared" si="217"/>
        <v>7.7503375524049034E-3</v>
      </c>
      <c r="F7931" s="2" t="s">
        <v>822</v>
      </c>
      <c r="G7931" s="23" t="s">
        <v>902</v>
      </c>
      <c r="H7931" s="2" t="s">
        <v>822</v>
      </c>
      <c r="J7931" s="31">
        <v>75.368202199999999</v>
      </c>
      <c r="K7931" s="31">
        <v>3.5301298999999999</v>
      </c>
      <c r="L7931" s="31"/>
      <c r="M7931" s="31" t="s">
        <v>854</v>
      </c>
      <c r="N7931" s="6" t="s">
        <v>856</v>
      </c>
    </row>
    <row r="7932" spans="1:14" ht="15" customHeight="1" x14ac:dyDescent="0.2">
      <c r="A7932" s="31">
        <v>3.9514145452932171E-2</v>
      </c>
      <c r="B7932" s="31"/>
      <c r="C7932" s="2" t="s">
        <v>855</v>
      </c>
      <c r="D7932" s="31">
        <f t="shared" si="217"/>
        <v>7.744772508774706E-3</v>
      </c>
      <c r="F7932" s="2" t="s">
        <v>822</v>
      </c>
      <c r="G7932" s="23" t="s">
        <v>902</v>
      </c>
      <c r="H7932" s="2" t="s">
        <v>822</v>
      </c>
      <c r="J7932" s="31">
        <v>65.452003500000004</v>
      </c>
      <c r="K7932" s="31">
        <v>-12.5</v>
      </c>
      <c r="L7932" s="31"/>
      <c r="M7932" s="31" t="s">
        <v>854</v>
      </c>
      <c r="N7932" s="6" t="s">
        <v>856</v>
      </c>
    </row>
    <row r="7933" spans="1:14" ht="15" customHeight="1" x14ac:dyDescent="0.2">
      <c r="A7933" s="31">
        <v>3.928699160122015E-2</v>
      </c>
      <c r="B7933" s="31"/>
      <c r="C7933" s="2" t="s">
        <v>855</v>
      </c>
      <c r="D7933" s="31">
        <f t="shared" si="217"/>
        <v>7.7002503538391495E-3</v>
      </c>
      <c r="F7933" s="2" t="s">
        <v>822</v>
      </c>
      <c r="G7933" s="23" t="s">
        <v>902</v>
      </c>
      <c r="H7933" s="2" t="s">
        <v>822</v>
      </c>
      <c r="J7933" s="31">
        <v>75.367599499999997</v>
      </c>
      <c r="K7933" s="31">
        <v>2.8622700999999999</v>
      </c>
      <c r="L7933" s="31"/>
      <c r="M7933" s="31" t="s">
        <v>854</v>
      </c>
      <c r="N7933" s="6" t="s">
        <v>856</v>
      </c>
    </row>
    <row r="7934" spans="1:14" ht="15" customHeight="1" x14ac:dyDescent="0.2">
      <c r="A7934" s="31">
        <v>3.9127553151218367E-2</v>
      </c>
      <c r="B7934" s="31"/>
      <c r="C7934" s="2" t="s">
        <v>855</v>
      </c>
      <c r="D7934" s="31">
        <f t="shared" si="217"/>
        <v>7.6690004176387999E-3</v>
      </c>
      <c r="F7934" s="2" t="s">
        <v>822</v>
      </c>
      <c r="G7934" s="23" t="s">
        <v>902</v>
      </c>
      <c r="H7934" s="2" t="s">
        <v>822</v>
      </c>
      <c r="J7934" s="31">
        <v>72.800003099999998</v>
      </c>
      <c r="K7934" s="31">
        <v>19.563999200000001</v>
      </c>
      <c r="L7934" s="31"/>
      <c r="M7934" s="31" t="s">
        <v>854</v>
      </c>
      <c r="N7934" s="6" t="s">
        <v>856</v>
      </c>
    </row>
    <row r="7935" spans="1:14" ht="15" customHeight="1" x14ac:dyDescent="0.2">
      <c r="A7935" s="31">
        <v>3.9087615038367003E-2</v>
      </c>
      <c r="B7935" s="31"/>
      <c r="C7935" s="2" t="s">
        <v>855</v>
      </c>
      <c r="D7935" s="31">
        <f t="shared" si="217"/>
        <v>7.661172547519933E-3</v>
      </c>
      <c r="F7935" s="2" t="s">
        <v>822</v>
      </c>
      <c r="G7935" s="23" t="s">
        <v>902</v>
      </c>
      <c r="H7935" s="2" t="s">
        <v>822</v>
      </c>
      <c r="J7935" s="31">
        <v>68.804100000000005</v>
      </c>
      <c r="K7935" s="31">
        <v>-5.0707002000000001</v>
      </c>
      <c r="L7935" s="31"/>
      <c r="M7935" s="31" t="s">
        <v>854</v>
      </c>
      <c r="N7935" s="6" t="s">
        <v>856</v>
      </c>
    </row>
    <row r="7936" spans="1:14" ht="15" customHeight="1" x14ac:dyDescent="0.2">
      <c r="A7936" s="31">
        <v>3.8984208341416519E-2</v>
      </c>
      <c r="B7936" s="31"/>
      <c r="C7936" s="2" t="s">
        <v>855</v>
      </c>
      <c r="D7936" s="31">
        <f t="shared" ref="D7936:D7983" si="218" xml:space="preserve"> A7936 * 0.196</f>
        <v>7.6409048349176381E-3</v>
      </c>
      <c r="F7936" s="2" t="s">
        <v>822</v>
      </c>
      <c r="G7936" s="23" t="s">
        <v>902</v>
      </c>
      <c r="H7936" s="2" t="s">
        <v>822</v>
      </c>
      <c r="J7936" s="31">
        <v>68.791999799999999</v>
      </c>
      <c r="K7936" s="31">
        <v>-18.511999100000001</v>
      </c>
      <c r="L7936" s="31"/>
      <c r="M7936" s="31" t="s">
        <v>854</v>
      </c>
      <c r="N7936" s="6" t="s">
        <v>856</v>
      </c>
    </row>
    <row r="7937" spans="1:14" ht="15" customHeight="1" x14ac:dyDescent="0.2">
      <c r="A7937" s="31">
        <v>3.8953199866771648E-2</v>
      </c>
      <c r="B7937" s="31"/>
      <c r="C7937" s="2" t="s">
        <v>855</v>
      </c>
      <c r="D7937" s="31">
        <f t="shared" si="218"/>
        <v>7.6348271738872434E-3</v>
      </c>
      <c r="F7937" s="2" t="s">
        <v>822</v>
      </c>
      <c r="G7937" s="23" t="s">
        <v>902</v>
      </c>
      <c r="H7937" s="2" t="s">
        <v>822</v>
      </c>
      <c r="J7937" s="31">
        <v>72.132003800000007</v>
      </c>
      <c r="K7937" s="31">
        <v>-5.8200002</v>
      </c>
      <c r="L7937" s="31"/>
      <c r="M7937" s="31" t="s">
        <v>854</v>
      </c>
      <c r="N7937" s="6" t="s">
        <v>856</v>
      </c>
    </row>
    <row r="7938" spans="1:14" ht="15" customHeight="1" x14ac:dyDescent="0.2">
      <c r="A7938" s="31">
        <v>3.8947877417796102E-2</v>
      </c>
      <c r="B7938" s="31"/>
      <c r="C7938" s="2" t="s">
        <v>855</v>
      </c>
      <c r="D7938" s="31">
        <f t="shared" si="218"/>
        <v>7.6337839738880361E-3</v>
      </c>
      <c r="F7938" s="2" t="s">
        <v>822</v>
      </c>
      <c r="G7938" s="23" t="s">
        <v>902</v>
      </c>
      <c r="H7938" s="2" t="s">
        <v>822</v>
      </c>
      <c r="J7938" s="31">
        <v>71.481201200000001</v>
      </c>
      <c r="K7938" s="31">
        <v>31.562799500000001</v>
      </c>
      <c r="L7938" s="31"/>
      <c r="M7938" s="31" t="s">
        <v>854</v>
      </c>
      <c r="N7938" s="6" t="s">
        <v>856</v>
      </c>
    </row>
    <row r="7939" spans="1:14" ht="15" customHeight="1" x14ac:dyDescent="0.2">
      <c r="A7939" s="31">
        <v>3.8898317759153943E-2</v>
      </c>
      <c r="B7939" s="31"/>
      <c r="C7939" s="2" t="s">
        <v>855</v>
      </c>
      <c r="D7939" s="31">
        <f t="shared" si="218"/>
        <v>7.6240702807941728E-3</v>
      </c>
      <c r="F7939" s="2" t="s">
        <v>822</v>
      </c>
      <c r="G7939" s="23" t="s">
        <v>902</v>
      </c>
      <c r="H7939" s="2" t="s">
        <v>822</v>
      </c>
      <c r="J7939" s="31">
        <v>74.1360016</v>
      </c>
      <c r="K7939" s="31">
        <v>6.8720001999999996</v>
      </c>
      <c r="L7939" s="31"/>
      <c r="M7939" s="31" t="s">
        <v>854</v>
      </c>
      <c r="N7939" s="6" t="s">
        <v>856</v>
      </c>
    </row>
    <row r="7940" spans="1:14" ht="15" customHeight="1" x14ac:dyDescent="0.2">
      <c r="A7940" s="31">
        <v>3.8812473594698207E-2</v>
      </c>
      <c r="B7940" s="31"/>
      <c r="C7940" s="2" t="s">
        <v>855</v>
      </c>
      <c r="D7940" s="31">
        <f t="shared" si="218"/>
        <v>7.6072448245608493E-3</v>
      </c>
      <c r="F7940" s="2" t="s">
        <v>822</v>
      </c>
      <c r="G7940" s="23" t="s">
        <v>902</v>
      </c>
      <c r="H7940" s="2" t="s">
        <v>822</v>
      </c>
      <c r="J7940" s="31">
        <v>71.463996899999998</v>
      </c>
      <c r="K7940" s="31">
        <v>6.8720001999999996</v>
      </c>
      <c r="L7940" s="31"/>
      <c r="M7940" s="31" t="s">
        <v>854</v>
      </c>
      <c r="N7940" s="6" t="s">
        <v>856</v>
      </c>
    </row>
    <row r="7941" spans="1:14" ht="15" customHeight="1" x14ac:dyDescent="0.2">
      <c r="A7941" s="31">
        <v>3.8790686315496807E-2</v>
      </c>
      <c r="B7941" s="31"/>
      <c r="C7941" s="2" t="s">
        <v>855</v>
      </c>
      <c r="D7941" s="31">
        <f t="shared" si="218"/>
        <v>7.6029745178373747E-3</v>
      </c>
      <c r="F7941" s="2" t="s">
        <v>822</v>
      </c>
      <c r="G7941" s="23" t="s">
        <v>902</v>
      </c>
      <c r="H7941" s="2" t="s">
        <v>822</v>
      </c>
      <c r="J7941" s="31">
        <v>71.463996899999998</v>
      </c>
      <c r="K7941" s="31">
        <v>-10.4960003</v>
      </c>
      <c r="L7941" s="31"/>
      <c r="M7941" s="31" t="s">
        <v>854</v>
      </c>
      <c r="N7941" s="6" t="s">
        <v>856</v>
      </c>
    </row>
    <row r="7942" spans="1:14" ht="15" customHeight="1" x14ac:dyDescent="0.2">
      <c r="A7942" s="31">
        <v>3.8663266533666613E-2</v>
      </c>
      <c r="B7942" s="31"/>
      <c r="C7942" s="2" t="s">
        <v>855</v>
      </c>
      <c r="D7942" s="31">
        <f t="shared" si="218"/>
        <v>7.5780002405986561E-3</v>
      </c>
      <c r="F7942" s="2" t="s">
        <v>822</v>
      </c>
      <c r="G7942" s="23" t="s">
        <v>902</v>
      </c>
      <c r="H7942" s="2" t="s">
        <v>822</v>
      </c>
      <c r="J7942" s="31">
        <v>70.170600899999997</v>
      </c>
      <c r="K7942" s="31">
        <v>35.659500100000002</v>
      </c>
      <c r="L7942" s="31"/>
      <c r="M7942" s="31" t="s">
        <v>854</v>
      </c>
      <c r="N7942" s="6" t="s">
        <v>856</v>
      </c>
    </row>
    <row r="7943" spans="1:14" ht="15" customHeight="1" x14ac:dyDescent="0.2">
      <c r="A7943" s="31">
        <v>3.8640915356887587E-2</v>
      </c>
      <c r="B7943" s="31"/>
      <c r="C7943" s="2" t="s">
        <v>855</v>
      </c>
      <c r="D7943" s="31">
        <f t="shared" si="218"/>
        <v>7.5736194099499674E-3</v>
      </c>
      <c r="F7943" s="2" t="s">
        <v>822</v>
      </c>
      <c r="G7943" s="23" t="s">
        <v>902</v>
      </c>
      <c r="H7943" s="2" t="s">
        <v>822</v>
      </c>
      <c r="J7943" s="31">
        <v>70.796501199999994</v>
      </c>
      <c r="K7943" s="31">
        <v>-7.7905698000000001</v>
      </c>
      <c r="L7943" s="31"/>
      <c r="M7943" s="31" t="s">
        <v>854</v>
      </c>
      <c r="N7943" s="6" t="s">
        <v>856</v>
      </c>
    </row>
    <row r="7944" spans="1:14" ht="15" customHeight="1" x14ac:dyDescent="0.2">
      <c r="A7944" s="31">
        <v>3.8610483896417261E-2</v>
      </c>
      <c r="B7944" s="31"/>
      <c r="C7944" s="2" t="s">
        <v>855</v>
      </c>
      <c r="D7944" s="31">
        <f t="shared" si="218"/>
        <v>7.5676548436977836E-3</v>
      </c>
      <c r="F7944" s="2" t="s">
        <v>822</v>
      </c>
      <c r="G7944" s="23" t="s">
        <v>902</v>
      </c>
      <c r="H7944" s="2" t="s">
        <v>822</v>
      </c>
      <c r="J7944" s="31">
        <v>70.795997600000007</v>
      </c>
      <c r="K7944" s="31">
        <v>8.8760004000000006</v>
      </c>
      <c r="L7944" s="31"/>
      <c r="M7944" s="31" t="s">
        <v>854</v>
      </c>
      <c r="N7944" s="6" t="s">
        <v>856</v>
      </c>
    </row>
    <row r="7945" spans="1:14" ht="15" customHeight="1" x14ac:dyDescent="0.2">
      <c r="A7945" s="31">
        <v>3.8560635530046287E-2</v>
      </c>
      <c r="B7945" s="31"/>
      <c r="C7945" s="2" t="s">
        <v>855</v>
      </c>
      <c r="D7945" s="31">
        <f t="shared" si="218"/>
        <v>7.5578845638890725E-3</v>
      </c>
      <c r="F7945" s="2" t="s">
        <v>822</v>
      </c>
      <c r="G7945" s="23" t="s">
        <v>902</v>
      </c>
      <c r="H7945" s="2" t="s">
        <v>822</v>
      </c>
      <c r="J7945" s="31">
        <v>74.499397299999998</v>
      </c>
      <c r="K7945" s="31">
        <v>-6.3151697999999996</v>
      </c>
      <c r="L7945" s="31"/>
      <c r="M7945" s="31" t="s">
        <v>854</v>
      </c>
      <c r="N7945" s="6" t="s">
        <v>856</v>
      </c>
    </row>
    <row r="7946" spans="1:14" ht="15" customHeight="1" x14ac:dyDescent="0.2">
      <c r="A7946" s="31">
        <v>3.8539181143322609E-2</v>
      </c>
      <c r="B7946" s="31"/>
      <c r="C7946" s="2" t="s">
        <v>855</v>
      </c>
      <c r="D7946" s="31">
        <f t="shared" si="218"/>
        <v>7.5536795040912321E-3</v>
      </c>
      <c r="F7946" s="2" t="s">
        <v>822</v>
      </c>
      <c r="G7946" s="23" t="s">
        <v>902</v>
      </c>
      <c r="H7946" s="2" t="s">
        <v>822</v>
      </c>
      <c r="J7946" s="31">
        <v>71.463996899999998</v>
      </c>
      <c r="K7946" s="31">
        <v>-7.1560001</v>
      </c>
      <c r="L7946" s="31"/>
      <c r="M7946" s="31" t="s">
        <v>854</v>
      </c>
      <c r="N7946" s="6" t="s">
        <v>856</v>
      </c>
    </row>
    <row r="7947" spans="1:14" ht="15" customHeight="1" x14ac:dyDescent="0.2">
      <c r="A7947" s="31">
        <v>3.8458775742624608E-2</v>
      </c>
      <c r="B7947" s="31"/>
      <c r="C7947" s="2" t="s">
        <v>855</v>
      </c>
      <c r="D7947" s="31">
        <f t="shared" si="218"/>
        <v>7.5379200455544231E-3</v>
      </c>
      <c r="F7947" s="2" t="s">
        <v>822</v>
      </c>
      <c r="G7947" s="23" t="s">
        <v>902</v>
      </c>
      <c r="H7947" s="2" t="s">
        <v>822</v>
      </c>
      <c r="J7947" s="31">
        <v>71.479797399999995</v>
      </c>
      <c r="K7947" s="31">
        <v>-8.5026998999999996</v>
      </c>
      <c r="L7947" s="31"/>
      <c r="M7947" s="31" t="s">
        <v>854</v>
      </c>
      <c r="N7947" s="6" t="s">
        <v>856</v>
      </c>
    </row>
    <row r="7948" spans="1:14" ht="15" customHeight="1" x14ac:dyDescent="0.2">
      <c r="A7948" s="31">
        <v>3.8384897497464203E-2</v>
      </c>
      <c r="B7948" s="31"/>
      <c r="C7948" s="2" t="s">
        <v>855</v>
      </c>
      <c r="D7948" s="31">
        <f t="shared" si="218"/>
        <v>7.523439909502984E-3</v>
      </c>
      <c r="F7948" s="2" t="s">
        <v>822</v>
      </c>
      <c r="G7948" s="23" t="s">
        <v>902</v>
      </c>
      <c r="H7948" s="2" t="s">
        <v>822</v>
      </c>
      <c r="J7948" s="31">
        <v>72.132003800000007</v>
      </c>
      <c r="K7948" s="31">
        <v>-11.1639996</v>
      </c>
      <c r="L7948" s="31"/>
      <c r="M7948" s="31" t="s">
        <v>854</v>
      </c>
      <c r="N7948" s="6" t="s">
        <v>856</v>
      </c>
    </row>
    <row r="7949" spans="1:14" ht="15" customHeight="1" x14ac:dyDescent="0.2">
      <c r="A7949" s="31">
        <v>3.8377607308344851E-2</v>
      </c>
      <c r="B7949" s="31"/>
      <c r="C7949" s="2" t="s">
        <v>855</v>
      </c>
      <c r="D7949" s="31">
        <f t="shared" si="218"/>
        <v>7.522011032435591E-3</v>
      </c>
      <c r="F7949" s="2" t="s">
        <v>822</v>
      </c>
      <c r="G7949" s="23" t="s">
        <v>902</v>
      </c>
      <c r="H7949" s="2" t="s">
        <v>822</v>
      </c>
      <c r="J7949" s="31">
        <v>67.678703299999995</v>
      </c>
      <c r="K7949" s="31">
        <v>-19.291299800000001</v>
      </c>
      <c r="L7949" s="31"/>
      <c r="M7949" s="31" t="s">
        <v>854</v>
      </c>
      <c r="N7949" s="6" t="s">
        <v>856</v>
      </c>
    </row>
    <row r="7950" spans="1:14" ht="15" customHeight="1" x14ac:dyDescent="0.2">
      <c r="A7950" s="31">
        <v>3.8358153417627883E-2</v>
      </c>
      <c r="B7950" s="31"/>
      <c r="C7950" s="2" t="s">
        <v>855</v>
      </c>
      <c r="D7950" s="31">
        <f t="shared" si="218"/>
        <v>7.5181980698550656E-3</v>
      </c>
      <c r="F7950" s="2" t="s">
        <v>822</v>
      </c>
      <c r="G7950" s="23" t="s">
        <v>902</v>
      </c>
      <c r="H7950" s="2" t="s">
        <v>822</v>
      </c>
      <c r="J7950" s="31">
        <v>70.795997600000007</v>
      </c>
      <c r="K7950" s="31">
        <v>2.1960001</v>
      </c>
      <c r="L7950" s="31"/>
      <c r="M7950" s="31" t="s">
        <v>854</v>
      </c>
      <c r="N7950" s="6" t="s">
        <v>856</v>
      </c>
    </row>
    <row r="7951" spans="1:14" ht="15" customHeight="1" x14ac:dyDescent="0.2">
      <c r="A7951" s="31">
        <v>3.8328190595651929E-2</v>
      </c>
      <c r="B7951" s="31"/>
      <c r="C7951" s="2" t="s">
        <v>855</v>
      </c>
      <c r="D7951" s="31">
        <f t="shared" si="218"/>
        <v>7.5123253567477783E-3</v>
      </c>
      <c r="F7951" s="2" t="s">
        <v>822</v>
      </c>
      <c r="G7951" s="23" t="s">
        <v>902</v>
      </c>
      <c r="H7951" s="2" t="s">
        <v>822</v>
      </c>
      <c r="J7951" s="31">
        <v>67.456001299999997</v>
      </c>
      <c r="K7951" s="31">
        <v>-15.8400002</v>
      </c>
      <c r="L7951" s="31"/>
      <c r="M7951" s="31" t="s">
        <v>854</v>
      </c>
      <c r="N7951" s="6" t="s">
        <v>856</v>
      </c>
    </row>
    <row r="7952" spans="1:14" ht="15" customHeight="1" x14ac:dyDescent="0.2">
      <c r="A7952" s="31">
        <v>3.8309799949759353E-2</v>
      </c>
      <c r="B7952" s="31"/>
      <c r="C7952" s="2" t="s">
        <v>855</v>
      </c>
      <c r="D7952" s="31">
        <f t="shared" si="218"/>
        <v>7.5087207901528338E-3</v>
      </c>
      <c r="F7952" s="2" t="s">
        <v>822</v>
      </c>
      <c r="G7952" s="23" t="s">
        <v>902</v>
      </c>
      <c r="H7952" s="2" t="s">
        <v>822</v>
      </c>
      <c r="J7952" s="31">
        <v>70.867797899999999</v>
      </c>
      <c r="K7952" s="31">
        <v>30.274999600000001</v>
      </c>
      <c r="L7952" s="31"/>
      <c r="M7952" s="31" t="s">
        <v>854</v>
      </c>
      <c r="N7952" s="6" t="s">
        <v>856</v>
      </c>
    </row>
    <row r="7953" spans="1:14" ht="15" customHeight="1" x14ac:dyDescent="0.2">
      <c r="A7953" s="31">
        <v>3.8165243996360697E-2</v>
      </c>
      <c r="B7953" s="31"/>
      <c r="C7953" s="2" t="s">
        <v>855</v>
      </c>
      <c r="D7953" s="31">
        <f t="shared" si="218"/>
        <v>7.4803878232866973E-3</v>
      </c>
      <c r="F7953" s="2" t="s">
        <v>822</v>
      </c>
      <c r="G7953" s="23" t="s">
        <v>902</v>
      </c>
      <c r="H7953" s="2" t="s">
        <v>822</v>
      </c>
      <c r="J7953" s="31">
        <v>74.078399700000006</v>
      </c>
      <c r="K7953" s="31">
        <v>-22.465700099999999</v>
      </c>
      <c r="L7953" s="31"/>
      <c r="M7953" s="31" t="s">
        <v>854</v>
      </c>
      <c r="N7953" s="6" t="s">
        <v>856</v>
      </c>
    </row>
    <row r="7954" spans="1:14" ht="15" customHeight="1" x14ac:dyDescent="0.2">
      <c r="A7954" s="31">
        <v>3.8142404922381287E-2</v>
      </c>
      <c r="B7954" s="31"/>
      <c r="C7954" s="2" t="s">
        <v>855</v>
      </c>
      <c r="D7954" s="31">
        <f t="shared" si="218"/>
        <v>7.475911364786733E-3</v>
      </c>
      <c r="F7954" s="2" t="s">
        <v>822</v>
      </c>
      <c r="G7954" s="23" t="s">
        <v>902</v>
      </c>
      <c r="H7954" s="2" t="s">
        <v>822</v>
      </c>
      <c r="J7954" s="31">
        <v>72.466003400000005</v>
      </c>
      <c r="K7954" s="31">
        <v>29.583999599999999</v>
      </c>
      <c r="L7954" s="31"/>
      <c r="M7954" s="31" t="s">
        <v>854</v>
      </c>
      <c r="N7954" s="6" t="s">
        <v>856</v>
      </c>
    </row>
    <row r="7955" spans="1:14" ht="15" customHeight="1" x14ac:dyDescent="0.2">
      <c r="A7955" s="31">
        <v>3.8127954355634687E-2</v>
      </c>
      <c r="B7955" s="31"/>
      <c r="C7955" s="2" t="s">
        <v>855</v>
      </c>
      <c r="D7955" s="31">
        <f t="shared" si="218"/>
        <v>7.4730790537043991E-3</v>
      </c>
      <c r="F7955" s="2" t="s">
        <v>822</v>
      </c>
      <c r="G7955" s="23" t="s">
        <v>902</v>
      </c>
      <c r="H7955" s="2" t="s">
        <v>822</v>
      </c>
      <c r="J7955" s="31">
        <v>74.804000900000005</v>
      </c>
      <c r="K7955" s="31">
        <v>5.5359997999999999</v>
      </c>
      <c r="L7955" s="31"/>
      <c r="M7955" s="31" t="s">
        <v>854</v>
      </c>
      <c r="N7955" s="6" t="s">
        <v>856</v>
      </c>
    </row>
    <row r="7956" spans="1:14" ht="15" customHeight="1" x14ac:dyDescent="0.2">
      <c r="A7956" s="31">
        <v>3.7992005430153498E-2</v>
      </c>
      <c r="B7956" s="31"/>
      <c r="C7956" s="2" t="s">
        <v>855</v>
      </c>
      <c r="D7956" s="31">
        <f t="shared" si="218"/>
        <v>7.4464330643100856E-3</v>
      </c>
      <c r="F7956" s="2" t="s">
        <v>822</v>
      </c>
      <c r="G7956" s="23" t="s">
        <v>902</v>
      </c>
      <c r="H7956" s="2" t="s">
        <v>822</v>
      </c>
      <c r="J7956" s="31">
        <v>72.126098600000006</v>
      </c>
      <c r="K7956" s="31">
        <v>11.5646</v>
      </c>
      <c r="L7956" s="31"/>
      <c r="M7956" s="31" t="s">
        <v>854</v>
      </c>
      <c r="N7956" s="6" t="s">
        <v>856</v>
      </c>
    </row>
    <row r="7957" spans="1:14" ht="15" customHeight="1" x14ac:dyDescent="0.2">
      <c r="A7957" s="31">
        <v>3.7902776715957417E-2</v>
      </c>
      <c r="B7957" s="31"/>
      <c r="C7957" s="2" t="s">
        <v>855</v>
      </c>
      <c r="D7957" s="31">
        <f t="shared" si="218"/>
        <v>7.4289442363276543E-3</v>
      </c>
      <c r="F7957" s="2" t="s">
        <v>822</v>
      </c>
      <c r="G7957" s="23" t="s">
        <v>902</v>
      </c>
      <c r="H7957" s="2" t="s">
        <v>822</v>
      </c>
      <c r="J7957" s="31">
        <v>71.463996899999998</v>
      </c>
      <c r="K7957" s="31">
        <v>-11.1639996</v>
      </c>
      <c r="L7957" s="31"/>
      <c r="M7957" s="31" t="s">
        <v>854</v>
      </c>
      <c r="N7957" s="6" t="s">
        <v>856</v>
      </c>
    </row>
    <row r="7958" spans="1:14" ht="15" customHeight="1" x14ac:dyDescent="0.2">
      <c r="A7958" s="31">
        <v>3.788541789782543E-2</v>
      </c>
      <c r="B7958" s="31"/>
      <c r="C7958" s="2" t="s">
        <v>855</v>
      </c>
      <c r="D7958" s="31">
        <f t="shared" si="218"/>
        <v>7.4255419079737846E-3</v>
      </c>
      <c r="F7958" s="2" t="s">
        <v>822</v>
      </c>
      <c r="G7958" s="23" t="s">
        <v>902</v>
      </c>
      <c r="H7958" s="2" t="s">
        <v>822</v>
      </c>
      <c r="J7958" s="31">
        <v>74.632003800000007</v>
      </c>
      <c r="K7958" s="31">
        <v>45.627300300000002</v>
      </c>
      <c r="L7958" s="31"/>
      <c r="M7958" s="31" t="s">
        <v>854</v>
      </c>
      <c r="N7958" s="6" t="s">
        <v>856</v>
      </c>
    </row>
    <row r="7959" spans="1:14" ht="15" customHeight="1" x14ac:dyDescent="0.2">
      <c r="A7959" s="31">
        <v>3.7870106452823987E-2</v>
      </c>
      <c r="B7959" s="31"/>
      <c r="C7959" s="2" t="s">
        <v>855</v>
      </c>
      <c r="D7959" s="31">
        <f t="shared" si="218"/>
        <v>7.4225408647535015E-3</v>
      </c>
      <c r="F7959" s="2" t="s">
        <v>822</v>
      </c>
      <c r="G7959" s="23" t="s">
        <v>902</v>
      </c>
      <c r="H7959" s="2" t="s">
        <v>822</v>
      </c>
      <c r="J7959" s="31">
        <v>70.795997600000007</v>
      </c>
      <c r="K7959" s="31">
        <v>49.624000500000001</v>
      </c>
      <c r="L7959" s="31"/>
      <c r="M7959" s="31" t="s">
        <v>854</v>
      </c>
      <c r="N7959" s="6" t="s">
        <v>856</v>
      </c>
    </row>
    <row r="7960" spans="1:14" ht="15" customHeight="1" x14ac:dyDescent="0.2">
      <c r="A7960" s="31">
        <v>3.7618550347364769E-2</v>
      </c>
      <c r="B7960" s="31"/>
      <c r="C7960" s="2" t="s">
        <v>855</v>
      </c>
      <c r="D7960" s="31">
        <f t="shared" si="218"/>
        <v>7.3732358680834954E-3</v>
      </c>
      <c r="F7960" s="2" t="s">
        <v>822</v>
      </c>
      <c r="G7960" s="23" t="s">
        <v>902</v>
      </c>
      <c r="H7960" s="2" t="s">
        <v>822</v>
      </c>
      <c r="J7960" s="31">
        <v>75.353301999999999</v>
      </c>
      <c r="K7960" s="31">
        <v>4.1981602000000002</v>
      </c>
      <c r="L7960" s="31"/>
      <c r="M7960" s="31" t="s">
        <v>854</v>
      </c>
      <c r="N7960" s="6" t="s">
        <v>856</v>
      </c>
    </row>
    <row r="7961" spans="1:14" ht="15" customHeight="1" x14ac:dyDescent="0.2">
      <c r="A7961" s="31">
        <v>3.7616509091951918E-2</v>
      </c>
      <c r="B7961" s="31"/>
      <c r="C7961" s="2" t="s">
        <v>855</v>
      </c>
      <c r="D7961" s="31">
        <f t="shared" si="218"/>
        <v>7.3728357820225764E-3</v>
      </c>
      <c r="F7961" s="2" t="s">
        <v>822</v>
      </c>
      <c r="G7961" s="23" t="s">
        <v>902</v>
      </c>
      <c r="H7961" s="2" t="s">
        <v>822</v>
      </c>
      <c r="J7961" s="31">
        <v>72.800003099999998</v>
      </c>
      <c r="K7961" s="31">
        <v>26.243999500000001</v>
      </c>
      <c r="L7961" s="31"/>
      <c r="M7961" s="31" t="s">
        <v>854</v>
      </c>
      <c r="N7961" s="6" t="s">
        <v>856</v>
      </c>
    </row>
    <row r="7962" spans="1:14" ht="15" customHeight="1" x14ac:dyDescent="0.2">
      <c r="A7962" s="31">
        <v>3.7459950758598898E-2</v>
      </c>
      <c r="B7962" s="31"/>
      <c r="C7962" s="2" t="s">
        <v>855</v>
      </c>
      <c r="D7962" s="31">
        <f t="shared" si="218"/>
        <v>7.3421503486853839E-3</v>
      </c>
      <c r="F7962" s="2" t="s">
        <v>822</v>
      </c>
      <c r="G7962" s="23" t="s">
        <v>902</v>
      </c>
      <c r="H7962" s="2" t="s">
        <v>822</v>
      </c>
      <c r="J7962" s="31">
        <v>72.800003099999998</v>
      </c>
      <c r="K7962" s="31">
        <v>32.256000499999999</v>
      </c>
      <c r="L7962" s="31"/>
      <c r="M7962" s="31" t="s">
        <v>854</v>
      </c>
      <c r="N7962" s="6" t="s">
        <v>856</v>
      </c>
    </row>
    <row r="7963" spans="1:14" ht="15" customHeight="1" x14ac:dyDescent="0.2">
      <c r="A7963" s="31">
        <v>3.7417942870356422E-2</v>
      </c>
      <c r="B7963" s="31"/>
      <c r="C7963" s="2" t="s">
        <v>855</v>
      </c>
      <c r="D7963" s="31">
        <f t="shared" si="218"/>
        <v>7.3339168025898585E-3</v>
      </c>
      <c r="F7963" s="2" t="s">
        <v>822</v>
      </c>
      <c r="G7963" s="23" t="s">
        <v>902</v>
      </c>
      <c r="H7963" s="2" t="s">
        <v>822</v>
      </c>
      <c r="J7963" s="31">
        <v>69.459999100000005</v>
      </c>
      <c r="K7963" s="31">
        <v>-13.8360004</v>
      </c>
      <c r="L7963" s="31"/>
      <c r="M7963" s="31" t="s">
        <v>854</v>
      </c>
      <c r="N7963" s="6" t="s">
        <v>856</v>
      </c>
    </row>
    <row r="7964" spans="1:14" ht="15" customHeight="1" x14ac:dyDescent="0.2">
      <c r="A7964" s="31">
        <v>3.7222877599312747E-2</v>
      </c>
      <c r="B7964" s="31"/>
      <c r="C7964" s="2" t="s">
        <v>855</v>
      </c>
      <c r="D7964" s="31">
        <f t="shared" si="218"/>
        <v>7.2956840094652985E-3</v>
      </c>
      <c r="F7964" s="2" t="s">
        <v>822</v>
      </c>
      <c r="G7964" s="23" t="s">
        <v>902</v>
      </c>
      <c r="H7964" s="2" t="s">
        <v>822</v>
      </c>
      <c r="J7964" s="31">
        <v>74.599296600000002</v>
      </c>
      <c r="K7964" s="31">
        <v>44.962200199999998</v>
      </c>
      <c r="L7964" s="31"/>
      <c r="M7964" s="31" t="s">
        <v>854</v>
      </c>
      <c r="N7964" s="6" t="s">
        <v>856</v>
      </c>
    </row>
    <row r="7965" spans="1:14" ht="15" customHeight="1" x14ac:dyDescent="0.2">
      <c r="A7965" s="31">
        <v>3.721832913556828E-2</v>
      </c>
      <c r="B7965" s="31"/>
      <c r="C7965" s="2" t="s">
        <v>855</v>
      </c>
      <c r="D7965" s="31">
        <f t="shared" si="218"/>
        <v>7.2947925105713834E-3</v>
      </c>
      <c r="F7965" s="2" t="s">
        <v>822</v>
      </c>
      <c r="G7965" s="23" t="s">
        <v>902</v>
      </c>
      <c r="H7965" s="2" t="s">
        <v>822</v>
      </c>
      <c r="J7965" s="31">
        <v>74.1360016</v>
      </c>
      <c r="K7965" s="31">
        <v>25.576000199999999</v>
      </c>
      <c r="L7965" s="31"/>
      <c r="M7965" s="31" t="s">
        <v>854</v>
      </c>
      <c r="N7965" s="6" t="s">
        <v>856</v>
      </c>
    </row>
    <row r="7966" spans="1:14" ht="15" customHeight="1" x14ac:dyDescent="0.2">
      <c r="A7966" s="31">
        <v>3.7160255840292353E-2</v>
      </c>
      <c r="B7966" s="31"/>
      <c r="C7966" s="2" t="s">
        <v>855</v>
      </c>
      <c r="D7966" s="31">
        <f t="shared" si="218"/>
        <v>7.2834101446973016E-3</v>
      </c>
      <c r="F7966" s="2" t="s">
        <v>822</v>
      </c>
      <c r="G7966" s="23" t="s">
        <v>902</v>
      </c>
      <c r="H7966" s="2" t="s">
        <v>822</v>
      </c>
      <c r="J7966" s="31">
        <v>67.456001299999997</v>
      </c>
      <c r="K7966" s="31">
        <v>-20.516000699999999</v>
      </c>
      <c r="L7966" s="31"/>
      <c r="M7966" s="31" t="s">
        <v>854</v>
      </c>
      <c r="N7966" s="6" t="s">
        <v>856</v>
      </c>
    </row>
    <row r="7967" spans="1:14" ht="15" customHeight="1" x14ac:dyDescent="0.2">
      <c r="A7967" s="31">
        <v>3.6981636332781682E-2</v>
      </c>
      <c r="B7967" s="31"/>
      <c r="C7967" s="2" t="s">
        <v>855</v>
      </c>
      <c r="D7967" s="31">
        <f t="shared" si="218"/>
        <v>7.2484007212252101E-3</v>
      </c>
      <c r="F7967" s="2" t="s">
        <v>822</v>
      </c>
      <c r="G7967" s="23" t="s">
        <v>902</v>
      </c>
      <c r="H7967" s="2" t="s">
        <v>822</v>
      </c>
      <c r="J7967" s="31">
        <v>72.132003800000007</v>
      </c>
      <c r="K7967" s="31">
        <v>-12.5</v>
      </c>
      <c r="L7967" s="31"/>
      <c r="M7967" s="31" t="s">
        <v>854</v>
      </c>
      <c r="N7967" s="6" t="s">
        <v>856</v>
      </c>
    </row>
    <row r="7968" spans="1:14" ht="15" customHeight="1" x14ac:dyDescent="0.2">
      <c r="A7968" s="31">
        <v>3.697209972320379E-2</v>
      </c>
      <c r="B7968" s="31"/>
      <c r="C7968" s="2" t="s">
        <v>855</v>
      </c>
      <c r="D7968" s="31">
        <f t="shared" si="218"/>
        <v>7.246531545747943E-3</v>
      </c>
      <c r="F7968" s="2" t="s">
        <v>822</v>
      </c>
      <c r="G7968" s="23" t="s">
        <v>902</v>
      </c>
      <c r="H7968" s="2" t="s">
        <v>822</v>
      </c>
      <c r="J7968" s="31">
        <v>70.091201799999993</v>
      </c>
      <c r="K7968" s="31">
        <v>-16.434099199999999</v>
      </c>
      <c r="L7968" s="31"/>
      <c r="M7968" s="31" t="s">
        <v>854</v>
      </c>
      <c r="N7968" s="6" t="s">
        <v>856</v>
      </c>
    </row>
    <row r="7969" spans="1:14" ht="15" customHeight="1" x14ac:dyDescent="0.2">
      <c r="A7969" s="31">
        <v>3.6874636026635037E-2</v>
      </c>
      <c r="B7969" s="31"/>
      <c r="C7969" s="2" t="s">
        <v>855</v>
      </c>
      <c r="D7969" s="31">
        <f t="shared" si="218"/>
        <v>7.2274286612204674E-3</v>
      </c>
      <c r="F7969" s="2" t="s">
        <v>822</v>
      </c>
      <c r="G7969" s="23" t="s">
        <v>902</v>
      </c>
      <c r="H7969" s="2" t="s">
        <v>822</v>
      </c>
      <c r="J7969" s="31">
        <v>74.1360016</v>
      </c>
      <c r="K7969" s="31">
        <v>16.892000199999998</v>
      </c>
      <c r="L7969" s="31"/>
      <c r="M7969" s="31" t="s">
        <v>854</v>
      </c>
      <c r="N7969" s="6" t="s">
        <v>856</v>
      </c>
    </row>
    <row r="7970" spans="1:14" ht="15" customHeight="1" x14ac:dyDescent="0.2">
      <c r="A7970" s="31">
        <v>3.6820755570833703E-2</v>
      </c>
      <c r="B7970" s="31"/>
      <c r="C7970" s="2" t="s">
        <v>855</v>
      </c>
      <c r="D7970" s="31">
        <f t="shared" si="218"/>
        <v>7.2168680918834058E-3</v>
      </c>
      <c r="F7970" s="2" t="s">
        <v>822</v>
      </c>
      <c r="G7970" s="23" t="s">
        <v>902</v>
      </c>
      <c r="H7970" s="2" t="s">
        <v>822</v>
      </c>
      <c r="J7970" s="31">
        <v>74.566703799999999</v>
      </c>
      <c r="K7970" s="31">
        <v>44.299098999999998</v>
      </c>
      <c r="L7970" s="31"/>
      <c r="M7970" s="31" t="s">
        <v>854</v>
      </c>
      <c r="N7970" s="6" t="s">
        <v>856</v>
      </c>
    </row>
    <row r="7971" spans="1:14" ht="15" customHeight="1" x14ac:dyDescent="0.2">
      <c r="A7971" s="31">
        <v>3.6819058112676592E-2</v>
      </c>
      <c r="B7971" s="31"/>
      <c r="C7971" s="2" t="s">
        <v>855</v>
      </c>
      <c r="D7971" s="31">
        <f t="shared" si="218"/>
        <v>7.2165353900846127E-3</v>
      </c>
      <c r="F7971" s="2" t="s">
        <v>822</v>
      </c>
      <c r="G7971" s="23" t="s">
        <v>902</v>
      </c>
      <c r="H7971" s="2" t="s">
        <v>822</v>
      </c>
      <c r="J7971" s="31">
        <v>74.804000900000005</v>
      </c>
      <c r="K7971" s="31">
        <v>0.86</v>
      </c>
      <c r="L7971" s="31"/>
      <c r="M7971" s="31" t="s">
        <v>854</v>
      </c>
      <c r="N7971" s="6" t="s">
        <v>856</v>
      </c>
    </row>
    <row r="7972" spans="1:14" ht="15" customHeight="1" x14ac:dyDescent="0.2">
      <c r="A7972" s="31">
        <v>3.6725897669929661E-2</v>
      </c>
      <c r="B7972" s="31"/>
      <c r="C7972" s="2" t="s">
        <v>855</v>
      </c>
      <c r="D7972" s="31">
        <f t="shared" si="218"/>
        <v>7.198275943306214E-3</v>
      </c>
      <c r="F7972" s="2" t="s">
        <v>822</v>
      </c>
      <c r="G7972" s="23" t="s">
        <v>902</v>
      </c>
      <c r="H7972" s="2" t="s">
        <v>822</v>
      </c>
      <c r="J7972" s="31">
        <v>71.240699800000002</v>
      </c>
      <c r="K7972" s="31">
        <v>34.148700699999999</v>
      </c>
      <c r="L7972" s="31"/>
      <c r="M7972" s="31" t="s">
        <v>854</v>
      </c>
      <c r="N7972" s="6" t="s">
        <v>856</v>
      </c>
    </row>
    <row r="7973" spans="1:14" ht="15" customHeight="1" x14ac:dyDescent="0.2">
      <c r="A7973" s="31">
        <v>3.6725362703019369E-2</v>
      </c>
      <c r="B7973" s="31"/>
      <c r="C7973" s="2" t="s">
        <v>855</v>
      </c>
      <c r="D7973" s="31">
        <f t="shared" si="218"/>
        <v>7.198171089791797E-3</v>
      </c>
      <c r="F7973" s="2" t="s">
        <v>822</v>
      </c>
      <c r="G7973" s="23" t="s">
        <v>902</v>
      </c>
      <c r="H7973" s="2" t="s">
        <v>822</v>
      </c>
      <c r="J7973" s="31">
        <v>74.804000900000005</v>
      </c>
      <c r="K7973" s="31">
        <v>6.2039999999999997</v>
      </c>
      <c r="L7973" s="31"/>
      <c r="M7973" s="31" t="s">
        <v>854</v>
      </c>
      <c r="N7973" s="6" t="s">
        <v>856</v>
      </c>
    </row>
    <row r="7974" spans="1:14" ht="15" customHeight="1" x14ac:dyDescent="0.2">
      <c r="A7974" s="31">
        <v>3.6715095587048253E-2</v>
      </c>
      <c r="B7974" s="31"/>
      <c r="C7974" s="2" t="s">
        <v>855</v>
      </c>
      <c r="D7974" s="31">
        <f t="shared" si="218"/>
        <v>7.1961587350614581E-3</v>
      </c>
      <c r="F7974" s="2" t="s">
        <v>822</v>
      </c>
      <c r="G7974" s="23" t="s">
        <v>902</v>
      </c>
      <c r="H7974" s="2" t="s">
        <v>822</v>
      </c>
      <c r="J7974" s="31">
        <v>73.467697099999995</v>
      </c>
      <c r="K7974" s="31">
        <v>18.2278004</v>
      </c>
      <c r="L7974" s="31"/>
      <c r="M7974" s="31" t="s">
        <v>854</v>
      </c>
      <c r="N7974" s="6" t="s">
        <v>856</v>
      </c>
    </row>
    <row r="7975" spans="1:14" ht="15" customHeight="1" x14ac:dyDescent="0.2">
      <c r="A7975" s="31">
        <v>3.6672050179730749E-2</v>
      </c>
      <c r="B7975" s="31"/>
      <c r="C7975" s="2" t="s">
        <v>855</v>
      </c>
      <c r="D7975" s="31">
        <f t="shared" si="218"/>
        <v>7.187721835227227E-3</v>
      </c>
      <c r="F7975" s="2" t="s">
        <v>822</v>
      </c>
      <c r="G7975" s="23" t="s">
        <v>902</v>
      </c>
      <c r="H7975" s="2" t="s">
        <v>822</v>
      </c>
      <c r="J7975" s="31">
        <v>74.804000900000005</v>
      </c>
      <c r="K7975" s="31">
        <v>4.1999997999999996</v>
      </c>
      <c r="L7975" s="31"/>
      <c r="M7975" s="31" t="s">
        <v>854</v>
      </c>
      <c r="N7975" s="6" t="s">
        <v>856</v>
      </c>
    </row>
    <row r="7976" spans="1:14" ht="15" customHeight="1" x14ac:dyDescent="0.2">
      <c r="A7976" s="31">
        <v>3.665306239094214E-2</v>
      </c>
      <c r="B7976" s="31"/>
      <c r="C7976" s="2" t="s">
        <v>855</v>
      </c>
      <c r="D7976" s="31">
        <f t="shared" si="218"/>
        <v>7.1840002286246594E-3</v>
      </c>
      <c r="F7976" s="2" t="s">
        <v>822</v>
      </c>
      <c r="G7976" s="23" t="s">
        <v>902</v>
      </c>
      <c r="H7976" s="2" t="s">
        <v>822</v>
      </c>
      <c r="J7976" s="31">
        <v>68.124000499999994</v>
      </c>
      <c r="K7976" s="31">
        <v>-15.171999899999999</v>
      </c>
      <c r="L7976" s="31"/>
      <c r="M7976" s="31" t="s">
        <v>854</v>
      </c>
      <c r="N7976" s="6" t="s">
        <v>856</v>
      </c>
    </row>
    <row r="7977" spans="1:14" ht="15" customHeight="1" x14ac:dyDescent="0.2">
      <c r="A7977" s="31">
        <v>3.6645119666876183E-2</v>
      </c>
      <c r="B7977" s="31"/>
      <c r="C7977" s="2" t="s">
        <v>855</v>
      </c>
      <c r="D7977" s="31">
        <f t="shared" si="218"/>
        <v>7.1824434547077326E-3</v>
      </c>
      <c r="F7977" s="2" t="s">
        <v>822</v>
      </c>
      <c r="G7977" s="23" t="s">
        <v>902</v>
      </c>
      <c r="H7977" s="2" t="s">
        <v>822</v>
      </c>
      <c r="J7977" s="31">
        <v>70.795997600000007</v>
      </c>
      <c r="K7977" s="31">
        <v>-15.171999899999999</v>
      </c>
      <c r="L7977" s="31"/>
      <c r="M7977" s="31" t="s">
        <v>854</v>
      </c>
      <c r="N7977" s="6" t="s">
        <v>856</v>
      </c>
    </row>
    <row r="7978" spans="1:14" ht="15" customHeight="1" x14ac:dyDescent="0.2">
      <c r="A7978" s="31">
        <v>3.6588795600369393E-2</v>
      </c>
      <c r="B7978" s="31"/>
      <c r="C7978" s="2" t="s">
        <v>855</v>
      </c>
      <c r="D7978" s="31">
        <f t="shared" si="218"/>
        <v>7.1714039376724013E-3</v>
      </c>
      <c r="F7978" s="2" t="s">
        <v>822</v>
      </c>
      <c r="G7978" s="23" t="s">
        <v>902</v>
      </c>
      <c r="H7978" s="2" t="s">
        <v>822</v>
      </c>
      <c r="J7978" s="31">
        <v>71.141601600000001</v>
      </c>
      <c r="K7978" s="31">
        <v>-17.176000599999998</v>
      </c>
      <c r="L7978" s="31"/>
      <c r="M7978" s="31" t="s">
        <v>854</v>
      </c>
      <c r="N7978" s="6" t="s">
        <v>856</v>
      </c>
    </row>
    <row r="7979" spans="1:14" ht="15" customHeight="1" x14ac:dyDescent="0.2">
      <c r="A7979" s="31">
        <v>3.6514677204495867E-2</v>
      </c>
      <c r="B7979" s="31"/>
      <c r="C7979" s="2" t="s">
        <v>855</v>
      </c>
      <c r="D7979" s="31">
        <f t="shared" si="218"/>
        <v>7.1568767320811903E-3</v>
      </c>
      <c r="F7979" s="2" t="s">
        <v>822</v>
      </c>
      <c r="G7979" s="23" t="s">
        <v>902</v>
      </c>
      <c r="H7979" s="2" t="s">
        <v>822</v>
      </c>
      <c r="J7979" s="31">
        <v>75.339103699999995</v>
      </c>
      <c r="K7979" s="31">
        <v>5.5340299999999996</v>
      </c>
      <c r="L7979" s="31"/>
      <c r="M7979" s="31" t="s">
        <v>854</v>
      </c>
      <c r="N7979" s="6" t="s">
        <v>856</v>
      </c>
    </row>
    <row r="7980" spans="1:14" ht="15" customHeight="1" x14ac:dyDescent="0.2">
      <c r="A7980" s="31">
        <v>3.6379200440794443E-2</v>
      </c>
      <c r="B7980" s="31"/>
      <c r="C7980" s="2" t="s">
        <v>855</v>
      </c>
      <c r="D7980" s="31">
        <f t="shared" si="218"/>
        <v>7.130323286395711E-3</v>
      </c>
      <c r="F7980" s="2" t="s">
        <v>822</v>
      </c>
      <c r="G7980" s="23" t="s">
        <v>902</v>
      </c>
      <c r="H7980" s="2" t="s">
        <v>822</v>
      </c>
      <c r="J7980" s="31">
        <v>69.459999100000005</v>
      </c>
      <c r="K7980" s="31">
        <v>2.1960001</v>
      </c>
      <c r="L7980" s="31"/>
      <c r="M7980" s="31" t="s">
        <v>854</v>
      </c>
      <c r="N7980" s="6" t="s">
        <v>856</v>
      </c>
    </row>
    <row r="7981" spans="1:14" ht="15" customHeight="1" x14ac:dyDescent="0.2">
      <c r="A7981" s="31">
        <v>3.635849428877632E-2</v>
      </c>
      <c r="B7981" s="31"/>
      <c r="C7981" s="2" t="s">
        <v>855</v>
      </c>
      <c r="D7981" s="31">
        <f t="shared" si="218"/>
        <v>7.126264880600159E-3</v>
      </c>
      <c r="F7981" s="2" t="s">
        <v>822</v>
      </c>
      <c r="G7981" s="23" t="s">
        <v>902</v>
      </c>
      <c r="H7981" s="2" t="s">
        <v>822</v>
      </c>
      <c r="J7981" s="31">
        <v>74.1360016</v>
      </c>
      <c r="K7981" s="31">
        <v>30.920000099999999</v>
      </c>
      <c r="L7981" s="31"/>
      <c r="M7981" s="31" t="s">
        <v>854</v>
      </c>
      <c r="N7981" s="6" t="s">
        <v>856</v>
      </c>
    </row>
    <row r="7982" spans="1:14" ht="15" customHeight="1" x14ac:dyDescent="0.2">
      <c r="A7982" s="31">
        <v>3.6245270283006809E-2</v>
      </c>
      <c r="B7982" s="31"/>
      <c r="C7982" s="2" t="s">
        <v>855</v>
      </c>
      <c r="D7982" s="31">
        <f t="shared" si="218"/>
        <v>7.104072975469335E-3</v>
      </c>
      <c r="F7982" s="2" t="s">
        <v>822</v>
      </c>
      <c r="G7982" s="23" t="s">
        <v>902</v>
      </c>
      <c r="H7982" s="2" t="s">
        <v>822</v>
      </c>
      <c r="J7982" s="31">
        <v>71.471099899999999</v>
      </c>
      <c r="K7982" s="31">
        <v>-7.8188199999999997</v>
      </c>
      <c r="L7982" s="31"/>
      <c r="M7982" s="31" t="s">
        <v>854</v>
      </c>
      <c r="N7982" s="6" t="s">
        <v>856</v>
      </c>
    </row>
    <row r="7983" spans="1:14" ht="15" customHeight="1" x14ac:dyDescent="0.2">
      <c r="A7983" s="31">
        <v>3.6173854280599438E-2</v>
      </c>
      <c r="B7983" s="31"/>
      <c r="C7983" s="2" t="s">
        <v>855</v>
      </c>
      <c r="D7983" s="31">
        <f t="shared" si="218"/>
        <v>7.0900754389974898E-3</v>
      </c>
      <c r="F7983" s="2" t="s">
        <v>822</v>
      </c>
      <c r="G7983" s="23" t="s">
        <v>902</v>
      </c>
      <c r="H7983" s="2" t="s">
        <v>822</v>
      </c>
      <c r="J7983" s="31">
        <v>72.132003800000007</v>
      </c>
      <c r="K7983" s="31">
        <v>-9.8280001000000006</v>
      </c>
      <c r="L7983" s="31"/>
      <c r="M7983" s="31" t="s">
        <v>854</v>
      </c>
      <c r="N7983" s="6" t="s">
        <v>856</v>
      </c>
    </row>
    <row r="7984" spans="1:14" ht="15" customHeight="1" x14ac:dyDescent="0.2">
      <c r="A7984" s="2">
        <v>82</v>
      </c>
      <c r="C7984" s="2" t="s">
        <v>174</v>
      </c>
      <c r="D7984" s="2">
        <f>A7984* 0.0000864</f>
        <v>7.0847999999999996E-3</v>
      </c>
      <c r="F7984" s="2" t="s">
        <v>175</v>
      </c>
      <c r="G7984" s="2" t="s">
        <v>903</v>
      </c>
      <c r="H7984" s="2" t="s">
        <v>822</v>
      </c>
      <c r="I7984" s="2" t="s">
        <v>178</v>
      </c>
      <c r="J7984" s="2">
        <v>54.05</v>
      </c>
      <c r="K7984" s="2">
        <v>13.75</v>
      </c>
      <c r="L7984" s="2" t="s">
        <v>28</v>
      </c>
      <c r="M7984" s="2" t="s">
        <v>813</v>
      </c>
      <c r="N7984" s="6" t="s">
        <v>861</v>
      </c>
    </row>
    <row r="7985" spans="1:14" ht="15" customHeight="1" x14ac:dyDescent="0.2">
      <c r="A7985" s="31">
        <v>3.6126185831066852E-2</v>
      </c>
      <c r="B7985" s="31"/>
      <c r="C7985" s="2" t="s">
        <v>855</v>
      </c>
      <c r="D7985" s="31">
        <f t="shared" ref="D7985:D8016" si="219" xml:space="preserve"> A7985 * 0.196</f>
        <v>7.0807324228891032E-3</v>
      </c>
      <c r="F7985" s="2" t="s">
        <v>822</v>
      </c>
      <c r="G7985" s="23" t="s">
        <v>902</v>
      </c>
      <c r="H7985" s="2" t="s">
        <v>822</v>
      </c>
      <c r="J7985" s="31">
        <v>69.459999100000005</v>
      </c>
      <c r="K7985" s="31">
        <v>-2.48</v>
      </c>
      <c r="L7985" s="31"/>
      <c r="M7985" s="31" t="s">
        <v>854</v>
      </c>
      <c r="N7985" s="6" t="s">
        <v>856</v>
      </c>
    </row>
    <row r="7986" spans="1:14" ht="15" customHeight="1" x14ac:dyDescent="0.2">
      <c r="A7986" s="31">
        <v>3.6095140725121093E-2</v>
      </c>
      <c r="B7986" s="31"/>
      <c r="C7986" s="2" t="s">
        <v>855</v>
      </c>
      <c r="D7986" s="31">
        <f t="shared" si="219"/>
        <v>7.0746475821237345E-3</v>
      </c>
      <c r="F7986" s="2" t="s">
        <v>822</v>
      </c>
      <c r="G7986" s="23" t="s">
        <v>902</v>
      </c>
      <c r="H7986" s="2" t="s">
        <v>822</v>
      </c>
      <c r="J7986" s="31">
        <v>70.122703599999994</v>
      </c>
      <c r="K7986" s="31">
        <v>34.915698999999996</v>
      </c>
      <c r="L7986" s="31"/>
      <c r="M7986" s="31" t="s">
        <v>854</v>
      </c>
      <c r="N7986" s="6" t="s">
        <v>856</v>
      </c>
    </row>
    <row r="7987" spans="1:14" ht="15" customHeight="1" x14ac:dyDescent="0.2">
      <c r="A7987" s="31">
        <v>3.6031810320999919E-2</v>
      </c>
      <c r="B7987" s="31"/>
      <c r="C7987" s="2" t="s">
        <v>855</v>
      </c>
      <c r="D7987" s="31">
        <f t="shared" si="219"/>
        <v>7.0622348229159842E-3</v>
      </c>
      <c r="F7987" s="2" t="s">
        <v>822</v>
      </c>
      <c r="G7987" s="23" t="s">
        <v>902</v>
      </c>
      <c r="H7987" s="2" t="s">
        <v>822</v>
      </c>
      <c r="J7987" s="31">
        <v>74.1360016</v>
      </c>
      <c r="K7987" s="31">
        <v>5.5359997999999999</v>
      </c>
      <c r="L7987" s="31"/>
      <c r="M7987" s="31" t="s">
        <v>854</v>
      </c>
      <c r="N7987" s="6" t="s">
        <v>856</v>
      </c>
    </row>
    <row r="7988" spans="1:14" ht="15" customHeight="1" x14ac:dyDescent="0.2">
      <c r="A7988" s="31">
        <v>3.5936511105115553E-2</v>
      </c>
      <c r="B7988" s="31"/>
      <c r="C7988" s="2" t="s">
        <v>855</v>
      </c>
      <c r="D7988" s="31">
        <f t="shared" si="219"/>
        <v>7.0435561766026486E-3</v>
      </c>
      <c r="F7988" s="2" t="s">
        <v>822</v>
      </c>
      <c r="G7988" s="23" t="s">
        <v>902</v>
      </c>
      <c r="H7988" s="2" t="s">
        <v>822</v>
      </c>
      <c r="J7988" s="31">
        <v>72.132003800000007</v>
      </c>
      <c r="K7988" s="31">
        <v>22.236000099999998</v>
      </c>
      <c r="L7988" s="31"/>
      <c r="M7988" s="31" t="s">
        <v>854</v>
      </c>
      <c r="N7988" s="6" t="s">
        <v>856</v>
      </c>
    </row>
    <row r="7989" spans="1:14" ht="15" customHeight="1" x14ac:dyDescent="0.2">
      <c r="A7989" s="31">
        <v>3.587236988307179E-2</v>
      </c>
      <c r="B7989" s="31"/>
      <c r="C7989" s="2" t="s">
        <v>855</v>
      </c>
      <c r="D7989" s="31">
        <f t="shared" si="219"/>
        <v>7.0309844970820714E-3</v>
      </c>
      <c r="F7989" s="2" t="s">
        <v>822</v>
      </c>
      <c r="G7989" s="23" t="s">
        <v>902</v>
      </c>
      <c r="H7989" s="2" t="s">
        <v>822</v>
      </c>
      <c r="J7989" s="31">
        <v>72.132003800000007</v>
      </c>
      <c r="K7989" s="31">
        <v>30.920000099999999</v>
      </c>
      <c r="L7989" s="31"/>
      <c r="M7989" s="31" t="s">
        <v>854</v>
      </c>
      <c r="N7989" s="6" t="s">
        <v>856</v>
      </c>
    </row>
    <row r="7990" spans="1:14" ht="15" customHeight="1" x14ac:dyDescent="0.2">
      <c r="A7990" s="31">
        <v>3.5841899497506803E-2</v>
      </c>
      <c r="B7990" s="31"/>
      <c r="C7990" s="2" t="s">
        <v>855</v>
      </c>
      <c r="D7990" s="31">
        <f t="shared" si="219"/>
        <v>7.0250123015113339E-3</v>
      </c>
      <c r="F7990" s="2" t="s">
        <v>822</v>
      </c>
      <c r="G7990" s="23" t="s">
        <v>902</v>
      </c>
      <c r="H7990" s="2" t="s">
        <v>822</v>
      </c>
      <c r="J7990" s="31">
        <v>73.468002299999995</v>
      </c>
      <c r="K7990" s="31">
        <v>-0.47599999999999998</v>
      </c>
      <c r="L7990" s="31"/>
      <c r="M7990" s="31" t="s">
        <v>854</v>
      </c>
      <c r="N7990" s="6" t="s">
        <v>856</v>
      </c>
    </row>
    <row r="7991" spans="1:14" ht="15" customHeight="1" x14ac:dyDescent="0.2">
      <c r="A7991" s="31">
        <v>3.5825370325267093E-2</v>
      </c>
      <c r="B7991" s="31"/>
      <c r="C7991" s="2" t="s">
        <v>855</v>
      </c>
      <c r="D7991" s="31">
        <f t="shared" si="219"/>
        <v>7.0217725837523502E-3</v>
      </c>
      <c r="F7991" s="2" t="s">
        <v>822</v>
      </c>
      <c r="G7991" s="23" t="s">
        <v>902</v>
      </c>
      <c r="H7991" s="2" t="s">
        <v>822</v>
      </c>
      <c r="J7991" s="31">
        <v>71.463996899999998</v>
      </c>
      <c r="K7991" s="31">
        <v>27.579999900000001</v>
      </c>
      <c r="L7991" s="31"/>
      <c r="M7991" s="31" t="s">
        <v>854</v>
      </c>
      <c r="N7991" s="6" t="s">
        <v>856</v>
      </c>
    </row>
    <row r="7992" spans="1:14" ht="15" customHeight="1" x14ac:dyDescent="0.2">
      <c r="A7992" s="31">
        <v>3.5798909910133063E-2</v>
      </c>
      <c r="B7992" s="31"/>
      <c r="C7992" s="2" t="s">
        <v>855</v>
      </c>
      <c r="D7992" s="31">
        <f t="shared" si="219"/>
        <v>7.0165863423860804E-3</v>
      </c>
      <c r="F7992" s="2" t="s">
        <v>822</v>
      </c>
      <c r="G7992" s="23" t="s">
        <v>902</v>
      </c>
      <c r="H7992" s="2" t="s">
        <v>822</v>
      </c>
      <c r="J7992" s="31">
        <v>72.132003800000007</v>
      </c>
      <c r="K7992" s="31">
        <v>20.2320004</v>
      </c>
      <c r="L7992" s="31"/>
      <c r="M7992" s="31" t="s">
        <v>854</v>
      </c>
      <c r="N7992" s="6" t="s">
        <v>856</v>
      </c>
    </row>
    <row r="7993" spans="1:14" ht="15" customHeight="1" x14ac:dyDescent="0.2">
      <c r="A7993" s="31">
        <v>3.5785350552166667E-2</v>
      </c>
      <c r="B7993" s="31"/>
      <c r="C7993" s="2" t="s">
        <v>855</v>
      </c>
      <c r="D7993" s="31">
        <f t="shared" si="219"/>
        <v>7.0139287082246673E-3</v>
      </c>
      <c r="F7993" s="2" t="s">
        <v>822</v>
      </c>
      <c r="G7993" s="23" t="s">
        <v>902</v>
      </c>
      <c r="H7993" s="2" t="s">
        <v>822</v>
      </c>
      <c r="J7993" s="31">
        <v>73.468002299999995</v>
      </c>
      <c r="K7993" s="31">
        <v>23.572000500000001</v>
      </c>
      <c r="L7993" s="31"/>
      <c r="M7993" s="31" t="s">
        <v>854</v>
      </c>
      <c r="N7993" s="6" t="s">
        <v>856</v>
      </c>
    </row>
    <row r="7994" spans="1:14" ht="15" customHeight="1" x14ac:dyDescent="0.2">
      <c r="A7994" s="31">
        <v>3.5659831242700238E-2</v>
      </c>
      <c r="B7994" s="31"/>
      <c r="C7994" s="2" t="s">
        <v>855</v>
      </c>
      <c r="D7994" s="31">
        <f t="shared" si="219"/>
        <v>6.9893269235692468E-3</v>
      </c>
      <c r="F7994" s="2" t="s">
        <v>822</v>
      </c>
      <c r="G7994" s="23" t="s">
        <v>902</v>
      </c>
      <c r="H7994" s="2" t="s">
        <v>822</v>
      </c>
      <c r="J7994" s="31">
        <v>71.292396499999995</v>
      </c>
      <c r="K7994" s="31">
        <v>31.839799899999999</v>
      </c>
      <c r="L7994" s="31"/>
      <c r="M7994" s="31" t="s">
        <v>854</v>
      </c>
      <c r="N7994" s="6" t="s">
        <v>856</v>
      </c>
    </row>
    <row r="7995" spans="1:14" ht="15" customHeight="1" x14ac:dyDescent="0.2">
      <c r="A7995" s="31">
        <v>3.5502439713720593E-2</v>
      </c>
      <c r="B7995" s="31"/>
      <c r="C7995" s="2" t="s">
        <v>855</v>
      </c>
      <c r="D7995" s="31">
        <f t="shared" si="219"/>
        <v>6.9584781838892369E-3</v>
      </c>
      <c r="F7995" s="2" t="s">
        <v>822</v>
      </c>
      <c r="G7995" s="23" t="s">
        <v>902</v>
      </c>
      <c r="H7995" s="2" t="s">
        <v>822</v>
      </c>
      <c r="J7995" s="31">
        <v>73.468002299999995</v>
      </c>
      <c r="K7995" s="31">
        <v>28.247999199999999</v>
      </c>
      <c r="L7995" s="31"/>
      <c r="M7995" s="31" t="s">
        <v>854</v>
      </c>
      <c r="N7995" s="6" t="s">
        <v>856</v>
      </c>
    </row>
    <row r="7996" spans="1:14" ht="15" customHeight="1" x14ac:dyDescent="0.2">
      <c r="A7996" s="31">
        <v>3.5488752739623958E-2</v>
      </c>
      <c r="B7996" s="31"/>
      <c r="C7996" s="2" t="s">
        <v>855</v>
      </c>
      <c r="D7996" s="31">
        <f t="shared" si="219"/>
        <v>6.9557955369662959E-3</v>
      </c>
      <c r="F7996" s="2" t="s">
        <v>822</v>
      </c>
      <c r="G7996" s="23" t="s">
        <v>902</v>
      </c>
      <c r="H7996" s="2" t="s">
        <v>822</v>
      </c>
      <c r="J7996" s="31">
        <v>75.215896599999994</v>
      </c>
      <c r="K7996" s="31">
        <v>16.8714008</v>
      </c>
      <c r="L7996" s="31"/>
      <c r="M7996" s="31" t="s">
        <v>854</v>
      </c>
      <c r="N7996" s="6" t="s">
        <v>856</v>
      </c>
    </row>
    <row r="7997" spans="1:14" ht="15" customHeight="1" x14ac:dyDescent="0.2">
      <c r="A7997" s="31">
        <v>3.5439649744642837E-2</v>
      </c>
      <c r="B7997" s="31"/>
      <c r="C7997" s="2" t="s">
        <v>855</v>
      </c>
      <c r="D7997" s="31">
        <f t="shared" si="219"/>
        <v>6.9461713499499962E-3</v>
      </c>
      <c r="F7997" s="2" t="s">
        <v>822</v>
      </c>
      <c r="G7997" s="23" t="s">
        <v>902</v>
      </c>
      <c r="H7997" s="2" t="s">
        <v>822</v>
      </c>
      <c r="J7997" s="31">
        <v>74.479301500000005</v>
      </c>
      <c r="K7997" s="31">
        <v>42.499099700000002</v>
      </c>
      <c r="L7997" s="31"/>
      <c r="M7997" s="31" t="s">
        <v>854</v>
      </c>
      <c r="N7997" s="6" t="s">
        <v>856</v>
      </c>
    </row>
    <row r="7998" spans="1:14" ht="15" customHeight="1" x14ac:dyDescent="0.2">
      <c r="A7998" s="31">
        <v>3.5433741254969363E-2</v>
      </c>
      <c r="B7998" s="31"/>
      <c r="C7998" s="2" t="s">
        <v>855</v>
      </c>
      <c r="D7998" s="31">
        <f t="shared" si="219"/>
        <v>6.9450132859739952E-3</v>
      </c>
      <c r="F7998" s="2" t="s">
        <v>822</v>
      </c>
      <c r="G7998" s="23" t="s">
        <v>902</v>
      </c>
      <c r="H7998" s="2" t="s">
        <v>822</v>
      </c>
      <c r="J7998" s="31">
        <v>73.468002299999995</v>
      </c>
      <c r="K7998" s="31">
        <v>2.1960001</v>
      </c>
      <c r="L7998" s="31"/>
      <c r="M7998" s="31" t="s">
        <v>854</v>
      </c>
      <c r="N7998" s="6" t="s">
        <v>856</v>
      </c>
    </row>
    <row r="7999" spans="1:14" ht="15" customHeight="1" x14ac:dyDescent="0.2">
      <c r="A7999" s="31">
        <v>3.5417482281585817E-2</v>
      </c>
      <c r="B7999" s="31"/>
      <c r="C7999" s="2" t="s">
        <v>855</v>
      </c>
      <c r="D7999" s="31">
        <f t="shared" si="219"/>
        <v>6.9418265271908204E-3</v>
      </c>
      <c r="F7999" s="2" t="s">
        <v>822</v>
      </c>
      <c r="G7999" s="23" t="s">
        <v>902</v>
      </c>
      <c r="H7999" s="2" t="s">
        <v>822</v>
      </c>
      <c r="J7999" s="31">
        <v>67.596603400000006</v>
      </c>
      <c r="K7999" s="31">
        <v>-24.3512001</v>
      </c>
      <c r="L7999" s="31"/>
      <c r="M7999" s="31" t="s">
        <v>854</v>
      </c>
      <c r="N7999" s="6" t="s">
        <v>856</v>
      </c>
    </row>
    <row r="8000" spans="1:14" ht="15" customHeight="1" x14ac:dyDescent="0.2">
      <c r="A8000" s="31">
        <v>3.5414469065340431E-2</v>
      </c>
      <c r="B8000" s="31"/>
      <c r="C8000" s="2" t="s">
        <v>855</v>
      </c>
      <c r="D8000" s="31">
        <f t="shared" si="219"/>
        <v>6.9412359368067247E-3</v>
      </c>
      <c r="F8000" s="2" t="s">
        <v>822</v>
      </c>
      <c r="G8000" s="23" t="s">
        <v>902</v>
      </c>
      <c r="H8000" s="2" t="s">
        <v>822</v>
      </c>
      <c r="J8000" s="31">
        <v>70.081001299999997</v>
      </c>
      <c r="K8000" s="31">
        <v>30.434000000000001</v>
      </c>
      <c r="L8000" s="31"/>
      <c r="M8000" s="31" t="s">
        <v>854</v>
      </c>
      <c r="N8000" s="6" t="s">
        <v>856</v>
      </c>
    </row>
    <row r="8001" spans="1:14" ht="15" customHeight="1" x14ac:dyDescent="0.2">
      <c r="A8001" s="31">
        <v>3.5401317896010948E-2</v>
      </c>
      <c r="B8001" s="31"/>
      <c r="C8001" s="2" t="s">
        <v>855</v>
      </c>
      <c r="D8001" s="31">
        <f t="shared" si="219"/>
        <v>6.9386583076181457E-3</v>
      </c>
      <c r="F8001" s="2" t="s">
        <v>822</v>
      </c>
      <c r="G8001" s="23" t="s">
        <v>902</v>
      </c>
      <c r="H8001" s="2" t="s">
        <v>822</v>
      </c>
      <c r="J8001" s="31">
        <v>67.433700599999995</v>
      </c>
      <c r="K8001" s="31">
        <v>-3.9143800999999998</v>
      </c>
      <c r="L8001" s="31"/>
      <c r="M8001" s="31" t="s">
        <v>854</v>
      </c>
      <c r="N8001" s="6" t="s">
        <v>856</v>
      </c>
    </row>
    <row r="8002" spans="1:14" ht="15" customHeight="1" x14ac:dyDescent="0.2">
      <c r="A8002" s="31">
        <v>3.5392788590902731E-2</v>
      </c>
      <c r="B8002" s="31"/>
      <c r="C8002" s="2" t="s">
        <v>855</v>
      </c>
      <c r="D8002" s="31">
        <f t="shared" si="219"/>
        <v>6.9369865638169359E-3</v>
      </c>
      <c r="F8002" s="2" t="s">
        <v>822</v>
      </c>
      <c r="G8002" s="23" t="s">
        <v>902</v>
      </c>
      <c r="H8002" s="2" t="s">
        <v>822</v>
      </c>
      <c r="J8002" s="31">
        <v>74.1360016</v>
      </c>
      <c r="K8002" s="31">
        <v>26.9120007</v>
      </c>
      <c r="L8002" s="31"/>
      <c r="M8002" s="31" t="s">
        <v>854</v>
      </c>
      <c r="N8002" s="6" t="s">
        <v>856</v>
      </c>
    </row>
    <row r="8003" spans="1:14" ht="15" customHeight="1" x14ac:dyDescent="0.2">
      <c r="A8003" s="31">
        <v>3.5378858195993852E-2</v>
      </c>
      <c r="B8003" s="31"/>
      <c r="C8003" s="2" t="s">
        <v>855</v>
      </c>
      <c r="D8003" s="31">
        <f t="shared" si="219"/>
        <v>6.9342562064147956E-3</v>
      </c>
      <c r="F8003" s="2" t="s">
        <v>822</v>
      </c>
      <c r="G8003" s="23" t="s">
        <v>902</v>
      </c>
      <c r="H8003" s="2" t="s">
        <v>822</v>
      </c>
      <c r="J8003" s="31">
        <v>69.459999100000005</v>
      </c>
      <c r="K8003" s="31">
        <v>-3.8159999999999998</v>
      </c>
      <c r="L8003" s="31"/>
      <c r="M8003" s="31" t="s">
        <v>854</v>
      </c>
      <c r="N8003" s="6" t="s">
        <v>856</v>
      </c>
    </row>
    <row r="8004" spans="1:14" ht="15" customHeight="1" x14ac:dyDescent="0.2">
      <c r="A8004" s="31">
        <v>3.5342212666231818E-2</v>
      </c>
      <c r="B8004" s="31"/>
      <c r="C8004" s="2" t="s">
        <v>855</v>
      </c>
      <c r="D8004" s="31">
        <f t="shared" si="219"/>
        <v>6.9270736825814364E-3</v>
      </c>
      <c r="F8004" s="2" t="s">
        <v>822</v>
      </c>
      <c r="G8004" s="23" t="s">
        <v>902</v>
      </c>
      <c r="H8004" s="2" t="s">
        <v>822</v>
      </c>
      <c r="J8004" s="31">
        <v>73.468002299999995</v>
      </c>
      <c r="K8004" s="31">
        <v>0.192</v>
      </c>
      <c r="L8004" s="31"/>
      <c r="M8004" s="31" t="s">
        <v>854</v>
      </c>
      <c r="N8004" s="6" t="s">
        <v>856</v>
      </c>
    </row>
    <row r="8005" spans="1:14" ht="15" customHeight="1" x14ac:dyDescent="0.2">
      <c r="A8005" s="31">
        <v>3.5246015978417977E-2</v>
      </c>
      <c r="B8005" s="31"/>
      <c r="C8005" s="2" t="s">
        <v>855</v>
      </c>
      <c r="D8005" s="31">
        <f t="shared" si="219"/>
        <v>6.9082191317699241E-3</v>
      </c>
      <c r="F8005" s="2" t="s">
        <v>822</v>
      </c>
      <c r="G8005" s="23" t="s">
        <v>902</v>
      </c>
      <c r="H8005" s="2" t="s">
        <v>822</v>
      </c>
      <c r="J8005" s="31">
        <v>60.776001000000001</v>
      </c>
      <c r="K8005" s="31">
        <v>-41.223998999999999</v>
      </c>
      <c r="L8005" s="31"/>
      <c r="M8005" s="31" t="s">
        <v>854</v>
      </c>
      <c r="N8005" s="6" t="s">
        <v>856</v>
      </c>
    </row>
    <row r="8006" spans="1:14" ht="15" customHeight="1" x14ac:dyDescent="0.2">
      <c r="A8006" s="31">
        <v>3.5207830840439179E-2</v>
      </c>
      <c r="B8006" s="31"/>
      <c r="C8006" s="2" t="s">
        <v>855</v>
      </c>
      <c r="D8006" s="31">
        <f t="shared" si="219"/>
        <v>6.9007348447260794E-3</v>
      </c>
      <c r="F8006" s="2" t="s">
        <v>822</v>
      </c>
      <c r="G8006" s="23" t="s">
        <v>902</v>
      </c>
      <c r="H8006" s="2" t="s">
        <v>822</v>
      </c>
      <c r="J8006" s="31">
        <v>69.389602699999998</v>
      </c>
      <c r="K8006" s="31">
        <v>46.302799200000003</v>
      </c>
      <c r="L8006" s="31"/>
      <c r="M8006" s="31" t="s">
        <v>854</v>
      </c>
      <c r="N8006" s="6" t="s">
        <v>856</v>
      </c>
    </row>
    <row r="8007" spans="1:14" ht="15" customHeight="1" x14ac:dyDescent="0.2">
      <c r="A8007" s="31">
        <v>3.5129893895189862E-2</v>
      </c>
      <c r="B8007" s="31"/>
      <c r="C8007" s="2" t="s">
        <v>855</v>
      </c>
      <c r="D8007" s="31">
        <f t="shared" si="219"/>
        <v>6.8854592034572129E-3</v>
      </c>
      <c r="F8007" s="2" t="s">
        <v>822</v>
      </c>
      <c r="G8007" s="23" t="s">
        <v>902</v>
      </c>
      <c r="H8007" s="2" t="s">
        <v>822</v>
      </c>
      <c r="J8007" s="31">
        <v>68.716301000000001</v>
      </c>
      <c r="K8007" s="31">
        <v>-6.4508900999999996</v>
      </c>
      <c r="L8007" s="31"/>
      <c r="M8007" s="31" t="s">
        <v>854</v>
      </c>
      <c r="N8007" s="6" t="s">
        <v>856</v>
      </c>
    </row>
    <row r="8008" spans="1:14" ht="15" customHeight="1" x14ac:dyDescent="0.2">
      <c r="A8008" s="31">
        <v>3.5095356991652227E-2</v>
      </c>
      <c r="B8008" s="31"/>
      <c r="C8008" s="2" t="s">
        <v>855</v>
      </c>
      <c r="D8008" s="31">
        <f t="shared" si="219"/>
        <v>6.8786899703638365E-3</v>
      </c>
      <c r="F8008" s="2" t="s">
        <v>822</v>
      </c>
      <c r="G8008" s="23" t="s">
        <v>902</v>
      </c>
      <c r="H8008" s="2" t="s">
        <v>822</v>
      </c>
      <c r="J8008" s="31">
        <v>70.437599199999994</v>
      </c>
      <c r="K8008" s="31">
        <v>48.609901399999998</v>
      </c>
      <c r="L8008" s="31"/>
      <c r="M8008" s="31" t="s">
        <v>854</v>
      </c>
      <c r="N8008" s="6" t="s">
        <v>856</v>
      </c>
    </row>
    <row r="8009" spans="1:14" ht="15" customHeight="1" x14ac:dyDescent="0.2">
      <c r="A8009" s="31">
        <v>3.4988393830664752E-2</v>
      </c>
      <c r="B8009" s="31"/>
      <c r="C8009" s="2" t="s">
        <v>855</v>
      </c>
      <c r="D8009" s="31">
        <f t="shared" si="219"/>
        <v>6.8577251908102915E-3</v>
      </c>
      <c r="F8009" s="2" t="s">
        <v>822</v>
      </c>
      <c r="G8009" s="23" t="s">
        <v>902</v>
      </c>
      <c r="H8009" s="2" t="s">
        <v>822</v>
      </c>
      <c r="J8009" s="31">
        <v>73.468002299999995</v>
      </c>
      <c r="K8009" s="31">
        <v>44.948001900000001</v>
      </c>
      <c r="L8009" s="31"/>
      <c r="M8009" s="31" t="s">
        <v>854</v>
      </c>
      <c r="N8009" s="6" t="s">
        <v>856</v>
      </c>
    </row>
    <row r="8010" spans="1:14" ht="15" customHeight="1" x14ac:dyDescent="0.2">
      <c r="A8010" s="31">
        <v>3.4977021799924769E-2</v>
      </c>
      <c r="B8010" s="31"/>
      <c r="C8010" s="2" t="s">
        <v>855</v>
      </c>
      <c r="D8010" s="31">
        <f t="shared" si="219"/>
        <v>6.8554962727852553E-3</v>
      </c>
      <c r="F8010" s="2" t="s">
        <v>822</v>
      </c>
      <c r="G8010" s="23" t="s">
        <v>902</v>
      </c>
      <c r="H8010" s="2" t="s">
        <v>822</v>
      </c>
      <c r="J8010" s="31">
        <v>70.506797800000001</v>
      </c>
      <c r="K8010" s="31">
        <v>34.746601099999999</v>
      </c>
      <c r="L8010" s="31"/>
      <c r="M8010" s="31" t="s">
        <v>854</v>
      </c>
      <c r="N8010" s="6" t="s">
        <v>856</v>
      </c>
    </row>
    <row r="8011" spans="1:14" ht="15" customHeight="1" x14ac:dyDescent="0.2">
      <c r="A8011" s="31">
        <v>3.4699359606039683E-2</v>
      </c>
      <c r="B8011" s="31"/>
      <c r="C8011" s="2" t="s">
        <v>855</v>
      </c>
      <c r="D8011" s="31">
        <f t="shared" si="219"/>
        <v>6.8010744827837781E-3</v>
      </c>
      <c r="F8011" s="2" t="s">
        <v>822</v>
      </c>
      <c r="G8011" s="23" t="s">
        <v>902</v>
      </c>
      <c r="H8011" s="2" t="s">
        <v>822</v>
      </c>
      <c r="J8011" s="31">
        <v>72.132003800000007</v>
      </c>
      <c r="K8011" s="31">
        <v>-3.8159999999999998</v>
      </c>
      <c r="L8011" s="31"/>
      <c r="M8011" s="31" t="s">
        <v>854</v>
      </c>
      <c r="N8011" s="6" t="s">
        <v>856</v>
      </c>
    </row>
    <row r="8012" spans="1:14" ht="15" customHeight="1" x14ac:dyDescent="0.2">
      <c r="A8012" s="31">
        <v>3.4655641199103651E-2</v>
      </c>
      <c r="B8012" s="31"/>
      <c r="C8012" s="2" t="s">
        <v>855</v>
      </c>
      <c r="D8012" s="31">
        <f t="shared" si="219"/>
        <v>6.7925056750243159E-3</v>
      </c>
      <c r="F8012" s="2" t="s">
        <v>822</v>
      </c>
      <c r="G8012" s="23" t="s">
        <v>902</v>
      </c>
      <c r="H8012" s="2" t="s">
        <v>822</v>
      </c>
      <c r="J8012" s="31">
        <v>72.132003800000007</v>
      </c>
      <c r="K8012" s="31">
        <v>49.624000500000001</v>
      </c>
      <c r="L8012" s="31"/>
      <c r="M8012" s="31" t="s">
        <v>854</v>
      </c>
      <c r="N8012" s="6" t="s">
        <v>856</v>
      </c>
    </row>
    <row r="8013" spans="1:14" ht="15" customHeight="1" x14ac:dyDescent="0.2">
      <c r="A8013" s="31">
        <v>3.4538844403194893E-2</v>
      </c>
      <c r="B8013" s="31"/>
      <c r="C8013" s="2" t="s">
        <v>855</v>
      </c>
      <c r="D8013" s="31">
        <f t="shared" si="219"/>
        <v>6.7696135030261995E-3</v>
      </c>
      <c r="F8013" s="2" t="s">
        <v>822</v>
      </c>
      <c r="G8013" s="23" t="s">
        <v>902</v>
      </c>
      <c r="H8013" s="2" t="s">
        <v>822</v>
      </c>
      <c r="J8013" s="31">
        <v>68.124000499999994</v>
      </c>
      <c r="K8013" s="31">
        <v>-7.1560001</v>
      </c>
      <c r="L8013" s="31"/>
      <c r="M8013" s="31" t="s">
        <v>854</v>
      </c>
      <c r="N8013" s="6" t="s">
        <v>856</v>
      </c>
    </row>
    <row r="8014" spans="1:14" ht="15" customHeight="1" x14ac:dyDescent="0.2">
      <c r="A8014" s="31">
        <v>3.4513404502151138E-2</v>
      </c>
      <c r="B8014" s="31"/>
      <c r="C8014" s="2" t="s">
        <v>855</v>
      </c>
      <c r="D8014" s="31">
        <f t="shared" si="219"/>
        <v>6.764627282421623E-3</v>
      </c>
      <c r="F8014" s="2" t="s">
        <v>822</v>
      </c>
      <c r="G8014" s="23" t="s">
        <v>902</v>
      </c>
      <c r="H8014" s="2" t="s">
        <v>822</v>
      </c>
      <c r="J8014" s="31">
        <v>68.791999799999999</v>
      </c>
      <c r="K8014" s="31">
        <v>-17.8439999</v>
      </c>
      <c r="L8014" s="31"/>
      <c r="M8014" s="31" t="s">
        <v>854</v>
      </c>
      <c r="N8014" s="6" t="s">
        <v>856</v>
      </c>
    </row>
    <row r="8015" spans="1:14" ht="15" customHeight="1" x14ac:dyDescent="0.2">
      <c r="A8015" s="31">
        <v>3.4504574048833447E-2</v>
      </c>
      <c r="B8015" s="31"/>
      <c r="C8015" s="2" t="s">
        <v>855</v>
      </c>
      <c r="D8015" s="31">
        <f t="shared" si="219"/>
        <v>6.7628965135713556E-3</v>
      </c>
      <c r="F8015" s="2" t="s">
        <v>822</v>
      </c>
      <c r="G8015" s="23" t="s">
        <v>902</v>
      </c>
      <c r="H8015" s="2" t="s">
        <v>822</v>
      </c>
      <c r="J8015" s="31">
        <v>70.290603599999997</v>
      </c>
      <c r="K8015" s="31">
        <v>22.902599299999999</v>
      </c>
      <c r="L8015" s="31"/>
      <c r="M8015" s="31" t="s">
        <v>854</v>
      </c>
      <c r="N8015" s="6" t="s">
        <v>856</v>
      </c>
    </row>
    <row r="8016" spans="1:14" ht="15" customHeight="1" x14ac:dyDescent="0.2">
      <c r="A8016" s="31">
        <v>3.4056468192616277E-2</v>
      </c>
      <c r="B8016" s="31"/>
      <c r="C8016" s="2" t="s">
        <v>855</v>
      </c>
      <c r="D8016" s="31">
        <f t="shared" si="219"/>
        <v>6.6750677657527908E-3</v>
      </c>
      <c r="F8016" s="2" t="s">
        <v>822</v>
      </c>
      <c r="G8016" s="23" t="s">
        <v>902</v>
      </c>
      <c r="H8016" s="2" t="s">
        <v>822</v>
      </c>
      <c r="J8016" s="31">
        <v>71.463996899999998</v>
      </c>
      <c r="K8016" s="31">
        <v>-6.4879999000000002</v>
      </c>
      <c r="L8016" s="31"/>
      <c r="M8016" s="31" t="s">
        <v>854</v>
      </c>
      <c r="N8016" s="6" t="s">
        <v>856</v>
      </c>
    </row>
    <row r="8017" spans="1:14" ht="15" customHeight="1" x14ac:dyDescent="0.2">
      <c r="A8017" s="31">
        <v>3.3924514928431258E-2</v>
      </c>
      <c r="B8017" s="31"/>
      <c r="C8017" s="2" t="s">
        <v>855</v>
      </c>
      <c r="D8017" s="31">
        <f t="shared" ref="D8017:D8037" si="220" xml:space="preserve"> A8017 * 0.196</f>
        <v>6.6492049259725267E-3</v>
      </c>
      <c r="F8017" s="2" t="s">
        <v>822</v>
      </c>
      <c r="G8017" s="23" t="s">
        <v>902</v>
      </c>
      <c r="H8017" s="2" t="s">
        <v>822</v>
      </c>
      <c r="J8017" s="31">
        <v>72.800003099999998</v>
      </c>
      <c r="K8017" s="31">
        <v>21.5680008</v>
      </c>
      <c r="L8017" s="31"/>
      <c r="M8017" s="31" t="s">
        <v>854</v>
      </c>
      <c r="N8017" s="6" t="s">
        <v>856</v>
      </c>
    </row>
    <row r="8018" spans="1:14" ht="15" customHeight="1" x14ac:dyDescent="0.2">
      <c r="A8018" s="31">
        <v>3.3817115515377562E-2</v>
      </c>
      <c r="B8018" s="31"/>
      <c r="C8018" s="2" t="s">
        <v>855</v>
      </c>
      <c r="D8018" s="31">
        <f t="shared" si="220"/>
        <v>6.6281546410140021E-3</v>
      </c>
      <c r="F8018" s="2" t="s">
        <v>822</v>
      </c>
      <c r="G8018" s="23" t="s">
        <v>902</v>
      </c>
      <c r="H8018" s="2" t="s">
        <v>822</v>
      </c>
      <c r="J8018" s="31">
        <v>74.1360016</v>
      </c>
      <c r="K8018" s="31">
        <v>45.616001099999998</v>
      </c>
      <c r="L8018" s="31"/>
      <c r="M8018" s="31" t="s">
        <v>854</v>
      </c>
      <c r="N8018" s="6" t="s">
        <v>856</v>
      </c>
    </row>
    <row r="8019" spans="1:14" ht="15" customHeight="1" x14ac:dyDescent="0.2">
      <c r="A8019" s="31">
        <v>3.3788706777074212E-2</v>
      </c>
      <c r="B8019" s="31"/>
      <c r="C8019" s="2" t="s">
        <v>855</v>
      </c>
      <c r="D8019" s="31">
        <f t="shared" si="220"/>
        <v>6.6225865283065458E-3</v>
      </c>
      <c r="F8019" s="2" t="s">
        <v>822</v>
      </c>
      <c r="G8019" s="23" t="s">
        <v>902</v>
      </c>
      <c r="H8019" s="2" t="s">
        <v>822</v>
      </c>
      <c r="J8019" s="31">
        <v>70.916702299999997</v>
      </c>
      <c r="K8019" s="31">
        <v>29.5981007</v>
      </c>
      <c r="L8019" s="31"/>
      <c r="M8019" s="31" t="s">
        <v>854</v>
      </c>
      <c r="N8019" s="6" t="s">
        <v>856</v>
      </c>
    </row>
    <row r="8020" spans="1:14" ht="15" customHeight="1" x14ac:dyDescent="0.2">
      <c r="A8020" s="31">
        <v>3.3788379183262912E-2</v>
      </c>
      <c r="B8020" s="31"/>
      <c r="C8020" s="2" t="s">
        <v>855</v>
      </c>
      <c r="D8020" s="31">
        <f t="shared" si="220"/>
        <v>6.6225223199195314E-3</v>
      </c>
      <c r="F8020" s="2" t="s">
        <v>822</v>
      </c>
      <c r="G8020" s="23" t="s">
        <v>902</v>
      </c>
      <c r="H8020" s="2" t="s">
        <v>822</v>
      </c>
      <c r="J8020" s="31">
        <v>69.985900900000004</v>
      </c>
      <c r="K8020" s="31">
        <v>46.901001000000001</v>
      </c>
      <c r="L8020" s="31"/>
      <c r="M8020" s="31" t="s">
        <v>854</v>
      </c>
      <c r="N8020" s="6" t="s">
        <v>856</v>
      </c>
    </row>
    <row r="8021" spans="1:14" ht="15" customHeight="1" x14ac:dyDescent="0.2">
      <c r="A8021" s="31">
        <v>3.349094828691921E-2</v>
      </c>
      <c r="B8021" s="31"/>
      <c r="C8021" s="2" t="s">
        <v>855</v>
      </c>
      <c r="D8021" s="31">
        <f t="shared" si="220"/>
        <v>6.5642258642361652E-3</v>
      </c>
      <c r="F8021" s="2" t="s">
        <v>822</v>
      </c>
      <c r="G8021" s="23" t="s">
        <v>902</v>
      </c>
      <c r="H8021" s="2" t="s">
        <v>822</v>
      </c>
      <c r="J8021" s="31">
        <v>74.1360016</v>
      </c>
      <c r="K8021" s="31">
        <v>30.252000800000001</v>
      </c>
      <c r="L8021" s="31"/>
      <c r="M8021" s="31" t="s">
        <v>854</v>
      </c>
      <c r="N8021" s="6" t="s">
        <v>856</v>
      </c>
    </row>
    <row r="8022" spans="1:14" ht="15" customHeight="1" x14ac:dyDescent="0.2">
      <c r="A8022" s="31">
        <v>3.3404470251211717E-2</v>
      </c>
      <c r="B8022" s="31"/>
      <c r="C8022" s="2" t="s">
        <v>855</v>
      </c>
      <c r="D8022" s="31">
        <f t="shared" si="220"/>
        <v>6.5472761692374967E-3</v>
      </c>
      <c r="F8022" s="2" t="s">
        <v>822</v>
      </c>
      <c r="G8022" s="23" t="s">
        <v>902</v>
      </c>
      <c r="H8022" s="2" t="s">
        <v>822</v>
      </c>
      <c r="J8022" s="31">
        <v>73.468002299999995</v>
      </c>
      <c r="K8022" s="31">
        <v>-8.4919995999999998</v>
      </c>
      <c r="L8022" s="31"/>
      <c r="M8022" s="31" t="s">
        <v>854</v>
      </c>
      <c r="N8022" s="6" t="s">
        <v>856</v>
      </c>
    </row>
    <row r="8023" spans="1:14" ht="15" customHeight="1" x14ac:dyDescent="0.2">
      <c r="A8023" s="31">
        <v>3.3360192758918529E-2</v>
      </c>
      <c r="B8023" s="31"/>
      <c r="C8023" s="2" t="s">
        <v>855</v>
      </c>
      <c r="D8023" s="31">
        <f t="shared" si="220"/>
        <v>6.5385977807480324E-3</v>
      </c>
      <c r="F8023" s="2" t="s">
        <v>822</v>
      </c>
      <c r="G8023" s="23" t="s">
        <v>902</v>
      </c>
      <c r="H8023" s="2" t="s">
        <v>822</v>
      </c>
      <c r="J8023" s="31">
        <v>67.679298399999993</v>
      </c>
      <c r="K8023" s="31">
        <v>-7.0446701000000003</v>
      </c>
      <c r="L8023" s="31"/>
      <c r="M8023" s="31" t="s">
        <v>854</v>
      </c>
      <c r="N8023" s="6" t="s">
        <v>856</v>
      </c>
    </row>
    <row r="8024" spans="1:14" ht="15" customHeight="1" x14ac:dyDescent="0.2">
      <c r="A8024" s="31">
        <v>3.31699971466618E-2</v>
      </c>
      <c r="B8024" s="31"/>
      <c r="C8024" s="2" t="s">
        <v>855</v>
      </c>
      <c r="D8024" s="31">
        <f t="shared" si="220"/>
        <v>6.5013194407457136E-3</v>
      </c>
      <c r="F8024" s="2" t="s">
        <v>822</v>
      </c>
      <c r="G8024" s="23" t="s">
        <v>902</v>
      </c>
      <c r="H8024" s="2" t="s">
        <v>822</v>
      </c>
      <c r="J8024" s="31">
        <v>71.067703199999997</v>
      </c>
      <c r="K8024" s="31">
        <v>31.8946991</v>
      </c>
      <c r="L8024" s="31"/>
      <c r="M8024" s="31" t="s">
        <v>854</v>
      </c>
      <c r="N8024" s="6" t="s">
        <v>856</v>
      </c>
    </row>
    <row r="8025" spans="1:14" ht="15" customHeight="1" x14ac:dyDescent="0.2">
      <c r="A8025" s="31">
        <v>3.3166264096306269E-2</v>
      </c>
      <c r="B8025" s="31"/>
      <c r="C8025" s="2" t="s">
        <v>855</v>
      </c>
      <c r="D8025" s="31">
        <f t="shared" si="220"/>
        <v>6.5005877628760292E-3</v>
      </c>
      <c r="F8025" s="2" t="s">
        <v>822</v>
      </c>
      <c r="G8025" s="23" t="s">
        <v>902</v>
      </c>
      <c r="H8025" s="2" t="s">
        <v>822</v>
      </c>
      <c r="J8025" s="31">
        <v>69.014602699999998</v>
      </c>
      <c r="K8025" s="31">
        <v>-19.3882008</v>
      </c>
      <c r="L8025" s="31"/>
      <c r="M8025" s="31" t="s">
        <v>854</v>
      </c>
      <c r="N8025" s="6" t="s">
        <v>856</v>
      </c>
    </row>
    <row r="8026" spans="1:14" ht="15" customHeight="1" x14ac:dyDescent="0.2">
      <c r="A8026" s="31">
        <v>3.2848823482130057E-2</v>
      </c>
      <c r="B8026" s="31"/>
      <c r="C8026" s="2" t="s">
        <v>855</v>
      </c>
      <c r="D8026" s="31">
        <f t="shared" si="220"/>
        <v>6.4383694024974913E-3</v>
      </c>
      <c r="F8026" s="2" t="s">
        <v>822</v>
      </c>
      <c r="G8026" s="23" t="s">
        <v>902</v>
      </c>
      <c r="H8026" s="2" t="s">
        <v>822</v>
      </c>
      <c r="J8026" s="31">
        <v>74.1360016</v>
      </c>
      <c r="K8026" s="31">
        <v>26.243999500000001</v>
      </c>
      <c r="L8026" s="31"/>
      <c r="M8026" s="31" t="s">
        <v>854</v>
      </c>
      <c r="N8026" s="6" t="s">
        <v>856</v>
      </c>
    </row>
    <row r="8027" spans="1:14" ht="15" customHeight="1" x14ac:dyDescent="0.2">
      <c r="A8027" s="31">
        <v>3.2731687620933272E-2</v>
      </c>
      <c r="B8027" s="31"/>
      <c r="C8027" s="2" t="s">
        <v>855</v>
      </c>
      <c r="D8027" s="31">
        <f t="shared" si="220"/>
        <v>6.4154107737029219E-3</v>
      </c>
      <c r="F8027" s="2" t="s">
        <v>822</v>
      </c>
      <c r="G8027" s="23" t="s">
        <v>902</v>
      </c>
      <c r="H8027" s="2" t="s">
        <v>822</v>
      </c>
      <c r="J8027" s="31">
        <v>72.800003099999998</v>
      </c>
      <c r="K8027" s="31">
        <v>-5.1520000000000001</v>
      </c>
      <c r="L8027" s="31"/>
      <c r="M8027" s="31" t="s">
        <v>854</v>
      </c>
      <c r="N8027" s="6" t="s">
        <v>856</v>
      </c>
    </row>
    <row r="8028" spans="1:14" ht="15" customHeight="1" x14ac:dyDescent="0.2">
      <c r="A8028" s="31">
        <v>3.2681630732335883E-2</v>
      </c>
      <c r="B8028" s="31"/>
      <c r="C8028" s="2" t="s">
        <v>855</v>
      </c>
      <c r="D8028" s="31">
        <f t="shared" si="220"/>
        <v>6.405599623537833E-3</v>
      </c>
      <c r="F8028" s="2" t="s">
        <v>822</v>
      </c>
      <c r="G8028" s="23" t="s">
        <v>902</v>
      </c>
      <c r="H8028" s="2" t="s">
        <v>822</v>
      </c>
      <c r="J8028" s="31">
        <v>74.448997500000004</v>
      </c>
      <c r="K8028" s="31">
        <v>-21.241899499999999</v>
      </c>
      <c r="L8028" s="31"/>
      <c r="M8028" s="31" t="s">
        <v>854</v>
      </c>
      <c r="N8028" s="6" t="s">
        <v>856</v>
      </c>
    </row>
    <row r="8029" spans="1:14" ht="15" customHeight="1" x14ac:dyDescent="0.2">
      <c r="A8029" s="31">
        <v>3.2539200097753088E-2</v>
      </c>
      <c r="B8029" s="31"/>
      <c r="C8029" s="2" t="s">
        <v>855</v>
      </c>
      <c r="D8029" s="31">
        <f t="shared" si="220"/>
        <v>6.3776832191596057E-3</v>
      </c>
      <c r="F8029" s="2" t="s">
        <v>822</v>
      </c>
      <c r="G8029" s="23" t="s">
        <v>902</v>
      </c>
      <c r="H8029" s="2" t="s">
        <v>822</v>
      </c>
      <c r="J8029" s="31">
        <v>71.537498499999998</v>
      </c>
      <c r="K8029" s="31">
        <v>32.277198800000001</v>
      </c>
      <c r="L8029" s="31"/>
      <c r="M8029" s="31" t="s">
        <v>854</v>
      </c>
      <c r="N8029" s="6" t="s">
        <v>856</v>
      </c>
    </row>
    <row r="8030" spans="1:14" ht="15" customHeight="1" x14ac:dyDescent="0.2">
      <c r="A8030" s="31">
        <v>3.247662232605799E-2</v>
      </c>
      <c r="B8030" s="31"/>
      <c r="C8030" s="2" t="s">
        <v>855</v>
      </c>
      <c r="D8030" s="31">
        <f t="shared" si="220"/>
        <v>6.3654179759073662E-3</v>
      </c>
      <c r="F8030" s="2" t="s">
        <v>822</v>
      </c>
      <c r="G8030" s="23" t="s">
        <v>902</v>
      </c>
      <c r="H8030" s="2" t="s">
        <v>822</v>
      </c>
      <c r="J8030" s="31">
        <v>74.749900800000006</v>
      </c>
      <c r="K8030" s="31">
        <v>0.22797999999999999</v>
      </c>
      <c r="L8030" s="31"/>
      <c r="M8030" s="31" t="s">
        <v>854</v>
      </c>
      <c r="N8030" s="6" t="s">
        <v>856</v>
      </c>
    </row>
    <row r="8031" spans="1:14" ht="15" customHeight="1" x14ac:dyDescent="0.2">
      <c r="A8031" s="31">
        <v>3.2417971556184963E-2</v>
      </c>
      <c r="B8031" s="31"/>
      <c r="C8031" s="2" t="s">
        <v>855</v>
      </c>
      <c r="D8031" s="31">
        <f t="shared" si="220"/>
        <v>6.3539224250122534E-3</v>
      </c>
      <c r="F8031" s="2" t="s">
        <v>822</v>
      </c>
      <c r="G8031" s="23" t="s">
        <v>902</v>
      </c>
      <c r="H8031" s="2" t="s">
        <v>822</v>
      </c>
      <c r="J8031" s="31">
        <v>66.788002000000006</v>
      </c>
      <c r="K8031" s="31">
        <v>-14.5039997</v>
      </c>
      <c r="L8031" s="31"/>
      <c r="M8031" s="31" t="s">
        <v>854</v>
      </c>
      <c r="N8031" s="6" t="s">
        <v>856</v>
      </c>
    </row>
    <row r="8032" spans="1:14" ht="15" customHeight="1" x14ac:dyDescent="0.2">
      <c r="A8032" s="31">
        <v>3.2270297102058178E-2</v>
      </c>
      <c r="B8032" s="31"/>
      <c r="C8032" s="2" t="s">
        <v>855</v>
      </c>
      <c r="D8032" s="31">
        <f t="shared" si="220"/>
        <v>6.3249782320034028E-3</v>
      </c>
      <c r="F8032" s="2" t="s">
        <v>822</v>
      </c>
      <c r="G8032" s="23" t="s">
        <v>902</v>
      </c>
      <c r="H8032" s="2" t="s">
        <v>822</v>
      </c>
      <c r="J8032" s="31">
        <v>72.800003099999998</v>
      </c>
      <c r="K8032" s="31">
        <v>-4.1500000999999997</v>
      </c>
      <c r="L8032" s="31"/>
      <c r="M8032" s="31" t="s">
        <v>854</v>
      </c>
      <c r="N8032" s="6" t="s">
        <v>856</v>
      </c>
    </row>
    <row r="8033" spans="1:14" ht="15" customHeight="1" x14ac:dyDescent="0.2">
      <c r="A8033" s="31">
        <v>3.211836609114789E-2</v>
      </c>
      <c r="B8033" s="31"/>
      <c r="C8033" s="2" t="s">
        <v>855</v>
      </c>
      <c r="D8033" s="31">
        <f t="shared" si="220"/>
        <v>6.2951997538649865E-3</v>
      </c>
      <c r="F8033" s="2" t="s">
        <v>822</v>
      </c>
      <c r="G8033" s="23" t="s">
        <v>902</v>
      </c>
      <c r="H8033" s="2" t="s">
        <v>822</v>
      </c>
      <c r="J8033" s="31">
        <v>69.014602699999998</v>
      </c>
      <c r="K8033" s="31">
        <v>45.968799599999997</v>
      </c>
      <c r="L8033" s="31"/>
      <c r="M8033" s="31" t="s">
        <v>854</v>
      </c>
      <c r="N8033" s="6" t="s">
        <v>856</v>
      </c>
    </row>
    <row r="8034" spans="1:14" ht="15" customHeight="1" x14ac:dyDescent="0.2">
      <c r="A8034" s="31">
        <v>3.2104132874804348E-2</v>
      </c>
      <c r="B8034" s="31"/>
      <c r="C8034" s="2" t="s">
        <v>855</v>
      </c>
      <c r="D8034" s="31">
        <f t="shared" si="220"/>
        <v>6.2924100434616527E-3</v>
      </c>
      <c r="F8034" s="2" t="s">
        <v>822</v>
      </c>
      <c r="G8034" s="23" t="s">
        <v>902</v>
      </c>
      <c r="H8034" s="2" t="s">
        <v>822</v>
      </c>
      <c r="J8034" s="31">
        <v>70.142097500000006</v>
      </c>
      <c r="K8034" s="31">
        <v>36.292598699999999</v>
      </c>
      <c r="L8034" s="31"/>
      <c r="M8034" s="31" t="s">
        <v>854</v>
      </c>
      <c r="N8034" s="6" t="s">
        <v>856</v>
      </c>
    </row>
    <row r="8035" spans="1:14" ht="15" customHeight="1" x14ac:dyDescent="0.2">
      <c r="A8035" s="31">
        <v>3.1996195794554927E-2</v>
      </c>
      <c r="B8035" s="31"/>
      <c r="C8035" s="2" t="s">
        <v>855</v>
      </c>
      <c r="D8035" s="31">
        <f t="shared" si="220"/>
        <v>6.2712543757327656E-3</v>
      </c>
      <c r="F8035" s="2" t="s">
        <v>822</v>
      </c>
      <c r="G8035" s="23" t="s">
        <v>902</v>
      </c>
      <c r="H8035" s="2" t="s">
        <v>822</v>
      </c>
      <c r="J8035" s="31">
        <v>74.133697499999997</v>
      </c>
      <c r="K8035" s="31">
        <v>-6.4860901999999996</v>
      </c>
      <c r="L8035" s="31"/>
      <c r="M8035" s="31" t="s">
        <v>854</v>
      </c>
      <c r="N8035" s="6" t="s">
        <v>856</v>
      </c>
    </row>
    <row r="8036" spans="1:14" ht="15" customHeight="1" x14ac:dyDescent="0.2">
      <c r="A8036" s="31">
        <v>3.188614027544931E-2</v>
      </c>
      <c r="B8036" s="31"/>
      <c r="C8036" s="2" t="s">
        <v>855</v>
      </c>
      <c r="D8036" s="31">
        <f t="shared" si="220"/>
        <v>6.2496834939880647E-3</v>
      </c>
      <c r="F8036" s="2" t="s">
        <v>822</v>
      </c>
      <c r="G8036" s="23" t="s">
        <v>902</v>
      </c>
      <c r="H8036" s="2" t="s">
        <v>822</v>
      </c>
      <c r="J8036" s="31">
        <v>73.468002299999995</v>
      </c>
      <c r="K8036" s="31">
        <v>8.2080002000000007</v>
      </c>
      <c r="L8036" s="31"/>
      <c r="M8036" s="31" t="s">
        <v>854</v>
      </c>
      <c r="N8036" s="6" t="s">
        <v>856</v>
      </c>
    </row>
    <row r="8037" spans="1:14" ht="15" customHeight="1" x14ac:dyDescent="0.2">
      <c r="A8037" s="31">
        <v>3.1746606896484633E-2</v>
      </c>
      <c r="B8037" s="31"/>
      <c r="C8037" s="2" t="s">
        <v>855</v>
      </c>
      <c r="D8037" s="31">
        <f t="shared" si="220"/>
        <v>6.2223349517109882E-3</v>
      </c>
      <c r="F8037" s="2" t="s">
        <v>822</v>
      </c>
      <c r="G8037" s="23" t="s">
        <v>902</v>
      </c>
      <c r="H8037" s="2" t="s">
        <v>822</v>
      </c>
      <c r="J8037" s="31">
        <v>71.966301000000001</v>
      </c>
      <c r="K8037" s="31">
        <v>-14.478899999999999</v>
      </c>
      <c r="L8037" s="31"/>
      <c r="M8037" s="31" t="s">
        <v>854</v>
      </c>
      <c r="N8037" s="6" t="s">
        <v>856</v>
      </c>
    </row>
    <row r="8038" spans="1:14" ht="15" customHeight="1" x14ac:dyDescent="0.2">
      <c r="A8038" s="2">
        <v>72</v>
      </c>
      <c r="B8038" s="1"/>
      <c r="C8038" s="2" t="s">
        <v>174</v>
      </c>
      <c r="D8038" s="2">
        <f>A8038* 0.0000864</f>
        <v>6.2208000000000003E-3</v>
      </c>
      <c r="F8038" s="2" t="s">
        <v>175</v>
      </c>
      <c r="G8038" s="2" t="s">
        <v>903</v>
      </c>
      <c r="H8038" s="2" t="s">
        <v>822</v>
      </c>
      <c r="I8038" s="2" t="s">
        <v>179</v>
      </c>
      <c r="J8038" s="2">
        <v>53.8</v>
      </c>
      <c r="K8038" s="2">
        <v>14.05</v>
      </c>
      <c r="L8038" s="2" t="s">
        <v>28</v>
      </c>
      <c r="M8038" s="2" t="s">
        <v>813</v>
      </c>
      <c r="N8038" s="6" t="s">
        <v>861</v>
      </c>
    </row>
    <row r="8039" spans="1:14" ht="15" customHeight="1" x14ac:dyDescent="0.2">
      <c r="A8039" s="31">
        <v>3.168934005377478E-2</v>
      </c>
      <c r="B8039" s="31"/>
      <c r="C8039" s="2" t="s">
        <v>855</v>
      </c>
      <c r="D8039" s="31">
        <f t="shared" ref="D8039:D8070" si="221" xml:space="preserve"> A8039 * 0.196</f>
        <v>6.2111106505398569E-3</v>
      </c>
      <c r="F8039" s="2" t="s">
        <v>822</v>
      </c>
      <c r="G8039" s="23" t="s">
        <v>902</v>
      </c>
      <c r="H8039" s="2" t="s">
        <v>822</v>
      </c>
      <c r="J8039" s="31">
        <v>73.723098800000002</v>
      </c>
      <c r="K8039" s="31">
        <v>-3.1165600000000002</v>
      </c>
      <c r="L8039" s="31"/>
      <c r="M8039" s="31" t="s">
        <v>854</v>
      </c>
      <c r="N8039" s="6" t="s">
        <v>856</v>
      </c>
    </row>
    <row r="8040" spans="1:14" ht="15" customHeight="1" x14ac:dyDescent="0.2">
      <c r="A8040" s="31">
        <v>3.1648559647521959E-2</v>
      </c>
      <c r="B8040" s="31"/>
      <c r="C8040" s="2" t="s">
        <v>855</v>
      </c>
      <c r="D8040" s="31">
        <f t="shared" si="221"/>
        <v>6.2031176909143042E-3</v>
      </c>
      <c r="F8040" s="2" t="s">
        <v>822</v>
      </c>
      <c r="G8040" s="23" t="s">
        <v>902</v>
      </c>
      <c r="H8040" s="2" t="s">
        <v>822</v>
      </c>
      <c r="J8040" s="31">
        <v>68.865997300000004</v>
      </c>
      <c r="K8040" s="31">
        <v>-6.0854901999999997</v>
      </c>
      <c r="L8040" s="31"/>
      <c r="M8040" s="31" t="s">
        <v>854</v>
      </c>
      <c r="N8040" s="6" t="s">
        <v>856</v>
      </c>
    </row>
    <row r="8041" spans="1:14" ht="15" customHeight="1" x14ac:dyDescent="0.2">
      <c r="A8041" s="31">
        <v>3.1647105577238432E-2</v>
      </c>
      <c r="B8041" s="31"/>
      <c r="C8041" s="2" t="s">
        <v>855</v>
      </c>
      <c r="D8041" s="31">
        <f t="shared" si="221"/>
        <v>6.2028326931387332E-3</v>
      </c>
      <c r="F8041" s="2" t="s">
        <v>822</v>
      </c>
      <c r="G8041" s="23" t="s">
        <v>902</v>
      </c>
      <c r="H8041" s="2" t="s">
        <v>822</v>
      </c>
      <c r="J8041" s="31">
        <v>70.522399899999996</v>
      </c>
      <c r="K8041" s="31">
        <v>30.939800300000002</v>
      </c>
      <c r="L8041" s="31"/>
      <c r="M8041" s="31" t="s">
        <v>854</v>
      </c>
      <c r="N8041" s="6" t="s">
        <v>856</v>
      </c>
    </row>
    <row r="8042" spans="1:14" ht="15" customHeight="1" x14ac:dyDescent="0.2">
      <c r="A8042" s="31">
        <v>3.1495887930686382E-2</v>
      </c>
      <c r="B8042" s="31"/>
      <c r="C8042" s="2" t="s">
        <v>855</v>
      </c>
      <c r="D8042" s="31">
        <f t="shared" si="221"/>
        <v>6.173194034414531E-3</v>
      </c>
      <c r="F8042" s="2" t="s">
        <v>822</v>
      </c>
      <c r="G8042" s="23" t="s">
        <v>902</v>
      </c>
      <c r="H8042" s="2" t="s">
        <v>822</v>
      </c>
      <c r="J8042" s="31">
        <v>74.1360016</v>
      </c>
      <c r="K8042" s="31">
        <v>28.916000400000001</v>
      </c>
      <c r="L8042" s="31"/>
      <c r="M8042" s="31" t="s">
        <v>854</v>
      </c>
      <c r="N8042" s="6" t="s">
        <v>856</v>
      </c>
    </row>
    <row r="8043" spans="1:14" ht="15" customHeight="1" x14ac:dyDescent="0.2">
      <c r="A8043" s="31">
        <v>3.1458173062116949E-2</v>
      </c>
      <c r="B8043" s="31"/>
      <c r="C8043" s="2" t="s">
        <v>855</v>
      </c>
      <c r="D8043" s="31">
        <f t="shared" si="221"/>
        <v>6.1658019201749226E-3</v>
      </c>
      <c r="F8043" s="2" t="s">
        <v>822</v>
      </c>
      <c r="G8043" s="23" t="s">
        <v>902</v>
      </c>
      <c r="H8043" s="2" t="s">
        <v>822</v>
      </c>
      <c r="J8043" s="31">
        <v>67.971603400000006</v>
      </c>
      <c r="K8043" s="31">
        <v>-21.184000000000001</v>
      </c>
      <c r="L8043" s="31"/>
      <c r="M8043" s="31" t="s">
        <v>854</v>
      </c>
      <c r="N8043" s="6" t="s">
        <v>856</v>
      </c>
    </row>
    <row r="8044" spans="1:14" ht="15" customHeight="1" x14ac:dyDescent="0.2">
      <c r="A8044" s="31">
        <v>3.1378882463129261E-2</v>
      </c>
      <c r="B8044" s="31"/>
      <c r="C8044" s="2" t="s">
        <v>855</v>
      </c>
      <c r="D8044" s="31">
        <f t="shared" si="221"/>
        <v>6.1502609627733353E-3</v>
      </c>
      <c r="F8044" s="2" t="s">
        <v>822</v>
      </c>
      <c r="G8044" s="23" t="s">
        <v>902</v>
      </c>
      <c r="H8044" s="2" t="s">
        <v>822</v>
      </c>
      <c r="J8044" s="31">
        <v>70.674301099999994</v>
      </c>
      <c r="K8044" s="31">
        <v>33.578899399999997</v>
      </c>
      <c r="L8044" s="31"/>
      <c r="M8044" s="31" t="s">
        <v>854</v>
      </c>
      <c r="N8044" s="6" t="s">
        <v>856</v>
      </c>
    </row>
    <row r="8045" spans="1:14" ht="15" customHeight="1" x14ac:dyDescent="0.2">
      <c r="A8045" s="31">
        <v>3.0982497764523949E-2</v>
      </c>
      <c r="B8045" s="31"/>
      <c r="C8045" s="2" t="s">
        <v>855</v>
      </c>
      <c r="D8045" s="31">
        <f t="shared" si="221"/>
        <v>6.0725695618466941E-3</v>
      </c>
      <c r="F8045" s="2" t="s">
        <v>822</v>
      </c>
      <c r="G8045" s="23" t="s">
        <v>902</v>
      </c>
      <c r="H8045" s="2" t="s">
        <v>822</v>
      </c>
      <c r="J8045" s="31">
        <v>67.895599399999995</v>
      </c>
      <c r="K8045" s="31">
        <v>-22.959600399999999</v>
      </c>
      <c r="L8045" s="31"/>
      <c r="M8045" s="31" t="s">
        <v>854</v>
      </c>
      <c r="N8045" s="6" t="s">
        <v>856</v>
      </c>
    </row>
    <row r="8046" spans="1:14" ht="15" customHeight="1" x14ac:dyDescent="0.2">
      <c r="A8046" s="31">
        <v>3.0981419333066581E-2</v>
      </c>
      <c r="B8046" s="31"/>
      <c r="C8046" s="2" t="s">
        <v>855</v>
      </c>
      <c r="D8046" s="31">
        <f t="shared" si="221"/>
        <v>6.07235818928105E-3</v>
      </c>
      <c r="F8046" s="2" t="s">
        <v>822</v>
      </c>
      <c r="G8046" s="23" t="s">
        <v>902</v>
      </c>
      <c r="H8046" s="2" t="s">
        <v>822</v>
      </c>
      <c r="J8046" s="31">
        <v>70.0597992</v>
      </c>
      <c r="K8046" s="31">
        <v>36.125801099999997</v>
      </c>
      <c r="L8046" s="31"/>
      <c r="M8046" s="31" t="s">
        <v>854</v>
      </c>
      <c r="N8046" s="6" t="s">
        <v>856</v>
      </c>
    </row>
    <row r="8047" spans="1:14" ht="15" customHeight="1" x14ac:dyDescent="0.2">
      <c r="A8047" s="31">
        <v>3.096881021228708E-2</v>
      </c>
      <c r="B8047" s="31"/>
      <c r="C8047" s="2" t="s">
        <v>855</v>
      </c>
      <c r="D8047" s="31">
        <f t="shared" si="221"/>
        <v>6.0698868016082676E-3</v>
      </c>
      <c r="F8047" s="2" t="s">
        <v>822</v>
      </c>
      <c r="G8047" s="23" t="s">
        <v>902</v>
      </c>
      <c r="H8047" s="2" t="s">
        <v>822</v>
      </c>
      <c r="J8047" s="31">
        <v>68.030403100000001</v>
      </c>
      <c r="K8047" s="31">
        <v>-22.912799799999998</v>
      </c>
      <c r="L8047" s="31"/>
      <c r="M8047" s="31" t="s">
        <v>854</v>
      </c>
      <c r="N8047" s="6" t="s">
        <v>856</v>
      </c>
    </row>
    <row r="8048" spans="1:14" ht="15" customHeight="1" x14ac:dyDescent="0.2">
      <c r="A8048" s="31">
        <v>3.0909652528679471E-2</v>
      </c>
      <c r="B8048" s="31"/>
      <c r="C8048" s="2" t="s">
        <v>855</v>
      </c>
      <c r="D8048" s="31">
        <f t="shared" si="221"/>
        <v>6.0582918956211766E-3</v>
      </c>
      <c r="F8048" s="2" t="s">
        <v>822</v>
      </c>
      <c r="G8048" s="23" t="s">
        <v>902</v>
      </c>
      <c r="H8048" s="2" t="s">
        <v>822</v>
      </c>
      <c r="J8048" s="31">
        <v>74.407501199999999</v>
      </c>
      <c r="K8048" s="31">
        <v>1.528</v>
      </c>
      <c r="L8048" s="31"/>
      <c r="M8048" s="31" t="s">
        <v>854</v>
      </c>
      <c r="N8048" s="6" t="s">
        <v>856</v>
      </c>
    </row>
    <row r="8049" spans="1:14" ht="15" customHeight="1" x14ac:dyDescent="0.2">
      <c r="A8049" s="31">
        <v>3.0716262701520631E-2</v>
      </c>
      <c r="B8049" s="31"/>
      <c r="C8049" s="2" t="s">
        <v>855</v>
      </c>
      <c r="D8049" s="31">
        <f t="shared" si="221"/>
        <v>6.020387489498044E-3</v>
      </c>
      <c r="F8049" s="2" t="s">
        <v>822</v>
      </c>
      <c r="G8049" s="23" t="s">
        <v>902</v>
      </c>
      <c r="H8049" s="2" t="s">
        <v>822</v>
      </c>
      <c r="J8049" s="31">
        <v>69.834198000000001</v>
      </c>
      <c r="K8049" s="31">
        <v>47.317001300000001</v>
      </c>
      <c r="L8049" s="31"/>
      <c r="M8049" s="31" t="s">
        <v>854</v>
      </c>
      <c r="N8049" s="6" t="s">
        <v>856</v>
      </c>
    </row>
    <row r="8050" spans="1:14" ht="15" customHeight="1" x14ac:dyDescent="0.2">
      <c r="A8050" s="31">
        <v>3.0324990566632661E-2</v>
      </c>
      <c r="B8050" s="31"/>
      <c r="C8050" s="2" t="s">
        <v>855</v>
      </c>
      <c r="D8050" s="31">
        <f t="shared" si="221"/>
        <v>5.943698151060002E-3</v>
      </c>
      <c r="F8050" s="2" t="s">
        <v>822</v>
      </c>
      <c r="G8050" s="23" t="s">
        <v>902</v>
      </c>
      <c r="H8050" s="2" t="s">
        <v>822</v>
      </c>
      <c r="J8050" s="31">
        <v>73.615798999999996</v>
      </c>
      <c r="K8050" s="31">
        <v>-22.9895</v>
      </c>
      <c r="L8050" s="31"/>
      <c r="M8050" s="31" t="s">
        <v>854</v>
      </c>
      <c r="N8050" s="6" t="s">
        <v>856</v>
      </c>
    </row>
    <row r="8051" spans="1:14" ht="15" customHeight="1" x14ac:dyDescent="0.2">
      <c r="A8051" s="31">
        <v>3.0309604759719781E-2</v>
      </c>
      <c r="B8051" s="31"/>
      <c r="C8051" s="2" t="s">
        <v>855</v>
      </c>
      <c r="D8051" s="31">
        <f t="shared" si="221"/>
        <v>5.9406825329050769E-3</v>
      </c>
      <c r="F8051" s="2" t="s">
        <v>822</v>
      </c>
      <c r="G8051" s="23" t="s">
        <v>902</v>
      </c>
      <c r="H8051" s="2" t="s">
        <v>822</v>
      </c>
      <c r="J8051" s="31">
        <v>71.463996899999998</v>
      </c>
      <c r="K8051" s="31">
        <v>-5.1520000000000001</v>
      </c>
      <c r="L8051" s="31"/>
      <c r="M8051" s="31" t="s">
        <v>854</v>
      </c>
      <c r="N8051" s="6" t="s">
        <v>856</v>
      </c>
    </row>
    <row r="8052" spans="1:14" ht="15" customHeight="1" x14ac:dyDescent="0.2">
      <c r="A8052" s="31">
        <v>3.0299352283094501E-2</v>
      </c>
      <c r="B8052" s="31"/>
      <c r="C8052" s="2" t="s">
        <v>855</v>
      </c>
      <c r="D8052" s="31">
        <f t="shared" si="221"/>
        <v>5.9386730474865227E-3</v>
      </c>
      <c r="F8052" s="2" t="s">
        <v>822</v>
      </c>
      <c r="G8052" s="23" t="s">
        <v>902</v>
      </c>
      <c r="H8052" s="2" t="s">
        <v>822</v>
      </c>
      <c r="J8052" s="31">
        <v>72.800003099999998</v>
      </c>
      <c r="K8052" s="31">
        <v>46.951999700000002</v>
      </c>
      <c r="L8052" s="31"/>
      <c r="M8052" s="31" t="s">
        <v>854</v>
      </c>
      <c r="N8052" s="6" t="s">
        <v>856</v>
      </c>
    </row>
    <row r="8053" spans="1:14" ht="15" customHeight="1" x14ac:dyDescent="0.2">
      <c r="A8053" s="31">
        <v>3.0252844556801699E-2</v>
      </c>
      <c r="B8053" s="31"/>
      <c r="C8053" s="2" t="s">
        <v>855</v>
      </c>
      <c r="D8053" s="31">
        <f t="shared" si="221"/>
        <v>5.9295575331331334E-3</v>
      </c>
      <c r="F8053" s="2" t="s">
        <v>822</v>
      </c>
      <c r="G8053" s="23" t="s">
        <v>902</v>
      </c>
      <c r="H8053" s="2" t="s">
        <v>822</v>
      </c>
      <c r="J8053" s="31">
        <v>70.168296799999993</v>
      </c>
      <c r="K8053" s="31">
        <v>20.222499800000001</v>
      </c>
      <c r="L8053" s="31"/>
      <c r="M8053" s="31" t="s">
        <v>854</v>
      </c>
      <c r="N8053" s="6" t="s">
        <v>856</v>
      </c>
    </row>
    <row r="8054" spans="1:14" ht="15" customHeight="1" x14ac:dyDescent="0.2">
      <c r="A8054" s="31">
        <v>3.024990800398843E-2</v>
      </c>
      <c r="B8054" s="31"/>
      <c r="C8054" s="2" t="s">
        <v>855</v>
      </c>
      <c r="D8054" s="31">
        <f t="shared" si="221"/>
        <v>5.9289819687817326E-3</v>
      </c>
      <c r="F8054" s="2" t="s">
        <v>822</v>
      </c>
      <c r="G8054" s="23" t="s">
        <v>902</v>
      </c>
      <c r="H8054" s="2" t="s">
        <v>822</v>
      </c>
      <c r="J8054" s="31">
        <v>70.795997600000007</v>
      </c>
      <c r="K8054" s="31">
        <v>33.320499400000003</v>
      </c>
      <c r="L8054" s="31"/>
      <c r="M8054" s="31" t="s">
        <v>854</v>
      </c>
      <c r="N8054" s="6" t="s">
        <v>856</v>
      </c>
    </row>
    <row r="8055" spans="1:14" ht="15" customHeight="1" x14ac:dyDescent="0.2">
      <c r="A8055" s="31">
        <v>3.020598910205631E-2</v>
      </c>
      <c r="B8055" s="31"/>
      <c r="C8055" s="2" t="s">
        <v>855</v>
      </c>
      <c r="D8055" s="31">
        <f t="shared" si="221"/>
        <v>5.9203738640030371E-3</v>
      </c>
      <c r="F8055" s="2" t="s">
        <v>822</v>
      </c>
      <c r="G8055" s="23" t="s">
        <v>902</v>
      </c>
      <c r="H8055" s="2" t="s">
        <v>822</v>
      </c>
      <c r="J8055" s="31">
        <v>72.132003800000007</v>
      </c>
      <c r="K8055" s="31">
        <v>-11.8319998</v>
      </c>
      <c r="L8055" s="31"/>
      <c r="M8055" s="31" t="s">
        <v>854</v>
      </c>
      <c r="N8055" s="6" t="s">
        <v>856</v>
      </c>
    </row>
    <row r="8056" spans="1:14" ht="15" customHeight="1" x14ac:dyDescent="0.2">
      <c r="A8056" s="31">
        <v>3.0198174320080009E-2</v>
      </c>
      <c r="B8056" s="31"/>
      <c r="C8056" s="2" t="s">
        <v>855</v>
      </c>
      <c r="D8056" s="31">
        <f t="shared" si="221"/>
        <v>5.9188421667356822E-3</v>
      </c>
      <c r="F8056" s="2" t="s">
        <v>822</v>
      </c>
      <c r="G8056" s="23" t="s">
        <v>902</v>
      </c>
      <c r="H8056" s="2" t="s">
        <v>822</v>
      </c>
      <c r="J8056" s="31">
        <v>73.468002299999995</v>
      </c>
      <c r="K8056" s="31">
        <v>46.951999700000002</v>
      </c>
      <c r="L8056" s="31"/>
      <c r="M8056" s="31" t="s">
        <v>854</v>
      </c>
      <c r="N8056" s="6" t="s">
        <v>856</v>
      </c>
    </row>
    <row r="8057" spans="1:14" ht="15" customHeight="1" x14ac:dyDescent="0.2">
      <c r="A8057" s="31">
        <v>3.0000493542648301E-2</v>
      </c>
      <c r="B8057" s="31"/>
      <c r="C8057" s="2" t="s">
        <v>855</v>
      </c>
      <c r="D8057" s="31">
        <f t="shared" si="221"/>
        <v>5.8800967343590671E-3</v>
      </c>
      <c r="F8057" s="2" t="s">
        <v>822</v>
      </c>
      <c r="G8057" s="23" t="s">
        <v>902</v>
      </c>
      <c r="H8057" s="2" t="s">
        <v>822</v>
      </c>
      <c r="J8057" s="31">
        <v>70.845397899999995</v>
      </c>
      <c r="K8057" s="31">
        <v>22.896699900000002</v>
      </c>
      <c r="L8057" s="31"/>
      <c r="M8057" s="31" t="s">
        <v>854</v>
      </c>
      <c r="N8057" s="6" t="s">
        <v>856</v>
      </c>
    </row>
    <row r="8058" spans="1:14" ht="15" customHeight="1" x14ac:dyDescent="0.2">
      <c r="A8058" s="31">
        <v>2.9968527809595691E-2</v>
      </c>
      <c r="B8058" s="31"/>
      <c r="C8058" s="2" t="s">
        <v>855</v>
      </c>
      <c r="D8058" s="31">
        <f t="shared" si="221"/>
        <v>5.8738314506807552E-3</v>
      </c>
      <c r="F8058" s="2" t="s">
        <v>822</v>
      </c>
      <c r="G8058" s="23" t="s">
        <v>902</v>
      </c>
      <c r="H8058" s="2" t="s">
        <v>822</v>
      </c>
      <c r="J8058" s="31">
        <v>74.686599700000002</v>
      </c>
      <c r="K8058" s="31">
        <v>-0.47599999999999998</v>
      </c>
      <c r="L8058" s="31"/>
      <c r="M8058" s="31" t="s">
        <v>854</v>
      </c>
      <c r="N8058" s="6" t="s">
        <v>856</v>
      </c>
    </row>
    <row r="8059" spans="1:14" ht="15" customHeight="1" x14ac:dyDescent="0.2">
      <c r="A8059" s="31">
        <v>2.9917274559103962E-2</v>
      </c>
      <c r="B8059" s="31"/>
      <c r="C8059" s="2" t="s">
        <v>855</v>
      </c>
      <c r="D8059" s="31">
        <f t="shared" si="221"/>
        <v>5.8637858135843768E-3</v>
      </c>
      <c r="F8059" s="2" t="s">
        <v>822</v>
      </c>
      <c r="G8059" s="23" t="s">
        <v>902</v>
      </c>
      <c r="H8059" s="2" t="s">
        <v>822</v>
      </c>
      <c r="J8059" s="31">
        <v>71.535301200000006</v>
      </c>
      <c r="K8059" s="31">
        <v>-0.47599999999999998</v>
      </c>
      <c r="L8059" s="31"/>
      <c r="M8059" s="31" t="s">
        <v>854</v>
      </c>
      <c r="N8059" s="6" t="s">
        <v>856</v>
      </c>
    </row>
    <row r="8060" spans="1:14" ht="15" customHeight="1" x14ac:dyDescent="0.2">
      <c r="A8060" s="31">
        <v>2.9872437867602242E-2</v>
      </c>
      <c r="B8060" s="31"/>
      <c r="C8060" s="2" t="s">
        <v>855</v>
      </c>
      <c r="D8060" s="31">
        <f t="shared" si="221"/>
        <v>5.8549978220500398E-3</v>
      </c>
      <c r="F8060" s="2" t="s">
        <v>822</v>
      </c>
      <c r="G8060" s="23" t="s">
        <v>902</v>
      </c>
      <c r="H8060" s="2" t="s">
        <v>822</v>
      </c>
      <c r="J8060" s="31">
        <v>68.791999799999999</v>
      </c>
      <c r="K8060" s="31">
        <v>-17.176000599999998</v>
      </c>
      <c r="L8060" s="31"/>
      <c r="M8060" s="31" t="s">
        <v>854</v>
      </c>
      <c r="N8060" s="6" t="s">
        <v>856</v>
      </c>
    </row>
    <row r="8061" spans="1:14" ht="15" customHeight="1" x14ac:dyDescent="0.2">
      <c r="A8061" s="31">
        <v>2.9654784735312609E-2</v>
      </c>
      <c r="B8061" s="31"/>
      <c r="C8061" s="2" t="s">
        <v>855</v>
      </c>
      <c r="D8061" s="31">
        <f t="shared" si="221"/>
        <v>5.812337808121272E-3</v>
      </c>
      <c r="F8061" s="2" t="s">
        <v>822</v>
      </c>
      <c r="G8061" s="23" t="s">
        <v>902</v>
      </c>
      <c r="H8061" s="2" t="s">
        <v>822</v>
      </c>
      <c r="J8061" s="31">
        <v>72.132003800000007</v>
      </c>
      <c r="K8061" s="31">
        <v>2.8640001000000002</v>
      </c>
      <c r="L8061" s="31"/>
      <c r="M8061" s="31" t="s">
        <v>854</v>
      </c>
      <c r="N8061" s="6" t="s">
        <v>856</v>
      </c>
    </row>
    <row r="8062" spans="1:14" ht="15" customHeight="1" x14ac:dyDescent="0.2">
      <c r="A8062" s="31">
        <v>2.961715541111698E-2</v>
      </c>
      <c r="B8062" s="31"/>
      <c r="C8062" s="2" t="s">
        <v>855</v>
      </c>
      <c r="D8062" s="31">
        <f t="shared" si="221"/>
        <v>5.8049624605789286E-3</v>
      </c>
      <c r="F8062" s="2" t="s">
        <v>822</v>
      </c>
      <c r="G8062" s="23" t="s">
        <v>902</v>
      </c>
      <c r="H8062" s="2" t="s">
        <v>822</v>
      </c>
      <c r="J8062" s="31">
        <v>73.805603000000005</v>
      </c>
      <c r="K8062" s="31">
        <v>-1.4761200000000001</v>
      </c>
      <c r="L8062" s="31"/>
      <c r="M8062" s="31" t="s">
        <v>854</v>
      </c>
      <c r="N8062" s="6" t="s">
        <v>856</v>
      </c>
    </row>
    <row r="8063" spans="1:14" ht="15" customHeight="1" x14ac:dyDescent="0.2">
      <c r="A8063" s="31">
        <v>2.9374371564315979E-2</v>
      </c>
      <c r="B8063" s="31"/>
      <c r="C8063" s="2" t="s">
        <v>855</v>
      </c>
      <c r="D8063" s="31">
        <f t="shared" si="221"/>
        <v>5.757376826605932E-3</v>
      </c>
      <c r="F8063" s="2" t="s">
        <v>822</v>
      </c>
      <c r="G8063" s="23" t="s">
        <v>902</v>
      </c>
      <c r="H8063" s="2" t="s">
        <v>822</v>
      </c>
      <c r="J8063" s="31">
        <v>68.760002099999994</v>
      </c>
      <c r="K8063" s="31">
        <v>-19.150100699999999</v>
      </c>
      <c r="L8063" s="31"/>
      <c r="M8063" s="31" t="s">
        <v>854</v>
      </c>
      <c r="N8063" s="6" t="s">
        <v>856</v>
      </c>
    </row>
    <row r="8064" spans="1:14" ht="15" customHeight="1" x14ac:dyDescent="0.2">
      <c r="A8064" s="31">
        <v>2.9345454883088561E-2</v>
      </c>
      <c r="B8064" s="31"/>
      <c r="C8064" s="2" t="s">
        <v>855</v>
      </c>
      <c r="D8064" s="31">
        <f t="shared" si="221"/>
        <v>5.7517091570853584E-3</v>
      </c>
      <c r="F8064" s="2" t="s">
        <v>822</v>
      </c>
      <c r="G8064" s="23" t="s">
        <v>902</v>
      </c>
      <c r="H8064" s="2" t="s">
        <v>822</v>
      </c>
      <c r="J8064" s="31">
        <v>73.548896799999994</v>
      </c>
      <c r="K8064" s="31">
        <v>-1.4060600000000001</v>
      </c>
      <c r="L8064" s="31"/>
      <c r="M8064" s="31" t="s">
        <v>854</v>
      </c>
      <c r="N8064" s="6" t="s">
        <v>856</v>
      </c>
    </row>
    <row r="8065" spans="1:14" ht="15" customHeight="1" x14ac:dyDescent="0.2">
      <c r="A8065" s="31">
        <v>2.925558162123032E-2</v>
      </c>
      <c r="B8065" s="31"/>
      <c r="C8065" s="2" t="s">
        <v>855</v>
      </c>
      <c r="D8065" s="31">
        <f t="shared" si="221"/>
        <v>5.7340939977611428E-3</v>
      </c>
      <c r="F8065" s="2" t="s">
        <v>822</v>
      </c>
      <c r="G8065" s="23" t="s">
        <v>902</v>
      </c>
      <c r="H8065" s="2" t="s">
        <v>822</v>
      </c>
      <c r="J8065" s="31">
        <v>67.131301899999997</v>
      </c>
      <c r="K8065" s="31">
        <v>-25.563100800000001</v>
      </c>
      <c r="L8065" s="31"/>
      <c r="M8065" s="31" t="s">
        <v>854</v>
      </c>
      <c r="N8065" s="6" t="s">
        <v>856</v>
      </c>
    </row>
    <row r="8066" spans="1:14" ht="15" customHeight="1" x14ac:dyDescent="0.2">
      <c r="A8066" s="31">
        <v>2.9251370228736941E-2</v>
      </c>
      <c r="B8066" s="31"/>
      <c r="C8066" s="2" t="s">
        <v>855</v>
      </c>
      <c r="D8066" s="31">
        <f t="shared" si="221"/>
        <v>5.7332685648324409E-3</v>
      </c>
      <c r="F8066" s="2" t="s">
        <v>822</v>
      </c>
      <c r="G8066" s="23" t="s">
        <v>902</v>
      </c>
      <c r="H8066" s="2" t="s">
        <v>822</v>
      </c>
      <c r="J8066" s="31">
        <v>68.124000499999994</v>
      </c>
      <c r="K8066" s="31">
        <v>-17.176000599999998</v>
      </c>
      <c r="L8066" s="31"/>
      <c r="M8066" s="31" t="s">
        <v>854</v>
      </c>
      <c r="N8066" s="6" t="s">
        <v>856</v>
      </c>
    </row>
    <row r="8067" spans="1:14" ht="15" customHeight="1" x14ac:dyDescent="0.2">
      <c r="A8067" s="31">
        <v>2.92237130819905E-2</v>
      </c>
      <c r="B8067" s="31"/>
      <c r="C8067" s="2" t="s">
        <v>855</v>
      </c>
      <c r="D8067" s="31">
        <f t="shared" si="221"/>
        <v>5.7278477640701382E-3</v>
      </c>
      <c r="F8067" s="2" t="s">
        <v>822</v>
      </c>
      <c r="G8067" s="23" t="s">
        <v>902</v>
      </c>
      <c r="H8067" s="2" t="s">
        <v>822</v>
      </c>
      <c r="J8067" s="31">
        <v>67.596603400000006</v>
      </c>
      <c r="K8067" s="31">
        <v>-23.856000900000002</v>
      </c>
      <c r="L8067" s="31"/>
      <c r="M8067" s="31" t="s">
        <v>854</v>
      </c>
      <c r="N8067" s="6" t="s">
        <v>856</v>
      </c>
    </row>
    <row r="8068" spans="1:14" ht="15" customHeight="1" x14ac:dyDescent="0.2">
      <c r="A8068" s="31">
        <v>2.9221983059399891E-2</v>
      </c>
      <c r="B8068" s="31"/>
      <c r="C8068" s="2" t="s">
        <v>855</v>
      </c>
      <c r="D8068" s="31">
        <f t="shared" si="221"/>
        <v>5.7275086796423789E-3</v>
      </c>
      <c r="F8068" s="2" t="s">
        <v>822</v>
      </c>
      <c r="G8068" s="23" t="s">
        <v>902</v>
      </c>
      <c r="H8068" s="2" t="s">
        <v>822</v>
      </c>
      <c r="J8068" s="31">
        <v>65.452003500000004</v>
      </c>
      <c r="K8068" s="31">
        <v>-11.8319998</v>
      </c>
      <c r="L8068" s="31"/>
      <c r="M8068" s="31" t="s">
        <v>854</v>
      </c>
      <c r="N8068" s="6" t="s">
        <v>856</v>
      </c>
    </row>
    <row r="8069" spans="1:14" ht="15" customHeight="1" x14ac:dyDescent="0.2">
      <c r="A8069" s="31">
        <v>2.908650445987486E-2</v>
      </c>
      <c r="B8069" s="31"/>
      <c r="C8069" s="2" t="s">
        <v>855</v>
      </c>
      <c r="D8069" s="31">
        <f t="shared" si="221"/>
        <v>5.7009548741354726E-3</v>
      </c>
      <c r="F8069" s="2" t="s">
        <v>822</v>
      </c>
      <c r="G8069" s="23" t="s">
        <v>902</v>
      </c>
      <c r="H8069" s="2" t="s">
        <v>822</v>
      </c>
      <c r="J8069" s="31">
        <v>70.131698600000007</v>
      </c>
      <c r="K8069" s="31">
        <v>47.623901400000001</v>
      </c>
      <c r="L8069" s="31"/>
      <c r="M8069" s="31" t="s">
        <v>854</v>
      </c>
      <c r="N8069" s="6" t="s">
        <v>856</v>
      </c>
    </row>
    <row r="8070" spans="1:14" ht="15" customHeight="1" x14ac:dyDescent="0.2">
      <c r="A8070" s="31">
        <v>2.8977204727820512E-2</v>
      </c>
      <c r="B8070" s="31"/>
      <c r="C8070" s="2" t="s">
        <v>855</v>
      </c>
      <c r="D8070" s="31">
        <f t="shared" si="221"/>
        <v>5.6795321266528203E-3</v>
      </c>
      <c r="F8070" s="2" t="s">
        <v>822</v>
      </c>
      <c r="G8070" s="23" t="s">
        <v>902</v>
      </c>
      <c r="H8070" s="2" t="s">
        <v>822</v>
      </c>
      <c r="J8070" s="31">
        <v>72.071403500000002</v>
      </c>
      <c r="K8070" s="31">
        <v>49.030799899999998</v>
      </c>
      <c r="L8070" s="31"/>
      <c r="M8070" s="31" t="s">
        <v>854</v>
      </c>
      <c r="N8070" s="6" t="s">
        <v>856</v>
      </c>
    </row>
    <row r="8071" spans="1:14" ht="15" customHeight="1" x14ac:dyDescent="0.2">
      <c r="A8071" s="31">
        <v>2.8930551627156281E-2</v>
      </c>
      <c r="B8071" s="31"/>
      <c r="C8071" s="2" t="s">
        <v>855</v>
      </c>
      <c r="D8071" s="31">
        <f t="shared" ref="D8071:D8102" si="222" xml:space="preserve"> A8071 * 0.196</f>
        <v>5.6703881189226315E-3</v>
      </c>
      <c r="F8071" s="2" t="s">
        <v>822</v>
      </c>
      <c r="G8071" s="23" t="s">
        <v>902</v>
      </c>
      <c r="H8071" s="2" t="s">
        <v>822</v>
      </c>
      <c r="J8071" s="31">
        <v>70.795997600000007</v>
      </c>
      <c r="K8071" s="31">
        <v>35.596000699999998</v>
      </c>
      <c r="L8071" s="31"/>
      <c r="M8071" s="31" t="s">
        <v>854</v>
      </c>
      <c r="N8071" s="6" t="s">
        <v>856</v>
      </c>
    </row>
    <row r="8072" spans="1:14" ht="15" customHeight="1" x14ac:dyDescent="0.2">
      <c r="A8072" s="31">
        <v>2.883888044890795E-2</v>
      </c>
      <c r="B8072" s="31"/>
      <c r="C8072" s="2" t="s">
        <v>855</v>
      </c>
      <c r="D8072" s="31">
        <f t="shared" si="222"/>
        <v>5.6524205679859586E-3</v>
      </c>
      <c r="F8072" s="2" t="s">
        <v>822</v>
      </c>
      <c r="G8072" s="23" t="s">
        <v>902</v>
      </c>
      <c r="H8072" s="2" t="s">
        <v>822</v>
      </c>
      <c r="J8072" s="31">
        <v>65.572402999999994</v>
      </c>
      <c r="K8072" s="31">
        <v>-5.1736497999999997</v>
      </c>
      <c r="L8072" s="31"/>
      <c r="M8072" s="31" t="s">
        <v>854</v>
      </c>
      <c r="N8072" s="6" t="s">
        <v>856</v>
      </c>
    </row>
    <row r="8073" spans="1:14" ht="15" customHeight="1" x14ac:dyDescent="0.2">
      <c r="A8073" s="31">
        <v>2.862676995978148E-2</v>
      </c>
      <c r="B8073" s="31"/>
      <c r="C8073" s="2" t="s">
        <v>855</v>
      </c>
      <c r="D8073" s="31">
        <f t="shared" si="222"/>
        <v>5.6108469121171701E-3</v>
      </c>
      <c r="F8073" s="2" t="s">
        <v>822</v>
      </c>
      <c r="G8073" s="23" t="s">
        <v>902</v>
      </c>
      <c r="H8073" s="2" t="s">
        <v>822</v>
      </c>
      <c r="J8073" s="31">
        <v>71.652198799999994</v>
      </c>
      <c r="K8073" s="31">
        <v>-16.232900600000001</v>
      </c>
      <c r="L8073" s="31"/>
      <c r="M8073" s="31" t="s">
        <v>854</v>
      </c>
      <c r="N8073" s="6" t="s">
        <v>856</v>
      </c>
    </row>
    <row r="8074" spans="1:14" ht="15" customHeight="1" x14ac:dyDescent="0.2">
      <c r="A8074" s="31">
        <v>2.8530496103082659E-2</v>
      </c>
      <c r="B8074" s="31"/>
      <c r="C8074" s="2" t="s">
        <v>855</v>
      </c>
      <c r="D8074" s="31">
        <f t="shared" si="222"/>
        <v>5.5919772362042017E-3</v>
      </c>
      <c r="F8074" s="2" t="s">
        <v>822</v>
      </c>
      <c r="G8074" s="23" t="s">
        <v>902</v>
      </c>
      <c r="H8074" s="2" t="s">
        <v>822</v>
      </c>
      <c r="J8074" s="31">
        <v>74.732696500000003</v>
      </c>
      <c r="K8074" s="31">
        <v>3.5320000999999999</v>
      </c>
      <c r="L8074" s="31"/>
      <c r="M8074" s="31" t="s">
        <v>854</v>
      </c>
      <c r="N8074" s="6" t="s">
        <v>856</v>
      </c>
    </row>
    <row r="8075" spans="1:14" ht="15" customHeight="1" x14ac:dyDescent="0.2">
      <c r="A8075" s="31">
        <v>2.8469279796366039E-2</v>
      </c>
      <c r="B8075" s="31"/>
      <c r="C8075" s="2" t="s">
        <v>855</v>
      </c>
      <c r="D8075" s="31">
        <f t="shared" si="222"/>
        <v>5.5799788400877435E-3</v>
      </c>
      <c r="F8075" s="2" t="s">
        <v>822</v>
      </c>
      <c r="G8075" s="23" t="s">
        <v>902</v>
      </c>
      <c r="H8075" s="2" t="s">
        <v>822</v>
      </c>
      <c r="J8075" s="31">
        <v>75.395599399999995</v>
      </c>
      <c r="K8075" s="31">
        <v>4.7836299999999998E-2</v>
      </c>
      <c r="L8075" s="31"/>
      <c r="M8075" s="31" t="s">
        <v>854</v>
      </c>
      <c r="N8075" s="6" t="s">
        <v>856</v>
      </c>
    </row>
    <row r="8076" spans="1:14" ht="15" customHeight="1" x14ac:dyDescent="0.2">
      <c r="A8076" s="31">
        <v>2.8446380534655528E-2</v>
      </c>
      <c r="B8076" s="31"/>
      <c r="C8076" s="2" t="s">
        <v>855</v>
      </c>
      <c r="D8076" s="31">
        <f t="shared" si="222"/>
        <v>5.5754905847924842E-3</v>
      </c>
      <c r="F8076" s="2" t="s">
        <v>822</v>
      </c>
      <c r="G8076" s="23" t="s">
        <v>902</v>
      </c>
      <c r="H8076" s="2" t="s">
        <v>822</v>
      </c>
      <c r="J8076" s="31">
        <v>74.697601300000002</v>
      </c>
      <c r="K8076" s="31">
        <v>46.959999099999997</v>
      </c>
      <c r="L8076" s="31"/>
      <c r="M8076" s="31" t="s">
        <v>854</v>
      </c>
      <c r="N8076" s="6" t="s">
        <v>856</v>
      </c>
    </row>
    <row r="8077" spans="1:14" ht="15" customHeight="1" x14ac:dyDescent="0.2">
      <c r="A8077" s="31">
        <v>2.8222264835074909E-2</v>
      </c>
      <c r="B8077" s="31"/>
      <c r="C8077" s="2" t="s">
        <v>855</v>
      </c>
      <c r="D8077" s="31">
        <f t="shared" si="222"/>
        <v>5.5315639076746826E-3</v>
      </c>
      <c r="F8077" s="2" t="s">
        <v>822</v>
      </c>
      <c r="G8077" s="23" t="s">
        <v>902</v>
      </c>
      <c r="H8077" s="2" t="s">
        <v>822</v>
      </c>
      <c r="J8077" s="31">
        <v>68.124000499999994</v>
      </c>
      <c r="K8077" s="31">
        <v>-17.8439999</v>
      </c>
      <c r="L8077" s="31"/>
      <c r="M8077" s="31" t="s">
        <v>854</v>
      </c>
      <c r="N8077" s="6" t="s">
        <v>856</v>
      </c>
    </row>
    <row r="8078" spans="1:14" ht="15" customHeight="1" x14ac:dyDescent="0.2">
      <c r="A8078" s="31">
        <v>2.8073894523023609E-2</v>
      </c>
      <c r="B8078" s="31"/>
      <c r="C8078" s="2" t="s">
        <v>855</v>
      </c>
      <c r="D8078" s="31">
        <f t="shared" si="222"/>
        <v>5.5024833265126276E-3</v>
      </c>
      <c r="F8078" s="2" t="s">
        <v>822</v>
      </c>
      <c r="G8078" s="23" t="s">
        <v>902</v>
      </c>
      <c r="H8078" s="2" t="s">
        <v>822</v>
      </c>
      <c r="J8078" s="31">
        <v>75.158698999999999</v>
      </c>
      <c r="K8078" s="31">
        <v>27.1667995</v>
      </c>
      <c r="L8078" s="31"/>
      <c r="M8078" s="31" t="s">
        <v>854</v>
      </c>
      <c r="N8078" s="6" t="s">
        <v>856</v>
      </c>
    </row>
    <row r="8079" spans="1:14" ht="15" customHeight="1" x14ac:dyDescent="0.2">
      <c r="A8079" s="31">
        <v>2.7787650644702431E-2</v>
      </c>
      <c r="B8079" s="31"/>
      <c r="C8079" s="2" t="s">
        <v>855</v>
      </c>
      <c r="D8079" s="31">
        <f t="shared" si="222"/>
        <v>5.4463795263616768E-3</v>
      </c>
      <c r="F8079" s="2" t="s">
        <v>822</v>
      </c>
      <c r="G8079" s="23" t="s">
        <v>902</v>
      </c>
      <c r="H8079" s="2" t="s">
        <v>822</v>
      </c>
      <c r="J8079" s="31">
        <v>72.190696700000004</v>
      </c>
      <c r="K8079" s="31">
        <v>48.462100999999997</v>
      </c>
      <c r="L8079" s="31"/>
      <c r="M8079" s="31" t="s">
        <v>854</v>
      </c>
      <c r="N8079" s="6" t="s">
        <v>856</v>
      </c>
    </row>
    <row r="8080" spans="1:14" ht="15" customHeight="1" x14ac:dyDescent="0.2">
      <c r="A8080" s="31">
        <v>2.766402809689843E-2</v>
      </c>
      <c r="B8080" s="31"/>
      <c r="C8080" s="2" t="s">
        <v>855</v>
      </c>
      <c r="D8080" s="31">
        <f t="shared" si="222"/>
        <v>5.4221495069920926E-3</v>
      </c>
      <c r="F8080" s="2" t="s">
        <v>822</v>
      </c>
      <c r="G8080" s="23" t="s">
        <v>902</v>
      </c>
      <c r="H8080" s="2" t="s">
        <v>822</v>
      </c>
      <c r="J8080" s="31">
        <v>73.348503100000002</v>
      </c>
      <c r="K8080" s="31">
        <v>-2.4913001000000001</v>
      </c>
      <c r="L8080" s="31"/>
      <c r="M8080" s="31" t="s">
        <v>854</v>
      </c>
      <c r="N8080" s="6" t="s">
        <v>856</v>
      </c>
    </row>
    <row r="8081" spans="1:14" ht="15" customHeight="1" x14ac:dyDescent="0.2">
      <c r="A8081" s="31">
        <v>2.766319787006899E-2</v>
      </c>
      <c r="B8081" s="31"/>
      <c r="C8081" s="2" t="s">
        <v>855</v>
      </c>
      <c r="D8081" s="31">
        <f t="shared" si="222"/>
        <v>5.4219867825335225E-3</v>
      </c>
      <c r="F8081" s="2" t="s">
        <v>822</v>
      </c>
      <c r="G8081" s="23" t="s">
        <v>902</v>
      </c>
      <c r="H8081" s="2" t="s">
        <v>822</v>
      </c>
      <c r="J8081" s="31">
        <v>73.468002299999995</v>
      </c>
      <c r="K8081" s="31">
        <v>20.2320004</v>
      </c>
      <c r="L8081" s="31"/>
      <c r="M8081" s="31" t="s">
        <v>854</v>
      </c>
      <c r="N8081" s="6" t="s">
        <v>856</v>
      </c>
    </row>
    <row r="8082" spans="1:14" ht="15" customHeight="1" x14ac:dyDescent="0.2">
      <c r="A8082" s="31">
        <v>2.6978303120874771E-2</v>
      </c>
      <c r="B8082" s="31"/>
      <c r="C8082" s="2" t="s">
        <v>855</v>
      </c>
      <c r="D8082" s="31">
        <f t="shared" si="222"/>
        <v>5.287747411691455E-3</v>
      </c>
      <c r="F8082" s="2" t="s">
        <v>822</v>
      </c>
      <c r="G8082" s="23" t="s">
        <v>902</v>
      </c>
      <c r="H8082" s="2" t="s">
        <v>822</v>
      </c>
      <c r="J8082" s="31">
        <v>75.026702900000004</v>
      </c>
      <c r="K8082" s="31">
        <v>2.3073299</v>
      </c>
      <c r="L8082" s="31"/>
      <c r="M8082" s="31" t="s">
        <v>854</v>
      </c>
      <c r="N8082" s="6" t="s">
        <v>856</v>
      </c>
    </row>
    <row r="8083" spans="1:14" ht="15" customHeight="1" x14ac:dyDescent="0.2">
      <c r="A8083" s="31">
        <v>2.6930564601260979E-2</v>
      </c>
      <c r="B8083" s="31"/>
      <c r="C8083" s="2" t="s">
        <v>855</v>
      </c>
      <c r="D8083" s="31">
        <f t="shared" si="222"/>
        <v>5.2783906618471517E-3</v>
      </c>
      <c r="F8083" s="2" t="s">
        <v>822</v>
      </c>
      <c r="G8083" s="23" t="s">
        <v>902</v>
      </c>
      <c r="H8083" s="2" t="s">
        <v>822</v>
      </c>
      <c r="J8083" s="31">
        <v>74.022903400000004</v>
      </c>
      <c r="K8083" s="31">
        <v>18.0986996</v>
      </c>
      <c r="L8083" s="31"/>
      <c r="M8083" s="31" t="s">
        <v>854</v>
      </c>
      <c r="N8083" s="6" t="s">
        <v>856</v>
      </c>
    </row>
    <row r="8084" spans="1:14" ht="15" customHeight="1" x14ac:dyDescent="0.2">
      <c r="A8084" s="31">
        <v>2.6887167621163641E-2</v>
      </c>
      <c r="B8084" s="31"/>
      <c r="C8084" s="2" t="s">
        <v>855</v>
      </c>
      <c r="D8084" s="31">
        <f t="shared" si="222"/>
        <v>5.2698848537480738E-3</v>
      </c>
      <c r="F8084" s="2" t="s">
        <v>822</v>
      </c>
      <c r="G8084" s="23" t="s">
        <v>902</v>
      </c>
      <c r="H8084" s="2" t="s">
        <v>822</v>
      </c>
      <c r="J8084" s="31">
        <v>74.1360016</v>
      </c>
      <c r="K8084" s="31">
        <v>24.908000900000001</v>
      </c>
      <c r="L8084" s="31"/>
      <c r="M8084" s="31" t="s">
        <v>854</v>
      </c>
      <c r="N8084" s="6" t="s">
        <v>856</v>
      </c>
    </row>
    <row r="8085" spans="1:14" ht="15" customHeight="1" x14ac:dyDescent="0.2">
      <c r="A8085" s="31">
        <v>2.6799816384984208E-2</v>
      </c>
      <c r="B8085" s="31"/>
      <c r="C8085" s="2" t="s">
        <v>855</v>
      </c>
      <c r="D8085" s="31">
        <f t="shared" si="222"/>
        <v>5.2527640114569049E-3</v>
      </c>
      <c r="F8085" s="2" t="s">
        <v>822</v>
      </c>
      <c r="G8085" s="23" t="s">
        <v>902</v>
      </c>
      <c r="H8085" s="2" t="s">
        <v>822</v>
      </c>
      <c r="J8085" s="31">
        <v>68.137702899999994</v>
      </c>
      <c r="K8085" s="31">
        <v>-23.020099600000002</v>
      </c>
      <c r="L8085" s="31"/>
      <c r="M8085" s="31" t="s">
        <v>854</v>
      </c>
      <c r="N8085" s="6" t="s">
        <v>856</v>
      </c>
    </row>
    <row r="8086" spans="1:14" ht="15" customHeight="1" x14ac:dyDescent="0.2">
      <c r="A8086" s="31">
        <v>2.6688269397592019E-2</v>
      </c>
      <c r="B8086" s="31"/>
      <c r="C8086" s="2" t="s">
        <v>855</v>
      </c>
      <c r="D8086" s="31">
        <f t="shared" si="222"/>
        <v>5.2309008019280363E-3</v>
      </c>
      <c r="F8086" s="2" t="s">
        <v>822</v>
      </c>
      <c r="G8086" s="23" t="s">
        <v>902</v>
      </c>
      <c r="H8086" s="2" t="s">
        <v>822</v>
      </c>
      <c r="J8086" s="31">
        <v>73.468002299999995</v>
      </c>
      <c r="K8086" s="31">
        <v>4.1999997999999996</v>
      </c>
      <c r="L8086" s="31"/>
      <c r="M8086" s="31" t="s">
        <v>854</v>
      </c>
      <c r="N8086" s="6" t="s">
        <v>856</v>
      </c>
    </row>
    <row r="8087" spans="1:14" ht="15" customHeight="1" x14ac:dyDescent="0.2">
      <c r="A8087" s="31">
        <v>2.667794446364951E-2</v>
      </c>
      <c r="B8087" s="31"/>
      <c r="C8087" s="2" t="s">
        <v>855</v>
      </c>
      <c r="D8087" s="31">
        <f t="shared" si="222"/>
        <v>5.2288771148753044E-3</v>
      </c>
      <c r="F8087" s="2" t="s">
        <v>822</v>
      </c>
      <c r="G8087" s="23" t="s">
        <v>902</v>
      </c>
      <c r="H8087" s="2" t="s">
        <v>822</v>
      </c>
      <c r="J8087" s="31">
        <v>70.127998399999996</v>
      </c>
      <c r="K8087" s="31">
        <v>50.959999099999997</v>
      </c>
      <c r="L8087" s="31"/>
      <c r="M8087" s="31" t="s">
        <v>854</v>
      </c>
      <c r="N8087" s="6" t="s">
        <v>856</v>
      </c>
    </row>
    <row r="8088" spans="1:14" ht="15" customHeight="1" x14ac:dyDescent="0.2">
      <c r="A8088" s="31">
        <v>2.6405318420579912E-2</v>
      </c>
      <c r="B8088" s="31"/>
      <c r="C8088" s="2" t="s">
        <v>855</v>
      </c>
      <c r="D8088" s="31">
        <f t="shared" si="222"/>
        <v>5.1754424104336625E-3</v>
      </c>
      <c r="F8088" s="2" t="s">
        <v>822</v>
      </c>
      <c r="G8088" s="23" t="s">
        <v>902</v>
      </c>
      <c r="H8088" s="2" t="s">
        <v>822</v>
      </c>
      <c r="J8088" s="31">
        <v>72.800003099999998</v>
      </c>
      <c r="K8088" s="31">
        <v>4.8680000000000003</v>
      </c>
      <c r="L8088" s="31"/>
      <c r="M8088" s="31" t="s">
        <v>854</v>
      </c>
      <c r="N8088" s="6" t="s">
        <v>856</v>
      </c>
    </row>
    <row r="8089" spans="1:14" ht="15" customHeight="1" x14ac:dyDescent="0.2">
      <c r="A8089" s="31">
        <v>2.6383327630579091E-2</v>
      </c>
      <c r="B8089" s="31"/>
      <c r="C8089" s="2" t="s">
        <v>855</v>
      </c>
      <c r="D8089" s="31">
        <f t="shared" si="222"/>
        <v>5.1711322155935015E-3</v>
      </c>
      <c r="F8089" s="2" t="s">
        <v>822</v>
      </c>
      <c r="G8089" s="23" t="s">
        <v>902</v>
      </c>
      <c r="H8089" s="2" t="s">
        <v>822</v>
      </c>
      <c r="J8089" s="31">
        <v>74.729797399999995</v>
      </c>
      <c r="K8089" s="31">
        <v>2.15889</v>
      </c>
      <c r="L8089" s="31"/>
      <c r="M8089" s="31" t="s">
        <v>854</v>
      </c>
      <c r="N8089" s="6" t="s">
        <v>856</v>
      </c>
    </row>
    <row r="8090" spans="1:14" ht="15" customHeight="1" x14ac:dyDescent="0.2">
      <c r="A8090" s="31">
        <v>2.6198894495631429E-2</v>
      </c>
      <c r="B8090" s="31"/>
      <c r="C8090" s="2" t="s">
        <v>855</v>
      </c>
      <c r="D8090" s="31">
        <f t="shared" si="222"/>
        <v>5.1349833211437601E-3</v>
      </c>
      <c r="F8090" s="2" t="s">
        <v>822</v>
      </c>
      <c r="G8090" s="23" t="s">
        <v>902</v>
      </c>
      <c r="H8090" s="2" t="s">
        <v>822</v>
      </c>
      <c r="J8090" s="31">
        <v>69.529197699999997</v>
      </c>
      <c r="K8090" s="31">
        <v>34.946201299999998</v>
      </c>
      <c r="L8090" s="31"/>
      <c r="M8090" s="31" t="s">
        <v>854</v>
      </c>
      <c r="N8090" s="6" t="s">
        <v>856</v>
      </c>
    </row>
    <row r="8091" spans="1:14" ht="15" customHeight="1" x14ac:dyDescent="0.2">
      <c r="A8091" s="31">
        <v>2.6173833743187509E-2</v>
      </c>
      <c r="B8091" s="31"/>
      <c r="C8091" s="2" t="s">
        <v>855</v>
      </c>
      <c r="D8091" s="31">
        <f t="shared" si="222"/>
        <v>5.1300714136647517E-3</v>
      </c>
      <c r="F8091" s="2" t="s">
        <v>822</v>
      </c>
      <c r="G8091" s="23" t="s">
        <v>902</v>
      </c>
      <c r="H8091" s="2" t="s">
        <v>822</v>
      </c>
      <c r="J8091" s="31">
        <v>74.706596399999995</v>
      </c>
      <c r="K8091" s="31">
        <v>17.448</v>
      </c>
      <c r="L8091" s="31"/>
      <c r="M8091" s="31" t="s">
        <v>854</v>
      </c>
      <c r="N8091" s="6" t="s">
        <v>856</v>
      </c>
    </row>
    <row r="8092" spans="1:14" ht="15" customHeight="1" x14ac:dyDescent="0.2">
      <c r="A8092" s="31">
        <v>2.6103873993903799E-2</v>
      </c>
      <c r="B8092" s="31"/>
      <c r="C8092" s="2" t="s">
        <v>855</v>
      </c>
      <c r="D8092" s="31">
        <f t="shared" si="222"/>
        <v>5.1163593028051447E-3</v>
      </c>
      <c r="F8092" s="2" t="s">
        <v>822</v>
      </c>
      <c r="G8092" s="23" t="s">
        <v>902</v>
      </c>
      <c r="H8092" s="2" t="s">
        <v>822</v>
      </c>
      <c r="J8092" s="31">
        <v>71.753097499999996</v>
      </c>
      <c r="K8092" s="31">
        <v>33.035301199999999</v>
      </c>
      <c r="L8092" s="31"/>
      <c r="M8092" s="31" t="s">
        <v>854</v>
      </c>
      <c r="N8092" s="6" t="s">
        <v>856</v>
      </c>
    </row>
    <row r="8093" spans="1:14" ht="15" customHeight="1" x14ac:dyDescent="0.2">
      <c r="A8093" s="31">
        <v>2.597977959879174E-2</v>
      </c>
      <c r="B8093" s="31"/>
      <c r="C8093" s="2" t="s">
        <v>855</v>
      </c>
      <c r="D8093" s="31">
        <f t="shared" si="222"/>
        <v>5.092036801363181E-3</v>
      </c>
      <c r="F8093" s="2" t="s">
        <v>822</v>
      </c>
      <c r="G8093" s="23" t="s">
        <v>902</v>
      </c>
      <c r="H8093" s="2" t="s">
        <v>822</v>
      </c>
      <c r="J8093" s="31">
        <v>74.1360016</v>
      </c>
      <c r="K8093" s="31">
        <v>0.192</v>
      </c>
      <c r="L8093" s="31"/>
      <c r="M8093" s="31" t="s">
        <v>854</v>
      </c>
      <c r="N8093" s="6" t="s">
        <v>856</v>
      </c>
    </row>
    <row r="8094" spans="1:14" ht="15" customHeight="1" x14ac:dyDescent="0.2">
      <c r="A8094" s="31">
        <v>2.59070151461154E-2</v>
      </c>
      <c r="B8094" s="31"/>
      <c r="C8094" s="2" t="s">
        <v>855</v>
      </c>
      <c r="D8094" s="31">
        <f t="shared" si="222"/>
        <v>5.0777749686386183E-3</v>
      </c>
      <c r="F8094" s="2" t="s">
        <v>822</v>
      </c>
      <c r="G8094" s="23" t="s">
        <v>902</v>
      </c>
      <c r="H8094" s="2" t="s">
        <v>822</v>
      </c>
      <c r="J8094" s="31">
        <v>71.834701499999994</v>
      </c>
      <c r="K8094" s="31">
        <v>48.131000499999999</v>
      </c>
      <c r="L8094" s="31"/>
      <c r="M8094" s="31" t="s">
        <v>854</v>
      </c>
      <c r="N8094" s="6" t="s">
        <v>856</v>
      </c>
    </row>
    <row r="8095" spans="1:14" ht="15" customHeight="1" x14ac:dyDescent="0.2">
      <c r="A8095" s="31">
        <v>2.5684301079840061E-2</v>
      </c>
      <c r="B8095" s="31"/>
      <c r="C8095" s="2" t="s">
        <v>855</v>
      </c>
      <c r="D8095" s="31">
        <f t="shared" si="222"/>
        <v>5.0341230116486523E-3</v>
      </c>
      <c r="F8095" s="2" t="s">
        <v>822</v>
      </c>
      <c r="G8095" s="23" t="s">
        <v>902</v>
      </c>
      <c r="H8095" s="2" t="s">
        <v>822</v>
      </c>
      <c r="J8095" s="31">
        <v>73.468002299999995</v>
      </c>
      <c r="K8095" s="31">
        <v>25.576000199999999</v>
      </c>
      <c r="L8095" s="31"/>
      <c r="M8095" s="31" t="s">
        <v>854</v>
      </c>
      <c r="N8095" s="6" t="s">
        <v>856</v>
      </c>
    </row>
    <row r="8096" spans="1:14" ht="15" customHeight="1" x14ac:dyDescent="0.2">
      <c r="A8096" s="31">
        <v>2.558670632574158E-2</v>
      </c>
      <c r="B8096" s="31"/>
      <c r="C8096" s="2" t="s">
        <v>855</v>
      </c>
      <c r="D8096" s="31">
        <f t="shared" si="222"/>
        <v>5.0149944398453503E-3</v>
      </c>
      <c r="F8096" s="2" t="s">
        <v>822</v>
      </c>
      <c r="G8096" s="23" t="s">
        <v>902</v>
      </c>
      <c r="H8096" s="2" t="s">
        <v>822</v>
      </c>
      <c r="J8096" s="31">
        <v>73.456199600000005</v>
      </c>
      <c r="K8096" s="31">
        <v>-3.8259799000000001</v>
      </c>
      <c r="L8096" s="31"/>
      <c r="M8096" s="31" t="s">
        <v>854</v>
      </c>
      <c r="N8096" s="6" t="s">
        <v>856</v>
      </c>
    </row>
    <row r="8097" spans="1:14" ht="15" customHeight="1" x14ac:dyDescent="0.2">
      <c r="A8097" s="31">
        <v>2.5568151267503541E-2</v>
      </c>
      <c r="B8097" s="31"/>
      <c r="C8097" s="2" t="s">
        <v>855</v>
      </c>
      <c r="D8097" s="31">
        <f t="shared" si="222"/>
        <v>5.0113576484306938E-3</v>
      </c>
      <c r="F8097" s="2" t="s">
        <v>822</v>
      </c>
      <c r="G8097" s="23" t="s">
        <v>902</v>
      </c>
      <c r="H8097" s="2" t="s">
        <v>822</v>
      </c>
      <c r="J8097" s="31">
        <v>72.800003099999998</v>
      </c>
      <c r="K8097" s="31">
        <v>20.2320004</v>
      </c>
      <c r="L8097" s="31"/>
      <c r="M8097" s="31" t="s">
        <v>854</v>
      </c>
      <c r="N8097" s="6" t="s">
        <v>856</v>
      </c>
    </row>
    <row r="8098" spans="1:14" ht="15" customHeight="1" x14ac:dyDescent="0.2">
      <c r="A8098" s="31">
        <v>2.5520133327277119E-2</v>
      </c>
      <c r="B8098" s="31"/>
      <c r="C8098" s="2" t="s">
        <v>855</v>
      </c>
      <c r="D8098" s="31">
        <f t="shared" si="222"/>
        <v>5.0019461321463158E-3</v>
      </c>
      <c r="F8098" s="2" t="s">
        <v>822</v>
      </c>
      <c r="G8098" s="23" t="s">
        <v>902</v>
      </c>
      <c r="H8098" s="2" t="s">
        <v>822</v>
      </c>
      <c r="J8098" s="31">
        <v>70.7770996</v>
      </c>
      <c r="K8098" s="31">
        <v>48.214298200000002</v>
      </c>
      <c r="L8098" s="31"/>
      <c r="M8098" s="31" t="s">
        <v>854</v>
      </c>
      <c r="N8098" s="6" t="s">
        <v>856</v>
      </c>
    </row>
    <row r="8099" spans="1:14" ht="15" customHeight="1" x14ac:dyDescent="0.2">
      <c r="A8099" s="31">
        <v>2.5492682259219149E-2</v>
      </c>
      <c r="B8099" s="31"/>
      <c r="C8099" s="2" t="s">
        <v>855</v>
      </c>
      <c r="D8099" s="31">
        <f t="shared" si="222"/>
        <v>4.9965657228069537E-3</v>
      </c>
      <c r="F8099" s="2" t="s">
        <v>822</v>
      </c>
      <c r="G8099" s="23" t="s">
        <v>902</v>
      </c>
      <c r="H8099" s="2" t="s">
        <v>822</v>
      </c>
      <c r="J8099" s="31">
        <v>69.512298599999994</v>
      </c>
      <c r="K8099" s="31">
        <v>35.605998999999997</v>
      </c>
      <c r="L8099" s="31"/>
      <c r="M8099" s="31" t="s">
        <v>854</v>
      </c>
      <c r="N8099" s="6" t="s">
        <v>856</v>
      </c>
    </row>
    <row r="8100" spans="1:14" ht="15" customHeight="1" x14ac:dyDescent="0.2">
      <c r="A8100" s="31">
        <v>2.5452484339610362E-2</v>
      </c>
      <c r="B8100" s="31"/>
      <c r="C8100" s="2" t="s">
        <v>855</v>
      </c>
      <c r="D8100" s="31">
        <f t="shared" si="222"/>
        <v>4.9886869305636313E-3</v>
      </c>
      <c r="F8100" s="2" t="s">
        <v>822</v>
      </c>
      <c r="G8100" s="23" t="s">
        <v>902</v>
      </c>
      <c r="H8100" s="2" t="s">
        <v>822</v>
      </c>
      <c r="J8100" s="31">
        <v>70.127998399999996</v>
      </c>
      <c r="K8100" s="31">
        <v>50.291999799999999</v>
      </c>
      <c r="L8100" s="31"/>
      <c r="M8100" s="31" t="s">
        <v>854</v>
      </c>
      <c r="N8100" s="6" t="s">
        <v>856</v>
      </c>
    </row>
    <row r="8101" spans="1:14" ht="15" customHeight="1" x14ac:dyDescent="0.2">
      <c r="A8101" s="31">
        <v>2.5356607142252411E-2</v>
      </c>
      <c r="B8101" s="31"/>
      <c r="C8101" s="2" t="s">
        <v>855</v>
      </c>
      <c r="D8101" s="31">
        <f t="shared" si="222"/>
        <v>4.9698949998814726E-3</v>
      </c>
      <c r="F8101" s="2" t="s">
        <v>822</v>
      </c>
      <c r="G8101" s="23" t="s">
        <v>902</v>
      </c>
      <c r="H8101" s="2" t="s">
        <v>822</v>
      </c>
      <c r="J8101" s="31">
        <v>72.800003099999998</v>
      </c>
      <c r="K8101" s="31">
        <v>4.1999997999999996</v>
      </c>
      <c r="L8101" s="31"/>
      <c r="M8101" s="31" t="s">
        <v>854</v>
      </c>
      <c r="N8101" s="6" t="s">
        <v>856</v>
      </c>
    </row>
    <row r="8102" spans="1:14" ht="15" customHeight="1" x14ac:dyDescent="0.2">
      <c r="A8102" s="31">
        <v>2.5270462724259361E-2</v>
      </c>
      <c r="B8102" s="31"/>
      <c r="C8102" s="2" t="s">
        <v>855</v>
      </c>
      <c r="D8102" s="31">
        <f t="shared" si="222"/>
        <v>4.9530106939548353E-3</v>
      </c>
      <c r="F8102" s="2" t="s">
        <v>822</v>
      </c>
      <c r="G8102" s="23" t="s">
        <v>902</v>
      </c>
      <c r="H8102" s="2" t="s">
        <v>822</v>
      </c>
      <c r="J8102" s="31">
        <v>75.388999900000002</v>
      </c>
      <c r="K8102" s="31">
        <v>0.85841800000000001</v>
      </c>
      <c r="L8102" s="31"/>
      <c r="M8102" s="31" t="s">
        <v>854</v>
      </c>
      <c r="N8102" s="6" t="s">
        <v>856</v>
      </c>
    </row>
    <row r="8103" spans="1:14" ht="15" customHeight="1" x14ac:dyDescent="0.2">
      <c r="A8103" s="31">
        <v>2.524607405116459E-2</v>
      </c>
      <c r="B8103" s="31"/>
      <c r="C8103" s="2" t="s">
        <v>855</v>
      </c>
      <c r="D8103" s="31">
        <f t="shared" ref="D8103:D8134" si="223" xml:space="preserve"> A8103 * 0.196</f>
        <v>4.9482305140282597E-3</v>
      </c>
      <c r="F8103" s="2" t="s">
        <v>822</v>
      </c>
      <c r="G8103" s="23" t="s">
        <v>902</v>
      </c>
      <c r="H8103" s="2" t="s">
        <v>822</v>
      </c>
      <c r="J8103" s="31">
        <v>67.971603400000006</v>
      </c>
      <c r="K8103" s="31">
        <v>-24.3512001</v>
      </c>
      <c r="L8103" s="31"/>
      <c r="M8103" s="31" t="s">
        <v>854</v>
      </c>
      <c r="N8103" s="6" t="s">
        <v>856</v>
      </c>
    </row>
    <row r="8104" spans="1:14" ht="15" customHeight="1" x14ac:dyDescent="0.2">
      <c r="A8104" s="31">
        <v>2.5198008400962511E-2</v>
      </c>
      <c r="B8104" s="31"/>
      <c r="C8104" s="2" t="s">
        <v>855</v>
      </c>
      <c r="D8104" s="31">
        <f t="shared" si="223"/>
        <v>4.9388096465886521E-3</v>
      </c>
      <c r="F8104" s="2" t="s">
        <v>822</v>
      </c>
      <c r="G8104" s="23" t="s">
        <v>902</v>
      </c>
      <c r="H8104" s="2" t="s">
        <v>822</v>
      </c>
      <c r="J8104" s="31">
        <v>74.1360016</v>
      </c>
      <c r="K8104" s="31">
        <v>46.284000399999996</v>
      </c>
      <c r="L8104" s="31"/>
      <c r="M8104" s="31" t="s">
        <v>854</v>
      </c>
      <c r="N8104" s="6" t="s">
        <v>856</v>
      </c>
    </row>
    <row r="8105" spans="1:14" ht="15" customHeight="1" x14ac:dyDescent="0.2">
      <c r="A8105" s="31">
        <v>2.5178858792497809E-2</v>
      </c>
      <c r="B8105" s="31"/>
      <c r="C8105" s="2" t="s">
        <v>855</v>
      </c>
      <c r="D8105" s="31">
        <f t="shared" si="223"/>
        <v>4.9350563233295707E-3</v>
      </c>
      <c r="F8105" s="2" t="s">
        <v>822</v>
      </c>
      <c r="G8105" s="23" t="s">
        <v>902</v>
      </c>
      <c r="H8105" s="2" t="s">
        <v>822</v>
      </c>
      <c r="J8105" s="31">
        <v>72.132003800000007</v>
      </c>
      <c r="K8105" s="31">
        <v>32.923999799999997</v>
      </c>
      <c r="L8105" s="31"/>
      <c r="M8105" s="31" t="s">
        <v>854</v>
      </c>
      <c r="N8105" s="6" t="s">
        <v>856</v>
      </c>
    </row>
    <row r="8106" spans="1:14" ht="15" customHeight="1" x14ac:dyDescent="0.2">
      <c r="A8106" s="31">
        <v>2.5177617733194092E-2</v>
      </c>
      <c r="B8106" s="31"/>
      <c r="C8106" s="2" t="s">
        <v>855</v>
      </c>
      <c r="D8106" s="31">
        <f t="shared" si="223"/>
        <v>4.9348130757060418E-3</v>
      </c>
      <c r="F8106" s="2" t="s">
        <v>822</v>
      </c>
      <c r="G8106" s="23" t="s">
        <v>902</v>
      </c>
      <c r="H8106" s="2" t="s">
        <v>822</v>
      </c>
      <c r="J8106" s="31">
        <v>69.389602699999998</v>
      </c>
      <c r="K8106" s="31">
        <v>-20.472200399999998</v>
      </c>
      <c r="L8106" s="31"/>
      <c r="M8106" s="31" t="s">
        <v>854</v>
      </c>
      <c r="N8106" s="6" t="s">
        <v>856</v>
      </c>
    </row>
    <row r="8107" spans="1:14" ht="15" customHeight="1" x14ac:dyDescent="0.2">
      <c r="A8107" s="31">
        <v>2.5144168833170541E-2</v>
      </c>
      <c r="B8107" s="31"/>
      <c r="C8107" s="2" t="s">
        <v>855</v>
      </c>
      <c r="D8107" s="31">
        <f t="shared" si="223"/>
        <v>4.9282570913014266E-3</v>
      </c>
      <c r="F8107" s="2" t="s">
        <v>822</v>
      </c>
      <c r="G8107" s="23" t="s">
        <v>902</v>
      </c>
      <c r="H8107" s="2" t="s">
        <v>822</v>
      </c>
      <c r="J8107" s="31">
        <v>68.334602399999994</v>
      </c>
      <c r="K8107" s="31">
        <v>46.352001199999997</v>
      </c>
      <c r="L8107" s="31"/>
      <c r="M8107" s="31" t="s">
        <v>854</v>
      </c>
      <c r="N8107" s="6" t="s">
        <v>856</v>
      </c>
    </row>
    <row r="8108" spans="1:14" ht="15" customHeight="1" x14ac:dyDescent="0.2">
      <c r="A8108" s="31">
        <v>2.4999508181609561E-2</v>
      </c>
      <c r="B8108" s="31"/>
      <c r="C8108" s="2" t="s">
        <v>855</v>
      </c>
      <c r="D8108" s="31">
        <f t="shared" si="223"/>
        <v>4.8999036035954745E-3</v>
      </c>
      <c r="F8108" s="2" t="s">
        <v>822</v>
      </c>
      <c r="G8108" s="23" t="s">
        <v>902</v>
      </c>
      <c r="H8108" s="2" t="s">
        <v>822</v>
      </c>
      <c r="J8108" s="31">
        <v>71.4756012</v>
      </c>
      <c r="K8108" s="31">
        <v>-15.8431997</v>
      </c>
      <c r="L8108" s="31"/>
      <c r="M8108" s="31" t="s">
        <v>854</v>
      </c>
      <c r="N8108" s="6" t="s">
        <v>856</v>
      </c>
    </row>
    <row r="8109" spans="1:14" ht="15" customHeight="1" x14ac:dyDescent="0.2">
      <c r="A8109" s="31">
        <v>2.4891913419154948E-2</v>
      </c>
      <c r="B8109" s="31"/>
      <c r="C8109" s="2" t="s">
        <v>855</v>
      </c>
      <c r="D8109" s="31">
        <f t="shared" si="223"/>
        <v>4.8788150301543702E-3</v>
      </c>
      <c r="F8109" s="2" t="s">
        <v>822</v>
      </c>
      <c r="G8109" s="23" t="s">
        <v>902</v>
      </c>
      <c r="H8109" s="2" t="s">
        <v>822</v>
      </c>
      <c r="J8109" s="31">
        <v>68.680603000000005</v>
      </c>
      <c r="K8109" s="31">
        <v>-19.847999600000001</v>
      </c>
      <c r="L8109" s="31"/>
      <c r="M8109" s="31" t="s">
        <v>854</v>
      </c>
      <c r="N8109" s="6" t="s">
        <v>856</v>
      </c>
    </row>
    <row r="8110" spans="1:14" ht="15" customHeight="1" x14ac:dyDescent="0.2">
      <c r="A8110" s="31">
        <v>2.4855942418279171E-2</v>
      </c>
      <c r="B8110" s="31"/>
      <c r="C8110" s="2" t="s">
        <v>855</v>
      </c>
      <c r="D8110" s="31">
        <f t="shared" si="223"/>
        <v>4.8717647139827173E-3</v>
      </c>
      <c r="F8110" s="2" t="s">
        <v>822</v>
      </c>
      <c r="G8110" s="23" t="s">
        <v>902</v>
      </c>
      <c r="H8110" s="2" t="s">
        <v>822</v>
      </c>
      <c r="J8110" s="31">
        <v>70.795997600000007</v>
      </c>
      <c r="K8110" s="31">
        <v>-17.8439999</v>
      </c>
      <c r="L8110" s="31"/>
      <c r="M8110" s="31" t="s">
        <v>854</v>
      </c>
      <c r="N8110" s="6" t="s">
        <v>856</v>
      </c>
    </row>
    <row r="8111" spans="1:14" ht="15" customHeight="1" x14ac:dyDescent="0.2">
      <c r="A8111" s="31">
        <v>2.4845727265772291E-2</v>
      </c>
      <c r="B8111" s="31"/>
      <c r="C8111" s="2" t="s">
        <v>855</v>
      </c>
      <c r="D8111" s="31">
        <f t="shared" si="223"/>
        <v>4.8697625440913689E-3</v>
      </c>
      <c r="F8111" s="2" t="s">
        <v>822</v>
      </c>
      <c r="G8111" s="23" t="s">
        <v>902</v>
      </c>
      <c r="H8111" s="2" t="s">
        <v>822</v>
      </c>
      <c r="J8111" s="31">
        <v>72.132003800000007</v>
      </c>
      <c r="K8111" s="31">
        <v>33.591999100000002</v>
      </c>
      <c r="L8111" s="31"/>
      <c r="M8111" s="31" t="s">
        <v>854</v>
      </c>
      <c r="N8111" s="6" t="s">
        <v>856</v>
      </c>
    </row>
    <row r="8112" spans="1:14" ht="15" customHeight="1" x14ac:dyDescent="0.2">
      <c r="A8112" s="31">
        <v>2.478858072138073E-2</v>
      </c>
      <c r="B8112" s="31"/>
      <c r="C8112" s="2" t="s">
        <v>855</v>
      </c>
      <c r="D8112" s="31">
        <f t="shared" si="223"/>
        <v>4.858561821390623E-3</v>
      </c>
      <c r="F8112" s="2" t="s">
        <v>822</v>
      </c>
      <c r="G8112" s="23" t="s">
        <v>902</v>
      </c>
      <c r="H8112" s="2" t="s">
        <v>822</v>
      </c>
      <c r="J8112" s="31">
        <v>72.800003099999998</v>
      </c>
      <c r="K8112" s="31">
        <v>34.259998299999999</v>
      </c>
      <c r="L8112" s="31"/>
      <c r="M8112" s="31" t="s">
        <v>854</v>
      </c>
      <c r="N8112" s="6" t="s">
        <v>856</v>
      </c>
    </row>
    <row r="8113" spans="1:14" ht="15" customHeight="1" x14ac:dyDescent="0.2">
      <c r="A8113" s="31">
        <v>2.4604559449934161E-2</v>
      </c>
      <c r="B8113" s="31"/>
      <c r="C8113" s="2" t="s">
        <v>855</v>
      </c>
      <c r="D8113" s="31">
        <f t="shared" si="223"/>
        <v>4.8224936521870957E-3</v>
      </c>
      <c r="F8113" s="2" t="s">
        <v>822</v>
      </c>
      <c r="G8113" s="23" t="s">
        <v>902</v>
      </c>
      <c r="H8113" s="2" t="s">
        <v>822</v>
      </c>
      <c r="J8113" s="31">
        <v>72.800003099999998</v>
      </c>
      <c r="K8113" s="31">
        <v>2.8640001000000002</v>
      </c>
      <c r="L8113" s="31"/>
      <c r="M8113" s="31" t="s">
        <v>854</v>
      </c>
      <c r="N8113" s="6" t="s">
        <v>856</v>
      </c>
    </row>
    <row r="8114" spans="1:14" ht="15" customHeight="1" x14ac:dyDescent="0.2">
      <c r="A8114" s="31">
        <v>2.4489757138392871E-2</v>
      </c>
      <c r="B8114" s="31"/>
      <c r="C8114" s="2" t="s">
        <v>855</v>
      </c>
      <c r="D8114" s="31">
        <f t="shared" si="223"/>
        <v>4.7999923991250025E-3</v>
      </c>
      <c r="F8114" s="2" t="s">
        <v>822</v>
      </c>
      <c r="G8114" s="23" t="s">
        <v>902</v>
      </c>
      <c r="H8114" s="2" t="s">
        <v>822</v>
      </c>
      <c r="J8114" s="31">
        <v>72.132003800000007</v>
      </c>
      <c r="K8114" s="31">
        <v>34.259998299999999</v>
      </c>
      <c r="L8114" s="31"/>
      <c r="M8114" s="31" t="s">
        <v>854</v>
      </c>
      <c r="N8114" s="6" t="s">
        <v>856</v>
      </c>
    </row>
    <row r="8115" spans="1:14" ht="15" customHeight="1" x14ac:dyDescent="0.2">
      <c r="A8115" s="31">
        <v>2.4485566433700669E-2</v>
      </c>
      <c r="B8115" s="31"/>
      <c r="C8115" s="2" t="s">
        <v>855</v>
      </c>
      <c r="D8115" s="31">
        <f t="shared" si="223"/>
        <v>4.7991710210053317E-3</v>
      </c>
      <c r="F8115" s="2" t="s">
        <v>822</v>
      </c>
      <c r="G8115" s="23" t="s">
        <v>902</v>
      </c>
      <c r="H8115" s="2" t="s">
        <v>822</v>
      </c>
      <c r="J8115" s="31">
        <v>74.1360016</v>
      </c>
      <c r="K8115" s="31">
        <v>-1.14398</v>
      </c>
      <c r="L8115" s="31"/>
      <c r="M8115" s="31" t="s">
        <v>854</v>
      </c>
      <c r="N8115" s="6" t="s">
        <v>856</v>
      </c>
    </row>
    <row r="8116" spans="1:14" ht="15" customHeight="1" x14ac:dyDescent="0.2">
      <c r="A8116" s="31">
        <v>2.4469855141550739E-2</v>
      </c>
      <c r="B8116" s="31"/>
      <c r="C8116" s="2" t="s">
        <v>855</v>
      </c>
      <c r="D8116" s="31">
        <f t="shared" si="223"/>
        <v>4.7960916077439452E-3</v>
      </c>
      <c r="F8116" s="2" t="s">
        <v>822</v>
      </c>
      <c r="G8116" s="23" t="s">
        <v>902</v>
      </c>
      <c r="H8116" s="2" t="s">
        <v>822</v>
      </c>
      <c r="J8116" s="31">
        <v>74.1360016</v>
      </c>
      <c r="K8116" s="31">
        <v>44.279998800000001</v>
      </c>
      <c r="L8116" s="31"/>
      <c r="M8116" s="31" t="s">
        <v>854</v>
      </c>
      <c r="N8116" s="6" t="s">
        <v>856</v>
      </c>
    </row>
    <row r="8117" spans="1:14" ht="15" customHeight="1" x14ac:dyDescent="0.2">
      <c r="A8117" s="31">
        <v>2.442698228098612E-2</v>
      </c>
      <c r="B8117" s="31"/>
      <c r="C8117" s="2" t="s">
        <v>855</v>
      </c>
      <c r="D8117" s="31">
        <f t="shared" si="223"/>
        <v>4.78768852707328E-3</v>
      </c>
      <c r="F8117" s="2" t="s">
        <v>822</v>
      </c>
      <c r="G8117" s="23" t="s">
        <v>902</v>
      </c>
      <c r="H8117" s="2" t="s">
        <v>822</v>
      </c>
      <c r="J8117" s="31">
        <v>71.8506012</v>
      </c>
      <c r="K8117" s="31">
        <v>-16.218200700000001</v>
      </c>
      <c r="L8117" s="31"/>
      <c r="M8117" s="31" t="s">
        <v>854</v>
      </c>
      <c r="N8117" s="6" t="s">
        <v>856</v>
      </c>
    </row>
    <row r="8118" spans="1:14" ht="15" customHeight="1" x14ac:dyDescent="0.2">
      <c r="A8118" s="31">
        <v>2.438258725379196E-2</v>
      </c>
      <c r="B8118" s="31"/>
      <c r="C8118" s="2" t="s">
        <v>855</v>
      </c>
      <c r="D8118" s="31">
        <f t="shared" si="223"/>
        <v>4.7789871017432243E-3</v>
      </c>
      <c r="F8118" s="2" t="s">
        <v>822</v>
      </c>
      <c r="G8118" s="23" t="s">
        <v>902</v>
      </c>
      <c r="H8118" s="2" t="s">
        <v>822</v>
      </c>
      <c r="J8118" s="31">
        <v>73.468002299999995</v>
      </c>
      <c r="K8118" s="31">
        <v>48.287998199999997</v>
      </c>
      <c r="L8118" s="31"/>
      <c r="M8118" s="31" t="s">
        <v>854</v>
      </c>
      <c r="N8118" s="6" t="s">
        <v>856</v>
      </c>
    </row>
    <row r="8119" spans="1:14" ht="15" customHeight="1" x14ac:dyDescent="0.2">
      <c r="A8119" s="31">
        <v>2.434878716546535E-2</v>
      </c>
      <c r="B8119" s="31"/>
      <c r="C8119" s="2" t="s">
        <v>855</v>
      </c>
      <c r="D8119" s="31">
        <f t="shared" si="223"/>
        <v>4.7723622844312091E-3</v>
      </c>
      <c r="F8119" s="2" t="s">
        <v>822</v>
      </c>
      <c r="G8119" s="23" t="s">
        <v>902</v>
      </c>
      <c r="H8119" s="2" t="s">
        <v>822</v>
      </c>
      <c r="J8119" s="31">
        <v>73.468002299999995</v>
      </c>
      <c r="K8119" s="31">
        <v>30.252000800000001</v>
      </c>
      <c r="L8119" s="31"/>
      <c r="M8119" s="31" t="s">
        <v>854</v>
      </c>
      <c r="N8119" s="6" t="s">
        <v>856</v>
      </c>
    </row>
    <row r="8120" spans="1:14" ht="15" customHeight="1" x14ac:dyDescent="0.2">
      <c r="A8120" s="31">
        <v>2.4320121330060559E-2</v>
      </c>
      <c r="B8120" s="31"/>
      <c r="C8120" s="2" t="s">
        <v>855</v>
      </c>
      <c r="D8120" s="31">
        <f t="shared" si="223"/>
        <v>4.76674378069187E-3</v>
      </c>
      <c r="F8120" s="2" t="s">
        <v>822</v>
      </c>
      <c r="G8120" s="23" t="s">
        <v>902</v>
      </c>
      <c r="H8120" s="2" t="s">
        <v>822</v>
      </c>
      <c r="J8120" s="31">
        <v>75.153900100000001</v>
      </c>
      <c r="K8120" s="31">
        <v>17.240699800000002</v>
      </c>
      <c r="L8120" s="31"/>
      <c r="M8120" s="31" t="s">
        <v>854</v>
      </c>
      <c r="N8120" s="6" t="s">
        <v>856</v>
      </c>
    </row>
    <row r="8121" spans="1:14" ht="15" customHeight="1" x14ac:dyDescent="0.2">
      <c r="A8121" s="31">
        <v>2.421829956561837E-2</v>
      </c>
      <c r="B8121" s="31"/>
      <c r="C8121" s="2" t="s">
        <v>855</v>
      </c>
      <c r="D8121" s="31">
        <f t="shared" si="223"/>
        <v>4.7467867148612009E-3</v>
      </c>
      <c r="F8121" s="2" t="s">
        <v>822</v>
      </c>
      <c r="G8121" s="23" t="s">
        <v>902</v>
      </c>
      <c r="H8121" s="2" t="s">
        <v>822</v>
      </c>
      <c r="J8121" s="31">
        <v>71.463996899999998</v>
      </c>
      <c r="K8121" s="31">
        <v>48.956001299999997</v>
      </c>
      <c r="L8121" s="31"/>
      <c r="M8121" s="31" t="s">
        <v>854</v>
      </c>
      <c r="N8121" s="6" t="s">
        <v>856</v>
      </c>
    </row>
    <row r="8122" spans="1:14" ht="15" customHeight="1" x14ac:dyDescent="0.2">
      <c r="A8122" s="31">
        <v>2.416022375378624E-2</v>
      </c>
      <c r="B8122" s="31"/>
      <c r="C8122" s="2" t="s">
        <v>855</v>
      </c>
      <c r="D8122" s="31">
        <f t="shared" si="223"/>
        <v>4.7354038557421031E-3</v>
      </c>
      <c r="F8122" s="2" t="s">
        <v>822</v>
      </c>
      <c r="G8122" s="23" t="s">
        <v>902</v>
      </c>
      <c r="H8122" s="2" t="s">
        <v>822</v>
      </c>
      <c r="J8122" s="31">
        <v>72.800003099999998</v>
      </c>
      <c r="K8122" s="31">
        <v>3.5320000999999999</v>
      </c>
      <c r="L8122" s="31"/>
      <c r="M8122" s="31" t="s">
        <v>854</v>
      </c>
      <c r="N8122" s="6" t="s">
        <v>856</v>
      </c>
    </row>
    <row r="8123" spans="1:14" ht="15" customHeight="1" x14ac:dyDescent="0.2">
      <c r="A8123" s="31">
        <v>2.403441513263321E-2</v>
      </c>
      <c r="B8123" s="31"/>
      <c r="C8123" s="2" t="s">
        <v>855</v>
      </c>
      <c r="D8123" s="31">
        <f t="shared" si="223"/>
        <v>4.710745365996109E-3</v>
      </c>
      <c r="F8123" s="2" t="s">
        <v>822</v>
      </c>
      <c r="G8123" s="23" t="s">
        <v>902</v>
      </c>
      <c r="H8123" s="2" t="s">
        <v>822</v>
      </c>
      <c r="J8123" s="31">
        <v>71.463996899999998</v>
      </c>
      <c r="K8123" s="31">
        <v>34.928001399999999</v>
      </c>
      <c r="L8123" s="31"/>
      <c r="M8123" s="31" t="s">
        <v>854</v>
      </c>
      <c r="N8123" s="6" t="s">
        <v>856</v>
      </c>
    </row>
    <row r="8124" spans="1:14" ht="15" customHeight="1" x14ac:dyDescent="0.2">
      <c r="A8124" s="31">
        <v>2.3909683318819069E-2</v>
      </c>
      <c r="B8124" s="31"/>
      <c r="C8124" s="2" t="s">
        <v>855</v>
      </c>
      <c r="D8124" s="31">
        <f t="shared" si="223"/>
        <v>4.6862979304885376E-3</v>
      </c>
      <c r="F8124" s="2" t="s">
        <v>822</v>
      </c>
      <c r="G8124" s="23" t="s">
        <v>902</v>
      </c>
      <c r="H8124" s="2" t="s">
        <v>822</v>
      </c>
      <c r="J8124" s="31">
        <v>73.468002299999995</v>
      </c>
      <c r="K8124" s="31">
        <v>22.236000099999998</v>
      </c>
      <c r="L8124" s="31"/>
      <c r="M8124" s="31" t="s">
        <v>854</v>
      </c>
      <c r="N8124" s="6" t="s">
        <v>856</v>
      </c>
    </row>
    <row r="8125" spans="1:14" ht="15" customHeight="1" x14ac:dyDescent="0.2">
      <c r="A8125" s="31">
        <v>2.3889914827973379E-2</v>
      </c>
      <c r="B8125" s="31"/>
      <c r="C8125" s="2" t="s">
        <v>855</v>
      </c>
      <c r="D8125" s="31">
        <f t="shared" si="223"/>
        <v>4.6824233062827828E-3</v>
      </c>
      <c r="F8125" s="2" t="s">
        <v>822</v>
      </c>
      <c r="G8125" s="23" t="s">
        <v>902</v>
      </c>
      <c r="H8125" s="2" t="s">
        <v>822</v>
      </c>
      <c r="J8125" s="31">
        <v>72.040100100000004</v>
      </c>
      <c r="K8125" s="31">
        <v>-13.818699799999999</v>
      </c>
      <c r="L8125" s="31"/>
      <c r="M8125" s="31" t="s">
        <v>854</v>
      </c>
      <c r="N8125" s="6" t="s">
        <v>856</v>
      </c>
    </row>
    <row r="8126" spans="1:14" ht="15" customHeight="1" x14ac:dyDescent="0.2">
      <c r="A8126" s="31">
        <v>2.376067614494284E-2</v>
      </c>
      <c r="B8126" s="31"/>
      <c r="C8126" s="2" t="s">
        <v>855</v>
      </c>
      <c r="D8126" s="31">
        <f t="shared" si="223"/>
        <v>4.6570925244087966E-3</v>
      </c>
      <c r="F8126" s="2" t="s">
        <v>822</v>
      </c>
      <c r="G8126" s="23" t="s">
        <v>902</v>
      </c>
      <c r="H8126" s="2" t="s">
        <v>822</v>
      </c>
      <c r="J8126" s="31">
        <v>70.127998399999996</v>
      </c>
      <c r="K8126" s="31">
        <v>-3.8159999999999998</v>
      </c>
      <c r="L8126" s="31"/>
      <c r="M8126" s="31" t="s">
        <v>854</v>
      </c>
      <c r="N8126" s="6" t="s">
        <v>856</v>
      </c>
    </row>
    <row r="8127" spans="1:14" ht="15" customHeight="1" x14ac:dyDescent="0.2">
      <c r="A8127" s="31">
        <v>2.3654160938746008E-2</v>
      </c>
      <c r="B8127" s="31"/>
      <c r="C8127" s="2" t="s">
        <v>855</v>
      </c>
      <c r="D8127" s="31">
        <f t="shared" si="223"/>
        <v>4.6362155439942177E-3</v>
      </c>
      <c r="F8127" s="2" t="s">
        <v>822</v>
      </c>
      <c r="G8127" s="23" t="s">
        <v>902</v>
      </c>
      <c r="H8127" s="2" t="s">
        <v>822</v>
      </c>
      <c r="J8127" s="31">
        <v>73.459800700000002</v>
      </c>
      <c r="K8127" s="31">
        <v>-1.1174099</v>
      </c>
      <c r="L8127" s="31"/>
      <c r="M8127" s="31" t="s">
        <v>854</v>
      </c>
      <c r="N8127" s="6" t="s">
        <v>856</v>
      </c>
    </row>
    <row r="8128" spans="1:14" ht="15" customHeight="1" x14ac:dyDescent="0.2">
      <c r="A8128" s="31">
        <v>2.341422515355622E-2</v>
      </c>
      <c r="B8128" s="31"/>
      <c r="C8128" s="2" t="s">
        <v>855</v>
      </c>
      <c r="D8128" s="31">
        <f t="shared" si="223"/>
        <v>4.5891881300970192E-3</v>
      </c>
      <c r="F8128" s="2" t="s">
        <v>822</v>
      </c>
      <c r="G8128" s="23" t="s">
        <v>902</v>
      </c>
      <c r="H8128" s="2" t="s">
        <v>822</v>
      </c>
      <c r="J8128" s="31">
        <v>72.800003099999998</v>
      </c>
      <c r="K8128" s="31">
        <v>20.899999600000001</v>
      </c>
      <c r="L8128" s="31"/>
      <c r="M8128" s="31" t="s">
        <v>854</v>
      </c>
      <c r="N8128" s="6" t="s">
        <v>856</v>
      </c>
    </row>
    <row r="8129" spans="1:14" ht="15" customHeight="1" x14ac:dyDescent="0.2">
      <c r="A8129" s="31">
        <v>2.3393981334376531E-2</v>
      </c>
      <c r="B8129" s="31"/>
      <c r="C8129" s="2" t="s">
        <v>855</v>
      </c>
      <c r="D8129" s="31">
        <f t="shared" si="223"/>
        <v>4.5852203415377999E-3</v>
      </c>
      <c r="F8129" s="2" t="s">
        <v>822</v>
      </c>
      <c r="G8129" s="23" t="s">
        <v>902</v>
      </c>
      <c r="H8129" s="2" t="s">
        <v>822</v>
      </c>
      <c r="J8129" s="31">
        <v>75.395599399999995</v>
      </c>
      <c r="K8129" s="31">
        <v>-3.8159999999999998</v>
      </c>
      <c r="L8129" s="31"/>
      <c r="M8129" s="31" t="s">
        <v>854</v>
      </c>
      <c r="N8129" s="6" t="s">
        <v>856</v>
      </c>
    </row>
    <row r="8130" spans="1:14" ht="15" customHeight="1" x14ac:dyDescent="0.2">
      <c r="A8130" s="31">
        <v>2.3335138917428361E-2</v>
      </c>
      <c r="B8130" s="31"/>
      <c r="C8130" s="2" t="s">
        <v>855</v>
      </c>
      <c r="D8130" s="31">
        <f t="shared" si="223"/>
        <v>4.5736872278159587E-3</v>
      </c>
      <c r="F8130" s="2" t="s">
        <v>822</v>
      </c>
      <c r="G8130" s="23" t="s">
        <v>902</v>
      </c>
      <c r="H8130" s="2" t="s">
        <v>822</v>
      </c>
      <c r="J8130" s="31">
        <v>72.633796700000005</v>
      </c>
      <c r="K8130" s="31">
        <v>-24.768100700000002</v>
      </c>
      <c r="L8130" s="31"/>
      <c r="M8130" s="31" t="s">
        <v>854</v>
      </c>
      <c r="N8130" s="6" t="s">
        <v>856</v>
      </c>
    </row>
    <row r="8131" spans="1:14" ht="15" customHeight="1" x14ac:dyDescent="0.2">
      <c r="A8131" s="31">
        <v>2.3279025404484441E-2</v>
      </c>
      <c r="B8131" s="31"/>
      <c r="C8131" s="2" t="s">
        <v>855</v>
      </c>
      <c r="D8131" s="31">
        <f t="shared" si="223"/>
        <v>4.562688979278951E-3</v>
      </c>
      <c r="F8131" s="2" t="s">
        <v>822</v>
      </c>
      <c r="G8131" s="23" t="s">
        <v>902</v>
      </c>
      <c r="H8131" s="2" t="s">
        <v>822</v>
      </c>
      <c r="J8131" s="31">
        <v>74.295501700000003</v>
      </c>
      <c r="K8131" s="31">
        <v>-1.7275499999999999</v>
      </c>
      <c r="L8131" s="31"/>
      <c r="M8131" s="31" t="s">
        <v>854</v>
      </c>
      <c r="N8131" s="6" t="s">
        <v>856</v>
      </c>
    </row>
    <row r="8132" spans="1:14" ht="15" customHeight="1" x14ac:dyDescent="0.2">
      <c r="A8132" s="31">
        <v>2.315603833532006E-2</v>
      </c>
      <c r="B8132" s="31"/>
      <c r="C8132" s="2" t="s">
        <v>855</v>
      </c>
      <c r="D8132" s="31">
        <f t="shared" si="223"/>
        <v>4.5385835137227316E-3</v>
      </c>
      <c r="F8132" s="2" t="s">
        <v>822</v>
      </c>
      <c r="G8132" s="23" t="s">
        <v>902</v>
      </c>
      <c r="H8132" s="2" t="s">
        <v>822</v>
      </c>
      <c r="J8132" s="31">
        <v>69.514602699999998</v>
      </c>
      <c r="K8132" s="31">
        <v>34.322200799999997</v>
      </c>
      <c r="L8132" s="31"/>
      <c r="M8132" s="31" t="s">
        <v>854</v>
      </c>
      <c r="N8132" s="6" t="s">
        <v>856</v>
      </c>
    </row>
    <row r="8133" spans="1:14" ht="15" customHeight="1" x14ac:dyDescent="0.2">
      <c r="A8133" s="31">
        <v>2.31477959778164E-2</v>
      </c>
      <c r="B8133" s="31"/>
      <c r="C8133" s="2" t="s">
        <v>855</v>
      </c>
      <c r="D8133" s="31">
        <f t="shared" si="223"/>
        <v>4.5369680116520142E-3</v>
      </c>
      <c r="F8133" s="2" t="s">
        <v>822</v>
      </c>
      <c r="G8133" s="23" t="s">
        <v>902</v>
      </c>
      <c r="H8133" s="2" t="s">
        <v>822</v>
      </c>
      <c r="J8133" s="31">
        <v>66.120002700000001</v>
      </c>
      <c r="K8133" s="31">
        <v>-7.1560001</v>
      </c>
      <c r="L8133" s="31"/>
      <c r="M8133" s="31" t="s">
        <v>854</v>
      </c>
      <c r="N8133" s="6" t="s">
        <v>856</v>
      </c>
    </row>
    <row r="8134" spans="1:14" ht="15" customHeight="1" x14ac:dyDescent="0.2">
      <c r="A8134" s="31">
        <v>2.3124547234148661E-2</v>
      </c>
      <c r="B8134" s="31"/>
      <c r="C8134" s="2" t="s">
        <v>855</v>
      </c>
      <c r="D8134" s="31">
        <f t="shared" si="223"/>
        <v>4.5324112578931375E-3</v>
      </c>
      <c r="F8134" s="2" t="s">
        <v>822</v>
      </c>
      <c r="G8134" s="23" t="s">
        <v>902</v>
      </c>
      <c r="H8134" s="2" t="s">
        <v>822</v>
      </c>
      <c r="J8134" s="31">
        <v>69.014602699999998</v>
      </c>
      <c r="K8134" s="31">
        <v>-19.847999600000001</v>
      </c>
      <c r="L8134" s="31"/>
      <c r="M8134" s="31" t="s">
        <v>854</v>
      </c>
      <c r="N8134" s="6" t="s">
        <v>856</v>
      </c>
    </row>
    <row r="8135" spans="1:14" ht="15" customHeight="1" x14ac:dyDescent="0.2">
      <c r="A8135" s="31">
        <v>2.302636518787889E-2</v>
      </c>
      <c r="B8135" s="31"/>
      <c r="C8135" s="2" t="s">
        <v>855</v>
      </c>
      <c r="D8135" s="31">
        <f t="shared" ref="D8135:D8169" si="224" xml:space="preserve"> A8135 * 0.196</f>
        <v>4.5131675768242622E-3</v>
      </c>
      <c r="F8135" s="2" t="s">
        <v>822</v>
      </c>
      <c r="G8135" s="23" t="s">
        <v>902</v>
      </c>
      <c r="H8135" s="2" t="s">
        <v>822</v>
      </c>
      <c r="J8135" s="31">
        <v>73.468002299999995</v>
      </c>
      <c r="K8135" s="31">
        <v>3.5320000999999999</v>
      </c>
      <c r="L8135" s="31"/>
      <c r="M8135" s="31" t="s">
        <v>854</v>
      </c>
      <c r="N8135" s="6" t="s">
        <v>856</v>
      </c>
    </row>
    <row r="8136" spans="1:14" ht="15" customHeight="1" x14ac:dyDescent="0.2">
      <c r="A8136" s="31">
        <v>2.2810073943834851E-2</v>
      </c>
      <c r="B8136" s="31"/>
      <c r="C8136" s="2" t="s">
        <v>855</v>
      </c>
      <c r="D8136" s="31">
        <f t="shared" si="224"/>
        <v>4.4707744929916313E-3</v>
      </c>
      <c r="F8136" s="2" t="s">
        <v>822</v>
      </c>
      <c r="G8136" s="23" t="s">
        <v>902</v>
      </c>
      <c r="H8136" s="2" t="s">
        <v>822</v>
      </c>
      <c r="J8136" s="31">
        <v>73.468002299999995</v>
      </c>
      <c r="K8136" s="31">
        <v>-7.1560001</v>
      </c>
      <c r="L8136" s="31"/>
      <c r="M8136" s="31" t="s">
        <v>854</v>
      </c>
      <c r="N8136" s="6" t="s">
        <v>856</v>
      </c>
    </row>
    <row r="8137" spans="1:14" ht="15" customHeight="1" x14ac:dyDescent="0.2">
      <c r="A8137" s="31">
        <v>2.2804119406160749E-2</v>
      </c>
      <c r="B8137" s="31"/>
      <c r="C8137" s="2" t="s">
        <v>855</v>
      </c>
      <c r="D8137" s="31">
        <f t="shared" si="224"/>
        <v>4.4696074036075072E-3</v>
      </c>
      <c r="F8137" s="2" t="s">
        <v>822</v>
      </c>
      <c r="G8137" s="23" t="s">
        <v>902</v>
      </c>
      <c r="H8137" s="2" t="s">
        <v>822</v>
      </c>
      <c r="J8137" s="31">
        <v>73.468002299999995</v>
      </c>
      <c r="K8137" s="31">
        <v>21.5680008</v>
      </c>
      <c r="L8137" s="31"/>
      <c r="M8137" s="31" t="s">
        <v>854</v>
      </c>
      <c r="N8137" s="6" t="s">
        <v>856</v>
      </c>
    </row>
    <row r="8138" spans="1:14" ht="15" customHeight="1" x14ac:dyDescent="0.2">
      <c r="A8138" s="31">
        <v>2.2772099005765711E-2</v>
      </c>
      <c r="B8138" s="31"/>
      <c r="C8138" s="2" t="s">
        <v>855</v>
      </c>
      <c r="D8138" s="31">
        <f t="shared" si="224"/>
        <v>4.4633314051300797E-3</v>
      </c>
      <c r="F8138" s="2" t="s">
        <v>822</v>
      </c>
      <c r="G8138" s="23" t="s">
        <v>902</v>
      </c>
      <c r="H8138" s="2" t="s">
        <v>822</v>
      </c>
      <c r="J8138" s="31">
        <v>69.389602699999998</v>
      </c>
      <c r="K8138" s="31">
        <v>-19.3882008</v>
      </c>
      <c r="L8138" s="31"/>
      <c r="M8138" s="31" t="s">
        <v>854</v>
      </c>
      <c r="N8138" s="6" t="s">
        <v>856</v>
      </c>
    </row>
    <row r="8139" spans="1:14" ht="15" customHeight="1" x14ac:dyDescent="0.2">
      <c r="A8139" s="31">
        <v>2.275426722805441E-2</v>
      </c>
      <c r="B8139" s="31"/>
      <c r="C8139" s="2" t="s">
        <v>855</v>
      </c>
      <c r="D8139" s="31">
        <f t="shared" si="224"/>
        <v>4.4598363766986645E-3</v>
      </c>
      <c r="F8139" s="2" t="s">
        <v>822</v>
      </c>
      <c r="G8139" s="23" t="s">
        <v>902</v>
      </c>
      <c r="H8139" s="2" t="s">
        <v>822</v>
      </c>
      <c r="J8139" s="31">
        <v>72.121101400000001</v>
      </c>
      <c r="K8139" s="31">
        <v>48.203800200000003</v>
      </c>
      <c r="L8139" s="31"/>
      <c r="M8139" s="31" t="s">
        <v>854</v>
      </c>
      <c r="N8139" s="6" t="s">
        <v>856</v>
      </c>
    </row>
    <row r="8140" spans="1:14" ht="15" customHeight="1" x14ac:dyDescent="0.2">
      <c r="A8140" s="31">
        <v>2.2659289477443851E-2</v>
      </c>
      <c r="B8140" s="31"/>
      <c r="C8140" s="2" t="s">
        <v>855</v>
      </c>
      <c r="D8140" s="31">
        <f t="shared" si="224"/>
        <v>4.4412207375789953E-3</v>
      </c>
      <c r="F8140" s="2" t="s">
        <v>822</v>
      </c>
      <c r="G8140" s="23" t="s">
        <v>902</v>
      </c>
      <c r="H8140" s="2" t="s">
        <v>822</v>
      </c>
      <c r="J8140" s="31">
        <v>75.020599399999995</v>
      </c>
      <c r="K8140" s="31">
        <v>-2.48</v>
      </c>
      <c r="L8140" s="31"/>
      <c r="M8140" s="31" t="s">
        <v>854</v>
      </c>
      <c r="N8140" s="6" t="s">
        <v>856</v>
      </c>
    </row>
    <row r="8141" spans="1:14" ht="15" customHeight="1" x14ac:dyDescent="0.2">
      <c r="A8141" s="31">
        <v>2.262981559243939E-2</v>
      </c>
      <c r="B8141" s="31"/>
      <c r="C8141" s="2" t="s">
        <v>855</v>
      </c>
      <c r="D8141" s="31">
        <f t="shared" si="224"/>
        <v>4.4354438561181207E-3</v>
      </c>
      <c r="F8141" s="2" t="s">
        <v>822</v>
      </c>
      <c r="G8141" s="23" t="s">
        <v>902</v>
      </c>
      <c r="H8141" s="2" t="s">
        <v>822</v>
      </c>
      <c r="J8141" s="31">
        <v>70.795997600000007</v>
      </c>
      <c r="K8141" s="31">
        <v>46.951999700000002</v>
      </c>
      <c r="L8141" s="31"/>
      <c r="M8141" s="31" t="s">
        <v>854</v>
      </c>
      <c r="N8141" s="6" t="s">
        <v>856</v>
      </c>
    </row>
    <row r="8142" spans="1:14" ht="15" customHeight="1" x14ac:dyDescent="0.2">
      <c r="A8142" s="31">
        <v>2.2621260709121311E-2</v>
      </c>
      <c r="B8142" s="31"/>
      <c r="C8142" s="2" t="s">
        <v>855</v>
      </c>
      <c r="D8142" s="31">
        <f t="shared" si="224"/>
        <v>4.4337670989877771E-3</v>
      </c>
      <c r="F8142" s="2" t="s">
        <v>822</v>
      </c>
      <c r="G8142" s="23" t="s">
        <v>902</v>
      </c>
      <c r="H8142" s="2" t="s">
        <v>822</v>
      </c>
      <c r="J8142" s="31">
        <v>64.265098600000002</v>
      </c>
      <c r="K8142" s="31">
        <v>35.915000900000003</v>
      </c>
      <c r="L8142" s="31"/>
      <c r="M8142" s="31" t="s">
        <v>854</v>
      </c>
      <c r="N8142" s="6" t="s">
        <v>856</v>
      </c>
    </row>
    <row r="8143" spans="1:14" ht="15" customHeight="1" x14ac:dyDescent="0.2">
      <c r="A8143" s="31">
        <v>2.2614989999004562E-2</v>
      </c>
      <c r="B8143" s="31"/>
      <c r="C8143" s="2" t="s">
        <v>855</v>
      </c>
      <c r="D8143" s="31">
        <f t="shared" si="224"/>
        <v>4.4325380398048944E-3</v>
      </c>
      <c r="F8143" s="2" t="s">
        <v>822</v>
      </c>
      <c r="G8143" s="23" t="s">
        <v>902</v>
      </c>
      <c r="H8143" s="2" t="s">
        <v>822</v>
      </c>
      <c r="J8143" s="31">
        <v>70.241500900000005</v>
      </c>
      <c r="K8143" s="31">
        <v>32.076400800000002</v>
      </c>
      <c r="L8143" s="31"/>
      <c r="M8143" s="31" t="s">
        <v>854</v>
      </c>
      <c r="N8143" s="6" t="s">
        <v>856</v>
      </c>
    </row>
    <row r="8144" spans="1:14" ht="15" customHeight="1" x14ac:dyDescent="0.2">
      <c r="A8144" s="31">
        <v>2.244941114889059E-2</v>
      </c>
      <c r="B8144" s="31"/>
      <c r="C8144" s="2" t="s">
        <v>855</v>
      </c>
      <c r="D8144" s="31">
        <f t="shared" si="224"/>
        <v>4.4000845851825555E-3</v>
      </c>
      <c r="F8144" s="2" t="s">
        <v>822</v>
      </c>
      <c r="G8144" s="23" t="s">
        <v>902</v>
      </c>
      <c r="H8144" s="2" t="s">
        <v>822</v>
      </c>
      <c r="J8144" s="31">
        <v>73.468002299999995</v>
      </c>
      <c r="K8144" s="31">
        <v>46.284000399999996</v>
      </c>
      <c r="L8144" s="31"/>
      <c r="M8144" s="31" t="s">
        <v>854</v>
      </c>
      <c r="N8144" s="6" t="s">
        <v>856</v>
      </c>
    </row>
    <row r="8145" spans="1:14" ht="15" customHeight="1" x14ac:dyDescent="0.2">
      <c r="A8145" s="31">
        <v>2.2443849388049351E-2</v>
      </c>
      <c r="B8145" s="31"/>
      <c r="C8145" s="2" t="s">
        <v>855</v>
      </c>
      <c r="D8145" s="31">
        <f t="shared" si="224"/>
        <v>4.3989944800576731E-3</v>
      </c>
      <c r="F8145" s="2" t="s">
        <v>822</v>
      </c>
      <c r="G8145" s="23" t="s">
        <v>902</v>
      </c>
      <c r="H8145" s="2" t="s">
        <v>822</v>
      </c>
      <c r="J8145" s="31">
        <v>67.596603400000006</v>
      </c>
      <c r="K8145" s="31">
        <v>-23.267200500000001</v>
      </c>
      <c r="L8145" s="31"/>
      <c r="M8145" s="31" t="s">
        <v>854</v>
      </c>
      <c r="N8145" s="6" t="s">
        <v>856</v>
      </c>
    </row>
    <row r="8146" spans="1:14" ht="15" customHeight="1" x14ac:dyDescent="0.2">
      <c r="A8146" s="31">
        <v>2.215509340091576E-2</v>
      </c>
      <c r="B8146" s="31"/>
      <c r="C8146" s="2" t="s">
        <v>855</v>
      </c>
      <c r="D8146" s="31">
        <f t="shared" si="224"/>
        <v>4.3423983065794891E-3</v>
      </c>
      <c r="F8146" s="2" t="s">
        <v>822</v>
      </c>
      <c r="G8146" s="23" t="s">
        <v>902</v>
      </c>
      <c r="H8146" s="2" t="s">
        <v>822</v>
      </c>
      <c r="J8146" s="31">
        <v>74.804000900000005</v>
      </c>
      <c r="K8146" s="31">
        <v>30.252000800000001</v>
      </c>
      <c r="L8146" s="31"/>
      <c r="M8146" s="31" t="s">
        <v>854</v>
      </c>
      <c r="N8146" s="6" t="s">
        <v>856</v>
      </c>
    </row>
    <row r="8147" spans="1:14" ht="15" customHeight="1" x14ac:dyDescent="0.2">
      <c r="A8147" s="31">
        <v>2.2011474977365251E-2</v>
      </c>
      <c r="B8147" s="31"/>
      <c r="C8147" s="2" t="s">
        <v>855</v>
      </c>
      <c r="D8147" s="31">
        <f t="shared" si="224"/>
        <v>4.3142490955635892E-3</v>
      </c>
      <c r="F8147" s="2" t="s">
        <v>822</v>
      </c>
      <c r="G8147" s="23" t="s">
        <v>902</v>
      </c>
      <c r="H8147" s="2" t="s">
        <v>822</v>
      </c>
      <c r="J8147" s="31">
        <v>74.1360016</v>
      </c>
      <c r="K8147" s="31">
        <v>44.948001900000001</v>
      </c>
      <c r="L8147" s="31"/>
      <c r="M8147" s="31" t="s">
        <v>854</v>
      </c>
      <c r="N8147" s="6" t="s">
        <v>856</v>
      </c>
    </row>
    <row r="8148" spans="1:14" ht="15" customHeight="1" x14ac:dyDescent="0.2">
      <c r="A8148" s="31">
        <v>2.197832152285141E-2</v>
      </c>
      <c r="B8148" s="31"/>
      <c r="C8148" s="2" t="s">
        <v>855</v>
      </c>
      <c r="D8148" s="31">
        <f t="shared" si="224"/>
        <v>4.3077510184788767E-3</v>
      </c>
      <c r="F8148" s="2" t="s">
        <v>822</v>
      </c>
      <c r="G8148" s="23" t="s">
        <v>902</v>
      </c>
      <c r="H8148" s="2" t="s">
        <v>822</v>
      </c>
      <c r="J8148" s="31">
        <v>72.800003099999998</v>
      </c>
      <c r="K8148" s="31">
        <v>46.284000399999996</v>
      </c>
      <c r="L8148" s="31"/>
      <c r="M8148" s="31" t="s">
        <v>854</v>
      </c>
      <c r="N8148" s="6" t="s">
        <v>856</v>
      </c>
    </row>
    <row r="8149" spans="1:14" ht="15" customHeight="1" x14ac:dyDescent="0.2">
      <c r="A8149" s="31">
        <v>2.1959889866090161E-2</v>
      </c>
      <c r="B8149" s="31"/>
      <c r="C8149" s="2" t="s">
        <v>855</v>
      </c>
      <c r="D8149" s="31">
        <f t="shared" si="224"/>
        <v>4.3041384137536718E-3</v>
      </c>
      <c r="F8149" s="2" t="s">
        <v>822</v>
      </c>
      <c r="G8149" s="23" t="s">
        <v>902</v>
      </c>
      <c r="H8149" s="2" t="s">
        <v>822</v>
      </c>
      <c r="J8149" s="31">
        <v>72.132003800000007</v>
      </c>
      <c r="K8149" s="31">
        <v>34.928001399999999</v>
      </c>
      <c r="L8149" s="31"/>
      <c r="M8149" s="31" t="s">
        <v>854</v>
      </c>
      <c r="N8149" s="6" t="s">
        <v>856</v>
      </c>
    </row>
    <row r="8150" spans="1:14" ht="15" customHeight="1" x14ac:dyDescent="0.2">
      <c r="A8150" s="31">
        <v>2.1842688061081129E-2</v>
      </c>
      <c r="B8150" s="31"/>
      <c r="C8150" s="2" t="s">
        <v>855</v>
      </c>
      <c r="D8150" s="31">
        <f t="shared" si="224"/>
        <v>4.2811668599719013E-3</v>
      </c>
      <c r="F8150" s="2" t="s">
        <v>822</v>
      </c>
      <c r="G8150" s="23" t="s">
        <v>902</v>
      </c>
      <c r="H8150" s="2" t="s">
        <v>822</v>
      </c>
      <c r="J8150" s="31">
        <v>73.467903100000001</v>
      </c>
      <c r="K8150" s="31">
        <v>18.896099100000001</v>
      </c>
      <c r="L8150" s="31"/>
      <c r="M8150" s="31" t="s">
        <v>854</v>
      </c>
      <c r="N8150" s="6" t="s">
        <v>856</v>
      </c>
    </row>
    <row r="8151" spans="1:14" ht="15" customHeight="1" x14ac:dyDescent="0.2">
      <c r="A8151" s="31">
        <v>2.1836025339286511E-2</v>
      </c>
      <c r="B8151" s="31"/>
      <c r="C8151" s="2" t="s">
        <v>855</v>
      </c>
      <c r="D8151" s="31">
        <f t="shared" si="224"/>
        <v>4.2798609665001559E-3</v>
      </c>
      <c r="F8151" s="2" t="s">
        <v>822</v>
      </c>
      <c r="G8151" s="23" t="s">
        <v>902</v>
      </c>
      <c r="H8151" s="2" t="s">
        <v>822</v>
      </c>
      <c r="J8151" s="31">
        <v>74.686599700000002</v>
      </c>
      <c r="K8151" s="31">
        <v>-3.1480000000000001</v>
      </c>
      <c r="L8151" s="31"/>
      <c r="M8151" s="31" t="s">
        <v>854</v>
      </c>
      <c r="N8151" s="6" t="s">
        <v>856</v>
      </c>
    </row>
    <row r="8152" spans="1:14" ht="15" customHeight="1" x14ac:dyDescent="0.2">
      <c r="A8152" s="31">
        <v>2.1818715744778599E-2</v>
      </c>
      <c r="B8152" s="31"/>
      <c r="C8152" s="2" t="s">
        <v>855</v>
      </c>
      <c r="D8152" s="31">
        <f t="shared" si="224"/>
        <v>4.2764682859766055E-3</v>
      </c>
      <c r="F8152" s="2" t="s">
        <v>822</v>
      </c>
      <c r="G8152" s="23" t="s">
        <v>902</v>
      </c>
      <c r="H8152" s="2" t="s">
        <v>822</v>
      </c>
      <c r="J8152" s="31">
        <v>75.395599399999995</v>
      </c>
      <c r="K8152" s="31">
        <v>-2.48</v>
      </c>
      <c r="L8152" s="31"/>
      <c r="M8152" s="31" t="s">
        <v>854</v>
      </c>
      <c r="N8152" s="6" t="s">
        <v>856</v>
      </c>
    </row>
    <row r="8153" spans="1:14" ht="15" customHeight="1" x14ac:dyDescent="0.2">
      <c r="A8153" s="31">
        <v>2.1723268401212189E-2</v>
      </c>
      <c r="B8153" s="31"/>
      <c r="C8153" s="2" t="s">
        <v>855</v>
      </c>
      <c r="D8153" s="31">
        <f t="shared" si="224"/>
        <v>4.2577606066375893E-3</v>
      </c>
      <c r="F8153" s="2" t="s">
        <v>822</v>
      </c>
      <c r="G8153" s="23" t="s">
        <v>902</v>
      </c>
      <c r="H8153" s="2" t="s">
        <v>822</v>
      </c>
      <c r="J8153" s="31">
        <v>75.149597200000002</v>
      </c>
      <c r="K8153" s="31">
        <v>36.007801100000002</v>
      </c>
      <c r="L8153" s="31"/>
      <c r="M8153" s="31" t="s">
        <v>854</v>
      </c>
      <c r="N8153" s="6" t="s">
        <v>856</v>
      </c>
    </row>
    <row r="8154" spans="1:14" ht="15" customHeight="1" x14ac:dyDescent="0.2">
      <c r="A8154" s="31">
        <v>2.164356769703742E-2</v>
      </c>
      <c r="B8154" s="31"/>
      <c r="C8154" s="2" t="s">
        <v>855</v>
      </c>
      <c r="D8154" s="31">
        <f t="shared" si="224"/>
        <v>4.242139268619334E-3</v>
      </c>
      <c r="F8154" s="2" t="s">
        <v>822</v>
      </c>
      <c r="G8154" s="23" t="s">
        <v>902</v>
      </c>
      <c r="H8154" s="2" t="s">
        <v>822</v>
      </c>
      <c r="J8154" s="31">
        <v>71.684196499999999</v>
      </c>
      <c r="K8154" s="31">
        <v>33.640701300000003</v>
      </c>
      <c r="L8154" s="31"/>
      <c r="M8154" s="31" t="s">
        <v>854</v>
      </c>
      <c r="N8154" s="6" t="s">
        <v>856</v>
      </c>
    </row>
    <row r="8155" spans="1:14" ht="15" customHeight="1" x14ac:dyDescent="0.2">
      <c r="A8155" s="31">
        <v>2.1615931152117691E-2</v>
      </c>
      <c r="B8155" s="31"/>
      <c r="C8155" s="2" t="s">
        <v>855</v>
      </c>
      <c r="D8155" s="31">
        <f t="shared" si="224"/>
        <v>4.2367225058150678E-3</v>
      </c>
      <c r="F8155" s="2" t="s">
        <v>822</v>
      </c>
      <c r="G8155" s="23" t="s">
        <v>902</v>
      </c>
      <c r="H8155" s="2" t="s">
        <v>822</v>
      </c>
      <c r="J8155" s="31">
        <v>75.472000100000002</v>
      </c>
      <c r="K8155" s="31">
        <v>30.252000800000001</v>
      </c>
      <c r="L8155" s="31"/>
      <c r="M8155" s="31" t="s">
        <v>854</v>
      </c>
      <c r="N8155" s="6" t="s">
        <v>856</v>
      </c>
    </row>
    <row r="8156" spans="1:14" ht="15" customHeight="1" x14ac:dyDescent="0.2">
      <c r="A8156" s="31">
        <v>2.1609169196766979E-2</v>
      </c>
      <c r="B8156" s="31"/>
      <c r="C8156" s="2" t="s">
        <v>855</v>
      </c>
      <c r="D8156" s="31">
        <f t="shared" si="224"/>
        <v>4.2353971625663277E-3</v>
      </c>
      <c r="F8156" s="2" t="s">
        <v>822</v>
      </c>
      <c r="G8156" s="23" t="s">
        <v>902</v>
      </c>
      <c r="H8156" s="2" t="s">
        <v>822</v>
      </c>
      <c r="J8156" s="31">
        <v>72.132003800000007</v>
      </c>
      <c r="K8156" s="31">
        <v>2.1960001</v>
      </c>
      <c r="L8156" s="31"/>
      <c r="M8156" s="31" t="s">
        <v>854</v>
      </c>
      <c r="N8156" s="6" t="s">
        <v>856</v>
      </c>
    </row>
    <row r="8157" spans="1:14" ht="15" customHeight="1" x14ac:dyDescent="0.2">
      <c r="A8157" s="31">
        <v>2.153710695570956E-2</v>
      </c>
      <c r="B8157" s="31"/>
      <c r="C8157" s="2" t="s">
        <v>855</v>
      </c>
      <c r="D8157" s="31">
        <f t="shared" si="224"/>
        <v>4.2212729633190737E-3</v>
      </c>
      <c r="F8157" s="2" t="s">
        <v>822</v>
      </c>
      <c r="G8157" s="23" t="s">
        <v>902</v>
      </c>
      <c r="H8157" s="2" t="s">
        <v>822</v>
      </c>
      <c r="J8157" s="31">
        <v>72.800003099999998</v>
      </c>
      <c r="K8157" s="31">
        <v>32.923999799999997</v>
      </c>
      <c r="L8157" s="31"/>
      <c r="M8157" s="31" t="s">
        <v>854</v>
      </c>
      <c r="N8157" s="6" t="s">
        <v>856</v>
      </c>
    </row>
    <row r="8158" spans="1:14" ht="15" customHeight="1" x14ac:dyDescent="0.2">
      <c r="A8158" s="31">
        <v>2.1406914826164011E-2</v>
      </c>
      <c r="B8158" s="31"/>
      <c r="C8158" s="2" t="s">
        <v>855</v>
      </c>
      <c r="D8158" s="31">
        <f t="shared" si="224"/>
        <v>4.1957553059281463E-3</v>
      </c>
      <c r="F8158" s="2" t="s">
        <v>822</v>
      </c>
      <c r="G8158" s="23" t="s">
        <v>902</v>
      </c>
      <c r="H8158" s="2" t="s">
        <v>822</v>
      </c>
      <c r="J8158" s="31">
        <v>67.971603400000006</v>
      </c>
      <c r="K8158" s="31">
        <v>-23.856000900000002</v>
      </c>
      <c r="L8158" s="31"/>
      <c r="M8158" s="31" t="s">
        <v>854</v>
      </c>
      <c r="N8158" s="6" t="s">
        <v>856</v>
      </c>
    </row>
    <row r="8159" spans="1:14" ht="15" customHeight="1" x14ac:dyDescent="0.2">
      <c r="A8159" s="31">
        <v>2.1265704398697589E-2</v>
      </c>
      <c r="B8159" s="31"/>
      <c r="C8159" s="2" t="s">
        <v>855</v>
      </c>
      <c r="D8159" s="31">
        <f t="shared" si="224"/>
        <v>4.1680780621447273E-3</v>
      </c>
      <c r="F8159" s="2" t="s">
        <v>822</v>
      </c>
      <c r="G8159" s="23" t="s">
        <v>902</v>
      </c>
      <c r="H8159" s="2" t="s">
        <v>822</v>
      </c>
      <c r="J8159" s="31">
        <v>67.971099899999999</v>
      </c>
      <c r="K8159" s="31">
        <v>-23.2679005</v>
      </c>
      <c r="L8159" s="31"/>
      <c r="M8159" s="31" t="s">
        <v>854</v>
      </c>
      <c r="N8159" s="6" t="s">
        <v>856</v>
      </c>
    </row>
    <row r="8160" spans="1:14" ht="15" customHeight="1" x14ac:dyDescent="0.2">
      <c r="A8160" s="31">
        <v>2.085247515811546E-2</v>
      </c>
      <c r="B8160" s="31"/>
      <c r="C8160" s="2" t="s">
        <v>855</v>
      </c>
      <c r="D8160" s="31">
        <f t="shared" si="224"/>
        <v>4.0870851309906305E-3</v>
      </c>
      <c r="F8160" s="2" t="s">
        <v>822</v>
      </c>
      <c r="G8160" s="23" t="s">
        <v>902</v>
      </c>
      <c r="H8160" s="2" t="s">
        <v>822</v>
      </c>
      <c r="J8160" s="31">
        <v>74.195602399999999</v>
      </c>
      <c r="K8160" s="31">
        <v>-3.1699199999999998</v>
      </c>
      <c r="L8160" s="31"/>
      <c r="M8160" s="31" t="s">
        <v>854</v>
      </c>
      <c r="N8160" s="6" t="s">
        <v>856</v>
      </c>
    </row>
    <row r="8161" spans="1:14" ht="15" customHeight="1" x14ac:dyDescent="0.2">
      <c r="A8161" s="31">
        <v>2.0838008816738439E-2</v>
      </c>
      <c r="B8161" s="31"/>
      <c r="C8161" s="2" t="s">
        <v>855</v>
      </c>
      <c r="D8161" s="31">
        <f t="shared" si="224"/>
        <v>4.0842497280807345E-3</v>
      </c>
      <c r="F8161" s="2" t="s">
        <v>822</v>
      </c>
      <c r="G8161" s="23" t="s">
        <v>902</v>
      </c>
      <c r="H8161" s="2" t="s">
        <v>822</v>
      </c>
      <c r="J8161" s="31">
        <v>69.741600000000005</v>
      </c>
      <c r="K8161" s="31">
        <v>33.114700300000003</v>
      </c>
      <c r="L8161" s="31"/>
      <c r="M8161" s="31" t="s">
        <v>854</v>
      </c>
      <c r="N8161" s="6" t="s">
        <v>856</v>
      </c>
    </row>
    <row r="8162" spans="1:14" ht="15" customHeight="1" x14ac:dyDescent="0.2">
      <c r="A8162" s="31">
        <v>2.079239582134592E-2</v>
      </c>
      <c r="B8162" s="31"/>
      <c r="C8162" s="2" t="s">
        <v>855</v>
      </c>
      <c r="D8162" s="31">
        <f t="shared" si="224"/>
        <v>4.0753095809838002E-3</v>
      </c>
      <c r="F8162" s="2" t="s">
        <v>822</v>
      </c>
      <c r="G8162" s="23" t="s">
        <v>902</v>
      </c>
      <c r="H8162" s="2" t="s">
        <v>822</v>
      </c>
      <c r="J8162" s="31">
        <v>74.1360016</v>
      </c>
      <c r="K8162" s="31">
        <v>29.583999599999999</v>
      </c>
      <c r="L8162" s="31"/>
      <c r="M8162" s="31" t="s">
        <v>854</v>
      </c>
      <c r="N8162" s="6" t="s">
        <v>856</v>
      </c>
    </row>
    <row r="8163" spans="1:14" ht="15" customHeight="1" x14ac:dyDescent="0.2">
      <c r="A8163" s="31">
        <v>2.0558547920264261E-2</v>
      </c>
      <c r="B8163" s="31"/>
      <c r="C8163" s="2" t="s">
        <v>855</v>
      </c>
      <c r="D8163" s="31">
        <f t="shared" si="224"/>
        <v>4.029475392371795E-3</v>
      </c>
      <c r="F8163" s="2" t="s">
        <v>822</v>
      </c>
      <c r="G8163" s="23" t="s">
        <v>902</v>
      </c>
      <c r="H8163" s="2" t="s">
        <v>822</v>
      </c>
      <c r="J8163" s="31">
        <v>69.740302999999997</v>
      </c>
      <c r="K8163" s="31">
        <v>32.122398400000002</v>
      </c>
      <c r="L8163" s="31"/>
      <c r="M8163" s="31" t="s">
        <v>854</v>
      </c>
      <c r="N8163" s="6" t="s">
        <v>856</v>
      </c>
    </row>
    <row r="8164" spans="1:14" ht="15" customHeight="1" x14ac:dyDescent="0.2">
      <c r="A8164" s="31">
        <v>2.0513347257799741E-2</v>
      </c>
      <c r="B8164" s="31"/>
      <c r="C8164" s="2" t="s">
        <v>855</v>
      </c>
      <c r="D8164" s="31">
        <f t="shared" si="224"/>
        <v>4.0206160625287498E-3</v>
      </c>
      <c r="F8164" s="2" t="s">
        <v>822</v>
      </c>
      <c r="G8164" s="23" t="s">
        <v>902</v>
      </c>
      <c r="H8164" s="2" t="s">
        <v>822</v>
      </c>
      <c r="J8164" s="31">
        <v>72.132003800000007</v>
      </c>
      <c r="K8164" s="31">
        <v>46.284000399999996</v>
      </c>
      <c r="L8164" s="31"/>
      <c r="M8164" s="31" t="s">
        <v>854</v>
      </c>
      <c r="N8164" s="6" t="s">
        <v>856</v>
      </c>
    </row>
    <row r="8165" spans="1:14" ht="15" customHeight="1" x14ac:dyDescent="0.2">
      <c r="A8165" s="31">
        <v>2.051131895314318E-2</v>
      </c>
      <c r="B8165" s="31"/>
      <c r="C8165" s="2" t="s">
        <v>855</v>
      </c>
      <c r="D8165" s="31">
        <f t="shared" si="224"/>
        <v>4.0202185148160629E-3</v>
      </c>
      <c r="F8165" s="2" t="s">
        <v>822</v>
      </c>
      <c r="G8165" s="23" t="s">
        <v>902</v>
      </c>
      <c r="H8165" s="2" t="s">
        <v>822</v>
      </c>
      <c r="J8165" s="31">
        <v>73.808502200000007</v>
      </c>
      <c r="K8165" s="31">
        <v>-3.5024299999999999</v>
      </c>
      <c r="L8165" s="31"/>
      <c r="M8165" s="31" t="s">
        <v>854</v>
      </c>
      <c r="N8165" s="6" t="s">
        <v>856</v>
      </c>
    </row>
    <row r="8166" spans="1:14" ht="15" customHeight="1" x14ac:dyDescent="0.2">
      <c r="A8166" s="31">
        <v>2.0463453080550951E-2</v>
      </c>
      <c r="B8166" s="31"/>
      <c r="C8166" s="2" t="s">
        <v>855</v>
      </c>
      <c r="D8166" s="31">
        <f t="shared" si="224"/>
        <v>4.0108368037879861E-3</v>
      </c>
      <c r="F8166" s="2" t="s">
        <v>822</v>
      </c>
      <c r="G8166" s="23" t="s">
        <v>902</v>
      </c>
      <c r="H8166" s="2" t="s">
        <v>822</v>
      </c>
      <c r="J8166" s="31">
        <v>73.468002299999995</v>
      </c>
      <c r="K8166" s="31">
        <v>49.624000500000001</v>
      </c>
      <c r="L8166" s="31"/>
      <c r="M8166" s="31" t="s">
        <v>854</v>
      </c>
      <c r="N8166" s="6" t="s">
        <v>856</v>
      </c>
    </row>
    <row r="8167" spans="1:14" ht="15" customHeight="1" x14ac:dyDescent="0.2">
      <c r="A8167" s="31">
        <v>2.0443358233568579E-2</v>
      </c>
      <c r="B8167" s="31"/>
      <c r="C8167" s="2" t="s">
        <v>855</v>
      </c>
      <c r="D8167" s="31">
        <f t="shared" si="224"/>
        <v>4.0068982137794421E-3</v>
      </c>
      <c r="F8167" s="2" t="s">
        <v>822</v>
      </c>
      <c r="G8167" s="23" t="s">
        <v>902</v>
      </c>
      <c r="H8167" s="2" t="s">
        <v>822</v>
      </c>
      <c r="J8167" s="31">
        <v>69.389602699999998</v>
      </c>
      <c r="K8167" s="31">
        <v>-19.054199199999999</v>
      </c>
      <c r="L8167" s="31"/>
      <c r="M8167" s="31" t="s">
        <v>854</v>
      </c>
      <c r="N8167" s="6" t="s">
        <v>856</v>
      </c>
    </row>
    <row r="8168" spans="1:14" ht="15" customHeight="1" x14ac:dyDescent="0.2">
      <c r="A8168" s="31">
        <v>2.0429157028513559E-2</v>
      </c>
      <c r="B8168" s="31"/>
      <c r="C8168" s="2" t="s">
        <v>855</v>
      </c>
      <c r="D8168" s="31">
        <f t="shared" si="224"/>
        <v>4.004114777588658E-3</v>
      </c>
      <c r="F8168" s="2" t="s">
        <v>822</v>
      </c>
      <c r="G8168" s="23" t="s">
        <v>902</v>
      </c>
      <c r="H8168" s="2" t="s">
        <v>822</v>
      </c>
      <c r="J8168" s="31">
        <v>73.745498699999999</v>
      </c>
      <c r="K8168" s="31">
        <v>-3.5808699000000002</v>
      </c>
      <c r="L8168" s="31"/>
      <c r="M8168" s="31" t="s">
        <v>854</v>
      </c>
      <c r="N8168" s="6" t="s">
        <v>856</v>
      </c>
    </row>
    <row r="8169" spans="1:14" ht="15" customHeight="1" x14ac:dyDescent="0.2">
      <c r="A8169" s="31">
        <v>2.041654538655106E-2</v>
      </c>
      <c r="B8169" s="31"/>
      <c r="C8169" s="2" t="s">
        <v>855</v>
      </c>
      <c r="D8169" s="31">
        <f t="shared" si="224"/>
        <v>4.0016428957640078E-3</v>
      </c>
      <c r="F8169" s="2" t="s">
        <v>822</v>
      </c>
      <c r="G8169" s="23" t="s">
        <v>902</v>
      </c>
      <c r="H8169" s="2" t="s">
        <v>822</v>
      </c>
      <c r="J8169" s="31">
        <v>70.859802200000004</v>
      </c>
      <c r="K8169" s="31">
        <v>48.536998699999998</v>
      </c>
      <c r="L8169" s="31"/>
      <c r="M8169" s="31" t="s">
        <v>854</v>
      </c>
      <c r="N8169" s="6" t="s">
        <v>856</v>
      </c>
    </row>
    <row r="8170" spans="1:14" ht="15" customHeight="1" x14ac:dyDescent="0.2">
      <c r="A8170" s="2">
        <v>46</v>
      </c>
      <c r="B8170" s="1"/>
      <c r="C8170" s="2" t="s">
        <v>174</v>
      </c>
      <c r="D8170" s="2">
        <f>A8170* 0.0000864</f>
        <v>3.9744000000000003E-3</v>
      </c>
      <c r="F8170" s="2" t="s">
        <v>175</v>
      </c>
      <c r="G8170" s="2" t="s">
        <v>903</v>
      </c>
      <c r="H8170" s="2" t="s">
        <v>822</v>
      </c>
      <c r="I8170" s="2" t="s">
        <v>178</v>
      </c>
      <c r="J8170" s="2">
        <v>54.05</v>
      </c>
      <c r="K8170" s="2">
        <v>13.75</v>
      </c>
      <c r="L8170" s="2" t="s">
        <v>28</v>
      </c>
      <c r="M8170" s="2" t="s">
        <v>814</v>
      </c>
      <c r="N8170" s="6" t="s">
        <v>861</v>
      </c>
    </row>
    <row r="8171" spans="1:14" ht="15" customHeight="1" x14ac:dyDescent="0.2">
      <c r="A8171" s="31">
        <v>2.0147196429880599E-2</v>
      </c>
      <c r="B8171" s="31"/>
      <c r="C8171" s="2" t="s">
        <v>855</v>
      </c>
      <c r="D8171" s="31">
        <f t="shared" ref="D8171:D8218" si="225" xml:space="preserve"> A8171 * 0.196</f>
        <v>3.9488505002565977E-3</v>
      </c>
      <c r="F8171" s="2" t="s">
        <v>822</v>
      </c>
      <c r="G8171" s="23" t="s">
        <v>902</v>
      </c>
      <c r="H8171" s="2" t="s">
        <v>822</v>
      </c>
      <c r="J8171" s="31">
        <v>72.800003099999998</v>
      </c>
      <c r="K8171" s="31">
        <v>44.279998800000001</v>
      </c>
      <c r="L8171" s="31"/>
      <c r="M8171" s="31" t="s">
        <v>854</v>
      </c>
      <c r="N8171" s="6" t="s">
        <v>856</v>
      </c>
    </row>
    <row r="8172" spans="1:14" ht="15" customHeight="1" x14ac:dyDescent="0.2">
      <c r="A8172" s="31">
        <v>2.008311352349797E-2</v>
      </c>
      <c r="B8172" s="31"/>
      <c r="C8172" s="2" t="s">
        <v>855</v>
      </c>
      <c r="D8172" s="31">
        <f t="shared" si="225"/>
        <v>3.9362902506056025E-3</v>
      </c>
      <c r="F8172" s="2" t="s">
        <v>822</v>
      </c>
      <c r="G8172" s="23" t="s">
        <v>902</v>
      </c>
      <c r="H8172" s="2" t="s">
        <v>822</v>
      </c>
      <c r="J8172" s="31">
        <v>74.804000900000005</v>
      </c>
      <c r="K8172" s="31">
        <v>27.579999900000001</v>
      </c>
      <c r="L8172" s="31"/>
      <c r="M8172" s="31" t="s">
        <v>854</v>
      </c>
      <c r="N8172" s="6" t="s">
        <v>856</v>
      </c>
    </row>
    <row r="8173" spans="1:14" ht="15" customHeight="1" x14ac:dyDescent="0.2">
      <c r="A8173" s="31">
        <v>2.00630049062521E-2</v>
      </c>
      <c r="B8173" s="31"/>
      <c r="C8173" s="2" t="s">
        <v>855</v>
      </c>
      <c r="D8173" s="31">
        <f t="shared" si="225"/>
        <v>3.9323489616254117E-3</v>
      </c>
      <c r="F8173" s="2" t="s">
        <v>822</v>
      </c>
      <c r="G8173" s="23" t="s">
        <v>902</v>
      </c>
      <c r="H8173" s="2" t="s">
        <v>822</v>
      </c>
      <c r="J8173" s="31">
        <v>75.020599399999995</v>
      </c>
      <c r="K8173" s="31">
        <v>-1.8120000000000001</v>
      </c>
      <c r="L8173" s="31"/>
      <c r="M8173" s="31" t="s">
        <v>854</v>
      </c>
      <c r="N8173" s="6" t="s">
        <v>856</v>
      </c>
    </row>
    <row r="8174" spans="1:14" ht="15" customHeight="1" x14ac:dyDescent="0.2">
      <c r="A8174" s="31">
        <v>1.9923213812078209E-2</v>
      </c>
      <c r="B8174" s="31"/>
      <c r="C8174" s="2" t="s">
        <v>855</v>
      </c>
      <c r="D8174" s="31">
        <f t="shared" si="225"/>
        <v>3.9049499071673291E-3</v>
      </c>
      <c r="F8174" s="2" t="s">
        <v>822</v>
      </c>
      <c r="G8174" s="23" t="s">
        <v>902</v>
      </c>
      <c r="H8174" s="2" t="s">
        <v>822</v>
      </c>
      <c r="J8174" s="31">
        <v>73.468002299999995</v>
      </c>
      <c r="K8174" s="31">
        <v>19.563999200000001</v>
      </c>
      <c r="L8174" s="31"/>
      <c r="M8174" s="31" t="s">
        <v>854</v>
      </c>
      <c r="N8174" s="6" t="s">
        <v>856</v>
      </c>
    </row>
    <row r="8175" spans="1:14" ht="15" customHeight="1" x14ac:dyDescent="0.2">
      <c r="A8175" s="31">
        <v>1.990473213876515E-2</v>
      </c>
      <c r="B8175" s="31"/>
      <c r="C8175" s="2" t="s">
        <v>855</v>
      </c>
      <c r="D8175" s="31">
        <f t="shared" si="225"/>
        <v>3.9013274991979694E-3</v>
      </c>
      <c r="F8175" s="2" t="s">
        <v>822</v>
      </c>
      <c r="G8175" s="23" t="s">
        <v>902</v>
      </c>
      <c r="H8175" s="2" t="s">
        <v>822</v>
      </c>
      <c r="J8175" s="31">
        <v>71.385002099999994</v>
      </c>
      <c r="K8175" s="31">
        <v>-16.210599899999998</v>
      </c>
      <c r="L8175" s="31"/>
      <c r="M8175" s="31" t="s">
        <v>854</v>
      </c>
      <c r="N8175" s="6" t="s">
        <v>856</v>
      </c>
    </row>
    <row r="8176" spans="1:14" ht="15" customHeight="1" x14ac:dyDescent="0.2">
      <c r="A8176" s="31">
        <v>1.987044415865066E-2</v>
      </c>
      <c r="B8176" s="31"/>
      <c r="C8176" s="2" t="s">
        <v>855</v>
      </c>
      <c r="D8176" s="31">
        <f t="shared" si="225"/>
        <v>3.8946070550955293E-3</v>
      </c>
      <c r="F8176" s="2" t="s">
        <v>822</v>
      </c>
      <c r="G8176" s="23" t="s">
        <v>902</v>
      </c>
      <c r="H8176" s="2" t="s">
        <v>822</v>
      </c>
      <c r="J8176" s="31">
        <v>75.395599399999995</v>
      </c>
      <c r="K8176" s="31">
        <v>-1.1440001</v>
      </c>
      <c r="L8176" s="31"/>
      <c r="M8176" s="31" t="s">
        <v>854</v>
      </c>
      <c r="N8176" s="6" t="s">
        <v>856</v>
      </c>
    </row>
    <row r="8177" spans="1:14" ht="15" customHeight="1" x14ac:dyDescent="0.2">
      <c r="A8177" s="31">
        <v>1.9848530096125569E-2</v>
      </c>
      <c r="B8177" s="31"/>
      <c r="C8177" s="2" t="s">
        <v>855</v>
      </c>
      <c r="D8177" s="31">
        <f t="shared" si="225"/>
        <v>3.8903118988406118E-3</v>
      </c>
      <c r="F8177" s="2" t="s">
        <v>822</v>
      </c>
      <c r="G8177" s="23" t="s">
        <v>902</v>
      </c>
      <c r="H8177" s="2" t="s">
        <v>822</v>
      </c>
      <c r="J8177" s="31">
        <v>74.130798299999995</v>
      </c>
      <c r="K8177" s="31">
        <v>24.243600799999999</v>
      </c>
      <c r="L8177" s="31"/>
      <c r="M8177" s="31" t="s">
        <v>854</v>
      </c>
      <c r="N8177" s="6" t="s">
        <v>856</v>
      </c>
    </row>
    <row r="8178" spans="1:14" ht="15" customHeight="1" x14ac:dyDescent="0.2">
      <c r="A8178" s="31">
        <v>1.9796574859193949E-2</v>
      </c>
      <c r="B8178" s="31"/>
      <c r="C8178" s="2" t="s">
        <v>855</v>
      </c>
      <c r="D8178" s="31">
        <f t="shared" si="225"/>
        <v>3.8801286724020143E-3</v>
      </c>
      <c r="F8178" s="2" t="s">
        <v>822</v>
      </c>
      <c r="G8178" s="23" t="s">
        <v>902</v>
      </c>
      <c r="H8178" s="2" t="s">
        <v>822</v>
      </c>
      <c r="J8178" s="31">
        <v>73.468002299999995</v>
      </c>
      <c r="K8178" s="31">
        <v>40.271999399999999</v>
      </c>
      <c r="L8178" s="31"/>
      <c r="M8178" s="31" t="s">
        <v>854</v>
      </c>
      <c r="N8178" s="6" t="s">
        <v>856</v>
      </c>
    </row>
    <row r="8179" spans="1:14" ht="15" customHeight="1" x14ac:dyDescent="0.2">
      <c r="A8179" s="31">
        <v>1.9454769836057109E-2</v>
      </c>
      <c r="B8179" s="31"/>
      <c r="C8179" s="2" t="s">
        <v>855</v>
      </c>
      <c r="D8179" s="31">
        <f t="shared" si="225"/>
        <v>3.8131348878671935E-3</v>
      </c>
      <c r="F8179" s="2" t="s">
        <v>822</v>
      </c>
      <c r="G8179" s="23" t="s">
        <v>902</v>
      </c>
      <c r="H8179" s="2" t="s">
        <v>822</v>
      </c>
      <c r="J8179" s="31">
        <v>75.020599399999995</v>
      </c>
      <c r="K8179" s="31">
        <v>-3.8159999999999998</v>
      </c>
      <c r="L8179" s="31"/>
      <c r="M8179" s="31" t="s">
        <v>854</v>
      </c>
      <c r="N8179" s="6" t="s">
        <v>856</v>
      </c>
    </row>
    <row r="8180" spans="1:14" ht="15" customHeight="1" x14ac:dyDescent="0.2">
      <c r="A8180" s="31">
        <v>1.9423534006190919E-2</v>
      </c>
      <c r="B8180" s="31"/>
      <c r="C8180" s="2" t="s">
        <v>855</v>
      </c>
      <c r="D8180" s="31">
        <f t="shared" si="225"/>
        <v>3.8070126652134202E-3</v>
      </c>
      <c r="F8180" s="2" t="s">
        <v>822</v>
      </c>
      <c r="G8180" s="23" t="s">
        <v>902</v>
      </c>
      <c r="H8180" s="2" t="s">
        <v>822</v>
      </c>
      <c r="J8180" s="31">
        <v>72.800003099999998</v>
      </c>
      <c r="K8180" s="31">
        <v>2.1960001</v>
      </c>
      <c r="L8180" s="31"/>
      <c r="M8180" s="31" t="s">
        <v>854</v>
      </c>
      <c r="N8180" s="6" t="s">
        <v>856</v>
      </c>
    </row>
    <row r="8181" spans="1:14" ht="15" customHeight="1" x14ac:dyDescent="0.2">
      <c r="A8181" s="31">
        <v>1.9383549867534731E-2</v>
      </c>
      <c r="B8181" s="31"/>
      <c r="C8181" s="2" t="s">
        <v>855</v>
      </c>
      <c r="D8181" s="31">
        <f t="shared" si="225"/>
        <v>3.7991757740368074E-3</v>
      </c>
      <c r="F8181" s="2" t="s">
        <v>822</v>
      </c>
      <c r="G8181" s="23" t="s">
        <v>902</v>
      </c>
      <c r="H8181" s="2" t="s">
        <v>822</v>
      </c>
      <c r="J8181" s="31">
        <v>74.503097499999996</v>
      </c>
      <c r="K8181" s="31">
        <v>43.004699700000003</v>
      </c>
      <c r="L8181" s="31"/>
      <c r="M8181" s="31" t="s">
        <v>854</v>
      </c>
      <c r="N8181" s="6" t="s">
        <v>856</v>
      </c>
    </row>
    <row r="8182" spans="1:14" ht="15" customHeight="1" x14ac:dyDescent="0.2">
      <c r="A8182" s="31">
        <v>1.931185969240292E-2</v>
      </c>
      <c r="B8182" s="31"/>
      <c r="C8182" s="2" t="s">
        <v>855</v>
      </c>
      <c r="D8182" s="31">
        <f t="shared" si="225"/>
        <v>3.7851244997109726E-3</v>
      </c>
      <c r="F8182" s="2" t="s">
        <v>822</v>
      </c>
      <c r="G8182" s="23" t="s">
        <v>902</v>
      </c>
      <c r="H8182" s="2" t="s">
        <v>822</v>
      </c>
      <c r="J8182" s="31">
        <v>74.1360016</v>
      </c>
      <c r="K8182" s="31">
        <v>31.5879993</v>
      </c>
      <c r="L8182" s="31"/>
      <c r="M8182" s="31" t="s">
        <v>854</v>
      </c>
      <c r="N8182" s="6" t="s">
        <v>856</v>
      </c>
    </row>
    <row r="8183" spans="1:14" ht="15" customHeight="1" x14ac:dyDescent="0.2">
      <c r="A8183" s="31">
        <v>1.927484788295002E-2</v>
      </c>
      <c r="B8183" s="31"/>
      <c r="C8183" s="2" t="s">
        <v>855</v>
      </c>
      <c r="D8183" s="31">
        <f t="shared" si="225"/>
        <v>3.777870185058204E-3</v>
      </c>
      <c r="F8183" s="2" t="s">
        <v>822</v>
      </c>
      <c r="G8183" s="23" t="s">
        <v>902</v>
      </c>
      <c r="H8183" s="2" t="s">
        <v>822</v>
      </c>
      <c r="J8183" s="31">
        <v>72.132896400000007</v>
      </c>
      <c r="K8183" s="31">
        <v>47.619201699999998</v>
      </c>
      <c r="L8183" s="31"/>
      <c r="M8183" s="31" t="s">
        <v>854</v>
      </c>
      <c r="N8183" s="6" t="s">
        <v>856</v>
      </c>
    </row>
    <row r="8184" spans="1:14" ht="15" customHeight="1" x14ac:dyDescent="0.2">
      <c r="A8184" s="31">
        <v>1.9263026142977251E-2</v>
      </c>
      <c r="B8184" s="31"/>
      <c r="C8184" s="2" t="s">
        <v>855</v>
      </c>
      <c r="D8184" s="31">
        <f t="shared" si="225"/>
        <v>3.7755531240235411E-3</v>
      </c>
      <c r="F8184" s="2" t="s">
        <v>822</v>
      </c>
      <c r="G8184" s="23" t="s">
        <v>902</v>
      </c>
      <c r="H8184" s="2" t="s">
        <v>822</v>
      </c>
      <c r="J8184" s="31">
        <v>75.8274002</v>
      </c>
      <c r="K8184" s="31">
        <v>31.3971996</v>
      </c>
      <c r="L8184" s="31"/>
      <c r="M8184" s="31" t="s">
        <v>854</v>
      </c>
      <c r="N8184" s="6" t="s">
        <v>856</v>
      </c>
    </row>
    <row r="8185" spans="1:14" ht="15" customHeight="1" x14ac:dyDescent="0.2">
      <c r="A8185" s="31">
        <v>1.923743219253124E-2</v>
      </c>
      <c r="B8185" s="31"/>
      <c r="C8185" s="2" t="s">
        <v>855</v>
      </c>
      <c r="D8185" s="31">
        <f t="shared" si="225"/>
        <v>3.7705367097361233E-3</v>
      </c>
      <c r="F8185" s="2" t="s">
        <v>822</v>
      </c>
      <c r="G8185" s="23" t="s">
        <v>902</v>
      </c>
      <c r="H8185" s="2" t="s">
        <v>822</v>
      </c>
      <c r="J8185" s="31">
        <v>70.795997600000007</v>
      </c>
      <c r="K8185" s="31">
        <v>-18.345199600000001</v>
      </c>
      <c r="L8185" s="31"/>
      <c r="M8185" s="31" t="s">
        <v>854</v>
      </c>
      <c r="N8185" s="6" t="s">
        <v>856</v>
      </c>
    </row>
    <row r="8186" spans="1:14" ht="15" customHeight="1" x14ac:dyDescent="0.2">
      <c r="A8186" s="31">
        <v>1.9148437248708409E-2</v>
      </c>
      <c r="B8186" s="31"/>
      <c r="C8186" s="2" t="s">
        <v>855</v>
      </c>
      <c r="D8186" s="31">
        <f t="shared" si="225"/>
        <v>3.7530937007468484E-3</v>
      </c>
      <c r="F8186" s="2" t="s">
        <v>822</v>
      </c>
      <c r="G8186" s="23" t="s">
        <v>902</v>
      </c>
      <c r="H8186" s="2" t="s">
        <v>822</v>
      </c>
      <c r="J8186" s="31">
        <v>73.580703700000001</v>
      </c>
      <c r="K8186" s="31">
        <v>-22.569599199999999</v>
      </c>
      <c r="L8186" s="31"/>
      <c r="M8186" s="31" t="s">
        <v>854</v>
      </c>
      <c r="N8186" s="6" t="s">
        <v>856</v>
      </c>
    </row>
    <row r="8187" spans="1:14" ht="15" customHeight="1" x14ac:dyDescent="0.2">
      <c r="A8187" s="31">
        <v>1.906801581227632E-2</v>
      </c>
      <c r="B8187" s="31"/>
      <c r="C8187" s="2" t="s">
        <v>855</v>
      </c>
      <c r="D8187" s="31">
        <f t="shared" si="225"/>
        <v>3.7373310992061589E-3</v>
      </c>
      <c r="F8187" s="2" t="s">
        <v>822</v>
      </c>
      <c r="G8187" s="23" t="s">
        <v>902</v>
      </c>
      <c r="H8187" s="2" t="s">
        <v>822</v>
      </c>
      <c r="J8187" s="31">
        <v>75.394096399999995</v>
      </c>
      <c r="K8187" s="31">
        <v>0.38154700000000003</v>
      </c>
      <c r="L8187" s="31"/>
      <c r="M8187" s="31" t="s">
        <v>854</v>
      </c>
      <c r="N8187" s="6" t="s">
        <v>856</v>
      </c>
    </row>
    <row r="8188" spans="1:14" ht="15" customHeight="1" x14ac:dyDescent="0.2">
      <c r="A8188" s="31">
        <v>1.9046006516012268E-2</v>
      </c>
      <c r="B8188" s="31"/>
      <c r="C8188" s="2" t="s">
        <v>855</v>
      </c>
      <c r="D8188" s="31">
        <f t="shared" si="225"/>
        <v>3.7330172771384046E-3</v>
      </c>
      <c r="F8188" s="2" t="s">
        <v>822</v>
      </c>
      <c r="G8188" s="23" t="s">
        <v>902</v>
      </c>
      <c r="H8188" s="2" t="s">
        <v>822</v>
      </c>
      <c r="J8188" s="31">
        <v>71.537902799999998</v>
      </c>
      <c r="K8188" s="31">
        <v>34.296798699999997</v>
      </c>
      <c r="L8188" s="31"/>
      <c r="M8188" s="31" t="s">
        <v>854</v>
      </c>
      <c r="N8188" s="6" t="s">
        <v>856</v>
      </c>
    </row>
    <row r="8189" spans="1:14" ht="15" customHeight="1" x14ac:dyDescent="0.2">
      <c r="A8189" s="31">
        <v>1.9020897993095059E-2</v>
      </c>
      <c r="B8189" s="31"/>
      <c r="C8189" s="2" t="s">
        <v>855</v>
      </c>
      <c r="D8189" s="31">
        <f t="shared" si="225"/>
        <v>3.7280960066466318E-3</v>
      </c>
      <c r="F8189" s="2" t="s">
        <v>822</v>
      </c>
      <c r="G8189" s="23" t="s">
        <v>902</v>
      </c>
      <c r="H8189" s="2" t="s">
        <v>822</v>
      </c>
      <c r="J8189" s="31">
        <v>73.880096399999999</v>
      </c>
      <c r="K8189" s="31">
        <v>-3.0539299999999998</v>
      </c>
      <c r="L8189" s="31"/>
      <c r="M8189" s="31" t="s">
        <v>854</v>
      </c>
      <c r="N8189" s="6" t="s">
        <v>856</v>
      </c>
    </row>
    <row r="8190" spans="1:14" ht="15" customHeight="1" x14ac:dyDescent="0.2">
      <c r="A8190" s="31">
        <v>1.8955099242144131E-2</v>
      </c>
      <c r="B8190" s="31"/>
      <c r="C8190" s="2" t="s">
        <v>855</v>
      </c>
      <c r="D8190" s="31">
        <f t="shared" si="225"/>
        <v>3.7151994514602496E-3</v>
      </c>
      <c r="F8190" s="2" t="s">
        <v>822</v>
      </c>
      <c r="G8190" s="23" t="s">
        <v>902</v>
      </c>
      <c r="H8190" s="2" t="s">
        <v>822</v>
      </c>
      <c r="J8190" s="31">
        <v>71.141601600000001</v>
      </c>
      <c r="K8190" s="31">
        <v>-17.8439999</v>
      </c>
      <c r="L8190" s="31"/>
      <c r="M8190" s="31" t="s">
        <v>854</v>
      </c>
      <c r="N8190" s="6" t="s">
        <v>856</v>
      </c>
    </row>
    <row r="8191" spans="1:14" ht="15" customHeight="1" x14ac:dyDescent="0.2">
      <c r="A8191" s="31">
        <v>1.894854548703942E-2</v>
      </c>
      <c r="B8191" s="31"/>
      <c r="C8191" s="2" t="s">
        <v>855</v>
      </c>
      <c r="D8191" s="31">
        <f t="shared" si="225"/>
        <v>3.7139149154597263E-3</v>
      </c>
      <c r="F8191" s="2" t="s">
        <v>822</v>
      </c>
      <c r="G8191" s="23" t="s">
        <v>902</v>
      </c>
      <c r="H8191" s="2" t="s">
        <v>822</v>
      </c>
      <c r="J8191" s="31">
        <v>74.136398299999996</v>
      </c>
      <c r="K8191" s="31">
        <v>-3.8164201000000002</v>
      </c>
      <c r="L8191" s="31"/>
      <c r="M8191" s="31" t="s">
        <v>854</v>
      </c>
      <c r="N8191" s="6" t="s">
        <v>856</v>
      </c>
    </row>
    <row r="8192" spans="1:14" ht="15" customHeight="1" x14ac:dyDescent="0.2">
      <c r="A8192" s="31">
        <v>1.8915444184708821E-2</v>
      </c>
      <c r="B8192" s="31"/>
      <c r="C8192" s="2" t="s">
        <v>855</v>
      </c>
      <c r="D8192" s="31">
        <f t="shared" si="225"/>
        <v>3.7074270602029291E-3</v>
      </c>
      <c r="F8192" s="2" t="s">
        <v>822</v>
      </c>
      <c r="G8192" s="23" t="s">
        <v>902</v>
      </c>
      <c r="H8192" s="2" t="s">
        <v>822</v>
      </c>
      <c r="J8192" s="31">
        <v>74.664802600000002</v>
      </c>
      <c r="K8192" s="31">
        <v>46.293399800000003</v>
      </c>
      <c r="L8192" s="31"/>
      <c r="M8192" s="31" t="s">
        <v>854</v>
      </c>
      <c r="N8192" s="6" t="s">
        <v>856</v>
      </c>
    </row>
    <row r="8193" spans="1:14" ht="15" customHeight="1" x14ac:dyDescent="0.2">
      <c r="A8193" s="31">
        <v>1.878153445738278E-2</v>
      </c>
      <c r="B8193" s="31"/>
      <c r="C8193" s="2" t="s">
        <v>855</v>
      </c>
      <c r="D8193" s="31">
        <f t="shared" si="225"/>
        <v>3.681180753647025E-3</v>
      </c>
      <c r="F8193" s="2" t="s">
        <v>822</v>
      </c>
      <c r="G8193" s="23" t="s">
        <v>902</v>
      </c>
      <c r="H8193" s="2" t="s">
        <v>822</v>
      </c>
      <c r="J8193" s="31">
        <v>74.686599700000002</v>
      </c>
      <c r="K8193" s="31">
        <v>-3.8159999999999998</v>
      </c>
      <c r="L8193" s="31"/>
      <c r="M8193" s="31" t="s">
        <v>854</v>
      </c>
      <c r="N8193" s="6" t="s">
        <v>856</v>
      </c>
    </row>
    <row r="8194" spans="1:14" ht="15" customHeight="1" x14ac:dyDescent="0.2">
      <c r="A8194" s="31">
        <v>1.8773835651280369E-2</v>
      </c>
      <c r="B8194" s="31"/>
      <c r="C8194" s="2" t="s">
        <v>855</v>
      </c>
      <c r="D8194" s="31">
        <f t="shared" si="225"/>
        <v>3.6796717876509525E-3</v>
      </c>
      <c r="F8194" s="2" t="s">
        <v>822</v>
      </c>
      <c r="G8194" s="23" t="s">
        <v>902</v>
      </c>
      <c r="H8194" s="2" t="s">
        <v>822</v>
      </c>
      <c r="J8194" s="31">
        <v>74.686599700000002</v>
      </c>
      <c r="K8194" s="31">
        <v>-1.8120000000000001</v>
      </c>
      <c r="L8194" s="31"/>
      <c r="M8194" s="31" t="s">
        <v>854</v>
      </c>
      <c r="N8194" s="6" t="s">
        <v>856</v>
      </c>
    </row>
    <row r="8195" spans="1:14" ht="15" customHeight="1" x14ac:dyDescent="0.2">
      <c r="A8195" s="31">
        <v>1.8734379759214621E-2</v>
      </c>
      <c r="B8195" s="31"/>
      <c r="C8195" s="2" t="s">
        <v>855</v>
      </c>
      <c r="D8195" s="31">
        <f t="shared" si="225"/>
        <v>3.6719384328060658E-3</v>
      </c>
      <c r="F8195" s="2" t="s">
        <v>822</v>
      </c>
      <c r="G8195" s="23" t="s">
        <v>902</v>
      </c>
      <c r="H8195" s="2" t="s">
        <v>822</v>
      </c>
      <c r="J8195" s="31">
        <v>74.1360016</v>
      </c>
      <c r="K8195" s="31">
        <v>-5.1520000000000001</v>
      </c>
      <c r="L8195" s="31"/>
      <c r="M8195" s="31" t="s">
        <v>854</v>
      </c>
      <c r="N8195" s="6" t="s">
        <v>856</v>
      </c>
    </row>
    <row r="8196" spans="1:14" ht="15" customHeight="1" x14ac:dyDescent="0.2">
      <c r="A8196" s="31">
        <v>1.871012247131534E-2</v>
      </c>
      <c r="B8196" s="31"/>
      <c r="C8196" s="2" t="s">
        <v>855</v>
      </c>
      <c r="D8196" s="31">
        <f t="shared" si="225"/>
        <v>3.6671840043778067E-3</v>
      </c>
      <c r="F8196" s="2" t="s">
        <v>822</v>
      </c>
      <c r="G8196" s="23" t="s">
        <v>902</v>
      </c>
      <c r="H8196" s="2" t="s">
        <v>822</v>
      </c>
      <c r="J8196" s="31">
        <v>75.020599399999995</v>
      </c>
      <c r="K8196" s="31">
        <v>4.7836299999999998E-2</v>
      </c>
      <c r="L8196" s="31"/>
      <c r="M8196" s="31" t="s">
        <v>854</v>
      </c>
      <c r="N8196" s="6" t="s">
        <v>856</v>
      </c>
    </row>
    <row r="8197" spans="1:14" ht="15" customHeight="1" x14ac:dyDescent="0.2">
      <c r="A8197" s="31">
        <v>1.858929851014058E-2</v>
      </c>
      <c r="B8197" s="31"/>
      <c r="C8197" s="2" t="s">
        <v>855</v>
      </c>
      <c r="D8197" s="31">
        <f t="shared" si="225"/>
        <v>3.6435025079875538E-3</v>
      </c>
      <c r="F8197" s="2" t="s">
        <v>822</v>
      </c>
      <c r="G8197" s="23" t="s">
        <v>902</v>
      </c>
      <c r="H8197" s="2" t="s">
        <v>822</v>
      </c>
      <c r="J8197" s="31">
        <v>71.463996899999998</v>
      </c>
      <c r="K8197" s="31">
        <v>42.276001000000001</v>
      </c>
      <c r="L8197" s="31"/>
      <c r="M8197" s="31" t="s">
        <v>854</v>
      </c>
      <c r="N8197" s="6" t="s">
        <v>856</v>
      </c>
    </row>
    <row r="8198" spans="1:14" ht="15" customHeight="1" x14ac:dyDescent="0.2">
      <c r="A8198" s="31">
        <v>1.8564026767980801E-2</v>
      </c>
      <c r="B8198" s="31"/>
      <c r="C8198" s="2" t="s">
        <v>855</v>
      </c>
      <c r="D8198" s="31">
        <f t="shared" si="225"/>
        <v>3.6385492465242373E-3</v>
      </c>
      <c r="F8198" s="2" t="s">
        <v>822</v>
      </c>
      <c r="G8198" s="23" t="s">
        <v>902</v>
      </c>
      <c r="H8198" s="2" t="s">
        <v>822</v>
      </c>
      <c r="J8198" s="31">
        <v>74.1360016</v>
      </c>
      <c r="K8198" s="31">
        <v>46.951999700000002</v>
      </c>
      <c r="L8198" s="31"/>
      <c r="M8198" s="31" t="s">
        <v>854</v>
      </c>
      <c r="N8198" s="6" t="s">
        <v>856</v>
      </c>
    </row>
    <row r="8199" spans="1:14" ht="15" customHeight="1" x14ac:dyDescent="0.2">
      <c r="A8199" s="31">
        <v>1.847280489940839E-2</v>
      </c>
      <c r="B8199" s="31"/>
      <c r="C8199" s="2" t="s">
        <v>855</v>
      </c>
      <c r="D8199" s="31">
        <f t="shared" si="225"/>
        <v>3.6206697602840445E-3</v>
      </c>
      <c r="F8199" s="2" t="s">
        <v>822</v>
      </c>
      <c r="G8199" s="23" t="s">
        <v>902</v>
      </c>
      <c r="H8199" s="2" t="s">
        <v>822</v>
      </c>
      <c r="J8199" s="31">
        <v>73.468002299999995</v>
      </c>
      <c r="K8199" s="31">
        <v>31.5879993</v>
      </c>
      <c r="L8199" s="31"/>
      <c r="M8199" s="31" t="s">
        <v>854</v>
      </c>
      <c r="N8199" s="6" t="s">
        <v>856</v>
      </c>
    </row>
    <row r="8200" spans="1:14" ht="15" customHeight="1" x14ac:dyDescent="0.2">
      <c r="A8200" s="31">
        <v>1.8434700013017599E-2</v>
      </c>
      <c r="B8200" s="31"/>
      <c r="C8200" s="2" t="s">
        <v>855</v>
      </c>
      <c r="D8200" s="31">
        <f t="shared" si="225"/>
        <v>3.6132012025514495E-3</v>
      </c>
      <c r="F8200" s="2" t="s">
        <v>822</v>
      </c>
      <c r="G8200" s="23" t="s">
        <v>902</v>
      </c>
      <c r="H8200" s="2" t="s">
        <v>822</v>
      </c>
      <c r="J8200" s="31">
        <v>74.804000900000005</v>
      </c>
      <c r="K8200" s="31">
        <v>28.247999199999999</v>
      </c>
      <c r="L8200" s="31"/>
      <c r="M8200" s="31" t="s">
        <v>854</v>
      </c>
      <c r="N8200" s="6" t="s">
        <v>856</v>
      </c>
    </row>
    <row r="8201" spans="1:14" ht="15" customHeight="1" x14ac:dyDescent="0.2">
      <c r="A8201" s="31">
        <v>1.831711939319176E-2</v>
      </c>
      <c r="B8201" s="31"/>
      <c r="C8201" s="2" t="s">
        <v>855</v>
      </c>
      <c r="D8201" s="31">
        <f t="shared" si="225"/>
        <v>3.5901554010655851E-3</v>
      </c>
      <c r="F8201" s="2" t="s">
        <v>822</v>
      </c>
      <c r="G8201" s="23" t="s">
        <v>902</v>
      </c>
      <c r="H8201" s="2" t="s">
        <v>822</v>
      </c>
      <c r="J8201" s="31">
        <v>66.581199600000005</v>
      </c>
      <c r="K8201" s="31">
        <v>33.654701199999998</v>
      </c>
      <c r="L8201" s="31"/>
      <c r="M8201" s="31" t="s">
        <v>854</v>
      </c>
      <c r="N8201" s="6" t="s">
        <v>856</v>
      </c>
    </row>
    <row r="8202" spans="1:14" ht="15" customHeight="1" x14ac:dyDescent="0.2">
      <c r="A8202" s="31">
        <v>1.8314417496885671E-2</v>
      </c>
      <c r="B8202" s="31"/>
      <c r="C8202" s="2" t="s">
        <v>855</v>
      </c>
      <c r="D8202" s="31">
        <f t="shared" si="225"/>
        <v>3.5896258293895917E-3</v>
      </c>
      <c r="F8202" s="2" t="s">
        <v>822</v>
      </c>
      <c r="G8202" s="23" t="s">
        <v>902</v>
      </c>
      <c r="H8202" s="2" t="s">
        <v>822</v>
      </c>
      <c r="J8202" s="31">
        <v>75.866600000000005</v>
      </c>
      <c r="K8202" s="31">
        <v>30.871299700000002</v>
      </c>
      <c r="L8202" s="31"/>
      <c r="M8202" s="31" t="s">
        <v>854</v>
      </c>
      <c r="N8202" s="6" t="s">
        <v>856</v>
      </c>
    </row>
    <row r="8203" spans="1:14" ht="15" customHeight="1" x14ac:dyDescent="0.2">
      <c r="A8203" s="31">
        <v>1.82929990624047E-2</v>
      </c>
      <c r="B8203" s="31"/>
      <c r="C8203" s="2" t="s">
        <v>855</v>
      </c>
      <c r="D8203" s="31">
        <f t="shared" si="225"/>
        <v>3.5854278162313212E-3</v>
      </c>
      <c r="F8203" s="2" t="s">
        <v>822</v>
      </c>
      <c r="G8203" s="23" t="s">
        <v>902</v>
      </c>
      <c r="H8203" s="2" t="s">
        <v>822</v>
      </c>
      <c r="J8203" s="31">
        <v>72.800003099999998</v>
      </c>
      <c r="K8203" s="31">
        <v>49.624000500000001</v>
      </c>
      <c r="L8203" s="31"/>
      <c r="M8203" s="31" t="s">
        <v>854</v>
      </c>
      <c r="N8203" s="6" t="s">
        <v>856</v>
      </c>
    </row>
    <row r="8204" spans="1:14" ht="15" customHeight="1" x14ac:dyDescent="0.2">
      <c r="A8204" s="31">
        <v>1.812642961659934E-2</v>
      </c>
      <c r="B8204" s="31"/>
      <c r="C8204" s="2" t="s">
        <v>855</v>
      </c>
      <c r="D8204" s="31">
        <f t="shared" si="225"/>
        <v>3.5527802048534707E-3</v>
      </c>
      <c r="F8204" s="2" t="s">
        <v>822</v>
      </c>
      <c r="G8204" s="23" t="s">
        <v>902</v>
      </c>
      <c r="H8204" s="2" t="s">
        <v>822</v>
      </c>
      <c r="J8204" s="31">
        <v>75.020599399999995</v>
      </c>
      <c r="K8204" s="31">
        <v>-3.1480000000000001</v>
      </c>
      <c r="L8204" s="31"/>
      <c r="M8204" s="31" t="s">
        <v>854</v>
      </c>
      <c r="N8204" s="6" t="s">
        <v>856</v>
      </c>
    </row>
    <row r="8205" spans="1:14" ht="15" customHeight="1" x14ac:dyDescent="0.2">
      <c r="A8205" s="31">
        <v>1.799531882390738E-2</v>
      </c>
      <c r="B8205" s="31"/>
      <c r="C8205" s="2" t="s">
        <v>855</v>
      </c>
      <c r="D8205" s="31">
        <f t="shared" si="225"/>
        <v>3.5270824894858463E-3</v>
      </c>
      <c r="F8205" s="2" t="s">
        <v>822</v>
      </c>
      <c r="G8205" s="23" t="s">
        <v>902</v>
      </c>
      <c r="H8205" s="2" t="s">
        <v>822</v>
      </c>
      <c r="J8205" s="31">
        <v>70.6078033</v>
      </c>
      <c r="K8205" s="31">
        <v>32.334301000000004</v>
      </c>
      <c r="L8205" s="31"/>
      <c r="M8205" s="31" t="s">
        <v>854</v>
      </c>
      <c r="N8205" s="6" t="s">
        <v>856</v>
      </c>
    </row>
    <row r="8206" spans="1:14" ht="15" customHeight="1" x14ac:dyDescent="0.2">
      <c r="A8206" s="31">
        <v>1.7826288993563859E-2</v>
      </c>
      <c r="B8206" s="31"/>
      <c r="C8206" s="2" t="s">
        <v>855</v>
      </c>
      <c r="D8206" s="31">
        <f t="shared" si="225"/>
        <v>3.4939526427385163E-3</v>
      </c>
      <c r="F8206" s="2" t="s">
        <v>822</v>
      </c>
      <c r="G8206" s="23" t="s">
        <v>902</v>
      </c>
      <c r="H8206" s="2" t="s">
        <v>822</v>
      </c>
      <c r="J8206" s="31">
        <v>65.586303700000002</v>
      </c>
      <c r="K8206" s="31">
        <v>36.260398899999998</v>
      </c>
      <c r="L8206" s="31"/>
      <c r="M8206" s="31" t="s">
        <v>854</v>
      </c>
      <c r="N8206" s="6" t="s">
        <v>856</v>
      </c>
    </row>
    <row r="8207" spans="1:14" ht="15" customHeight="1" x14ac:dyDescent="0.2">
      <c r="A8207" s="31">
        <v>1.779297509375528E-2</v>
      </c>
      <c r="B8207" s="31"/>
      <c r="C8207" s="2" t="s">
        <v>855</v>
      </c>
      <c r="D8207" s="31">
        <f t="shared" si="225"/>
        <v>3.487423118376035E-3</v>
      </c>
      <c r="F8207" s="2" t="s">
        <v>822</v>
      </c>
      <c r="G8207" s="23" t="s">
        <v>902</v>
      </c>
      <c r="H8207" s="2" t="s">
        <v>822</v>
      </c>
      <c r="J8207" s="31">
        <v>74.804000900000005</v>
      </c>
      <c r="K8207" s="31">
        <v>30.920000099999999</v>
      </c>
      <c r="L8207" s="31"/>
      <c r="M8207" s="31" t="s">
        <v>854</v>
      </c>
      <c r="N8207" s="6" t="s">
        <v>856</v>
      </c>
    </row>
    <row r="8208" spans="1:14" ht="15" customHeight="1" x14ac:dyDescent="0.2">
      <c r="A8208" s="31">
        <v>1.7789156873771191E-2</v>
      </c>
      <c r="B8208" s="31"/>
      <c r="C8208" s="2" t="s">
        <v>855</v>
      </c>
      <c r="D8208" s="31">
        <f t="shared" si="225"/>
        <v>3.4866747472591538E-3</v>
      </c>
      <c r="F8208" s="2" t="s">
        <v>822</v>
      </c>
      <c r="G8208" s="23" t="s">
        <v>902</v>
      </c>
      <c r="H8208" s="2" t="s">
        <v>822</v>
      </c>
      <c r="J8208" s="31">
        <v>72.132003800000007</v>
      </c>
      <c r="K8208" s="31">
        <v>44.948001900000001</v>
      </c>
      <c r="L8208" s="31"/>
      <c r="M8208" s="31" t="s">
        <v>854</v>
      </c>
      <c r="N8208" s="6" t="s">
        <v>856</v>
      </c>
    </row>
    <row r="8209" spans="1:14" ht="15" customHeight="1" x14ac:dyDescent="0.2">
      <c r="A8209" s="31">
        <v>1.7460106173267431E-2</v>
      </c>
      <c r="B8209" s="31"/>
      <c r="C8209" s="2" t="s">
        <v>855</v>
      </c>
      <c r="D8209" s="31">
        <f t="shared" si="225"/>
        <v>3.4221808099604168E-3</v>
      </c>
      <c r="F8209" s="2" t="s">
        <v>822</v>
      </c>
      <c r="G8209" s="23" t="s">
        <v>902</v>
      </c>
      <c r="H8209" s="2" t="s">
        <v>822</v>
      </c>
      <c r="J8209" s="31">
        <v>68.305603000000005</v>
      </c>
      <c r="K8209" s="31">
        <v>-21.1812</v>
      </c>
      <c r="L8209" s="31"/>
      <c r="M8209" s="31" t="s">
        <v>854</v>
      </c>
      <c r="N8209" s="6" t="s">
        <v>856</v>
      </c>
    </row>
    <row r="8210" spans="1:14" ht="15" customHeight="1" x14ac:dyDescent="0.2">
      <c r="A8210" s="31">
        <v>1.724357956373529E-2</v>
      </c>
      <c r="B8210" s="31"/>
      <c r="C8210" s="2" t="s">
        <v>855</v>
      </c>
      <c r="D8210" s="31">
        <f t="shared" si="225"/>
        <v>3.3797415944921169E-3</v>
      </c>
      <c r="F8210" s="2" t="s">
        <v>822</v>
      </c>
      <c r="G8210" s="23" t="s">
        <v>902</v>
      </c>
      <c r="H8210" s="2" t="s">
        <v>822</v>
      </c>
      <c r="J8210" s="31">
        <v>71.463996899999998</v>
      </c>
      <c r="K8210" s="31">
        <v>35.596000699999998</v>
      </c>
      <c r="L8210" s="31"/>
      <c r="M8210" s="31" t="s">
        <v>854</v>
      </c>
      <c r="N8210" s="6" t="s">
        <v>856</v>
      </c>
    </row>
    <row r="8211" spans="1:14" ht="15" customHeight="1" x14ac:dyDescent="0.2">
      <c r="A8211" s="31">
        <v>1.715137596581676E-2</v>
      </c>
      <c r="B8211" s="31"/>
      <c r="C8211" s="2" t="s">
        <v>855</v>
      </c>
      <c r="D8211" s="31">
        <f t="shared" si="225"/>
        <v>3.3616696893000852E-3</v>
      </c>
      <c r="F8211" s="2" t="s">
        <v>822</v>
      </c>
      <c r="G8211" s="23" t="s">
        <v>902</v>
      </c>
      <c r="H8211" s="2" t="s">
        <v>822</v>
      </c>
      <c r="J8211" s="31">
        <v>74.804000900000005</v>
      </c>
      <c r="K8211" s="31">
        <v>29.583999599999999</v>
      </c>
      <c r="L8211" s="31"/>
      <c r="M8211" s="31" t="s">
        <v>854</v>
      </c>
      <c r="N8211" s="6" t="s">
        <v>856</v>
      </c>
    </row>
    <row r="8212" spans="1:14" ht="15" customHeight="1" x14ac:dyDescent="0.2">
      <c r="A8212" s="31">
        <v>1.7144574009149861E-2</v>
      </c>
      <c r="B8212" s="31"/>
      <c r="C8212" s="2" t="s">
        <v>855</v>
      </c>
      <c r="D8212" s="31">
        <f t="shared" si="225"/>
        <v>3.3603365057933727E-3</v>
      </c>
      <c r="F8212" s="2" t="s">
        <v>822</v>
      </c>
      <c r="G8212" s="23" t="s">
        <v>902</v>
      </c>
      <c r="H8212" s="2" t="s">
        <v>822</v>
      </c>
      <c r="J8212" s="31">
        <v>74.686599700000002</v>
      </c>
      <c r="K8212" s="31">
        <v>-1.1440001</v>
      </c>
      <c r="L8212" s="31"/>
      <c r="M8212" s="31" t="s">
        <v>854</v>
      </c>
      <c r="N8212" s="6" t="s">
        <v>856</v>
      </c>
    </row>
    <row r="8213" spans="1:14" ht="15" customHeight="1" x14ac:dyDescent="0.2">
      <c r="A8213" s="31">
        <v>1.710248019972227E-2</v>
      </c>
      <c r="B8213" s="31"/>
      <c r="C8213" s="2" t="s">
        <v>855</v>
      </c>
      <c r="D8213" s="31">
        <f t="shared" si="225"/>
        <v>3.3520861191455652E-3</v>
      </c>
      <c r="F8213" s="2" t="s">
        <v>822</v>
      </c>
      <c r="G8213" s="23" t="s">
        <v>902</v>
      </c>
      <c r="H8213" s="2" t="s">
        <v>822</v>
      </c>
      <c r="J8213" s="31">
        <v>74.1360016</v>
      </c>
      <c r="K8213" s="31">
        <v>-0.47599999999999998</v>
      </c>
      <c r="L8213" s="31"/>
      <c r="M8213" s="31" t="s">
        <v>854</v>
      </c>
      <c r="N8213" s="6" t="s">
        <v>856</v>
      </c>
    </row>
    <row r="8214" spans="1:14" ht="15" customHeight="1" x14ac:dyDescent="0.2">
      <c r="A8214" s="31">
        <v>1.6649248304471231E-2</v>
      </c>
      <c r="B8214" s="31"/>
      <c r="C8214" s="2" t="s">
        <v>855</v>
      </c>
      <c r="D8214" s="31">
        <f t="shared" si="225"/>
        <v>3.2632526676763616E-3</v>
      </c>
      <c r="F8214" s="2" t="s">
        <v>822</v>
      </c>
      <c r="G8214" s="23" t="s">
        <v>902</v>
      </c>
      <c r="H8214" s="2" t="s">
        <v>822</v>
      </c>
      <c r="J8214" s="31">
        <v>74.1360016</v>
      </c>
      <c r="K8214" s="31">
        <v>28.247999199999999</v>
      </c>
      <c r="L8214" s="31"/>
      <c r="M8214" s="31" t="s">
        <v>854</v>
      </c>
      <c r="N8214" s="6" t="s">
        <v>856</v>
      </c>
    </row>
    <row r="8215" spans="1:14" ht="15" customHeight="1" x14ac:dyDescent="0.2">
      <c r="A8215" s="31">
        <v>1.657825425215096E-2</v>
      </c>
      <c r="B8215" s="31"/>
      <c r="C8215" s="2" t="s">
        <v>855</v>
      </c>
      <c r="D8215" s="31">
        <f t="shared" si="225"/>
        <v>3.2493378334215884E-3</v>
      </c>
      <c r="F8215" s="2" t="s">
        <v>822</v>
      </c>
      <c r="G8215" s="23" t="s">
        <v>902</v>
      </c>
      <c r="H8215" s="2" t="s">
        <v>822</v>
      </c>
      <c r="J8215" s="31">
        <v>74.300003099999998</v>
      </c>
      <c r="K8215" s="31">
        <v>-2.5161500000000001</v>
      </c>
      <c r="L8215" s="31"/>
      <c r="M8215" s="31" t="s">
        <v>854</v>
      </c>
      <c r="N8215" s="6" t="s">
        <v>856</v>
      </c>
    </row>
    <row r="8216" spans="1:14" ht="15" customHeight="1" x14ac:dyDescent="0.2">
      <c r="A8216" s="31">
        <v>1.6567663259105119E-2</v>
      </c>
      <c r="B8216" s="31"/>
      <c r="C8216" s="2" t="s">
        <v>855</v>
      </c>
      <c r="D8216" s="31">
        <f t="shared" si="225"/>
        <v>3.2472619987846036E-3</v>
      </c>
      <c r="F8216" s="2" t="s">
        <v>822</v>
      </c>
      <c r="G8216" s="23" t="s">
        <v>902</v>
      </c>
      <c r="H8216" s="2" t="s">
        <v>822</v>
      </c>
      <c r="J8216" s="31">
        <v>65.470001199999999</v>
      </c>
      <c r="K8216" s="31">
        <v>35.321700999999997</v>
      </c>
      <c r="L8216" s="31"/>
      <c r="M8216" s="31" t="s">
        <v>854</v>
      </c>
      <c r="N8216" s="6" t="s">
        <v>856</v>
      </c>
    </row>
    <row r="8217" spans="1:14" ht="15" customHeight="1" x14ac:dyDescent="0.2">
      <c r="A8217" s="31">
        <v>1.65196211564053E-2</v>
      </c>
      <c r="B8217" s="31"/>
      <c r="C8217" s="2" t="s">
        <v>855</v>
      </c>
      <c r="D8217" s="31">
        <f t="shared" si="225"/>
        <v>3.2378457466554389E-3</v>
      </c>
      <c r="F8217" s="2" t="s">
        <v>822</v>
      </c>
      <c r="G8217" s="23" t="s">
        <v>902</v>
      </c>
      <c r="H8217" s="2" t="s">
        <v>822</v>
      </c>
      <c r="J8217" s="31">
        <v>68.680603000000005</v>
      </c>
      <c r="K8217" s="31">
        <v>-20.8062</v>
      </c>
      <c r="L8217" s="31"/>
      <c r="M8217" s="31" t="s">
        <v>854</v>
      </c>
      <c r="N8217" s="6" t="s">
        <v>856</v>
      </c>
    </row>
    <row r="8218" spans="1:14" ht="15" customHeight="1" x14ac:dyDescent="0.2">
      <c r="A8218" s="31">
        <v>1.6451263863913809E-2</v>
      </c>
      <c r="B8218" s="31"/>
      <c r="C8218" s="2" t="s">
        <v>855</v>
      </c>
      <c r="D8218" s="31">
        <f t="shared" si="225"/>
        <v>3.2244477173271066E-3</v>
      </c>
      <c r="F8218" s="2" t="s">
        <v>822</v>
      </c>
      <c r="G8218" s="23" t="s">
        <v>902</v>
      </c>
      <c r="H8218" s="2" t="s">
        <v>822</v>
      </c>
      <c r="J8218" s="31">
        <v>75.395599399999995</v>
      </c>
      <c r="K8218" s="31">
        <v>-0.47599999999999998</v>
      </c>
      <c r="L8218" s="31"/>
      <c r="M8218" s="31" t="s">
        <v>854</v>
      </c>
      <c r="N8218" s="6" t="s">
        <v>856</v>
      </c>
    </row>
    <row r="8219" spans="1:14" ht="15" customHeight="1" x14ac:dyDescent="0.2">
      <c r="A8219" s="2">
        <v>37</v>
      </c>
      <c r="C8219" s="2" t="s">
        <v>174</v>
      </c>
      <c r="D8219" s="2">
        <f>A8219* 0.0000864</f>
        <v>3.1968000000000001E-3</v>
      </c>
      <c r="F8219" s="2" t="s">
        <v>175</v>
      </c>
      <c r="G8219" s="2" t="s">
        <v>903</v>
      </c>
      <c r="H8219" s="2" t="s">
        <v>822</v>
      </c>
      <c r="I8219" s="2" t="s">
        <v>179</v>
      </c>
      <c r="J8219" s="2">
        <v>53.8</v>
      </c>
      <c r="K8219" s="2">
        <v>14.05</v>
      </c>
      <c r="L8219" s="2" t="s">
        <v>28</v>
      </c>
      <c r="M8219" s="2" t="s">
        <v>812</v>
      </c>
      <c r="N8219" s="6" t="s">
        <v>861</v>
      </c>
    </row>
    <row r="8220" spans="1:14" ht="15" customHeight="1" x14ac:dyDescent="0.2">
      <c r="A8220" s="31">
        <v>1.6281352589154769E-2</v>
      </c>
      <c r="B8220" s="31"/>
      <c r="C8220" s="2" t="s">
        <v>855</v>
      </c>
      <c r="D8220" s="31">
        <f t="shared" ref="D8220:D8233" si="226" xml:space="preserve"> A8220 * 0.196</f>
        <v>3.1911451074743348E-3</v>
      </c>
      <c r="F8220" s="2" t="s">
        <v>822</v>
      </c>
      <c r="G8220" s="23" t="s">
        <v>902</v>
      </c>
      <c r="H8220" s="2" t="s">
        <v>822</v>
      </c>
      <c r="J8220" s="31">
        <v>70.795997600000007</v>
      </c>
      <c r="K8220" s="31">
        <v>47.619998899999999</v>
      </c>
      <c r="L8220" s="31"/>
      <c r="M8220" s="31" t="s">
        <v>854</v>
      </c>
      <c r="N8220" s="6" t="s">
        <v>856</v>
      </c>
    </row>
    <row r="8221" spans="1:14" ht="15" customHeight="1" x14ac:dyDescent="0.2">
      <c r="A8221" s="31">
        <v>1.6039299758143749E-2</v>
      </c>
      <c r="B8221" s="31"/>
      <c r="C8221" s="2" t="s">
        <v>855</v>
      </c>
      <c r="D8221" s="31">
        <f t="shared" si="226"/>
        <v>3.143702752596175E-3</v>
      </c>
      <c r="F8221" s="2" t="s">
        <v>822</v>
      </c>
      <c r="G8221" s="23" t="s">
        <v>902</v>
      </c>
      <c r="H8221" s="2" t="s">
        <v>822</v>
      </c>
      <c r="J8221" s="31">
        <v>72.6029968</v>
      </c>
      <c r="K8221" s="31">
        <v>48.523998300000002</v>
      </c>
      <c r="L8221" s="31"/>
      <c r="M8221" s="31" t="s">
        <v>854</v>
      </c>
      <c r="N8221" s="6" t="s">
        <v>856</v>
      </c>
    </row>
    <row r="8222" spans="1:14" ht="15" customHeight="1" x14ac:dyDescent="0.2">
      <c r="A8222" s="31">
        <v>1.6038514268030331E-2</v>
      </c>
      <c r="B8222" s="31"/>
      <c r="C8222" s="2" t="s">
        <v>855</v>
      </c>
      <c r="D8222" s="31">
        <f t="shared" si="226"/>
        <v>3.1435487965339451E-3</v>
      </c>
      <c r="F8222" s="2" t="s">
        <v>822</v>
      </c>
      <c r="G8222" s="23" t="s">
        <v>902</v>
      </c>
      <c r="H8222" s="2" t="s">
        <v>822</v>
      </c>
      <c r="J8222" s="31">
        <v>70.127998399999996</v>
      </c>
      <c r="K8222" s="31">
        <v>36.9319992</v>
      </c>
      <c r="L8222" s="31"/>
      <c r="M8222" s="31" t="s">
        <v>854</v>
      </c>
      <c r="N8222" s="6" t="s">
        <v>856</v>
      </c>
    </row>
    <row r="8223" spans="1:14" ht="15" customHeight="1" x14ac:dyDescent="0.2">
      <c r="A8223" s="31">
        <v>1.580941811362668E-2</v>
      </c>
      <c r="B8223" s="31"/>
      <c r="C8223" s="2" t="s">
        <v>855</v>
      </c>
      <c r="D8223" s="31">
        <f t="shared" si="226"/>
        <v>3.0986459502708292E-3</v>
      </c>
      <c r="F8223" s="2" t="s">
        <v>822</v>
      </c>
      <c r="G8223" s="23" t="s">
        <v>902</v>
      </c>
      <c r="H8223" s="2" t="s">
        <v>822</v>
      </c>
      <c r="J8223" s="31">
        <v>72.132003800000007</v>
      </c>
      <c r="K8223" s="31">
        <v>31.5879993</v>
      </c>
      <c r="L8223" s="31"/>
      <c r="M8223" s="31" t="s">
        <v>854</v>
      </c>
      <c r="N8223" s="6" t="s">
        <v>856</v>
      </c>
    </row>
    <row r="8224" spans="1:14" ht="15" customHeight="1" x14ac:dyDescent="0.2">
      <c r="A8224" s="31">
        <v>1.5804573415498509E-2</v>
      </c>
      <c r="B8224" s="31"/>
      <c r="C8224" s="2" t="s">
        <v>855</v>
      </c>
      <c r="D8224" s="31">
        <f t="shared" si="226"/>
        <v>3.0976963894377078E-3</v>
      </c>
      <c r="F8224" s="2" t="s">
        <v>822</v>
      </c>
      <c r="G8224" s="23" t="s">
        <v>902</v>
      </c>
      <c r="H8224" s="2" t="s">
        <v>822</v>
      </c>
      <c r="J8224" s="31">
        <v>75.395599399999995</v>
      </c>
      <c r="K8224" s="31">
        <v>-1.8120000000000001</v>
      </c>
      <c r="L8224" s="31"/>
      <c r="M8224" s="31" t="s">
        <v>854</v>
      </c>
      <c r="N8224" s="6" t="s">
        <v>856</v>
      </c>
    </row>
    <row r="8225" spans="1:14" ht="15" customHeight="1" x14ac:dyDescent="0.2">
      <c r="A8225" s="31">
        <v>1.5748178901593541E-2</v>
      </c>
      <c r="B8225" s="31"/>
      <c r="C8225" s="2" t="s">
        <v>855</v>
      </c>
      <c r="D8225" s="31">
        <f t="shared" si="226"/>
        <v>3.086643064712334E-3</v>
      </c>
      <c r="F8225" s="2" t="s">
        <v>822</v>
      </c>
      <c r="G8225" s="23" t="s">
        <v>902</v>
      </c>
      <c r="H8225" s="2" t="s">
        <v>822</v>
      </c>
      <c r="J8225" s="31">
        <v>70.795997600000007</v>
      </c>
      <c r="K8225" s="31">
        <v>48.956001299999997</v>
      </c>
      <c r="L8225" s="31"/>
      <c r="M8225" s="31" t="s">
        <v>854</v>
      </c>
      <c r="N8225" s="6" t="s">
        <v>856</v>
      </c>
    </row>
    <row r="8226" spans="1:14" ht="15" customHeight="1" x14ac:dyDescent="0.2">
      <c r="A8226" s="31">
        <v>1.5675141269908051E-2</v>
      </c>
      <c r="B8226" s="31"/>
      <c r="C8226" s="2" t="s">
        <v>855</v>
      </c>
      <c r="D8226" s="31">
        <f t="shared" si="226"/>
        <v>3.0723276889019781E-3</v>
      </c>
      <c r="F8226" s="2" t="s">
        <v>822</v>
      </c>
      <c r="G8226" s="23" t="s">
        <v>902</v>
      </c>
      <c r="H8226" s="2" t="s">
        <v>822</v>
      </c>
      <c r="J8226" s="31">
        <v>74.534400899999994</v>
      </c>
      <c r="K8226" s="31">
        <v>43.640998799999998</v>
      </c>
      <c r="L8226" s="31"/>
      <c r="M8226" s="31" t="s">
        <v>854</v>
      </c>
      <c r="N8226" s="6" t="s">
        <v>856</v>
      </c>
    </row>
    <row r="8227" spans="1:14" ht="15" customHeight="1" x14ac:dyDescent="0.2">
      <c r="A8227" s="31">
        <v>1.544907592537138E-2</v>
      </c>
      <c r="B8227" s="31"/>
      <c r="C8227" s="2" t="s">
        <v>855</v>
      </c>
      <c r="D8227" s="31">
        <f t="shared" si="226"/>
        <v>3.0280188813727907E-3</v>
      </c>
      <c r="F8227" s="2" t="s">
        <v>822</v>
      </c>
      <c r="G8227" s="23" t="s">
        <v>902</v>
      </c>
      <c r="H8227" s="2" t="s">
        <v>822</v>
      </c>
      <c r="J8227" s="31">
        <v>68.680603000000005</v>
      </c>
      <c r="K8227" s="31">
        <v>-20.472200399999998</v>
      </c>
      <c r="L8227" s="31"/>
      <c r="M8227" s="31" t="s">
        <v>854</v>
      </c>
      <c r="N8227" s="6" t="s">
        <v>856</v>
      </c>
    </row>
    <row r="8228" spans="1:14" ht="15" customHeight="1" x14ac:dyDescent="0.2">
      <c r="A8228" s="31">
        <v>1.520923555636168E-2</v>
      </c>
      <c r="B8228" s="31"/>
      <c r="C8228" s="2" t="s">
        <v>855</v>
      </c>
      <c r="D8228" s="31">
        <f t="shared" si="226"/>
        <v>2.9810101690468894E-3</v>
      </c>
      <c r="F8228" s="2" t="s">
        <v>822</v>
      </c>
      <c r="G8228" s="23" t="s">
        <v>902</v>
      </c>
      <c r="H8228" s="2" t="s">
        <v>822</v>
      </c>
      <c r="J8228" s="31">
        <v>72.408096299999997</v>
      </c>
      <c r="K8228" s="31">
        <v>-25.0478992</v>
      </c>
      <c r="L8228" s="31"/>
      <c r="M8228" s="31" t="s">
        <v>854</v>
      </c>
      <c r="N8228" s="6" t="s">
        <v>856</v>
      </c>
    </row>
    <row r="8229" spans="1:14" ht="15" customHeight="1" x14ac:dyDescent="0.2">
      <c r="A8229" s="31">
        <v>1.52060984464989E-2</v>
      </c>
      <c r="B8229" s="31"/>
      <c r="C8229" s="2" t="s">
        <v>855</v>
      </c>
      <c r="D8229" s="31">
        <f t="shared" si="226"/>
        <v>2.9803952955137843E-3</v>
      </c>
      <c r="F8229" s="2" t="s">
        <v>822</v>
      </c>
      <c r="G8229" s="23" t="s">
        <v>902</v>
      </c>
      <c r="H8229" s="2" t="s">
        <v>822</v>
      </c>
      <c r="J8229" s="31">
        <v>69.014602699999998</v>
      </c>
      <c r="K8229" s="31">
        <v>-20.472200399999998</v>
      </c>
      <c r="L8229" s="31"/>
      <c r="M8229" s="31" t="s">
        <v>854</v>
      </c>
      <c r="N8229" s="6" t="s">
        <v>856</v>
      </c>
    </row>
    <row r="8230" spans="1:14" ht="15" customHeight="1" x14ac:dyDescent="0.2">
      <c r="A8230" s="31">
        <v>1.504962122896712E-2</v>
      </c>
      <c r="B8230" s="31"/>
      <c r="C8230" s="2" t="s">
        <v>855</v>
      </c>
      <c r="D8230" s="31">
        <f t="shared" si="226"/>
        <v>2.9497257608775557E-3</v>
      </c>
      <c r="F8230" s="2" t="s">
        <v>822</v>
      </c>
      <c r="G8230" s="23" t="s">
        <v>902</v>
      </c>
      <c r="H8230" s="2" t="s">
        <v>822</v>
      </c>
      <c r="J8230" s="31">
        <v>72.827201799999997</v>
      </c>
      <c r="K8230" s="31">
        <v>48.255401599999999</v>
      </c>
      <c r="L8230" s="31"/>
      <c r="M8230" s="31" t="s">
        <v>854</v>
      </c>
      <c r="N8230" s="6" t="s">
        <v>856</v>
      </c>
    </row>
    <row r="8231" spans="1:14" ht="15" customHeight="1" x14ac:dyDescent="0.2">
      <c r="A8231" s="31">
        <v>1.502054571784713E-2</v>
      </c>
      <c r="B8231" s="31"/>
      <c r="C8231" s="2" t="s">
        <v>855</v>
      </c>
      <c r="D8231" s="31">
        <f t="shared" si="226"/>
        <v>2.9440269606980378E-3</v>
      </c>
      <c r="F8231" s="2" t="s">
        <v>822</v>
      </c>
      <c r="G8231" s="23" t="s">
        <v>902</v>
      </c>
      <c r="H8231" s="2" t="s">
        <v>822</v>
      </c>
      <c r="J8231" s="31">
        <v>72.800003099999998</v>
      </c>
      <c r="K8231" s="31">
        <v>44.948001900000001</v>
      </c>
      <c r="L8231" s="31"/>
      <c r="M8231" s="31" t="s">
        <v>854</v>
      </c>
      <c r="N8231" s="6" t="s">
        <v>856</v>
      </c>
    </row>
    <row r="8232" spans="1:14" ht="15" customHeight="1" x14ac:dyDescent="0.2">
      <c r="A8232" s="31">
        <v>1.5010794810182221E-2</v>
      </c>
      <c r="B8232" s="31"/>
      <c r="C8232" s="2" t="s">
        <v>855</v>
      </c>
      <c r="D8232" s="31">
        <f t="shared" si="226"/>
        <v>2.9421157827957153E-3</v>
      </c>
      <c r="F8232" s="2" t="s">
        <v>822</v>
      </c>
      <c r="G8232" s="23" t="s">
        <v>902</v>
      </c>
      <c r="H8232" s="2" t="s">
        <v>822</v>
      </c>
      <c r="J8232" s="31">
        <v>73.468002299999995</v>
      </c>
      <c r="K8232" s="31">
        <v>42.276001000000001</v>
      </c>
      <c r="L8232" s="31"/>
      <c r="M8232" s="31" t="s">
        <v>854</v>
      </c>
      <c r="N8232" s="6" t="s">
        <v>856</v>
      </c>
    </row>
    <row r="8233" spans="1:14" ht="15" customHeight="1" x14ac:dyDescent="0.2">
      <c r="A8233" s="31">
        <v>1.499150864821615E-2</v>
      </c>
      <c r="B8233" s="31"/>
      <c r="C8233" s="2" t="s">
        <v>855</v>
      </c>
      <c r="D8233" s="31">
        <f t="shared" si="226"/>
        <v>2.9383356950503656E-3</v>
      </c>
      <c r="F8233" s="2" t="s">
        <v>822</v>
      </c>
      <c r="G8233" s="23" t="s">
        <v>902</v>
      </c>
      <c r="H8233" s="2" t="s">
        <v>822</v>
      </c>
      <c r="J8233" s="31">
        <v>73.826896700000006</v>
      </c>
      <c r="K8233" s="31">
        <v>19.018899900000001</v>
      </c>
      <c r="L8233" s="31"/>
      <c r="M8233" s="31" t="s">
        <v>854</v>
      </c>
      <c r="N8233" s="6" t="s">
        <v>856</v>
      </c>
    </row>
    <row r="8234" spans="1:14" ht="15" customHeight="1" x14ac:dyDescent="0.2">
      <c r="A8234" s="2">
        <v>34</v>
      </c>
      <c r="C8234" s="2" t="s">
        <v>174</v>
      </c>
      <c r="D8234" s="2">
        <f>A8234* 0.0000864</f>
        <v>2.9375999999999998E-3</v>
      </c>
      <c r="F8234" s="2" t="s">
        <v>175</v>
      </c>
      <c r="G8234" s="2" t="s">
        <v>903</v>
      </c>
      <c r="H8234" s="2" t="s">
        <v>822</v>
      </c>
      <c r="I8234" s="2" t="s">
        <v>177</v>
      </c>
      <c r="J8234" s="2">
        <v>54.1</v>
      </c>
      <c r="K8234" s="2">
        <v>13.5</v>
      </c>
      <c r="L8234" s="2" t="s">
        <v>28</v>
      </c>
      <c r="M8234" s="2" t="s">
        <v>813</v>
      </c>
      <c r="N8234" s="6" t="s">
        <v>861</v>
      </c>
    </row>
    <row r="8235" spans="1:14" ht="15" customHeight="1" x14ac:dyDescent="0.2">
      <c r="A8235" s="31">
        <v>1.4916834055519339E-2</v>
      </c>
      <c r="B8235" s="31"/>
      <c r="C8235" s="2" t="s">
        <v>855</v>
      </c>
      <c r="D8235" s="31">
        <f t="shared" ref="D8235:D8275" si="227" xml:space="preserve"> A8235 * 0.196</f>
        <v>2.9236994748817907E-3</v>
      </c>
      <c r="F8235" s="2" t="s">
        <v>822</v>
      </c>
      <c r="G8235" s="23" t="s">
        <v>902</v>
      </c>
      <c r="H8235" s="2" t="s">
        <v>822</v>
      </c>
      <c r="J8235" s="31">
        <v>74.7869034</v>
      </c>
      <c r="K8235" s="31">
        <v>26.923000300000002</v>
      </c>
      <c r="L8235" s="31"/>
      <c r="M8235" s="31" t="s">
        <v>854</v>
      </c>
      <c r="N8235" s="6" t="s">
        <v>856</v>
      </c>
    </row>
    <row r="8236" spans="1:14" ht="15" customHeight="1" x14ac:dyDescent="0.2">
      <c r="A8236" s="31">
        <v>1.4880045457206051E-2</v>
      </c>
      <c r="B8236" s="31"/>
      <c r="C8236" s="2" t="s">
        <v>855</v>
      </c>
      <c r="D8236" s="31">
        <f t="shared" si="227"/>
        <v>2.9164889096123859E-3</v>
      </c>
      <c r="F8236" s="2" t="s">
        <v>822</v>
      </c>
      <c r="G8236" s="23" t="s">
        <v>902</v>
      </c>
      <c r="H8236" s="2" t="s">
        <v>822</v>
      </c>
      <c r="J8236" s="31">
        <v>72.208503699999994</v>
      </c>
      <c r="K8236" s="31">
        <v>50.212398499999999</v>
      </c>
      <c r="L8236" s="31"/>
      <c r="M8236" s="31" t="s">
        <v>854</v>
      </c>
      <c r="N8236" s="6" t="s">
        <v>856</v>
      </c>
    </row>
    <row r="8237" spans="1:14" ht="15" customHeight="1" x14ac:dyDescent="0.2">
      <c r="A8237" s="31">
        <v>1.4872596251307159E-2</v>
      </c>
      <c r="B8237" s="31"/>
      <c r="C8237" s="2" t="s">
        <v>855</v>
      </c>
      <c r="D8237" s="31">
        <f t="shared" si="227"/>
        <v>2.9150288652562031E-3</v>
      </c>
      <c r="F8237" s="2" t="s">
        <v>822</v>
      </c>
      <c r="G8237" s="23" t="s">
        <v>902</v>
      </c>
      <c r="H8237" s="2" t="s">
        <v>822</v>
      </c>
      <c r="J8237" s="31">
        <v>73.468002299999995</v>
      </c>
      <c r="K8237" s="31">
        <v>32.256000499999999</v>
      </c>
      <c r="L8237" s="31"/>
      <c r="M8237" s="31" t="s">
        <v>854</v>
      </c>
      <c r="N8237" s="6" t="s">
        <v>856</v>
      </c>
    </row>
    <row r="8238" spans="1:14" ht="15" customHeight="1" x14ac:dyDescent="0.2">
      <c r="A8238" s="31">
        <v>1.4749209424667059E-2</v>
      </c>
      <c r="B8238" s="31"/>
      <c r="C8238" s="2" t="s">
        <v>855</v>
      </c>
      <c r="D8238" s="31">
        <f t="shared" si="227"/>
        <v>2.8908450472347439E-3</v>
      </c>
      <c r="F8238" s="2" t="s">
        <v>822</v>
      </c>
      <c r="G8238" s="23" t="s">
        <v>902</v>
      </c>
      <c r="H8238" s="2" t="s">
        <v>822</v>
      </c>
      <c r="J8238" s="31">
        <v>70.0282974</v>
      </c>
      <c r="K8238" s="31">
        <v>54.822101600000003</v>
      </c>
      <c r="L8238" s="31"/>
      <c r="M8238" s="31" t="s">
        <v>854</v>
      </c>
      <c r="N8238" s="6" t="s">
        <v>856</v>
      </c>
    </row>
    <row r="8239" spans="1:14" ht="15" customHeight="1" x14ac:dyDescent="0.2">
      <c r="A8239" s="31">
        <v>1.473949352946562E-2</v>
      </c>
      <c r="B8239" s="31"/>
      <c r="C8239" s="2" t="s">
        <v>855</v>
      </c>
      <c r="D8239" s="31">
        <f t="shared" si="227"/>
        <v>2.8889407317752615E-3</v>
      </c>
      <c r="F8239" s="2" t="s">
        <v>822</v>
      </c>
      <c r="G8239" s="23" t="s">
        <v>902</v>
      </c>
      <c r="H8239" s="2" t="s">
        <v>822</v>
      </c>
      <c r="J8239" s="31">
        <v>74.1360016</v>
      </c>
      <c r="K8239" s="31">
        <v>27.579999900000001</v>
      </c>
      <c r="L8239" s="31"/>
      <c r="M8239" s="31" t="s">
        <v>854</v>
      </c>
      <c r="N8239" s="6" t="s">
        <v>856</v>
      </c>
    </row>
    <row r="8240" spans="1:14" ht="15" customHeight="1" x14ac:dyDescent="0.2">
      <c r="A8240" s="31">
        <v>1.473862527631622E-2</v>
      </c>
      <c r="B8240" s="31"/>
      <c r="C8240" s="2" t="s">
        <v>855</v>
      </c>
      <c r="D8240" s="31">
        <f t="shared" si="227"/>
        <v>2.8887705541579792E-3</v>
      </c>
      <c r="F8240" s="2" t="s">
        <v>822</v>
      </c>
      <c r="G8240" s="23" t="s">
        <v>902</v>
      </c>
      <c r="H8240" s="2" t="s">
        <v>822</v>
      </c>
      <c r="J8240" s="31">
        <v>75.395599399999995</v>
      </c>
      <c r="K8240" s="31">
        <v>-3.1480000000000001</v>
      </c>
      <c r="L8240" s="31"/>
      <c r="M8240" s="31" t="s">
        <v>854</v>
      </c>
      <c r="N8240" s="6" t="s">
        <v>856</v>
      </c>
    </row>
    <row r="8241" spans="1:14" ht="15" customHeight="1" x14ac:dyDescent="0.2">
      <c r="A8241" s="31">
        <v>1.4659184428772849E-2</v>
      </c>
      <c r="B8241" s="31"/>
      <c r="C8241" s="2" t="s">
        <v>855</v>
      </c>
      <c r="D8241" s="31">
        <f t="shared" si="227"/>
        <v>2.8732001480394785E-3</v>
      </c>
      <c r="F8241" s="2" t="s">
        <v>822</v>
      </c>
      <c r="G8241" s="23" t="s">
        <v>902</v>
      </c>
      <c r="H8241" s="2" t="s">
        <v>822</v>
      </c>
      <c r="J8241" s="31">
        <v>72.815498399999996</v>
      </c>
      <c r="K8241" s="31">
        <v>48.971500399999996</v>
      </c>
      <c r="L8241" s="31"/>
      <c r="M8241" s="31" t="s">
        <v>854</v>
      </c>
      <c r="N8241" s="6" t="s">
        <v>856</v>
      </c>
    </row>
    <row r="8242" spans="1:14" ht="15" customHeight="1" x14ac:dyDescent="0.2">
      <c r="A8242" s="31">
        <v>1.4471703732370601E-2</v>
      </c>
      <c r="B8242" s="31"/>
      <c r="C8242" s="2" t="s">
        <v>855</v>
      </c>
      <c r="D8242" s="31">
        <f t="shared" si="227"/>
        <v>2.8364539315446379E-3</v>
      </c>
      <c r="F8242" s="2" t="s">
        <v>822</v>
      </c>
      <c r="G8242" s="23" t="s">
        <v>902</v>
      </c>
      <c r="H8242" s="2" t="s">
        <v>822</v>
      </c>
      <c r="J8242" s="31">
        <v>68.680603000000005</v>
      </c>
      <c r="K8242" s="31">
        <v>-21.1812</v>
      </c>
      <c r="L8242" s="31"/>
      <c r="M8242" s="31" t="s">
        <v>854</v>
      </c>
      <c r="N8242" s="6" t="s">
        <v>856</v>
      </c>
    </row>
    <row r="8243" spans="1:14" ht="15" customHeight="1" x14ac:dyDescent="0.2">
      <c r="A8243" s="31">
        <v>1.4345653324092621E-2</v>
      </c>
      <c r="B8243" s="31"/>
      <c r="C8243" s="2" t="s">
        <v>855</v>
      </c>
      <c r="D8243" s="31">
        <f t="shared" si="227"/>
        <v>2.8117480515221539E-3</v>
      </c>
      <c r="F8243" s="2" t="s">
        <v>822</v>
      </c>
      <c r="G8243" s="23" t="s">
        <v>902</v>
      </c>
      <c r="H8243" s="2" t="s">
        <v>822</v>
      </c>
      <c r="J8243" s="31">
        <v>74.029197699999997</v>
      </c>
      <c r="K8243" s="31">
        <v>-7.80898</v>
      </c>
      <c r="L8243" s="31"/>
      <c r="M8243" s="31" t="s">
        <v>854</v>
      </c>
      <c r="N8243" s="6" t="s">
        <v>856</v>
      </c>
    </row>
    <row r="8244" spans="1:14" ht="15" customHeight="1" x14ac:dyDescent="0.2">
      <c r="A8244" s="31">
        <v>1.425460919711621E-2</v>
      </c>
      <c r="B8244" s="31"/>
      <c r="C8244" s="2" t="s">
        <v>855</v>
      </c>
      <c r="D8244" s="31">
        <f t="shared" si="227"/>
        <v>2.7939034026347774E-3</v>
      </c>
      <c r="F8244" s="2" t="s">
        <v>822</v>
      </c>
      <c r="G8244" s="23" t="s">
        <v>902</v>
      </c>
      <c r="H8244" s="2" t="s">
        <v>822</v>
      </c>
      <c r="J8244" s="31">
        <v>75.232399000000001</v>
      </c>
      <c r="K8244" s="31">
        <v>34.897899600000002</v>
      </c>
      <c r="L8244" s="31"/>
      <c r="M8244" s="31" t="s">
        <v>854</v>
      </c>
      <c r="N8244" s="6" t="s">
        <v>856</v>
      </c>
    </row>
    <row r="8245" spans="1:14" ht="15" customHeight="1" x14ac:dyDescent="0.2">
      <c r="A8245" s="31">
        <v>1.4110848054091411E-2</v>
      </c>
      <c r="B8245" s="31"/>
      <c r="C8245" s="2" t="s">
        <v>855</v>
      </c>
      <c r="D8245" s="31">
        <f t="shared" si="227"/>
        <v>2.7657262186019166E-3</v>
      </c>
      <c r="F8245" s="2" t="s">
        <v>822</v>
      </c>
      <c r="G8245" s="23" t="s">
        <v>902</v>
      </c>
      <c r="H8245" s="2" t="s">
        <v>822</v>
      </c>
      <c r="J8245" s="31">
        <v>72.800003099999998</v>
      </c>
      <c r="K8245" s="31">
        <v>31.5879993</v>
      </c>
      <c r="L8245" s="31"/>
      <c r="M8245" s="31" t="s">
        <v>854</v>
      </c>
      <c r="N8245" s="6" t="s">
        <v>856</v>
      </c>
    </row>
    <row r="8246" spans="1:14" ht="15" customHeight="1" x14ac:dyDescent="0.2">
      <c r="A8246" s="31">
        <v>1.4034333953515001E-2</v>
      </c>
      <c r="B8246" s="31"/>
      <c r="C8246" s="2" t="s">
        <v>855</v>
      </c>
      <c r="D8246" s="31">
        <f t="shared" si="227"/>
        <v>2.7507294548889403E-3</v>
      </c>
      <c r="F8246" s="2" t="s">
        <v>822</v>
      </c>
      <c r="G8246" s="23" t="s">
        <v>902</v>
      </c>
      <c r="H8246" s="2" t="s">
        <v>822</v>
      </c>
      <c r="J8246" s="31">
        <v>73.468002299999995</v>
      </c>
      <c r="K8246" s="31">
        <v>20.899999600000001</v>
      </c>
      <c r="L8246" s="31"/>
      <c r="M8246" s="31" t="s">
        <v>854</v>
      </c>
      <c r="N8246" s="6" t="s">
        <v>856</v>
      </c>
    </row>
    <row r="8247" spans="1:14" ht="15" customHeight="1" x14ac:dyDescent="0.2">
      <c r="A8247" s="31">
        <v>1.379094497499974E-2</v>
      </c>
      <c r="B8247" s="31"/>
      <c r="C8247" s="2" t="s">
        <v>855</v>
      </c>
      <c r="D8247" s="31">
        <f t="shared" si="227"/>
        <v>2.7030252150999491E-3</v>
      </c>
      <c r="F8247" s="2" t="s">
        <v>822</v>
      </c>
      <c r="G8247" s="23" t="s">
        <v>902</v>
      </c>
      <c r="H8247" s="2" t="s">
        <v>822</v>
      </c>
      <c r="J8247" s="31">
        <v>70.795997600000007</v>
      </c>
      <c r="K8247" s="31">
        <v>36.263999900000002</v>
      </c>
      <c r="L8247" s="31"/>
      <c r="M8247" s="31" t="s">
        <v>854</v>
      </c>
      <c r="N8247" s="6" t="s">
        <v>856</v>
      </c>
    </row>
    <row r="8248" spans="1:14" ht="15" customHeight="1" x14ac:dyDescent="0.2">
      <c r="A8248" s="31">
        <v>1.3729885631561181E-2</v>
      </c>
      <c r="B8248" s="31"/>
      <c r="C8248" s="2" t="s">
        <v>855</v>
      </c>
      <c r="D8248" s="31">
        <f t="shared" si="227"/>
        <v>2.6910575837859915E-3</v>
      </c>
      <c r="F8248" s="2" t="s">
        <v>822</v>
      </c>
      <c r="G8248" s="23" t="s">
        <v>902</v>
      </c>
      <c r="H8248" s="2" t="s">
        <v>822</v>
      </c>
      <c r="J8248" s="31">
        <v>72.800003099999998</v>
      </c>
      <c r="K8248" s="31">
        <v>30.920000099999999</v>
      </c>
      <c r="L8248" s="31"/>
      <c r="M8248" s="31" t="s">
        <v>854</v>
      </c>
      <c r="N8248" s="6" t="s">
        <v>856</v>
      </c>
    </row>
    <row r="8249" spans="1:14" ht="15" customHeight="1" x14ac:dyDescent="0.2">
      <c r="A8249" s="31">
        <v>1.3718455964926411E-2</v>
      </c>
      <c r="B8249" s="31"/>
      <c r="C8249" s="2" t="s">
        <v>855</v>
      </c>
      <c r="D8249" s="31">
        <f t="shared" si="227"/>
        <v>2.6888173691255765E-3</v>
      </c>
      <c r="F8249" s="2" t="s">
        <v>822</v>
      </c>
      <c r="G8249" s="23" t="s">
        <v>902</v>
      </c>
      <c r="H8249" s="2" t="s">
        <v>822</v>
      </c>
      <c r="J8249" s="31">
        <v>69.723602299999996</v>
      </c>
      <c r="K8249" s="31">
        <v>50.291999799999999</v>
      </c>
      <c r="L8249" s="31"/>
      <c r="M8249" s="31" t="s">
        <v>854</v>
      </c>
      <c r="N8249" s="6" t="s">
        <v>856</v>
      </c>
    </row>
    <row r="8250" spans="1:14" ht="15" customHeight="1" x14ac:dyDescent="0.2">
      <c r="A8250" s="31">
        <v>1.362327914470839E-2</v>
      </c>
      <c r="B8250" s="31"/>
      <c r="C8250" s="2" t="s">
        <v>855</v>
      </c>
      <c r="D8250" s="31">
        <f t="shared" si="227"/>
        <v>2.6701627123628443E-3</v>
      </c>
      <c r="F8250" s="2" t="s">
        <v>822</v>
      </c>
      <c r="G8250" s="23" t="s">
        <v>902</v>
      </c>
      <c r="H8250" s="2" t="s">
        <v>822</v>
      </c>
      <c r="J8250" s="31">
        <v>73.468002299999995</v>
      </c>
      <c r="K8250" s="31">
        <v>33.591999100000002</v>
      </c>
      <c r="L8250" s="31"/>
      <c r="M8250" s="31" t="s">
        <v>854</v>
      </c>
      <c r="N8250" s="6" t="s">
        <v>856</v>
      </c>
    </row>
    <row r="8251" spans="1:14" ht="15" customHeight="1" x14ac:dyDescent="0.2">
      <c r="A8251" s="31">
        <v>1.335099025893598E-2</v>
      </c>
      <c r="B8251" s="31"/>
      <c r="C8251" s="2" t="s">
        <v>855</v>
      </c>
      <c r="D8251" s="31">
        <f t="shared" si="227"/>
        <v>2.6167940907514523E-3</v>
      </c>
      <c r="F8251" s="2" t="s">
        <v>822</v>
      </c>
      <c r="G8251" s="23" t="s">
        <v>902</v>
      </c>
      <c r="H8251" s="2" t="s">
        <v>822</v>
      </c>
      <c r="J8251" s="31">
        <v>75.020599399999995</v>
      </c>
      <c r="K8251" s="31">
        <v>-0.47599999999999998</v>
      </c>
      <c r="L8251" s="31"/>
      <c r="M8251" s="31" t="s">
        <v>854</v>
      </c>
      <c r="N8251" s="6" t="s">
        <v>856</v>
      </c>
    </row>
    <row r="8252" spans="1:14" ht="15" customHeight="1" x14ac:dyDescent="0.2">
      <c r="A8252" s="31">
        <v>1.320706988455026E-2</v>
      </c>
      <c r="B8252" s="31"/>
      <c r="C8252" s="2" t="s">
        <v>855</v>
      </c>
      <c r="D8252" s="31">
        <f t="shared" si="227"/>
        <v>2.5885856973718508E-3</v>
      </c>
      <c r="F8252" s="2" t="s">
        <v>822</v>
      </c>
      <c r="G8252" s="23" t="s">
        <v>902</v>
      </c>
      <c r="H8252" s="2" t="s">
        <v>822</v>
      </c>
      <c r="J8252" s="31">
        <v>69.792602500000001</v>
      </c>
      <c r="K8252" s="31">
        <v>32.582901</v>
      </c>
      <c r="L8252" s="31"/>
      <c r="M8252" s="31" t="s">
        <v>854</v>
      </c>
      <c r="N8252" s="6" t="s">
        <v>856</v>
      </c>
    </row>
    <row r="8253" spans="1:14" ht="15" customHeight="1" x14ac:dyDescent="0.2">
      <c r="A8253" s="31">
        <v>1.320334630182402E-2</v>
      </c>
      <c r="B8253" s="31"/>
      <c r="C8253" s="2" t="s">
        <v>855</v>
      </c>
      <c r="D8253" s="31">
        <f t="shared" si="227"/>
        <v>2.5878558751575081E-3</v>
      </c>
      <c r="F8253" s="2" t="s">
        <v>822</v>
      </c>
      <c r="G8253" s="23" t="s">
        <v>902</v>
      </c>
      <c r="H8253" s="2" t="s">
        <v>822</v>
      </c>
      <c r="J8253" s="31">
        <v>69.723602299999996</v>
      </c>
      <c r="K8253" s="31">
        <v>51.627998400000003</v>
      </c>
      <c r="L8253" s="31"/>
      <c r="M8253" s="31" t="s">
        <v>854</v>
      </c>
      <c r="N8253" s="6" t="s">
        <v>856</v>
      </c>
    </row>
    <row r="8254" spans="1:14" ht="15" customHeight="1" x14ac:dyDescent="0.2">
      <c r="A8254" s="31">
        <v>1.3180781306177371E-2</v>
      </c>
      <c r="B8254" s="31"/>
      <c r="C8254" s="2" t="s">
        <v>855</v>
      </c>
      <c r="D8254" s="31">
        <f t="shared" si="227"/>
        <v>2.5834331360107647E-3</v>
      </c>
      <c r="F8254" s="2" t="s">
        <v>822</v>
      </c>
      <c r="G8254" s="23" t="s">
        <v>902</v>
      </c>
      <c r="H8254" s="2" t="s">
        <v>822</v>
      </c>
      <c r="J8254" s="31">
        <v>73.468002299999995</v>
      </c>
      <c r="K8254" s="31">
        <v>50.291999799999999</v>
      </c>
      <c r="L8254" s="31"/>
      <c r="M8254" s="31" t="s">
        <v>854</v>
      </c>
      <c r="N8254" s="6" t="s">
        <v>856</v>
      </c>
    </row>
    <row r="8255" spans="1:14" ht="15" customHeight="1" x14ac:dyDescent="0.2">
      <c r="A8255" s="31">
        <v>1.307783105647313E-2</v>
      </c>
      <c r="B8255" s="31"/>
      <c r="C8255" s="2" t="s">
        <v>855</v>
      </c>
      <c r="D8255" s="31">
        <f t="shared" si="227"/>
        <v>2.5632548870687336E-3</v>
      </c>
      <c r="F8255" s="2" t="s">
        <v>822</v>
      </c>
      <c r="G8255" s="23" t="s">
        <v>902</v>
      </c>
      <c r="H8255" s="2" t="s">
        <v>822</v>
      </c>
      <c r="J8255" s="31">
        <v>74.686599700000002</v>
      </c>
      <c r="K8255" s="31">
        <v>-2.48</v>
      </c>
      <c r="L8255" s="31"/>
      <c r="M8255" s="31" t="s">
        <v>854</v>
      </c>
      <c r="N8255" s="6" t="s">
        <v>856</v>
      </c>
    </row>
    <row r="8256" spans="1:14" ht="15" customHeight="1" x14ac:dyDescent="0.2">
      <c r="A8256" s="31">
        <v>1.2599406586473389E-2</v>
      </c>
      <c r="B8256" s="31"/>
      <c r="C8256" s="2" t="s">
        <v>855</v>
      </c>
      <c r="D8256" s="31">
        <f t="shared" si="227"/>
        <v>2.4694836909487845E-3</v>
      </c>
      <c r="F8256" s="2" t="s">
        <v>822</v>
      </c>
      <c r="G8256" s="23" t="s">
        <v>902</v>
      </c>
      <c r="H8256" s="2" t="s">
        <v>822</v>
      </c>
      <c r="J8256" s="31">
        <v>71.341102599999999</v>
      </c>
      <c r="K8256" s="31">
        <v>46.976898200000001</v>
      </c>
      <c r="L8256" s="31"/>
      <c r="M8256" s="31" t="s">
        <v>854</v>
      </c>
      <c r="N8256" s="6" t="s">
        <v>856</v>
      </c>
    </row>
    <row r="8257" spans="1:14" ht="15" customHeight="1" x14ac:dyDescent="0.2">
      <c r="A8257" s="31">
        <v>1.2480620302804319E-2</v>
      </c>
      <c r="B8257" s="31"/>
      <c r="C8257" s="2" t="s">
        <v>855</v>
      </c>
      <c r="D8257" s="31">
        <f t="shared" si="227"/>
        <v>2.4462015793496467E-3</v>
      </c>
      <c r="F8257" s="2" t="s">
        <v>822</v>
      </c>
      <c r="G8257" s="23" t="s">
        <v>902</v>
      </c>
      <c r="H8257" s="2" t="s">
        <v>822</v>
      </c>
      <c r="J8257" s="31">
        <v>72.800003099999998</v>
      </c>
      <c r="K8257" s="31">
        <v>33.591999100000002</v>
      </c>
      <c r="L8257" s="31"/>
      <c r="M8257" s="31" t="s">
        <v>854</v>
      </c>
      <c r="N8257" s="6" t="s">
        <v>856</v>
      </c>
    </row>
    <row r="8258" spans="1:14" ht="15" customHeight="1" x14ac:dyDescent="0.2">
      <c r="A8258" s="31">
        <v>1.2413112496221779E-2</v>
      </c>
      <c r="B8258" s="31"/>
      <c r="C8258" s="2" t="s">
        <v>855</v>
      </c>
      <c r="D8258" s="31">
        <f t="shared" si="227"/>
        <v>2.4329700492594689E-3</v>
      </c>
      <c r="F8258" s="2" t="s">
        <v>822</v>
      </c>
      <c r="G8258" s="23" t="s">
        <v>902</v>
      </c>
      <c r="H8258" s="2" t="s">
        <v>822</v>
      </c>
      <c r="J8258" s="31">
        <v>72.540702800000005</v>
      </c>
      <c r="K8258" s="31">
        <v>48.696700999999997</v>
      </c>
      <c r="L8258" s="31"/>
      <c r="M8258" s="31" t="s">
        <v>854</v>
      </c>
      <c r="N8258" s="6" t="s">
        <v>856</v>
      </c>
    </row>
    <row r="8259" spans="1:14" ht="15" customHeight="1" x14ac:dyDescent="0.2">
      <c r="A8259" s="31">
        <v>1.2146088519869621E-2</v>
      </c>
      <c r="B8259" s="31"/>
      <c r="C8259" s="2" t="s">
        <v>855</v>
      </c>
      <c r="D8259" s="31">
        <f t="shared" si="227"/>
        <v>2.3806333498944459E-3</v>
      </c>
      <c r="F8259" s="2" t="s">
        <v>822</v>
      </c>
      <c r="G8259" s="23" t="s">
        <v>902</v>
      </c>
      <c r="H8259" s="2" t="s">
        <v>822</v>
      </c>
      <c r="J8259" s="31">
        <v>73.468002299999995</v>
      </c>
      <c r="K8259" s="31">
        <v>48.956001299999997</v>
      </c>
      <c r="L8259" s="31"/>
      <c r="M8259" s="31" t="s">
        <v>854</v>
      </c>
      <c r="N8259" s="6" t="s">
        <v>856</v>
      </c>
    </row>
    <row r="8260" spans="1:14" ht="15" customHeight="1" x14ac:dyDescent="0.2">
      <c r="A8260" s="31">
        <v>1.2116803340173111E-2</v>
      </c>
      <c r="B8260" s="31"/>
      <c r="C8260" s="2" t="s">
        <v>855</v>
      </c>
      <c r="D8260" s="31">
        <f t="shared" si="227"/>
        <v>2.3748934546739299E-3</v>
      </c>
      <c r="F8260" s="2" t="s">
        <v>822</v>
      </c>
      <c r="G8260" s="23" t="s">
        <v>902</v>
      </c>
      <c r="H8260" s="2" t="s">
        <v>822</v>
      </c>
      <c r="J8260" s="31">
        <v>69.723602299999996</v>
      </c>
      <c r="K8260" s="31">
        <v>50.959999099999997</v>
      </c>
      <c r="L8260" s="31"/>
      <c r="M8260" s="31" t="s">
        <v>854</v>
      </c>
      <c r="N8260" s="6" t="s">
        <v>856</v>
      </c>
    </row>
    <row r="8261" spans="1:14" ht="15" customHeight="1" x14ac:dyDescent="0.2">
      <c r="A8261" s="31">
        <v>1.2006984343226029E-2</v>
      </c>
      <c r="B8261" s="31"/>
      <c r="C8261" s="2" t="s">
        <v>855</v>
      </c>
      <c r="D8261" s="31">
        <f t="shared" si="227"/>
        <v>2.3533689312723017E-3</v>
      </c>
      <c r="F8261" s="2" t="s">
        <v>822</v>
      </c>
      <c r="G8261" s="23" t="s">
        <v>902</v>
      </c>
      <c r="H8261" s="2" t="s">
        <v>822</v>
      </c>
      <c r="J8261" s="31">
        <v>70.795799299999999</v>
      </c>
      <c r="K8261" s="31">
        <v>50.291801499999998</v>
      </c>
      <c r="L8261" s="31"/>
      <c r="M8261" s="31" t="s">
        <v>854</v>
      </c>
      <c r="N8261" s="6" t="s">
        <v>856</v>
      </c>
    </row>
    <row r="8262" spans="1:14" ht="15" customHeight="1" x14ac:dyDescent="0.2">
      <c r="A8262" s="31">
        <v>1.19685260026814E-2</v>
      </c>
      <c r="B8262" s="31"/>
      <c r="C8262" s="2" t="s">
        <v>855</v>
      </c>
      <c r="D8262" s="31">
        <f t="shared" si="227"/>
        <v>2.3458310965255545E-3</v>
      </c>
      <c r="F8262" s="2" t="s">
        <v>822</v>
      </c>
      <c r="G8262" s="23" t="s">
        <v>902</v>
      </c>
      <c r="H8262" s="2" t="s">
        <v>822</v>
      </c>
      <c r="J8262" s="31">
        <v>74.620697000000007</v>
      </c>
      <c r="K8262" s="31">
        <v>25.609300600000001</v>
      </c>
      <c r="L8262" s="31"/>
      <c r="M8262" s="31" t="s">
        <v>854</v>
      </c>
      <c r="N8262" s="6" t="s">
        <v>856</v>
      </c>
    </row>
    <row r="8263" spans="1:14" ht="15" customHeight="1" x14ac:dyDescent="0.2">
      <c r="A8263" s="31">
        <v>1.191038674658604E-2</v>
      </c>
      <c r="B8263" s="31"/>
      <c r="C8263" s="2" t="s">
        <v>855</v>
      </c>
      <c r="D8263" s="31">
        <f t="shared" si="227"/>
        <v>2.3344358023308638E-3</v>
      </c>
      <c r="F8263" s="2" t="s">
        <v>822</v>
      </c>
      <c r="G8263" s="23" t="s">
        <v>902</v>
      </c>
      <c r="H8263" s="2" t="s">
        <v>822</v>
      </c>
      <c r="J8263" s="31">
        <v>73.468002299999995</v>
      </c>
      <c r="K8263" s="31">
        <v>35.596000699999998</v>
      </c>
      <c r="L8263" s="31"/>
      <c r="M8263" s="31" t="s">
        <v>854</v>
      </c>
      <c r="N8263" s="6" t="s">
        <v>856</v>
      </c>
    </row>
    <row r="8264" spans="1:14" ht="15" customHeight="1" x14ac:dyDescent="0.2">
      <c r="A8264" s="31">
        <v>1.1865679820460769E-2</v>
      </c>
      <c r="B8264" s="31"/>
      <c r="C8264" s="2" t="s">
        <v>855</v>
      </c>
      <c r="D8264" s="31">
        <f t="shared" si="227"/>
        <v>2.3256732448103108E-3</v>
      </c>
      <c r="F8264" s="2" t="s">
        <v>822</v>
      </c>
      <c r="G8264" s="23" t="s">
        <v>902</v>
      </c>
      <c r="H8264" s="2" t="s">
        <v>822</v>
      </c>
      <c r="J8264" s="31">
        <v>71.175399799999994</v>
      </c>
      <c r="K8264" s="31">
        <v>45.786899599999998</v>
      </c>
      <c r="L8264" s="31"/>
      <c r="M8264" s="31" t="s">
        <v>854</v>
      </c>
      <c r="N8264" s="6" t="s">
        <v>856</v>
      </c>
    </row>
    <row r="8265" spans="1:14" ht="15" customHeight="1" x14ac:dyDescent="0.2">
      <c r="A8265" s="31">
        <v>1.1702109340890641E-2</v>
      </c>
      <c r="B8265" s="31"/>
      <c r="C8265" s="2" t="s">
        <v>855</v>
      </c>
      <c r="D8265" s="31">
        <f t="shared" si="227"/>
        <v>2.2936134308145658E-3</v>
      </c>
      <c r="F8265" s="2" t="s">
        <v>822</v>
      </c>
      <c r="G8265" s="23" t="s">
        <v>902</v>
      </c>
      <c r="H8265" s="2" t="s">
        <v>822</v>
      </c>
      <c r="J8265" s="31">
        <v>71.665901199999993</v>
      </c>
      <c r="K8265" s="31">
        <v>46.9109993</v>
      </c>
      <c r="L8265" s="31"/>
      <c r="M8265" s="31" t="s">
        <v>854</v>
      </c>
      <c r="N8265" s="6" t="s">
        <v>856</v>
      </c>
    </row>
    <row r="8266" spans="1:14" ht="15" customHeight="1" x14ac:dyDescent="0.2">
      <c r="A8266" s="31">
        <v>1.1538714266673441E-2</v>
      </c>
      <c r="B8266" s="31"/>
      <c r="C8266" s="2" t="s">
        <v>855</v>
      </c>
      <c r="D8266" s="31">
        <f t="shared" si="227"/>
        <v>2.2615879962679945E-3</v>
      </c>
      <c r="F8266" s="2" t="s">
        <v>822</v>
      </c>
      <c r="G8266" s="23" t="s">
        <v>902</v>
      </c>
      <c r="H8266" s="2" t="s">
        <v>822</v>
      </c>
      <c r="J8266" s="31">
        <v>75.468902600000007</v>
      </c>
      <c r="K8266" s="31">
        <v>31.585599899999998</v>
      </c>
      <c r="L8266" s="31"/>
      <c r="M8266" s="31" t="s">
        <v>854</v>
      </c>
      <c r="N8266" s="6" t="s">
        <v>856</v>
      </c>
    </row>
    <row r="8267" spans="1:14" ht="15" customHeight="1" x14ac:dyDescent="0.2">
      <c r="A8267" s="31">
        <v>1.149857413655884E-2</v>
      </c>
      <c r="B8267" s="31"/>
      <c r="C8267" s="2" t="s">
        <v>855</v>
      </c>
      <c r="D8267" s="31">
        <f t="shared" si="227"/>
        <v>2.2537205307655325E-3</v>
      </c>
      <c r="F8267" s="2" t="s">
        <v>822</v>
      </c>
      <c r="G8267" s="23" t="s">
        <v>902</v>
      </c>
      <c r="H8267" s="2" t="s">
        <v>822</v>
      </c>
      <c r="J8267" s="31">
        <v>74.647499100000005</v>
      </c>
      <c r="K8267" s="31">
        <v>-21.0209999</v>
      </c>
      <c r="L8267" s="31"/>
      <c r="M8267" s="31" t="s">
        <v>854</v>
      </c>
      <c r="N8267" s="6" t="s">
        <v>856</v>
      </c>
    </row>
    <row r="8268" spans="1:14" ht="15" customHeight="1" x14ac:dyDescent="0.2">
      <c r="A8268" s="31">
        <v>1.1323609090679081E-2</v>
      </c>
      <c r="B8268" s="31"/>
      <c r="C8268" s="2" t="s">
        <v>855</v>
      </c>
      <c r="D8268" s="31">
        <f t="shared" si="227"/>
        <v>2.2194273817731001E-3</v>
      </c>
      <c r="F8268" s="2" t="s">
        <v>822</v>
      </c>
      <c r="G8268" s="23" t="s">
        <v>902</v>
      </c>
      <c r="H8268" s="2" t="s">
        <v>822</v>
      </c>
      <c r="J8268" s="31">
        <v>65.246200599999995</v>
      </c>
      <c r="K8268" s="31">
        <v>36.529201499999999</v>
      </c>
      <c r="L8268" s="31"/>
      <c r="M8268" s="31" t="s">
        <v>854</v>
      </c>
      <c r="N8268" s="6" t="s">
        <v>856</v>
      </c>
    </row>
    <row r="8269" spans="1:14" ht="15" customHeight="1" x14ac:dyDescent="0.2">
      <c r="A8269" s="31">
        <v>1.114551977483671E-2</v>
      </c>
      <c r="B8269" s="31"/>
      <c r="C8269" s="2" t="s">
        <v>855</v>
      </c>
      <c r="D8269" s="31">
        <f t="shared" si="227"/>
        <v>2.1845218758679954E-3</v>
      </c>
      <c r="F8269" s="2" t="s">
        <v>822</v>
      </c>
      <c r="G8269" s="23" t="s">
        <v>902</v>
      </c>
      <c r="H8269" s="2" t="s">
        <v>822</v>
      </c>
      <c r="J8269" s="31">
        <v>74.1360016</v>
      </c>
      <c r="K8269" s="31">
        <v>32.256000499999999</v>
      </c>
      <c r="L8269" s="31"/>
      <c r="M8269" s="31" t="s">
        <v>854</v>
      </c>
      <c r="N8269" s="6" t="s">
        <v>856</v>
      </c>
    </row>
    <row r="8270" spans="1:14" ht="15" customHeight="1" x14ac:dyDescent="0.2">
      <c r="A8270" s="31">
        <v>1.1087453484764901E-2</v>
      </c>
      <c r="B8270" s="31"/>
      <c r="C8270" s="2" t="s">
        <v>855</v>
      </c>
      <c r="D8270" s="31">
        <f t="shared" si="227"/>
        <v>2.1731408830139207E-3</v>
      </c>
      <c r="F8270" s="2" t="s">
        <v>822</v>
      </c>
      <c r="G8270" s="23" t="s">
        <v>902</v>
      </c>
      <c r="H8270" s="2" t="s">
        <v>822</v>
      </c>
      <c r="J8270" s="31">
        <v>73.468002299999995</v>
      </c>
      <c r="K8270" s="31">
        <v>47.619998899999999</v>
      </c>
      <c r="L8270" s="31"/>
      <c r="M8270" s="31" t="s">
        <v>854</v>
      </c>
      <c r="N8270" s="6" t="s">
        <v>856</v>
      </c>
    </row>
    <row r="8271" spans="1:14" ht="15" customHeight="1" x14ac:dyDescent="0.2">
      <c r="A8271" s="31">
        <v>1.0877579488629739E-2</v>
      </c>
      <c r="B8271" s="31"/>
      <c r="C8271" s="2" t="s">
        <v>855</v>
      </c>
      <c r="D8271" s="31">
        <f t="shared" si="227"/>
        <v>2.132005579771429E-3</v>
      </c>
      <c r="F8271" s="2" t="s">
        <v>822</v>
      </c>
      <c r="G8271" s="23" t="s">
        <v>902</v>
      </c>
      <c r="H8271" s="2" t="s">
        <v>822</v>
      </c>
      <c r="J8271" s="31">
        <v>75.020599399999995</v>
      </c>
      <c r="K8271" s="31">
        <v>-1.1440001</v>
      </c>
      <c r="L8271" s="31"/>
      <c r="M8271" s="31" t="s">
        <v>854</v>
      </c>
      <c r="N8271" s="6" t="s">
        <v>856</v>
      </c>
    </row>
    <row r="8272" spans="1:14" ht="15" customHeight="1" x14ac:dyDescent="0.2">
      <c r="A8272" s="31">
        <v>1.087609879614723E-2</v>
      </c>
      <c r="B8272" s="31"/>
      <c r="C8272" s="2" t="s">
        <v>855</v>
      </c>
      <c r="D8272" s="31">
        <f t="shared" si="227"/>
        <v>2.1317153640448574E-3</v>
      </c>
      <c r="F8272" s="2" t="s">
        <v>822</v>
      </c>
      <c r="G8272" s="23" t="s">
        <v>902</v>
      </c>
      <c r="H8272" s="2" t="s">
        <v>822</v>
      </c>
      <c r="J8272" s="31">
        <v>75.472000100000002</v>
      </c>
      <c r="K8272" s="31">
        <v>30.920000099999999</v>
      </c>
      <c r="L8272" s="31"/>
      <c r="M8272" s="31" t="s">
        <v>854</v>
      </c>
      <c r="N8272" s="6" t="s">
        <v>856</v>
      </c>
    </row>
    <row r="8273" spans="1:14" ht="15" customHeight="1" x14ac:dyDescent="0.2">
      <c r="A8273" s="31">
        <v>1.084313452290708E-2</v>
      </c>
      <c r="B8273" s="31"/>
      <c r="C8273" s="2" t="s">
        <v>855</v>
      </c>
      <c r="D8273" s="31">
        <f t="shared" si="227"/>
        <v>2.1252543664897878E-3</v>
      </c>
      <c r="F8273" s="2" t="s">
        <v>822</v>
      </c>
      <c r="G8273" s="23" t="s">
        <v>902</v>
      </c>
      <c r="H8273" s="2" t="s">
        <v>822</v>
      </c>
      <c r="J8273" s="31">
        <v>72.132003800000007</v>
      </c>
      <c r="K8273" s="31">
        <v>45.616001099999998</v>
      </c>
      <c r="L8273" s="31"/>
      <c r="M8273" s="31" t="s">
        <v>854</v>
      </c>
      <c r="N8273" s="6" t="s">
        <v>856</v>
      </c>
    </row>
    <row r="8274" spans="1:14" ht="15" customHeight="1" x14ac:dyDescent="0.2">
      <c r="A8274" s="31">
        <v>1.0750135002897079E-2</v>
      </c>
      <c r="B8274" s="31"/>
      <c r="C8274" s="2" t="s">
        <v>855</v>
      </c>
      <c r="D8274" s="31">
        <f t="shared" si="227"/>
        <v>2.1070264605678275E-3</v>
      </c>
      <c r="F8274" s="2" t="s">
        <v>822</v>
      </c>
      <c r="G8274" s="23" t="s">
        <v>902</v>
      </c>
      <c r="H8274" s="2" t="s">
        <v>822</v>
      </c>
      <c r="J8274" s="31">
        <v>70.498703000000006</v>
      </c>
      <c r="K8274" s="31">
        <v>46.039699599999999</v>
      </c>
      <c r="L8274" s="31"/>
      <c r="M8274" s="31" t="s">
        <v>854</v>
      </c>
      <c r="N8274" s="6" t="s">
        <v>856</v>
      </c>
    </row>
    <row r="8275" spans="1:14" ht="15" customHeight="1" x14ac:dyDescent="0.2">
      <c r="A8275" s="31">
        <v>1.058949343224083E-2</v>
      </c>
      <c r="B8275" s="31"/>
      <c r="C8275" s="2" t="s">
        <v>855</v>
      </c>
      <c r="D8275" s="31">
        <f t="shared" si="227"/>
        <v>2.075540712719203E-3</v>
      </c>
      <c r="F8275" s="2" t="s">
        <v>822</v>
      </c>
      <c r="G8275" s="23" t="s">
        <v>902</v>
      </c>
      <c r="H8275" s="2" t="s">
        <v>822</v>
      </c>
      <c r="J8275" s="31">
        <v>75.185203599999994</v>
      </c>
      <c r="K8275" s="31">
        <v>35.5304985</v>
      </c>
      <c r="L8275" s="31"/>
      <c r="M8275" s="31" t="s">
        <v>854</v>
      </c>
      <c r="N8275" s="6" t="s">
        <v>856</v>
      </c>
    </row>
    <row r="8276" spans="1:14" ht="15" customHeight="1" x14ac:dyDescent="0.2">
      <c r="A8276" s="2">
        <v>91</v>
      </c>
      <c r="C8276" s="2" t="s">
        <v>895</v>
      </c>
      <c r="D8276" s="2">
        <f>A8276* 0.00002273</f>
        <v>2.06843E-3</v>
      </c>
      <c r="F8276" s="2">
        <v>2005</v>
      </c>
      <c r="G8276" s="2" t="s">
        <v>902</v>
      </c>
      <c r="H8276" s="2" t="s">
        <v>68</v>
      </c>
      <c r="I8276" s="2" t="s">
        <v>109</v>
      </c>
      <c r="J8276" s="2">
        <v>55.954700000000003</v>
      </c>
      <c r="K8276" s="2">
        <v>-3.1810999999999998</v>
      </c>
      <c r="L8276" s="2" t="s">
        <v>802</v>
      </c>
      <c r="M8276" s="2" t="s">
        <v>110</v>
      </c>
      <c r="N8276" s="6" t="s">
        <v>197</v>
      </c>
    </row>
    <row r="8277" spans="1:14" ht="15" customHeight="1" x14ac:dyDescent="0.2">
      <c r="A8277" s="31">
        <v>1.036044364600784E-2</v>
      </c>
      <c r="B8277" s="31"/>
      <c r="C8277" s="2" t="s">
        <v>855</v>
      </c>
      <c r="D8277" s="31">
        <f xml:space="preserve"> A8277 * 0.196</f>
        <v>2.0306469546175366E-3</v>
      </c>
      <c r="F8277" s="2" t="s">
        <v>822</v>
      </c>
      <c r="G8277" s="23" t="s">
        <v>902</v>
      </c>
      <c r="H8277" s="2" t="s">
        <v>822</v>
      </c>
      <c r="J8277" s="31">
        <v>70.407600400000007</v>
      </c>
      <c r="K8277" s="31">
        <v>46.4850998</v>
      </c>
      <c r="L8277" s="31"/>
      <c r="M8277" s="31" t="s">
        <v>854</v>
      </c>
      <c r="N8277" s="6" t="s">
        <v>856</v>
      </c>
    </row>
    <row r="8278" spans="1:14" ht="15" customHeight="1" x14ac:dyDescent="0.2">
      <c r="A8278" s="31">
        <v>1.0166595292074041E-2</v>
      </c>
      <c r="B8278" s="31"/>
      <c r="C8278" s="2" t="s">
        <v>855</v>
      </c>
      <c r="D8278" s="31">
        <f xml:space="preserve"> A8278 * 0.196</f>
        <v>1.992652677246512E-3</v>
      </c>
      <c r="F8278" s="2" t="s">
        <v>822</v>
      </c>
      <c r="G8278" s="23" t="s">
        <v>902</v>
      </c>
      <c r="H8278" s="2" t="s">
        <v>822</v>
      </c>
      <c r="J8278" s="31">
        <v>75.463203399999998</v>
      </c>
      <c r="K8278" s="31">
        <v>29.590599099999999</v>
      </c>
      <c r="L8278" s="31"/>
      <c r="M8278" s="31" t="s">
        <v>854</v>
      </c>
      <c r="N8278" s="6" t="s">
        <v>856</v>
      </c>
    </row>
    <row r="8279" spans="1:14" ht="15" customHeight="1" x14ac:dyDescent="0.2">
      <c r="A8279" s="31">
        <v>1.0089622814779649E-2</v>
      </c>
      <c r="B8279" s="31"/>
      <c r="C8279" s="2" t="s">
        <v>855</v>
      </c>
      <c r="D8279" s="31">
        <f xml:space="preserve"> A8279 * 0.196</f>
        <v>1.9775660716968113E-3</v>
      </c>
      <c r="F8279" s="2" t="s">
        <v>822</v>
      </c>
      <c r="G8279" s="23" t="s">
        <v>902</v>
      </c>
      <c r="H8279" s="2" t="s">
        <v>822</v>
      </c>
      <c r="J8279" s="31">
        <v>70.1006012</v>
      </c>
      <c r="K8279" s="31">
        <v>51.974800100000003</v>
      </c>
      <c r="L8279" s="31"/>
      <c r="M8279" s="31" t="s">
        <v>854</v>
      </c>
      <c r="N8279" s="6" t="s">
        <v>856</v>
      </c>
    </row>
    <row r="8280" spans="1:14" ht="15" customHeight="1" x14ac:dyDescent="0.2">
      <c r="A8280" s="2">
        <v>22</v>
      </c>
      <c r="C8280" s="2" t="s">
        <v>174</v>
      </c>
      <c r="D8280" s="2">
        <f>A8280* 0.0000864</f>
        <v>1.9008E-3</v>
      </c>
      <c r="F8280" s="2" t="s">
        <v>175</v>
      </c>
      <c r="G8280" s="2" t="s">
        <v>903</v>
      </c>
      <c r="H8280" s="2" t="s">
        <v>822</v>
      </c>
      <c r="I8280" s="2" t="s">
        <v>177</v>
      </c>
      <c r="J8280" s="2">
        <v>54.1</v>
      </c>
      <c r="K8280" s="2">
        <v>13.5</v>
      </c>
      <c r="L8280" s="2" t="s">
        <v>28</v>
      </c>
      <c r="M8280" s="2" t="s">
        <v>812</v>
      </c>
      <c r="N8280" s="6" t="s">
        <v>861</v>
      </c>
    </row>
    <row r="8281" spans="1:14" ht="15" customHeight="1" x14ac:dyDescent="0.2">
      <c r="A8281" s="31">
        <v>9.569845749868083E-3</v>
      </c>
      <c r="B8281" s="31"/>
      <c r="C8281" s="2" t="s">
        <v>855</v>
      </c>
      <c r="D8281" s="31">
        <f t="shared" ref="D8281:D8312" si="228" xml:space="preserve"> A8281 * 0.196</f>
        <v>1.8756897669741444E-3</v>
      </c>
      <c r="F8281" s="2" t="s">
        <v>822</v>
      </c>
      <c r="G8281" s="23" t="s">
        <v>902</v>
      </c>
      <c r="H8281" s="2" t="s">
        <v>822</v>
      </c>
      <c r="J8281" s="31">
        <v>70.098602299999996</v>
      </c>
      <c r="K8281" s="31">
        <v>52.308799700000002</v>
      </c>
      <c r="L8281" s="31"/>
      <c r="M8281" s="31" t="s">
        <v>854</v>
      </c>
      <c r="N8281" s="6" t="s">
        <v>856</v>
      </c>
    </row>
    <row r="8282" spans="1:14" ht="15" customHeight="1" x14ac:dyDescent="0.2">
      <c r="A8282" s="31">
        <v>9.322913086704375E-3</v>
      </c>
      <c r="B8282" s="31"/>
      <c r="C8282" s="2" t="s">
        <v>855</v>
      </c>
      <c r="D8282" s="31">
        <f t="shared" si="228"/>
        <v>1.8272909649940576E-3</v>
      </c>
      <c r="F8282" s="2" t="s">
        <v>822</v>
      </c>
      <c r="G8282" s="23" t="s">
        <v>902</v>
      </c>
      <c r="H8282" s="2" t="s">
        <v>822</v>
      </c>
      <c r="J8282" s="31">
        <v>75.837501500000002</v>
      </c>
      <c r="K8282" s="31">
        <v>29.798000300000002</v>
      </c>
      <c r="L8282" s="31"/>
      <c r="M8282" s="31" t="s">
        <v>854</v>
      </c>
      <c r="N8282" s="6" t="s">
        <v>856</v>
      </c>
    </row>
    <row r="8283" spans="1:14" ht="15" customHeight="1" x14ac:dyDescent="0.2">
      <c r="A8283" s="31">
        <v>9.1432509965725887E-3</v>
      </c>
      <c r="B8283" s="31"/>
      <c r="C8283" s="2" t="s">
        <v>855</v>
      </c>
      <c r="D8283" s="31">
        <f t="shared" si="228"/>
        <v>1.7920771953282275E-3</v>
      </c>
      <c r="F8283" s="2" t="s">
        <v>822</v>
      </c>
      <c r="G8283" s="23" t="s">
        <v>902</v>
      </c>
      <c r="H8283" s="2" t="s">
        <v>822</v>
      </c>
      <c r="J8283" s="31">
        <v>73.468002299999995</v>
      </c>
      <c r="K8283" s="31">
        <v>32.923999799999997</v>
      </c>
      <c r="L8283" s="31"/>
      <c r="M8283" s="31" t="s">
        <v>854</v>
      </c>
      <c r="N8283" s="6" t="s">
        <v>856</v>
      </c>
    </row>
    <row r="8284" spans="1:14" ht="15" customHeight="1" x14ac:dyDescent="0.2">
      <c r="A8284" s="31">
        <v>9.0878024889237356E-3</v>
      </c>
      <c r="B8284" s="31"/>
      <c r="C8284" s="2" t="s">
        <v>855</v>
      </c>
      <c r="D8284" s="31">
        <f t="shared" si="228"/>
        <v>1.7812092878290522E-3</v>
      </c>
      <c r="F8284" s="2" t="s">
        <v>822</v>
      </c>
      <c r="G8284" s="23" t="s">
        <v>902</v>
      </c>
      <c r="H8284" s="2" t="s">
        <v>822</v>
      </c>
      <c r="J8284" s="31">
        <v>72.800003099999998</v>
      </c>
      <c r="K8284" s="31">
        <v>45.616001099999998</v>
      </c>
      <c r="L8284" s="31"/>
      <c r="M8284" s="31" t="s">
        <v>854</v>
      </c>
      <c r="N8284" s="6" t="s">
        <v>856</v>
      </c>
    </row>
    <row r="8285" spans="1:14" ht="15" customHeight="1" x14ac:dyDescent="0.2">
      <c r="A8285" s="31">
        <v>9.0495526029279617E-3</v>
      </c>
      <c r="B8285" s="31"/>
      <c r="C8285" s="2" t="s">
        <v>855</v>
      </c>
      <c r="D8285" s="31">
        <f t="shared" si="228"/>
        <v>1.7737123101738805E-3</v>
      </c>
      <c r="F8285" s="2" t="s">
        <v>822</v>
      </c>
      <c r="G8285" s="23" t="s">
        <v>902</v>
      </c>
      <c r="H8285" s="2" t="s">
        <v>822</v>
      </c>
      <c r="J8285" s="31">
        <v>70.098602299999996</v>
      </c>
      <c r="K8285" s="31">
        <v>53.726799</v>
      </c>
      <c r="L8285" s="31"/>
      <c r="M8285" s="31" t="s">
        <v>854</v>
      </c>
      <c r="N8285" s="6" t="s">
        <v>856</v>
      </c>
    </row>
    <row r="8286" spans="1:14" ht="15" customHeight="1" x14ac:dyDescent="0.2">
      <c r="A8286" s="31">
        <v>9.0450463303872134E-3</v>
      </c>
      <c r="B8286" s="31"/>
      <c r="C8286" s="2" t="s">
        <v>855</v>
      </c>
      <c r="D8286" s="31">
        <f t="shared" si="228"/>
        <v>1.7728290807558938E-3</v>
      </c>
      <c r="F8286" s="2" t="s">
        <v>822</v>
      </c>
      <c r="G8286" s="23" t="s">
        <v>902</v>
      </c>
      <c r="H8286" s="2" t="s">
        <v>822</v>
      </c>
      <c r="J8286" s="31">
        <v>70.106002799999999</v>
      </c>
      <c r="K8286" s="31">
        <v>46.268199899999999</v>
      </c>
      <c r="L8286" s="31"/>
      <c r="M8286" s="31" t="s">
        <v>854</v>
      </c>
      <c r="N8286" s="6" t="s">
        <v>856</v>
      </c>
    </row>
    <row r="8287" spans="1:14" ht="15" customHeight="1" x14ac:dyDescent="0.2">
      <c r="A8287" s="31">
        <v>8.8825357991521286E-3</v>
      </c>
      <c r="B8287" s="31"/>
      <c r="C8287" s="2" t="s">
        <v>855</v>
      </c>
      <c r="D8287" s="31">
        <f t="shared" si="228"/>
        <v>1.7409770166338173E-3</v>
      </c>
      <c r="F8287" s="2" t="s">
        <v>822</v>
      </c>
      <c r="G8287" s="23" t="s">
        <v>902</v>
      </c>
      <c r="H8287" s="2" t="s">
        <v>822</v>
      </c>
      <c r="J8287" s="31">
        <v>70.806198100000003</v>
      </c>
      <c r="K8287" s="31">
        <v>46.292400399999998</v>
      </c>
      <c r="L8287" s="31"/>
      <c r="M8287" s="31" t="s">
        <v>854</v>
      </c>
      <c r="N8287" s="6" t="s">
        <v>856</v>
      </c>
    </row>
    <row r="8288" spans="1:14" ht="15" customHeight="1" x14ac:dyDescent="0.2">
      <c r="A8288" s="31">
        <v>8.5426170810069223E-3</v>
      </c>
      <c r="B8288" s="31"/>
      <c r="C8288" s="2" t="s">
        <v>855</v>
      </c>
      <c r="D8288" s="31">
        <f t="shared" si="228"/>
        <v>1.6743529478773567E-3</v>
      </c>
      <c r="F8288" s="2" t="s">
        <v>822</v>
      </c>
      <c r="G8288" s="23" t="s">
        <v>902</v>
      </c>
      <c r="H8288" s="2" t="s">
        <v>822</v>
      </c>
      <c r="J8288" s="31">
        <v>75.380401599999999</v>
      </c>
      <c r="K8288" s="31">
        <v>32.912498499999998</v>
      </c>
      <c r="L8288" s="31"/>
      <c r="M8288" s="31" t="s">
        <v>854</v>
      </c>
      <c r="N8288" s="6" t="s">
        <v>856</v>
      </c>
    </row>
    <row r="8289" spans="1:14" ht="15" customHeight="1" x14ac:dyDescent="0.2">
      <c r="A8289" s="31">
        <v>8.2251699572898108E-3</v>
      </c>
      <c r="B8289" s="31"/>
      <c r="C8289" s="2" t="s">
        <v>855</v>
      </c>
      <c r="D8289" s="31">
        <f t="shared" si="228"/>
        <v>1.612133311628803E-3</v>
      </c>
      <c r="F8289" s="2" t="s">
        <v>822</v>
      </c>
      <c r="G8289" s="23" t="s">
        <v>902</v>
      </c>
      <c r="H8289" s="2" t="s">
        <v>822</v>
      </c>
      <c r="J8289" s="31">
        <v>73.468002299999995</v>
      </c>
      <c r="K8289" s="31">
        <v>44.279998800000001</v>
      </c>
      <c r="L8289" s="31"/>
      <c r="M8289" s="31" t="s">
        <v>854</v>
      </c>
      <c r="N8289" s="6" t="s">
        <v>856</v>
      </c>
    </row>
    <row r="8290" spans="1:14" ht="15" customHeight="1" x14ac:dyDescent="0.2">
      <c r="A8290" s="31">
        <v>8.1492832788183141E-3</v>
      </c>
      <c r="B8290" s="31"/>
      <c r="C8290" s="2" t="s">
        <v>855</v>
      </c>
      <c r="D8290" s="31">
        <f t="shared" si="228"/>
        <v>1.5972595226483896E-3</v>
      </c>
      <c r="F8290" s="2" t="s">
        <v>822</v>
      </c>
      <c r="G8290" s="23" t="s">
        <v>902</v>
      </c>
      <c r="H8290" s="2" t="s">
        <v>822</v>
      </c>
      <c r="J8290" s="31">
        <v>72.800003099999998</v>
      </c>
      <c r="K8290" s="31">
        <v>47.619998899999999</v>
      </c>
      <c r="L8290" s="31"/>
      <c r="M8290" s="31" t="s">
        <v>854</v>
      </c>
      <c r="N8290" s="6" t="s">
        <v>856</v>
      </c>
    </row>
    <row r="8291" spans="1:14" ht="15" customHeight="1" x14ac:dyDescent="0.2">
      <c r="A8291" s="31">
        <v>8.1005870727005793E-3</v>
      </c>
      <c r="B8291" s="31"/>
      <c r="C8291" s="2" t="s">
        <v>855</v>
      </c>
      <c r="D8291" s="31">
        <f t="shared" si="228"/>
        <v>1.5877150662493135E-3</v>
      </c>
      <c r="F8291" s="2" t="s">
        <v>822</v>
      </c>
      <c r="G8291" s="23" t="s">
        <v>902</v>
      </c>
      <c r="H8291" s="2" t="s">
        <v>822</v>
      </c>
      <c r="J8291" s="31">
        <v>71.806800800000005</v>
      </c>
      <c r="K8291" s="31">
        <v>47.9225998</v>
      </c>
      <c r="L8291" s="31"/>
      <c r="M8291" s="31" t="s">
        <v>854</v>
      </c>
      <c r="N8291" s="6" t="s">
        <v>856</v>
      </c>
    </row>
    <row r="8292" spans="1:14" ht="15" customHeight="1" x14ac:dyDescent="0.2">
      <c r="A8292" s="31">
        <v>8.0241119704448378E-3</v>
      </c>
      <c r="B8292" s="31"/>
      <c r="C8292" s="2" t="s">
        <v>855</v>
      </c>
      <c r="D8292" s="31">
        <f t="shared" si="228"/>
        <v>1.5727259462071882E-3</v>
      </c>
      <c r="F8292" s="2" t="s">
        <v>822</v>
      </c>
      <c r="G8292" s="23" t="s">
        <v>902</v>
      </c>
      <c r="H8292" s="2" t="s">
        <v>822</v>
      </c>
      <c r="J8292" s="31">
        <v>74.1360016</v>
      </c>
      <c r="K8292" s="31">
        <v>48.956001299999997</v>
      </c>
      <c r="L8292" s="31"/>
      <c r="M8292" s="31" t="s">
        <v>854</v>
      </c>
      <c r="N8292" s="6" t="s">
        <v>856</v>
      </c>
    </row>
    <row r="8293" spans="1:14" ht="15" customHeight="1" x14ac:dyDescent="0.2">
      <c r="A8293" s="31">
        <v>8.0232679688556699E-3</v>
      </c>
      <c r="B8293" s="31"/>
      <c r="C8293" s="2" t="s">
        <v>855</v>
      </c>
      <c r="D8293" s="31">
        <f t="shared" si="228"/>
        <v>1.5725605218957113E-3</v>
      </c>
      <c r="F8293" s="2" t="s">
        <v>822</v>
      </c>
      <c r="G8293" s="23" t="s">
        <v>902</v>
      </c>
      <c r="H8293" s="2" t="s">
        <v>822</v>
      </c>
      <c r="J8293" s="31">
        <v>75.430000300000003</v>
      </c>
      <c r="K8293" s="31">
        <v>32.246498099999997</v>
      </c>
      <c r="L8293" s="31"/>
      <c r="M8293" s="31" t="s">
        <v>854</v>
      </c>
      <c r="N8293" s="6" t="s">
        <v>856</v>
      </c>
    </row>
    <row r="8294" spans="1:14" ht="15" customHeight="1" x14ac:dyDescent="0.2">
      <c r="A8294" s="31">
        <v>7.8156676888531344E-3</v>
      </c>
      <c r="B8294" s="31"/>
      <c r="C8294" s="2" t="s">
        <v>855</v>
      </c>
      <c r="D8294" s="31">
        <f t="shared" si="228"/>
        <v>1.5318708670152145E-3</v>
      </c>
      <c r="F8294" s="2" t="s">
        <v>822</v>
      </c>
      <c r="G8294" s="23" t="s">
        <v>902</v>
      </c>
      <c r="H8294" s="2" t="s">
        <v>822</v>
      </c>
      <c r="J8294" s="31">
        <v>72.800003099999998</v>
      </c>
      <c r="K8294" s="31">
        <v>34.928001399999999</v>
      </c>
      <c r="L8294" s="31"/>
      <c r="M8294" s="31" t="s">
        <v>854</v>
      </c>
      <c r="N8294" s="6" t="s">
        <v>856</v>
      </c>
    </row>
    <row r="8295" spans="1:14" ht="15" customHeight="1" x14ac:dyDescent="0.2">
      <c r="A8295" s="31">
        <v>7.7967871587689202E-3</v>
      </c>
      <c r="B8295" s="31"/>
      <c r="C8295" s="2" t="s">
        <v>855</v>
      </c>
      <c r="D8295" s="31">
        <f t="shared" si="228"/>
        <v>1.5281702831187085E-3</v>
      </c>
      <c r="F8295" s="2" t="s">
        <v>822</v>
      </c>
      <c r="G8295" s="23" t="s">
        <v>902</v>
      </c>
      <c r="H8295" s="2" t="s">
        <v>822</v>
      </c>
      <c r="J8295" s="31">
        <v>71.463996899999998</v>
      </c>
      <c r="K8295" s="31">
        <v>36.263999900000002</v>
      </c>
      <c r="L8295" s="31"/>
      <c r="M8295" s="31" t="s">
        <v>854</v>
      </c>
      <c r="N8295" s="6" t="s">
        <v>856</v>
      </c>
    </row>
    <row r="8296" spans="1:14" ht="15" customHeight="1" x14ac:dyDescent="0.2">
      <c r="A8296" s="31">
        <v>7.7510241330357573E-3</v>
      </c>
      <c r="B8296" s="31"/>
      <c r="C8296" s="2" t="s">
        <v>855</v>
      </c>
      <c r="D8296" s="31">
        <f t="shared" si="228"/>
        <v>1.5192007300750085E-3</v>
      </c>
      <c r="F8296" s="2" t="s">
        <v>822</v>
      </c>
      <c r="G8296" s="23" t="s">
        <v>902</v>
      </c>
      <c r="H8296" s="2" t="s">
        <v>822</v>
      </c>
      <c r="J8296" s="31">
        <v>74.747398399999994</v>
      </c>
      <c r="K8296" s="31">
        <v>36.9220009</v>
      </c>
      <c r="L8296" s="31"/>
      <c r="M8296" s="31" t="s">
        <v>854</v>
      </c>
      <c r="N8296" s="6" t="s">
        <v>856</v>
      </c>
    </row>
    <row r="8297" spans="1:14" ht="15" customHeight="1" x14ac:dyDescent="0.2">
      <c r="A8297" s="31">
        <v>7.7292171598304189E-3</v>
      </c>
      <c r="B8297" s="31"/>
      <c r="C8297" s="2" t="s">
        <v>855</v>
      </c>
      <c r="D8297" s="31">
        <f t="shared" si="228"/>
        <v>1.5149265633267622E-3</v>
      </c>
      <c r="F8297" s="2" t="s">
        <v>822</v>
      </c>
      <c r="G8297" s="23" t="s">
        <v>902</v>
      </c>
      <c r="H8297" s="2" t="s">
        <v>822</v>
      </c>
      <c r="J8297" s="31">
        <v>74.804000900000005</v>
      </c>
      <c r="K8297" s="31">
        <v>32.923999799999997</v>
      </c>
      <c r="L8297" s="31"/>
      <c r="M8297" s="31" t="s">
        <v>854</v>
      </c>
      <c r="N8297" s="6" t="s">
        <v>856</v>
      </c>
    </row>
    <row r="8298" spans="1:14" ht="15" customHeight="1" x14ac:dyDescent="0.2">
      <c r="A8298" s="31">
        <v>7.6729129065466386E-3</v>
      </c>
      <c r="B8298" s="31"/>
      <c r="C8298" s="2" t="s">
        <v>855</v>
      </c>
      <c r="D8298" s="31">
        <f t="shared" si="228"/>
        <v>1.5038909296831411E-3</v>
      </c>
      <c r="F8298" s="2" t="s">
        <v>822</v>
      </c>
      <c r="G8298" s="23" t="s">
        <v>902</v>
      </c>
      <c r="H8298" s="2" t="s">
        <v>822</v>
      </c>
      <c r="J8298" s="31">
        <v>74.804000900000005</v>
      </c>
      <c r="K8298" s="31">
        <v>31.5879993</v>
      </c>
      <c r="L8298" s="31"/>
      <c r="M8298" s="31" t="s">
        <v>854</v>
      </c>
      <c r="N8298" s="6" t="s">
        <v>856</v>
      </c>
    </row>
    <row r="8299" spans="1:14" ht="15" customHeight="1" x14ac:dyDescent="0.2">
      <c r="A8299" s="31">
        <v>7.5327288506404008E-3</v>
      </c>
      <c r="B8299" s="31"/>
      <c r="C8299" s="2" t="s">
        <v>855</v>
      </c>
      <c r="D8299" s="31">
        <f t="shared" si="228"/>
        <v>1.4764148547255186E-3</v>
      </c>
      <c r="F8299" s="2" t="s">
        <v>822</v>
      </c>
      <c r="G8299" s="23" t="s">
        <v>902</v>
      </c>
      <c r="H8299" s="2" t="s">
        <v>822</v>
      </c>
      <c r="J8299" s="31">
        <v>74.804000900000005</v>
      </c>
      <c r="K8299" s="31">
        <v>34.928001399999999</v>
      </c>
      <c r="L8299" s="31"/>
      <c r="M8299" s="31" t="s">
        <v>854</v>
      </c>
      <c r="N8299" s="6" t="s">
        <v>856</v>
      </c>
    </row>
    <row r="8300" spans="1:14" ht="15" customHeight="1" x14ac:dyDescent="0.2">
      <c r="A8300" s="31">
        <v>7.4866608601033367E-3</v>
      </c>
      <c r="B8300" s="31"/>
      <c r="C8300" s="2" t="s">
        <v>855</v>
      </c>
      <c r="D8300" s="31">
        <f t="shared" si="228"/>
        <v>1.4673855285802541E-3</v>
      </c>
      <c r="F8300" s="2" t="s">
        <v>822</v>
      </c>
      <c r="G8300" s="23" t="s">
        <v>902</v>
      </c>
      <c r="H8300" s="2" t="s">
        <v>822</v>
      </c>
      <c r="J8300" s="31">
        <v>69.439903299999997</v>
      </c>
      <c r="K8300" s="31">
        <v>36.277999899999998</v>
      </c>
      <c r="L8300" s="31"/>
      <c r="M8300" s="31" t="s">
        <v>854</v>
      </c>
      <c r="N8300" s="6" t="s">
        <v>856</v>
      </c>
    </row>
    <row r="8301" spans="1:14" ht="15" customHeight="1" x14ac:dyDescent="0.2">
      <c r="A8301" s="31">
        <v>7.4663960018995631E-3</v>
      </c>
      <c r="B8301" s="31"/>
      <c r="C8301" s="2" t="s">
        <v>855</v>
      </c>
      <c r="D8301" s="31">
        <f t="shared" si="228"/>
        <v>1.4634136163723145E-3</v>
      </c>
      <c r="F8301" s="2" t="s">
        <v>822</v>
      </c>
      <c r="G8301" s="23" t="s">
        <v>902</v>
      </c>
      <c r="H8301" s="2" t="s">
        <v>822</v>
      </c>
      <c r="J8301" s="31">
        <v>72.800003099999998</v>
      </c>
      <c r="K8301" s="31">
        <v>50.291999799999999</v>
      </c>
      <c r="L8301" s="31"/>
      <c r="M8301" s="31" t="s">
        <v>854</v>
      </c>
      <c r="N8301" s="6" t="s">
        <v>856</v>
      </c>
    </row>
    <row r="8302" spans="1:14" ht="15" customHeight="1" x14ac:dyDescent="0.2">
      <c r="A8302" s="31">
        <v>7.1090461328048539E-3</v>
      </c>
      <c r="B8302" s="31"/>
      <c r="C8302" s="2" t="s">
        <v>855</v>
      </c>
      <c r="D8302" s="31">
        <f t="shared" si="228"/>
        <v>1.3933730420297515E-3</v>
      </c>
      <c r="F8302" s="2" t="s">
        <v>822</v>
      </c>
      <c r="G8302" s="23" t="s">
        <v>902</v>
      </c>
      <c r="H8302" s="2" t="s">
        <v>822</v>
      </c>
      <c r="J8302" s="31">
        <v>74.804000900000005</v>
      </c>
      <c r="K8302" s="31">
        <v>28.916000400000001</v>
      </c>
      <c r="L8302" s="31"/>
      <c r="M8302" s="31" t="s">
        <v>854</v>
      </c>
      <c r="N8302" s="6" t="s">
        <v>856</v>
      </c>
    </row>
    <row r="8303" spans="1:14" ht="15" customHeight="1" x14ac:dyDescent="0.2">
      <c r="A8303" s="31">
        <v>6.9079698212041333E-3</v>
      </c>
      <c r="B8303" s="31"/>
      <c r="C8303" s="2" t="s">
        <v>855</v>
      </c>
      <c r="D8303" s="31">
        <f t="shared" si="228"/>
        <v>1.3539620849560101E-3</v>
      </c>
      <c r="F8303" s="2" t="s">
        <v>822</v>
      </c>
      <c r="G8303" s="23" t="s">
        <v>902</v>
      </c>
      <c r="H8303" s="2" t="s">
        <v>822</v>
      </c>
      <c r="J8303" s="31">
        <v>72.132003800000007</v>
      </c>
      <c r="K8303" s="31">
        <v>46.951999700000002</v>
      </c>
      <c r="L8303" s="31"/>
      <c r="M8303" s="31" t="s">
        <v>854</v>
      </c>
      <c r="N8303" s="6" t="s">
        <v>856</v>
      </c>
    </row>
    <row r="8304" spans="1:14" ht="15" customHeight="1" x14ac:dyDescent="0.2">
      <c r="A8304" s="31">
        <v>6.8004127242059578E-3</v>
      </c>
      <c r="B8304" s="31"/>
      <c r="C8304" s="2" t="s">
        <v>855</v>
      </c>
      <c r="D8304" s="31">
        <f t="shared" si="228"/>
        <v>1.3328808939443678E-3</v>
      </c>
      <c r="F8304" s="2" t="s">
        <v>822</v>
      </c>
      <c r="G8304" s="23" t="s">
        <v>902</v>
      </c>
      <c r="H8304" s="2" t="s">
        <v>822</v>
      </c>
      <c r="J8304" s="31">
        <v>74.1360016</v>
      </c>
      <c r="K8304" s="31">
        <v>34.928001399999999</v>
      </c>
      <c r="L8304" s="31"/>
      <c r="M8304" s="31" t="s">
        <v>854</v>
      </c>
      <c r="N8304" s="6" t="s">
        <v>856</v>
      </c>
    </row>
    <row r="8305" spans="1:14" ht="15" customHeight="1" x14ac:dyDescent="0.2">
      <c r="A8305" s="31">
        <v>6.748760765052696E-3</v>
      </c>
      <c r="B8305" s="31"/>
      <c r="C8305" s="2" t="s">
        <v>855</v>
      </c>
      <c r="D8305" s="31">
        <f t="shared" si="228"/>
        <v>1.3227571099503285E-3</v>
      </c>
      <c r="F8305" s="2" t="s">
        <v>822</v>
      </c>
      <c r="G8305" s="23" t="s">
        <v>902</v>
      </c>
      <c r="H8305" s="2" t="s">
        <v>822</v>
      </c>
      <c r="J8305" s="31">
        <v>74.804000900000005</v>
      </c>
      <c r="K8305" s="31">
        <v>32.256000499999999</v>
      </c>
      <c r="L8305" s="31"/>
      <c r="M8305" s="31" t="s">
        <v>854</v>
      </c>
      <c r="N8305" s="6" t="s">
        <v>856</v>
      </c>
    </row>
    <row r="8306" spans="1:14" ht="15" customHeight="1" x14ac:dyDescent="0.2">
      <c r="A8306" s="31">
        <v>6.4855811205001409E-3</v>
      </c>
      <c r="B8306" s="31"/>
      <c r="C8306" s="2" t="s">
        <v>855</v>
      </c>
      <c r="D8306" s="31">
        <f t="shared" si="228"/>
        <v>1.2711738996180276E-3</v>
      </c>
      <c r="F8306" s="2" t="s">
        <v>822</v>
      </c>
      <c r="G8306" s="23" t="s">
        <v>902</v>
      </c>
      <c r="H8306" s="2" t="s">
        <v>822</v>
      </c>
      <c r="J8306" s="31">
        <v>74.804000900000005</v>
      </c>
      <c r="K8306" s="31">
        <v>34.259998299999999</v>
      </c>
      <c r="L8306" s="31"/>
      <c r="M8306" s="31" t="s">
        <v>854</v>
      </c>
      <c r="N8306" s="6" t="s">
        <v>856</v>
      </c>
    </row>
    <row r="8307" spans="1:14" ht="15" customHeight="1" x14ac:dyDescent="0.2">
      <c r="A8307" s="31">
        <v>6.3900869941409333E-3</v>
      </c>
      <c r="B8307" s="31"/>
      <c r="C8307" s="2" t="s">
        <v>855</v>
      </c>
      <c r="D8307" s="31">
        <f t="shared" si="228"/>
        <v>1.252457050851623E-3</v>
      </c>
      <c r="F8307" s="2" t="s">
        <v>822</v>
      </c>
      <c r="G8307" s="23" t="s">
        <v>902</v>
      </c>
      <c r="H8307" s="2" t="s">
        <v>822</v>
      </c>
      <c r="J8307" s="31">
        <v>75.281402600000007</v>
      </c>
      <c r="K8307" s="31">
        <v>34.240501399999999</v>
      </c>
      <c r="L8307" s="31"/>
      <c r="M8307" s="31" t="s">
        <v>854</v>
      </c>
      <c r="N8307" s="6" t="s">
        <v>856</v>
      </c>
    </row>
    <row r="8308" spans="1:14" ht="15" customHeight="1" x14ac:dyDescent="0.2">
      <c r="A8308" s="31">
        <v>6.3486150226778441E-3</v>
      </c>
      <c r="B8308" s="31"/>
      <c r="C8308" s="2" t="s">
        <v>855</v>
      </c>
      <c r="D8308" s="31">
        <f t="shared" si="228"/>
        <v>1.2443285444448575E-3</v>
      </c>
      <c r="F8308" s="2" t="s">
        <v>822</v>
      </c>
      <c r="G8308" s="23" t="s">
        <v>902</v>
      </c>
      <c r="H8308" s="2" t="s">
        <v>822</v>
      </c>
      <c r="J8308" s="31">
        <v>70.098602299999996</v>
      </c>
      <c r="K8308" s="31">
        <v>53.392799400000001</v>
      </c>
      <c r="L8308" s="31"/>
      <c r="M8308" s="31" t="s">
        <v>854</v>
      </c>
      <c r="N8308" s="6" t="s">
        <v>856</v>
      </c>
    </row>
    <row r="8309" spans="1:14" ht="15" customHeight="1" x14ac:dyDescent="0.2">
      <c r="A8309" s="31">
        <v>6.2676937211534013E-3</v>
      </c>
      <c r="B8309" s="31"/>
      <c r="C8309" s="2" t="s">
        <v>855</v>
      </c>
      <c r="D8309" s="31">
        <f t="shared" si="228"/>
        <v>1.2284679693460668E-3</v>
      </c>
      <c r="F8309" s="2" t="s">
        <v>822</v>
      </c>
      <c r="G8309" s="23" t="s">
        <v>902</v>
      </c>
      <c r="H8309" s="2" t="s">
        <v>822</v>
      </c>
      <c r="J8309" s="31">
        <v>71.487297100000006</v>
      </c>
      <c r="K8309" s="31">
        <v>45.602199599999999</v>
      </c>
      <c r="L8309" s="31"/>
      <c r="M8309" s="31" t="s">
        <v>854</v>
      </c>
      <c r="N8309" s="6" t="s">
        <v>856</v>
      </c>
    </row>
    <row r="8310" spans="1:14" ht="15" customHeight="1" x14ac:dyDescent="0.2">
      <c r="A8310" s="31">
        <v>6.2086835658969062E-3</v>
      </c>
      <c r="B8310" s="31"/>
      <c r="C8310" s="2" t="s">
        <v>855</v>
      </c>
      <c r="D8310" s="31">
        <f t="shared" si="228"/>
        <v>1.2169019789157937E-3</v>
      </c>
      <c r="F8310" s="2" t="s">
        <v>822</v>
      </c>
      <c r="G8310" s="23" t="s">
        <v>902</v>
      </c>
      <c r="H8310" s="2" t="s">
        <v>822</v>
      </c>
      <c r="J8310" s="31">
        <v>73.468002299999995</v>
      </c>
      <c r="K8310" s="31">
        <v>43.611999500000003</v>
      </c>
      <c r="L8310" s="31"/>
      <c r="M8310" s="31" t="s">
        <v>854</v>
      </c>
      <c r="N8310" s="6" t="s">
        <v>856</v>
      </c>
    </row>
    <row r="8311" spans="1:14" ht="15" customHeight="1" x14ac:dyDescent="0.2">
      <c r="A8311" s="31">
        <v>6.0470416597315372E-3</v>
      </c>
      <c r="B8311" s="31"/>
      <c r="C8311" s="2" t="s">
        <v>855</v>
      </c>
      <c r="D8311" s="31">
        <f t="shared" si="228"/>
        <v>1.1852201653073813E-3</v>
      </c>
      <c r="F8311" s="2" t="s">
        <v>822</v>
      </c>
      <c r="G8311" s="23" t="s">
        <v>902</v>
      </c>
      <c r="H8311" s="2" t="s">
        <v>822</v>
      </c>
      <c r="J8311" s="31">
        <v>71.2279968</v>
      </c>
      <c r="K8311" s="31">
        <v>43.655700699999997</v>
      </c>
      <c r="L8311" s="31"/>
      <c r="M8311" s="31" t="s">
        <v>854</v>
      </c>
      <c r="N8311" s="6" t="s">
        <v>856</v>
      </c>
    </row>
    <row r="8312" spans="1:14" ht="15" customHeight="1" x14ac:dyDescent="0.2">
      <c r="A8312" s="31">
        <v>5.9949558972969543E-3</v>
      </c>
      <c r="B8312" s="31"/>
      <c r="C8312" s="2" t="s">
        <v>855</v>
      </c>
      <c r="D8312" s="31">
        <f t="shared" si="228"/>
        <v>1.175011355870203E-3</v>
      </c>
      <c r="F8312" s="2" t="s">
        <v>822</v>
      </c>
      <c r="G8312" s="23" t="s">
        <v>902</v>
      </c>
      <c r="H8312" s="2" t="s">
        <v>822</v>
      </c>
      <c r="J8312" s="31">
        <v>69.014602699999998</v>
      </c>
      <c r="K8312" s="31">
        <v>45.616001099999998</v>
      </c>
      <c r="L8312" s="31"/>
      <c r="M8312" s="31" t="s">
        <v>854</v>
      </c>
      <c r="N8312" s="6" t="s">
        <v>856</v>
      </c>
    </row>
    <row r="8313" spans="1:14" ht="15" customHeight="1" x14ac:dyDescent="0.2">
      <c r="A8313" s="31">
        <v>5.9359011189475553E-3</v>
      </c>
      <c r="B8313" s="31"/>
      <c r="C8313" s="2" t="s">
        <v>855</v>
      </c>
      <c r="D8313" s="31">
        <f t="shared" ref="D8313:D8336" si="229" xml:space="preserve"> A8313 * 0.196</f>
        <v>1.1634366193137209E-3</v>
      </c>
      <c r="F8313" s="2" t="s">
        <v>822</v>
      </c>
      <c r="G8313" s="23" t="s">
        <v>902</v>
      </c>
      <c r="H8313" s="2" t="s">
        <v>822</v>
      </c>
      <c r="J8313" s="31">
        <v>74.793800399999995</v>
      </c>
      <c r="K8313" s="31">
        <v>36.257801100000002</v>
      </c>
      <c r="L8313" s="31"/>
      <c r="M8313" s="31" t="s">
        <v>854</v>
      </c>
      <c r="N8313" s="6" t="s">
        <v>856</v>
      </c>
    </row>
    <row r="8314" spans="1:14" ht="15" customHeight="1" x14ac:dyDescent="0.2">
      <c r="A8314" s="31">
        <v>5.8965897011922438E-3</v>
      </c>
      <c r="B8314" s="31"/>
      <c r="C8314" s="2" t="s">
        <v>855</v>
      </c>
      <c r="D8314" s="31">
        <f t="shared" si="229"/>
        <v>1.1557315814336798E-3</v>
      </c>
      <c r="F8314" s="2" t="s">
        <v>822</v>
      </c>
      <c r="G8314" s="23" t="s">
        <v>902</v>
      </c>
      <c r="H8314" s="2" t="s">
        <v>822</v>
      </c>
      <c r="J8314" s="31">
        <v>69.723602299999996</v>
      </c>
      <c r="K8314" s="31">
        <v>52.308799700000002</v>
      </c>
      <c r="L8314" s="31"/>
      <c r="M8314" s="31" t="s">
        <v>854</v>
      </c>
      <c r="N8314" s="6" t="s">
        <v>856</v>
      </c>
    </row>
    <row r="8315" spans="1:14" ht="15" customHeight="1" x14ac:dyDescent="0.2">
      <c r="A8315" s="31">
        <v>5.7048274776952427E-3</v>
      </c>
      <c r="B8315" s="31"/>
      <c r="C8315" s="2" t="s">
        <v>855</v>
      </c>
      <c r="D8315" s="31">
        <f t="shared" si="229"/>
        <v>1.1181461856282675E-3</v>
      </c>
      <c r="F8315" s="2" t="s">
        <v>822</v>
      </c>
      <c r="G8315" s="23" t="s">
        <v>902</v>
      </c>
      <c r="H8315" s="2" t="s">
        <v>822</v>
      </c>
      <c r="J8315" s="31">
        <v>74.804000900000005</v>
      </c>
      <c r="K8315" s="31">
        <v>35.596000699999998</v>
      </c>
      <c r="L8315" s="31"/>
      <c r="M8315" s="31" t="s">
        <v>854</v>
      </c>
      <c r="N8315" s="6" t="s">
        <v>856</v>
      </c>
    </row>
    <row r="8316" spans="1:14" ht="15" customHeight="1" x14ac:dyDescent="0.2">
      <c r="A8316" s="31">
        <v>5.6404252817963199E-3</v>
      </c>
      <c r="B8316" s="31"/>
      <c r="C8316" s="2" t="s">
        <v>855</v>
      </c>
      <c r="D8316" s="31">
        <f t="shared" si="229"/>
        <v>1.1055233552320787E-3</v>
      </c>
      <c r="F8316" s="2" t="s">
        <v>822</v>
      </c>
      <c r="G8316" s="23" t="s">
        <v>902</v>
      </c>
      <c r="H8316" s="2" t="s">
        <v>822</v>
      </c>
      <c r="J8316" s="31">
        <v>72.132003800000007</v>
      </c>
      <c r="K8316" s="31">
        <v>35.596000699999998</v>
      </c>
      <c r="L8316" s="31"/>
      <c r="M8316" s="31" t="s">
        <v>854</v>
      </c>
      <c r="N8316" s="6" t="s">
        <v>856</v>
      </c>
    </row>
    <row r="8317" spans="1:14" ht="15" customHeight="1" x14ac:dyDescent="0.2">
      <c r="A8317" s="31">
        <v>5.3545225860370466E-3</v>
      </c>
      <c r="B8317" s="31"/>
      <c r="C8317" s="2" t="s">
        <v>855</v>
      </c>
      <c r="D8317" s="31">
        <f t="shared" si="229"/>
        <v>1.0494864268632612E-3</v>
      </c>
      <c r="F8317" s="2" t="s">
        <v>822</v>
      </c>
      <c r="G8317" s="23" t="s">
        <v>902</v>
      </c>
      <c r="H8317" s="2" t="s">
        <v>822</v>
      </c>
      <c r="J8317" s="31">
        <v>74.096099899999999</v>
      </c>
      <c r="K8317" s="31">
        <v>23.579500199999998</v>
      </c>
      <c r="L8317" s="31"/>
      <c r="M8317" s="31" t="s">
        <v>854</v>
      </c>
      <c r="N8317" s="6" t="s">
        <v>856</v>
      </c>
    </row>
    <row r="8318" spans="1:14" ht="15" customHeight="1" x14ac:dyDescent="0.2">
      <c r="A8318" s="31">
        <v>5.2482626362901803E-3</v>
      </c>
      <c r="B8318" s="31"/>
      <c r="C8318" s="2" t="s">
        <v>855</v>
      </c>
      <c r="D8318" s="31">
        <f t="shared" si="229"/>
        <v>1.0286594767128755E-3</v>
      </c>
      <c r="F8318" s="2" t="s">
        <v>822</v>
      </c>
      <c r="G8318" s="23" t="s">
        <v>902</v>
      </c>
      <c r="H8318" s="2" t="s">
        <v>822</v>
      </c>
      <c r="J8318" s="31">
        <v>69.723602299999996</v>
      </c>
      <c r="K8318" s="31">
        <v>51.974800100000003</v>
      </c>
      <c r="L8318" s="31"/>
      <c r="M8318" s="31" t="s">
        <v>854</v>
      </c>
      <c r="N8318" s="6" t="s">
        <v>856</v>
      </c>
    </row>
    <row r="8319" spans="1:14" ht="15" customHeight="1" x14ac:dyDescent="0.2">
      <c r="A8319" s="31">
        <v>5.1685203400590038E-3</v>
      </c>
      <c r="B8319" s="31"/>
      <c r="C8319" s="2" t="s">
        <v>855</v>
      </c>
      <c r="D8319" s="31">
        <f t="shared" si="229"/>
        <v>1.0130299866515648E-3</v>
      </c>
      <c r="F8319" s="2" t="s">
        <v>822</v>
      </c>
      <c r="G8319" s="23" t="s">
        <v>902</v>
      </c>
      <c r="H8319" s="2" t="s">
        <v>822</v>
      </c>
      <c r="J8319" s="31">
        <v>74.706596399999995</v>
      </c>
      <c r="K8319" s="31">
        <v>26.264799100000001</v>
      </c>
      <c r="L8319" s="31"/>
      <c r="M8319" s="31" t="s">
        <v>854</v>
      </c>
      <c r="N8319" s="6" t="s">
        <v>856</v>
      </c>
    </row>
    <row r="8320" spans="1:14" ht="15" customHeight="1" x14ac:dyDescent="0.2">
      <c r="A8320" s="31">
        <v>5.0085826193597954E-3</v>
      </c>
      <c r="B8320" s="31"/>
      <c r="C8320" s="2" t="s">
        <v>855</v>
      </c>
      <c r="D8320" s="31">
        <f t="shared" si="229"/>
        <v>9.8168219339452001E-4</v>
      </c>
      <c r="F8320" s="2" t="s">
        <v>822</v>
      </c>
      <c r="G8320" s="23" t="s">
        <v>902</v>
      </c>
      <c r="H8320" s="2" t="s">
        <v>822</v>
      </c>
      <c r="J8320" s="31">
        <v>74.1360016</v>
      </c>
      <c r="K8320" s="31">
        <v>34.259998299999999</v>
      </c>
      <c r="L8320" s="31"/>
      <c r="M8320" s="31" t="s">
        <v>854</v>
      </c>
      <c r="N8320" s="6" t="s">
        <v>856</v>
      </c>
    </row>
    <row r="8321" spans="1:14" ht="15" customHeight="1" x14ac:dyDescent="0.2">
      <c r="A8321" s="31">
        <v>4.8305759089825777E-3</v>
      </c>
      <c r="B8321" s="31"/>
      <c r="C8321" s="2" t="s">
        <v>855</v>
      </c>
      <c r="D8321" s="31">
        <f t="shared" si="229"/>
        <v>9.4679287816058528E-4</v>
      </c>
      <c r="F8321" s="2" t="s">
        <v>822</v>
      </c>
      <c r="G8321" s="23" t="s">
        <v>902</v>
      </c>
      <c r="H8321" s="2" t="s">
        <v>822</v>
      </c>
      <c r="J8321" s="31">
        <v>72.132003800000007</v>
      </c>
      <c r="K8321" s="31">
        <v>44.279998800000001</v>
      </c>
      <c r="L8321" s="31"/>
      <c r="M8321" s="31" t="s">
        <v>854</v>
      </c>
      <c r="N8321" s="6" t="s">
        <v>856</v>
      </c>
    </row>
    <row r="8322" spans="1:14" ht="15" customHeight="1" x14ac:dyDescent="0.2">
      <c r="A8322" s="31">
        <v>4.6286940826525628E-3</v>
      </c>
      <c r="B8322" s="31"/>
      <c r="C8322" s="2" t="s">
        <v>855</v>
      </c>
      <c r="D8322" s="31">
        <f t="shared" si="229"/>
        <v>9.0722404019990231E-4</v>
      </c>
      <c r="F8322" s="2" t="s">
        <v>822</v>
      </c>
      <c r="G8322" s="23" t="s">
        <v>902</v>
      </c>
      <c r="H8322" s="2" t="s">
        <v>822</v>
      </c>
      <c r="J8322" s="31">
        <v>75.889602699999998</v>
      </c>
      <c r="K8322" s="31">
        <v>30.2810001</v>
      </c>
      <c r="L8322" s="31"/>
      <c r="M8322" s="31" t="s">
        <v>854</v>
      </c>
      <c r="N8322" s="6" t="s">
        <v>856</v>
      </c>
    </row>
    <row r="8323" spans="1:14" ht="15" customHeight="1" x14ac:dyDescent="0.2">
      <c r="A8323" s="31">
        <v>4.33893177296672E-3</v>
      </c>
      <c r="B8323" s="31"/>
      <c r="C8323" s="2" t="s">
        <v>855</v>
      </c>
      <c r="D8323" s="31">
        <f t="shared" si="229"/>
        <v>8.504306275014771E-4</v>
      </c>
      <c r="F8323" s="2" t="s">
        <v>822</v>
      </c>
      <c r="G8323" s="23" t="s">
        <v>902</v>
      </c>
      <c r="H8323" s="2" t="s">
        <v>822</v>
      </c>
      <c r="J8323" s="31">
        <v>69.459999100000005</v>
      </c>
      <c r="K8323" s="31">
        <v>40.271999399999999</v>
      </c>
      <c r="L8323" s="31"/>
      <c r="M8323" s="31" t="s">
        <v>854</v>
      </c>
      <c r="N8323" s="6" t="s">
        <v>856</v>
      </c>
    </row>
    <row r="8324" spans="1:14" ht="15" customHeight="1" x14ac:dyDescent="0.2">
      <c r="A8324" s="31">
        <v>4.2560446018543342E-3</v>
      </c>
      <c r="B8324" s="31"/>
      <c r="C8324" s="2" t="s">
        <v>855</v>
      </c>
      <c r="D8324" s="31">
        <f t="shared" si="229"/>
        <v>8.3418474196344952E-4</v>
      </c>
      <c r="F8324" s="2" t="s">
        <v>822</v>
      </c>
      <c r="G8324" s="23" t="s">
        <v>902</v>
      </c>
      <c r="H8324" s="2" t="s">
        <v>822</v>
      </c>
      <c r="J8324" s="31">
        <v>71.463996899999998</v>
      </c>
      <c r="K8324" s="31">
        <v>30.920000099999999</v>
      </c>
      <c r="L8324" s="31"/>
      <c r="M8324" s="31" t="s">
        <v>854</v>
      </c>
      <c r="N8324" s="6" t="s">
        <v>856</v>
      </c>
    </row>
    <row r="8325" spans="1:14" ht="15" customHeight="1" x14ac:dyDescent="0.2">
      <c r="A8325" s="31">
        <v>3.9234126200487929E-3</v>
      </c>
      <c r="B8325" s="31"/>
      <c r="C8325" s="2" t="s">
        <v>855</v>
      </c>
      <c r="D8325" s="31">
        <f t="shared" si="229"/>
        <v>7.6898887352956343E-4</v>
      </c>
      <c r="F8325" s="2" t="s">
        <v>822</v>
      </c>
      <c r="G8325" s="23" t="s">
        <v>902</v>
      </c>
      <c r="H8325" s="2" t="s">
        <v>822</v>
      </c>
      <c r="J8325" s="31">
        <v>71.555000300000003</v>
      </c>
      <c r="K8325" s="31">
        <v>43.595199600000001</v>
      </c>
      <c r="L8325" s="31"/>
      <c r="M8325" s="31" t="s">
        <v>854</v>
      </c>
      <c r="N8325" s="6" t="s">
        <v>856</v>
      </c>
    </row>
    <row r="8326" spans="1:14" ht="15" customHeight="1" x14ac:dyDescent="0.2">
      <c r="A8326" s="31">
        <v>3.878264995058158E-3</v>
      </c>
      <c r="B8326" s="31"/>
      <c r="C8326" s="2" t="s">
        <v>855</v>
      </c>
      <c r="D8326" s="31">
        <f t="shared" si="229"/>
        <v>7.6013993903139903E-4</v>
      </c>
      <c r="F8326" s="2" t="s">
        <v>822</v>
      </c>
      <c r="G8326" s="23" t="s">
        <v>902</v>
      </c>
      <c r="H8326" s="2" t="s">
        <v>822</v>
      </c>
      <c r="J8326" s="31">
        <v>74.056800800000005</v>
      </c>
      <c r="K8326" s="31">
        <v>22.9125996</v>
      </c>
      <c r="L8326" s="31"/>
      <c r="M8326" s="31" t="s">
        <v>854</v>
      </c>
      <c r="N8326" s="6" t="s">
        <v>856</v>
      </c>
    </row>
    <row r="8327" spans="1:14" ht="15" customHeight="1" x14ac:dyDescent="0.2">
      <c r="A8327" s="31">
        <v>3.8628115561530952E-3</v>
      </c>
      <c r="B8327" s="31"/>
      <c r="C8327" s="2" t="s">
        <v>855</v>
      </c>
      <c r="D8327" s="31">
        <f t="shared" si="229"/>
        <v>7.5711106500600674E-4</v>
      </c>
      <c r="F8327" s="2" t="s">
        <v>822</v>
      </c>
      <c r="G8327" s="23" t="s">
        <v>902</v>
      </c>
      <c r="H8327" s="2" t="s">
        <v>822</v>
      </c>
      <c r="J8327" s="31">
        <v>71.463996899999998</v>
      </c>
      <c r="K8327" s="31">
        <v>41.608001700000003</v>
      </c>
      <c r="L8327" s="31"/>
      <c r="M8327" s="31" t="s">
        <v>854</v>
      </c>
      <c r="N8327" s="6" t="s">
        <v>856</v>
      </c>
    </row>
    <row r="8328" spans="1:14" ht="15" customHeight="1" x14ac:dyDescent="0.2">
      <c r="A8328" s="31">
        <v>3.5552207703594971E-3</v>
      </c>
      <c r="B8328" s="31"/>
      <c r="C8328" s="2" t="s">
        <v>855</v>
      </c>
      <c r="D8328" s="31">
        <f t="shared" si="229"/>
        <v>6.9682327099046147E-4</v>
      </c>
      <c r="F8328" s="2" t="s">
        <v>822</v>
      </c>
      <c r="G8328" s="23" t="s">
        <v>902</v>
      </c>
      <c r="H8328" s="2" t="s">
        <v>822</v>
      </c>
      <c r="J8328" s="31">
        <v>72.800003099999998</v>
      </c>
      <c r="K8328" s="31">
        <v>42.944000199999998</v>
      </c>
      <c r="L8328" s="31"/>
      <c r="M8328" s="31" t="s">
        <v>854</v>
      </c>
      <c r="N8328" s="6" t="s">
        <v>856</v>
      </c>
    </row>
    <row r="8329" spans="1:14" ht="15" customHeight="1" x14ac:dyDescent="0.2">
      <c r="A8329" s="31">
        <v>3.5168965291131299E-3</v>
      </c>
      <c r="B8329" s="31"/>
      <c r="C8329" s="2" t="s">
        <v>855</v>
      </c>
      <c r="D8329" s="31">
        <f t="shared" si="229"/>
        <v>6.8931171970617352E-4</v>
      </c>
      <c r="F8329" s="2" t="s">
        <v>822</v>
      </c>
      <c r="G8329" s="23" t="s">
        <v>902</v>
      </c>
      <c r="H8329" s="2" t="s">
        <v>822</v>
      </c>
      <c r="J8329" s="31">
        <v>74.1360016</v>
      </c>
      <c r="K8329" s="31">
        <v>32.923999799999997</v>
      </c>
      <c r="L8329" s="31"/>
      <c r="M8329" s="31" t="s">
        <v>854</v>
      </c>
      <c r="N8329" s="6" t="s">
        <v>856</v>
      </c>
    </row>
    <row r="8330" spans="1:14" ht="15" customHeight="1" x14ac:dyDescent="0.2">
      <c r="A8330" s="31">
        <v>3.4872478241074608E-3</v>
      </c>
      <c r="B8330" s="31"/>
      <c r="C8330" s="2" t="s">
        <v>855</v>
      </c>
      <c r="D8330" s="31">
        <f t="shared" si="229"/>
        <v>6.8350057352506237E-4</v>
      </c>
      <c r="F8330" s="2" t="s">
        <v>822</v>
      </c>
      <c r="G8330" s="23" t="s">
        <v>902</v>
      </c>
      <c r="H8330" s="2" t="s">
        <v>822</v>
      </c>
      <c r="J8330" s="31">
        <v>74.1360016</v>
      </c>
      <c r="K8330" s="31">
        <v>33.591999100000002</v>
      </c>
      <c r="L8330" s="31"/>
      <c r="M8330" s="31" t="s">
        <v>854</v>
      </c>
      <c r="N8330" s="6" t="s">
        <v>856</v>
      </c>
    </row>
    <row r="8331" spans="1:14" ht="15" customHeight="1" x14ac:dyDescent="0.2">
      <c r="A8331" s="31">
        <v>3.418427496100173E-3</v>
      </c>
      <c r="B8331" s="31"/>
      <c r="C8331" s="2" t="s">
        <v>855</v>
      </c>
      <c r="D8331" s="31">
        <f t="shared" si="229"/>
        <v>6.7001178923563397E-4</v>
      </c>
      <c r="F8331" s="2" t="s">
        <v>822</v>
      </c>
      <c r="G8331" s="23" t="s">
        <v>902</v>
      </c>
      <c r="H8331" s="2" t="s">
        <v>822</v>
      </c>
      <c r="J8331" s="31">
        <v>69.026702900000004</v>
      </c>
      <c r="K8331" s="31">
        <v>36.9640007</v>
      </c>
      <c r="L8331" s="31"/>
      <c r="M8331" s="31" t="s">
        <v>854</v>
      </c>
      <c r="N8331" s="6" t="s">
        <v>856</v>
      </c>
    </row>
    <row r="8332" spans="1:14" ht="15" customHeight="1" x14ac:dyDescent="0.2">
      <c r="A8332" s="31">
        <v>3.3854946624581289E-3</v>
      </c>
      <c r="B8332" s="31"/>
      <c r="C8332" s="2" t="s">
        <v>855</v>
      </c>
      <c r="D8332" s="31">
        <f t="shared" si="229"/>
        <v>6.6355695384179324E-4</v>
      </c>
      <c r="F8332" s="2" t="s">
        <v>822</v>
      </c>
      <c r="G8332" s="23" t="s">
        <v>902</v>
      </c>
      <c r="H8332" s="2" t="s">
        <v>822</v>
      </c>
      <c r="J8332" s="31">
        <v>72.132003800000007</v>
      </c>
      <c r="K8332" s="31">
        <v>42.276001000000001</v>
      </c>
      <c r="L8332" s="31"/>
      <c r="M8332" s="31" t="s">
        <v>854</v>
      </c>
      <c r="N8332" s="6" t="s">
        <v>856</v>
      </c>
    </row>
    <row r="8333" spans="1:14" ht="15" customHeight="1" x14ac:dyDescent="0.2">
      <c r="A8333" s="31">
        <v>3.3543041884232122E-3</v>
      </c>
      <c r="B8333" s="31"/>
      <c r="C8333" s="2" t="s">
        <v>855</v>
      </c>
      <c r="D8333" s="31">
        <f t="shared" si="229"/>
        <v>6.5744362093094963E-4</v>
      </c>
      <c r="F8333" s="2" t="s">
        <v>822</v>
      </c>
      <c r="G8333" s="23" t="s">
        <v>902</v>
      </c>
      <c r="H8333" s="2" t="s">
        <v>822</v>
      </c>
      <c r="J8333" s="31">
        <v>71.166000400000001</v>
      </c>
      <c r="K8333" s="31">
        <v>43.128501900000003</v>
      </c>
      <c r="L8333" s="31"/>
      <c r="M8333" s="31" t="s">
        <v>854</v>
      </c>
      <c r="N8333" s="6" t="s">
        <v>856</v>
      </c>
    </row>
    <row r="8334" spans="1:14" ht="15" customHeight="1" x14ac:dyDescent="0.2">
      <c r="A8334" s="31">
        <v>3.2651009919883308E-3</v>
      </c>
      <c r="B8334" s="31"/>
      <c r="C8334" s="2" t="s">
        <v>855</v>
      </c>
      <c r="D8334" s="31">
        <f t="shared" si="229"/>
        <v>6.3995979442971283E-4</v>
      </c>
      <c r="F8334" s="2" t="s">
        <v>822</v>
      </c>
      <c r="G8334" s="23" t="s">
        <v>902</v>
      </c>
      <c r="H8334" s="2" t="s">
        <v>822</v>
      </c>
      <c r="J8334" s="31">
        <v>73.468002299999995</v>
      </c>
      <c r="K8334" s="31">
        <v>34.259998299999999</v>
      </c>
      <c r="L8334" s="31"/>
      <c r="M8334" s="31" t="s">
        <v>854</v>
      </c>
      <c r="N8334" s="6" t="s">
        <v>856</v>
      </c>
    </row>
    <row r="8335" spans="1:14" ht="15" customHeight="1" x14ac:dyDescent="0.2">
      <c r="A8335" s="31">
        <v>3.2607400690742201E-3</v>
      </c>
      <c r="B8335" s="31"/>
      <c r="C8335" s="2" t="s">
        <v>855</v>
      </c>
      <c r="D8335" s="31">
        <f t="shared" si="229"/>
        <v>6.3910505353854713E-4</v>
      </c>
      <c r="F8335" s="2" t="s">
        <v>822</v>
      </c>
      <c r="G8335" s="23" t="s">
        <v>902</v>
      </c>
      <c r="H8335" s="2" t="s">
        <v>822</v>
      </c>
      <c r="J8335" s="31">
        <v>68.873596199999994</v>
      </c>
      <c r="K8335" s="31">
        <v>37.167099</v>
      </c>
      <c r="L8335" s="31"/>
      <c r="M8335" s="31" t="s">
        <v>854</v>
      </c>
      <c r="N8335" s="6" t="s">
        <v>856</v>
      </c>
    </row>
    <row r="8336" spans="1:14" ht="15" customHeight="1" x14ac:dyDescent="0.2">
      <c r="A8336" s="31">
        <v>3.1386389065149009E-3</v>
      </c>
      <c r="B8336" s="31"/>
      <c r="C8336" s="2" t="s">
        <v>855</v>
      </c>
      <c r="D8336" s="31">
        <f t="shared" si="229"/>
        <v>6.1517322567692062E-4</v>
      </c>
      <c r="F8336" s="2" t="s">
        <v>822</v>
      </c>
      <c r="G8336" s="23" t="s">
        <v>902</v>
      </c>
      <c r="H8336" s="2" t="s">
        <v>822</v>
      </c>
      <c r="J8336" s="31">
        <v>74.132499699999997</v>
      </c>
      <c r="K8336" s="31">
        <v>42.278400400000002</v>
      </c>
      <c r="L8336" s="31"/>
      <c r="M8336" s="31" t="s">
        <v>854</v>
      </c>
      <c r="N8336" s="6" t="s">
        <v>856</v>
      </c>
    </row>
    <row r="8337" spans="1:14" ht="15" customHeight="1" x14ac:dyDescent="0.2">
      <c r="A8337" s="2">
        <v>7</v>
      </c>
      <c r="C8337" s="2" t="s">
        <v>174</v>
      </c>
      <c r="D8337" s="2">
        <f>A8337* 0.0000864</f>
        <v>6.0479999999999996E-4</v>
      </c>
      <c r="F8337" s="2" t="s">
        <v>175</v>
      </c>
      <c r="G8337" s="2" t="s">
        <v>903</v>
      </c>
      <c r="H8337" s="2" t="s">
        <v>822</v>
      </c>
      <c r="I8337" s="2" t="s">
        <v>176</v>
      </c>
      <c r="J8337" s="2">
        <v>54.52</v>
      </c>
      <c r="K8337" s="2">
        <v>13.48</v>
      </c>
      <c r="L8337" s="2" t="s">
        <v>28</v>
      </c>
      <c r="M8337" s="2" t="s">
        <v>813</v>
      </c>
      <c r="N8337" s="6" t="s">
        <v>861</v>
      </c>
    </row>
    <row r="8338" spans="1:14" ht="15" customHeight="1" x14ac:dyDescent="0.2">
      <c r="A8338" s="31">
        <v>2.9783790470198591E-3</v>
      </c>
      <c r="B8338" s="31"/>
      <c r="C8338" s="2" t="s">
        <v>855</v>
      </c>
      <c r="D8338" s="31">
        <f t="shared" ref="D8338:D8349" si="230" xml:space="preserve"> A8338 * 0.196</f>
        <v>5.8376229321589236E-4</v>
      </c>
      <c r="F8338" s="2" t="s">
        <v>822</v>
      </c>
      <c r="G8338" s="23" t="s">
        <v>902</v>
      </c>
      <c r="H8338" s="2" t="s">
        <v>822</v>
      </c>
      <c r="J8338" s="31">
        <v>71.481102000000007</v>
      </c>
      <c r="K8338" s="31">
        <v>42.933399199999997</v>
      </c>
      <c r="L8338" s="31"/>
      <c r="M8338" s="31" t="s">
        <v>854</v>
      </c>
      <c r="N8338" s="6" t="s">
        <v>856</v>
      </c>
    </row>
    <row r="8339" spans="1:14" ht="15" customHeight="1" x14ac:dyDescent="0.2">
      <c r="A8339" s="31">
        <v>2.8769290302049192E-3</v>
      </c>
      <c r="B8339" s="31"/>
      <c r="C8339" s="2" t="s">
        <v>855</v>
      </c>
      <c r="D8339" s="31">
        <f t="shared" si="230"/>
        <v>5.6387808992016417E-4</v>
      </c>
      <c r="F8339" s="2" t="s">
        <v>822</v>
      </c>
      <c r="G8339" s="23" t="s">
        <v>902</v>
      </c>
      <c r="H8339" s="2" t="s">
        <v>822</v>
      </c>
      <c r="J8339" s="31">
        <v>74.1360016</v>
      </c>
      <c r="K8339" s="31">
        <v>47.619998899999999</v>
      </c>
      <c r="L8339" s="31"/>
      <c r="M8339" s="31" t="s">
        <v>854</v>
      </c>
      <c r="N8339" s="6" t="s">
        <v>856</v>
      </c>
    </row>
    <row r="8340" spans="1:14" ht="15" customHeight="1" x14ac:dyDescent="0.2">
      <c r="A8340" s="31">
        <v>2.7648945449965608E-3</v>
      </c>
      <c r="B8340" s="31"/>
      <c r="C8340" s="2" t="s">
        <v>855</v>
      </c>
      <c r="D8340" s="31">
        <f t="shared" si="230"/>
        <v>5.419193308193259E-4</v>
      </c>
      <c r="F8340" s="2" t="s">
        <v>822</v>
      </c>
      <c r="G8340" s="23" t="s">
        <v>902</v>
      </c>
      <c r="H8340" s="2" t="s">
        <v>822</v>
      </c>
      <c r="J8340" s="31">
        <v>74.1360016</v>
      </c>
      <c r="K8340" s="31">
        <v>49.624000500000001</v>
      </c>
      <c r="L8340" s="31"/>
      <c r="M8340" s="31" t="s">
        <v>854</v>
      </c>
      <c r="N8340" s="6" t="s">
        <v>856</v>
      </c>
    </row>
    <row r="8341" spans="1:14" ht="15" customHeight="1" x14ac:dyDescent="0.2">
      <c r="A8341" s="31">
        <v>2.70697347059744E-3</v>
      </c>
      <c r="B8341" s="31"/>
      <c r="C8341" s="2" t="s">
        <v>855</v>
      </c>
      <c r="D8341" s="31">
        <f t="shared" si="230"/>
        <v>5.3056680023709827E-4</v>
      </c>
      <c r="F8341" s="2" t="s">
        <v>822</v>
      </c>
      <c r="G8341" s="23" t="s">
        <v>902</v>
      </c>
      <c r="H8341" s="2" t="s">
        <v>822</v>
      </c>
      <c r="J8341" s="31">
        <v>74.1360016</v>
      </c>
      <c r="K8341" s="31">
        <v>43.611999500000003</v>
      </c>
      <c r="L8341" s="31"/>
      <c r="M8341" s="31" t="s">
        <v>854</v>
      </c>
      <c r="N8341" s="6" t="s">
        <v>856</v>
      </c>
    </row>
    <row r="8342" spans="1:14" ht="15" customHeight="1" x14ac:dyDescent="0.2">
      <c r="A8342" s="31">
        <v>2.6986859578198271E-3</v>
      </c>
      <c r="B8342" s="31"/>
      <c r="C8342" s="2" t="s">
        <v>855</v>
      </c>
      <c r="D8342" s="31">
        <f t="shared" si="230"/>
        <v>5.2894244773268612E-4</v>
      </c>
      <c r="F8342" s="2" t="s">
        <v>822</v>
      </c>
      <c r="G8342" s="23" t="s">
        <v>902</v>
      </c>
      <c r="H8342" s="2" t="s">
        <v>822</v>
      </c>
      <c r="J8342" s="31">
        <v>72.800003099999998</v>
      </c>
      <c r="K8342" s="31">
        <v>42.276001000000001</v>
      </c>
      <c r="L8342" s="31"/>
      <c r="M8342" s="31" t="s">
        <v>854</v>
      </c>
      <c r="N8342" s="6" t="s">
        <v>856</v>
      </c>
    </row>
    <row r="8343" spans="1:14" ht="15" customHeight="1" x14ac:dyDescent="0.2">
      <c r="A8343" s="31">
        <v>2.680113460802532E-3</v>
      </c>
      <c r="B8343" s="31"/>
      <c r="C8343" s="2" t="s">
        <v>855</v>
      </c>
      <c r="D8343" s="31">
        <f t="shared" si="230"/>
        <v>5.253022383172963E-4</v>
      </c>
      <c r="F8343" s="2" t="s">
        <v>822</v>
      </c>
      <c r="G8343" s="23" t="s">
        <v>902</v>
      </c>
      <c r="H8343" s="2" t="s">
        <v>822</v>
      </c>
      <c r="J8343" s="31">
        <v>70.638801599999994</v>
      </c>
      <c r="K8343" s="31">
        <v>50.881900799999997</v>
      </c>
      <c r="L8343" s="31"/>
      <c r="M8343" s="31" t="s">
        <v>854</v>
      </c>
      <c r="N8343" s="6" t="s">
        <v>856</v>
      </c>
    </row>
    <row r="8344" spans="1:14" ht="15" customHeight="1" x14ac:dyDescent="0.2">
      <c r="A8344" s="31">
        <v>2.6195429246514009E-3</v>
      </c>
      <c r="B8344" s="31"/>
      <c r="C8344" s="2" t="s">
        <v>855</v>
      </c>
      <c r="D8344" s="31">
        <f t="shared" si="230"/>
        <v>5.1343041323167462E-4</v>
      </c>
      <c r="F8344" s="2" t="s">
        <v>822</v>
      </c>
      <c r="G8344" s="23" t="s">
        <v>902</v>
      </c>
      <c r="H8344" s="2" t="s">
        <v>822</v>
      </c>
      <c r="J8344" s="31">
        <v>72.800003099999998</v>
      </c>
      <c r="K8344" s="31">
        <v>43.611999500000003</v>
      </c>
      <c r="L8344" s="31"/>
      <c r="M8344" s="31" t="s">
        <v>854</v>
      </c>
      <c r="N8344" s="6" t="s">
        <v>856</v>
      </c>
    </row>
    <row r="8345" spans="1:14" ht="15" customHeight="1" x14ac:dyDescent="0.2">
      <c r="A8345" s="31">
        <v>2.508200125006515E-3</v>
      </c>
      <c r="B8345" s="31"/>
      <c r="C8345" s="2" t="s">
        <v>855</v>
      </c>
      <c r="D8345" s="31">
        <f t="shared" si="230"/>
        <v>4.9160722450127697E-4</v>
      </c>
      <c r="F8345" s="2" t="s">
        <v>822</v>
      </c>
      <c r="G8345" s="23" t="s">
        <v>902</v>
      </c>
      <c r="H8345" s="2" t="s">
        <v>822</v>
      </c>
      <c r="J8345" s="31">
        <v>72.800003099999998</v>
      </c>
      <c r="K8345" s="31">
        <v>35.596000699999998</v>
      </c>
      <c r="L8345" s="31"/>
      <c r="M8345" s="31" t="s">
        <v>854</v>
      </c>
      <c r="N8345" s="6" t="s">
        <v>856</v>
      </c>
    </row>
    <row r="8346" spans="1:14" ht="15" customHeight="1" x14ac:dyDescent="0.2">
      <c r="A8346" s="31">
        <v>2.4690155486425769E-3</v>
      </c>
      <c r="B8346" s="31"/>
      <c r="C8346" s="2" t="s">
        <v>855</v>
      </c>
      <c r="D8346" s="31">
        <f t="shared" si="230"/>
        <v>4.8392704753394509E-4</v>
      </c>
      <c r="F8346" s="2" t="s">
        <v>822</v>
      </c>
      <c r="G8346" s="23" t="s">
        <v>902</v>
      </c>
      <c r="H8346" s="2" t="s">
        <v>822</v>
      </c>
      <c r="J8346" s="31">
        <v>74.539596599999996</v>
      </c>
      <c r="K8346" s="31">
        <v>24.9897995</v>
      </c>
      <c r="L8346" s="31"/>
      <c r="M8346" s="31" t="s">
        <v>854</v>
      </c>
      <c r="N8346" s="6" t="s">
        <v>856</v>
      </c>
    </row>
    <row r="8347" spans="1:14" ht="15" customHeight="1" x14ac:dyDescent="0.2">
      <c r="A8347" s="31">
        <v>2.435400687301872E-3</v>
      </c>
      <c r="B8347" s="31"/>
      <c r="C8347" s="2" t="s">
        <v>855</v>
      </c>
      <c r="D8347" s="31">
        <f t="shared" si="230"/>
        <v>4.7733853471116695E-4</v>
      </c>
      <c r="F8347" s="2" t="s">
        <v>822</v>
      </c>
      <c r="G8347" s="23" t="s">
        <v>902</v>
      </c>
      <c r="H8347" s="2" t="s">
        <v>822</v>
      </c>
      <c r="J8347" s="31">
        <v>74.804000900000005</v>
      </c>
      <c r="K8347" s="31">
        <v>33.591999100000002</v>
      </c>
      <c r="L8347" s="31"/>
      <c r="M8347" s="31" t="s">
        <v>854</v>
      </c>
      <c r="N8347" s="6" t="s">
        <v>856</v>
      </c>
    </row>
    <row r="8348" spans="1:14" ht="15" customHeight="1" x14ac:dyDescent="0.2">
      <c r="A8348" s="31">
        <v>2.2269877980366751E-3</v>
      </c>
      <c r="B8348" s="31"/>
      <c r="C8348" s="2" t="s">
        <v>855</v>
      </c>
      <c r="D8348" s="31">
        <f t="shared" si="230"/>
        <v>4.3648960841518832E-4</v>
      </c>
      <c r="F8348" s="2" t="s">
        <v>822</v>
      </c>
      <c r="G8348" s="23" t="s">
        <v>902</v>
      </c>
      <c r="H8348" s="2" t="s">
        <v>822</v>
      </c>
      <c r="J8348" s="31">
        <v>70.795997600000007</v>
      </c>
      <c r="K8348" s="31">
        <v>36.9319992</v>
      </c>
      <c r="L8348" s="31"/>
      <c r="M8348" s="31" t="s">
        <v>854</v>
      </c>
      <c r="N8348" s="6" t="s">
        <v>856</v>
      </c>
    </row>
    <row r="8349" spans="1:14" ht="15" customHeight="1" x14ac:dyDescent="0.2">
      <c r="A8349" s="31">
        <v>2.2015378588421891E-3</v>
      </c>
      <c r="B8349" s="31"/>
      <c r="C8349" s="2" t="s">
        <v>855</v>
      </c>
      <c r="D8349" s="31">
        <f t="shared" si="230"/>
        <v>4.3150142033306907E-4</v>
      </c>
      <c r="F8349" s="2" t="s">
        <v>822</v>
      </c>
      <c r="G8349" s="23" t="s">
        <v>902</v>
      </c>
      <c r="H8349" s="2" t="s">
        <v>822</v>
      </c>
      <c r="J8349" s="31">
        <v>72.132003800000007</v>
      </c>
      <c r="K8349" s="31">
        <v>36.263999900000002</v>
      </c>
      <c r="L8349" s="31"/>
      <c r="M8349" s="31" t="s">
        <v>854</v>
      </c>
      <c r="N8349" s="6" t="s">
        <v>856</v>
      </c>
    </row>
    <row r="8350" spans="1:14" ht="15" customHeight="1" x14ac:dyDescent="0.2">
      <c r="A8350" s="2">
        <v>4</v>
      </c>
      <c r="C8350" s="2" t="s">
        <v>174</v>
      </c>
      <c r="D8350" s="2">
        <f>A8350* 0.0000864</f>
        <v>3.456E-4</v>
      </c>
      <c r="F8350" s="2" t="s">
        <v>175</v>
      </c>
      <c r="G8350" s="2" t="s">
        <v>903</v>
      </c>
      <c r="H8350" s="2" t="s">
        <v>822</v>
      </c>
      <c r="I8350" s="2" t="s">
        <v>176</v>
      </c>
      <c r="J8350" s="2">
        <v>54.52</v>
      </c>
      <c r="K8350" s="2">
        <v>13.48</v>
      </c>
      <c r="L8350" s="2" t="s">
        <v>28</v>
      </c>
      <c r="M8350" s="2" t="s">
        <v>812</v>
      </c>
      <c r="N8350" s="6" t="s">
        <v>861</v>
      </c>
    </row>
    <row r="8351" spans="1:14" ht="15" customHeight="1" x14ac:dyDescent="0.2">
      <c r="A8351" s="31">
        <v>1.482113492297404E-3</v>
      </c>
      <c r="B8351" s="31"/>
      <c r="C8351" s="2" t="s">
        <v>855</v>
      </c>
      <c r="D8351" s="31">
        <f t="shared" ref="D8351:D8382" si="231" xml:space="preserve"> A8351 * 0.196</f>
        <v>2.9049424449029121E-4</v>
      </c>
      <c r="F8351" s="2" t="s">
        <v>822</v>
      </c>
      <c r="G8351" s="23" t="s">
        <v>902</v>
      </c>
      <c r="H8351" s="2" t="s">
        <v>822</v>
      </c>
      <c r="J8351" s="31">
        <v>73.468002299999995</v>
      </c>
      <c r="K8351" s="31">
        <v>34.928001399999999</v>
      </c>
      <c r="L8351" s="31"/>
      <c r="M8351" s="31" t="s">
        <v>854</v>
      </c>
      <c r="N8351" s="6" t="s">
        <v>856</v>
      </c>
    </row>
    <row r="8352" spans="1:14" ht="15" customHeight="1" x14ac:dyDescent="0.2">
      <c r="A8352" s="31">
        <v>-4.2522092197951668E-4</v>
      </c>
      <c r="B8352" s="31"/>
      <c r="C8352" s="2" t="s">
        <v>855</v>
      </c>
      <c r="D8352" s="31">
        <f t="shared" si="231"/>
        <v>-8.3343300707985278E-5</v>
      </c>
      <c r="F8352" s="2" t="s">
        <v>822</v>
      </c>
      <c r="G8352" s="23" t="s">
        <v>902</v>
      </c>
      <c r="H8352" s="2" t="s">
        <v>822</v>
      </c>
      <c r="J8352" s="31">
        <v>74.686599700000002</v>
      </c>
      <c r="K8352" s="31">
        <v>38.210800200000001</v>
      </c>
      <c r="L8352" s="31"/>
      <c r="M8352" s="31" t="s">
        <v>854</v>
      </c>
      <c r="N8352" s="6" t="s">
        <v>856</v>
      </c>
    </row>
    <row r="8353" spans="1:14" ht="15" customHeight="1" x14ac:dyDescent="0.2">
      <c r="A8353" s="31">
        <v>-5.9111582410132746E-4</v>
      </c>
      <c r="B8353" s="31"/>
      <c r="C8353" s="2" t="s">
        <v>855</v>
      </c>
      <c r="D8353" s="31">
        <f t="shared" si="231"/>
        <v>-1.1585870152386019E-4</v>
      </c>
      <c r="F8353" s="2" t="s">
        <v>822</v>
      </c>
      <c r="G8353" s="23" t="s">
        <v>902</v>
      </c>
      <c r="H8353" s="2" t="s">
        <v>822</v>
      </c>
      <c r="J8353" s="31">
        <v>69.459999100000005</v>
      </c>
      <c r="K8353" s="31">
        <v>36.9319992</v>
      </c>
      <c r="L8353" s="31"/>
      <c r="M8353" s="31" t="s">
        <v>854</v>
      </c>
      <c r="N8353" s="6" t="s">
        <v>856</v>
      </c>
    </row>
    <row r="8354" spans="1:14" ht="15" customHeight="1" x14ac:dyDescent="0.2">
      <c r="A8354" s="31">
        <v>-6.0831429562450848E-4</v>
      </c>
      <c r="B8354" s="31"/>
      <c r="C8354" s="2" t="s">
        <v>855</v>
      </c>
      <c r="D8354" s="31">
        <f t="shared" si="231"/>
        <v>-1.1922960194240367E-4</v>
      </c>
      <c r="F8354" s="2" t="s">
        <v>822</v>
      </c>
      <c r="G8354" s="23" t="s">
        <v>902</v>
      </c>
      <c r="H8354" s="2" t="s">
        <v>822</v>
      </c>
      <c r="J8354" s="31">
        <v>74.686599700000002</v>
      </c>
      <c r="K8354" s="31">
        <v>37.835800200000001</v>
      </c>
      <c r="L8354" s="31"/>
      <c r="M8354" s="31" t="s">
        <v>854</v>
      </c>
      <c r="N8354" s="6" t="s">
        <v>856</v>
      </c>
    </row>
    <row r="8355" spans="1:14" ht="15" customHeight="1" x14ac:dyDescent="0.2">
      <c r="A8355" s="31">
        <v>-6.9734475844149605E-4</v>
      </c>
      <c r="B8355" s="31"/>
      <c r="C8355" s="2" t="s">
        <v>855</v>
      </c>
      <c r="D8355" s="31">
        <f t="shared" si="231"/>
        <v>-1.3667957265453323E-4</v>
      </c>
      <c r="F8355" s="2" t="s">
        <v>822</v>
      </c>
      <c r="G8355" s="23" t="s">
        <v>902</v>
      </c>
      <c r="H8355" s="2" t="s">
        <v>822</v>
      </c>
      <c r="J8355" s="31">
        <v>75.330802899999995</v>
      </c>
      <c r="K8355" s="31">
        <v>33.577499400000001</v>
      </c>
      <c r="L8355" s="31"/>
      <c r="M8355" s="31" t="s">
        <v>854</v>
      </c>
      <c r="N8355" s="6" t="s">
        <v>856</v>
      </c>
    </row>
    <row r="8356" spans="1:14" ht="15" customHeight="1" x14ac:dyDescent="0.2">
      <c r="A8356" s="31">
        <v>-7.1662084354309112E-4</v>
      </c>
      <c r="B8356" s="31"/>
      <c r="C8356" s="2" t="s">
        <v>855</v>
      </c>
      <c r="D8356" s="31">
        <f t="shared" si="231"/>
        <v>-1.4045768533444588E-4</v>
      </c>
      <c r="F8356" s="2" t="s">
        <v>822</v>
      </c>
      <c r="G8356" s="23" t="s">
        <v>902</v>
      </c>
      <c r="H8356" s="2" t="s">
        <v>822</v>
      </c>
      <c r="J8356" s="31">
        <v>74.108200100000005</v>
      </c>
      <c r="K8356" s="31">
        <v>41.613098100000002</v>
      </c>
      <c r="L8356" s="31"/>
      <c r="M8356" s="31" t="s">
        <v>854</v>
      </c>
      <c r="N8356" s="6" t="s">
        <v>856</v>
      </c>
    </row>
    <row r="8357" spans="1:14" ht="15" customHeight="1" x14ac:dyDescent="0.2">
      <c r="A8357" s="31">
        <v>-7.2042380408503021E-4</v>
      </c>
      <c r="B8357" s="31"/>
      <c r="C8357" s="2" t="s">
        <v>855</v>
      </c>
      <c r="D8357" s="31">
        <f t="shared" si="231"/>
        <v>-1.4120306560066591E-4</v>
      </c>
      <c r="F8357" s="2" t="s">
        <v>822</v>
      </c>
      <c r="G8357" s="23" t="s">
        <v>902</v>
      </c>
      <c r="H8357" s="2" t="s">
        <v>822</v>
      </c>
      <c r="J8357" s="31">
        <v>74.1360016</v>
      </c>
      <c r="K8357" s="31">
        <v>42.944000199999998</v>
      </c>
      <c r="L8357" s="31"/>
      <c r="M8357" s="31" t="s">
        <v>854</v>
      </c>
      <c r="N8357" s="6" t="s">
        <v>856</v>
      </c>
    </row>
    <row r="8358" spans="1:14" ht="15" customHeight="1" x14ac:dyDescent="0.2">
      <c r="A8358" s="31">
        <v>-7.4183777575770327E-4</v>
      </c>
      <c r="B8358" s="31"/>
      <c r="C8358" s="2" t="s">
        <v>855</v>
      </c>
      <c r="D8358" s="31">
        <f t="shared" si="231"/>
        <v>-1.4540020404850984E-4</v>
      </c>
      <c r="F8358" s="2" t="s">
        <v>822</v>
      </c>
      <c r="G8358" s="23" t="s">
        <v>902</v>
      </c>
      <c r="H8358" s="2" t="s">
        <v>822</v>
      </c>
      <c r="J8358" s="31">
        <v>70.127998399999996</v>
      </c>
      <c r="K8358" s="31">
        <v>37.599998499999998</v>
      </c>
      <c r="L8358" s="31"/>
      <c r="M8358" s="31" t="s">
        <v>854</v>
      </c>
      <c r="N8358" s="6" t="s">
        <v>856</v>
      </c>
    </row>
    <row r="8359" spans="1:14" ht="15" customHeight="1" x14ac:dyDescent="0.2">
      <c r="A8359" s="31">
        <v>-7.4186069576921015E-4</v>
      </c>
      <c r="B8359" s="31"/>
      <c r="C8359" s="2" t="s">
        <v>855</v>
      </c>
      <c r="D8359" s="31">
        <f t="shared" si="231"/>
        <v>-1.4540469637076519E-4</v>
      </c>
      <c r="F8359" s="2" t="s">
        <v>822</v>
      </c>
      <c r="G8359" s="23" t="s">
        <v>902</v>
      </c>
      <c r="H8359" s="2" t="s">
        <v>822</v>
      </c>
      <c r="J8359" s="31">
        <v>74.1360016</v>
      </c>
      <c r="K8359" s="31">
        <v>48.287998199999997</v>
      </c>
      <c r="L8359" s="31"/>
      <c r="M8359" s="31" t="s">
        <v>854</v>
      </c>
      <c r="N8359" s="6" t="s">
        <v>856</v>
      </c>
    </row>
    <row r="8360" spans="1:14" ht="15" customHeight="1" x14ac:dyDescent="0.2">
      <c r="A8360" s="31">
        <v>-7.5200290899117843E-4</v>
      </c>
      <c r="B8360" s="31"/>
      <c r="C8360" s="2" t="s">
        <v>855</v>
      </c>
      <c r="D8360" s="31">
        <f t="shared" si="231"/>
        <v>-1.4739257016227098E-4</v>
      </c>
      <c r="F8360" s="2" t="s">
        <v>822</v>
      </c>
      <c r="G8360" s="23" t="s">
        <v>902</v>
      </c>
      <c r="H8360" s="2" t="s">
        <v>822</v>
      </c>
      <c r="J8360" s="31">
        <v>70.098602299999996</v>
      </c>
      <c r="K8360" s="31">
        <v>54.101799</v>
      </c>
      <c r="L8360" s="31"/>
      <c r="M8360" s="31" t="s">
        <v>854</v>
      </c>
      <c r="N8360" s="6" t="s">
        <v>856</v>
      </c>
    </row>
    <row r="8361" spans="1:14" ht="15" customHeight="1" x14ac:dyDescent="0.2">
      <c r="A8361" s="31">
        <v>-7.9540964038795508E-4</v>
      </c>
      <c r="B8361" s="31"/>
      <c r="C8361" s="2" t="s">
        <v>855</v>
      </c>
      <c r="D8361" s="31">
        <f t="shared" si="231"/>
        <v>-1.559002895160392E-4</v>
      </c>
      <c r="F8361" s="2" t="s">
        <v>822</v>
      </c>
      <c r="G8361" s="23" t="s">
        <v>902</v>
      </c>
      <c r="H8361" s="2" t="s">
        <v>822</v>
      </c>
      <c r="J8361" s="31">
        <v>72.800003099999998</v>
      </c>
      <c r="K8361" s="31">
        <v>41.608001700000003</v>
      </c>
      <c r="L8361" s="31"/>
      <c r="M8361" s="31" t="s">
        <v>854</v>
      </c>
      <c r="N8361" s="6" t="s">
        <v>856</v>
      </c>
    </row>
    <row r="8362" spans="1:14" ht="15" customHeight="1" x14ac:dyDescent="0.2">
      <c r="A8362" s="31">
        <v>-8.3349123412647928E-4</v>
      </c>
      <c r="B8362" s="31"/>
      <c r="C8362" s="2" t="s">
        <v>855</v>
      </c>
      <c r="D8362" s="31">
        <f t="shared" si="231"/>
        <v>-1.6336428188878994E-4</v>
      </c>
      <c r="F8362" s="2" t="s">
        <v>822</v>
      </c>
      <c r="G8362" s="23" t="s">
        <v>902</v>
      </c>
      <c r="H8362" s="2" t="s">
        <v>822</v>
      </c>
      <c r="J8362" s="31">
        <v>70.6116028</v>
      </c>
      <c r="K8362" s="31">
        <v>45.548801400000002</v>
      </c>
      <c r="L8362" s="31"/>
      <c r="M8362" s="31" t="s">
        <v>854</v>
      </c>
      <c r="N8362" s="6" t="s">
        <v>856</v>
      </c>
    </row>
    <row r="8363" spans="1:14" ht="15" customHeight="1" x14ac:dyDescent="0.2">
      <c r="A8363" s="31">
        <v>-8.3481174017342155E-4</v>
      </c>
      <c r="B8363" s="31"/>
      <c r="C8363" s="2" t="s">
        <v>855</v>
      </c>
      <c r="D8363" s="31">
        <f t="shared" si="231"/>
        <v>-1.6362310107399062E-4</v>
      </c>
      <c r="F8363" s="2" t="s">
        <v>822</v>
      </c>
      <c r="G8363" s="23" t="s">
        <v>902</v>
      </c>
      <c r="H8363" s="2" t="s">
        <v>822</v>
      </c>
      <c r="J8363" s="31">
        <v>70.127998399999996</v>
      </c>
      <c r="K8363" s="31">
        <v>45.616001099999998</v>
      </c>
      <c r="L8363" s="31"/>
      <c r="M8363" s="31" t="s">
        <v>854</v>
      </c>
      <c r="N8363" s="6" t="s">
        <v>856</v>
      </c>
    </row>
    <row r="8364" spans="1:14" ht="15" customHeight="1" x14ac:dyDescent="0.2">
      <c r="A8364" s="31">
        <v>-8.4284713653306586E-4</v>
      </c>
      <c r="B8364" s="31"/>
      <c r="C8364" s="2" t="s">
        <v>855</v>
      </c>
      <c r="D8364" s="31">
        <f t="shared" si="231"/>
        <v>-1.6519803876048091E-4</v>
      </c>
      <c r="F8364" s="2" t="s">
        <v>822</v>
      </c>
      <c r="G8364" s="23" t="s">
        <v>902</v>
      </c>
      <c r="H8364" s="2" t="s">
        <v>822</v>
      </c>
      <c r="J8364" s="31">
        <v>74.7046967</v>
      </c>
      <c r="K8364" s="31">
        <v>37.495899199999997</v>
      </c>
      <c r="L8364" s="31"/>
      <c r="M8364" s="31" t="s">
        <v>854</v>
      </c>
      <c r="N8364" s="6" t="s">
        <v>856</v>
      </c>
    </row>
    <row r="8365" spans="1:14" ht="15" customHeight="1" x14ac:dyDescent="0.2">
      <c r="A8365" s="31">
        <v>-8.9763481880289963E-4</v>
      </c>
      <c r="B8365" s="31"/>
      <c r="C8365" s="2" t="s">
        <v>855</v>
      </c>
      <c r="D8365" s="31">
        <f t="shared" si="231"/>
        <v>-1.7593642448536834E-4</v>
      </c>
      <c r="F8365" s="2" t="s">
        <v>822</v>
      </c>
      <c r="G8365" s="23" t="s">
        <v>902</v>
      </c>
      <c r="H8365" s="2" t="s">
        <v>822</v>
      </c>
      <c r="J8365" s="31">
        <v>74.482597400000003</v>
      </c>
      <c r="K8365" s="31">
        <v>24.467500699999999</v>
      </c>
      <c r="L8365" s="31"/>
      <c r="M8365" s="31" t="s">
        <v>854</v>
      </c>
      <c r="N8365" s="6" t="s">
        <v>856</v>
      </c>
    </row>
    <row r="8366" spans="1:14" ht="15" customHeight="1" x14ac:dyDescent="0.2">
      <c r="A8366" s="31">
        <v>-9.0313023605021901E-4</v>
      </c>
      <c r="B8366" s="31"/>
      <c r="C8366" s="2" t="s">
        <v>855</v>
      </c>
      <c r="D8366" s="31">
        <f t="shared" si="231"/>
        <v>-1.7701352626584292E-4</v>
      </c>
      <c r="F8366" s="2" t="s">
        <v>822</v>
      </c>
      <c r="G8366" s="23" t="s">
        <v>902</v>
      </c>
      <c r="H8366" s="2" t="s">
        <v>822</v>
      </c>
      <c r="J8366" s="31">
        <v>72.132003800000007</v>
      </c>
      <c r="K8366" s="31">
        <v>43.611999500000003</v>
      </c>
      <c r="L8366" s="31"/>
      <c r="M8366" s="31" t="s">
        <v>854</v>
      </c>
      <c r="N8366" s="6" t="s">
        <v>856</v>
      </c>
    </row>
    <row r="8367" spans="1:14" ht="15" customHeight="1" x14ac:dyDescent="0.2">
      <c r="A8367" s="31">
        <v>-9.0354632725014893E-4</v>
      </c>
      <c r="B8367" s="31"/>
      <c r="C8367" s="2" t="s">
        <v>855</v>
      </c>
      <c r="D8367" s="31">
        <f t="shared" si="231"/>
        <v>-1.770950801410292E-4</v>
      </c>
      <c r="F8367" s="2" t="s">
        <v>822</v>
      </c>
      <c r="G8367" s="23" t="s">
        <v>902</v>
      </c>
      <c r="H8367" s="2" t="s">
        <v>822</v>
      </c>
      <c r="J8367" s="31">
        <v>73.468002299999995</v>
      </c>
      <c r="K8367" s="31">
        <v>40.939998600000003</v>
      </c>
      <c r="L8367" s="31"/>
      <c r="M8367" s="31" t="s">
        <v>854</v>
      </c>
      <c r="N8367" s="6" t="s">
        <v>856</v>
      </c>
    </row>
    <row r="8368" spans="1:14" ht="15" customHeight="1" x14ac:dyDescent="0.2">
      <c r="A8368" s="31">
        <v>-9.4195249838876702E-4</v>
      </c>
      <c r="B8368" s="31"/>
      <c r="C8368" s="2" t="s">
        <v>855</v>
      </c>
      <c r="D8368" s="31">
        <f t="shared" si="231"/>
        <v>-1.8462268968419835E-4</v>
      </c>
      <c r="F8368" s="2" t="s">
        <v>822</v>
      </c>
      <c r="G8368" s="23" t="s">
        <v>902</v>
      </c>
      <c r="H8368" s="2" t="s">
        <v>822</v>
      </c>
      <c r="J8368" s="31">
        <v>72.421997099999999</v>
      </c>
      <c r="K8368" s="31">
        <v>50.677101100000002</v>
      </c>
      <c r="L8368" s="31"/>
      <c r="M8368" s="31" t="s">
        <v>854</v>
      </c>
      <c r="N8368" s="6" t="s">
        <v>856</v>
      </c>
    </row>
    <row r="8369" spans="1:14" ht="15" customHeight="1" x14ac:dyDescent="0.2">
      <c r="A8369" s="31">
        <v>-9.4231793556032867E-4</v>
      </c>
      <c r="B8369" s="31"/>
      <c r="C8369" s="2" t="s">
        <v>855</v>
      </c>
      <c r="D8369" s="31">
        <f t="shared" si="231"/>
        <v>-1.8469431536982442E-4</v>
      </c>
      <c r="F8369" s="2" t="s">
        <v>822</v>
      </c>
      <c r="G8369" s="23" t="s">
        <v>902</v>
      </c>
      <c r="H8369" s="2" t="s">
        <v>822</v>
      </c>
      <c r="J8369" s="31">
        <v>70.062103300000004</v>
      </c>
      <c r="K8369" s="31">
        <v>54.425998700000001</v>
      </c>
      <c r="L8369" s="31"/>
      <c r="M8369" s="31" t="s">
        <v>854</v>
      </c>
      <c r="N8369" s="6" t="s">
        <v>856</v>
      </c>
    </row>
    <row r="8370" spans="1:14" ht="15" customHeight="1" x14ac:dyDescent="0.2">
      <c r="A8370" s="31">
        <v>-9.7579858410876933E-4</v>
      </c>
      <c r="B8370" s="31"/>
      <c r="C8370" s="2" t="s">
        <v>855</v>
      </c>
      <c r="D8370" s="31">
        <f t="shared" si="231"/>
        <v>-1.9125652248531879E-4</v>
      </c>
      <c r="F8370" s="2" t="s">
        <v>822</v>
      </c>
      <c r="G8370" s="23" t="s">
        <v>902</v>
      </c>
      <c r="H8370" s="2" t="s">
        <v>822</v>
      </c>
      <c r="J8370" s="31">
        <v>74.804000900000005</v>
      </c>
      <c r="K8370" s="31">
        <v>49.624000500000001</v>
      </c>
      <c r="L8370" s="31"/>
      <c r="M8370" s="31" t="s">
        <v>854</v>
      </c>
      <c r="N8370" s="6" t="s">
        <v>856</v>
      </c>
    </row>
    <row r="8371" spans="1:14" ht="15" customHeight="1" x14ac:dyDescent="0.2">
      <c r="A8371" s="31">
        <v>-9.8004787532038166E-4</v>
      </c>
      <c r="B8371" s="31"/>
      <c r="C8371" s="2" t="s">
        <v>855</v>
      </c>
      <c r="D8371" s="31">
        <f t="shared" si="231"/>
        <v>-1.920893835627948E-4</v>
      </c>
      <c r="F8371" s="2" t="s">
        <v>822</v>
      </c>
      <c r="G8371" s="23" t="s">
        <v>902</v>
      </c>
      <c r="H8371" s="2" t="s">
        <v>822</v>
      </c>
      <c r="J8371" s="31">
        <v>73.468002299999995</v>
      </c>
      <c r="K8371" s="31">
        <v>41.608001700000003</v>
      </c>
      <c r="L8371" s="31"/>
      <c r="M8371" s="31" t="s">
        <v>854</v>
      </c>
      <c r="N8371" s="6" t="s">
        <v>856</v>
      </c>
    </row>
    <row r="8372" spans="1:14" ht="15" customHeight="1" x14ac:dyDescent="0.2">
      <c r="A8372" s="31">
        <v>-1.0138733567464891E-3</v>
      </c>
      <c r="B8372" s="31"/>
      <c r="C8372" s="2" t="s">
        <v>855</v>
      </c>
      <c r="D8372" s="31">
        <f t="shared" si="231"/>
        <v>-1.9871917792231187E-4</v>
      </c>
      <c r="F8372" s="2" t="s">
        <v>822</v>
      </c>
      <c r="G8372" s="23" t="s">
        <v>902</v>
      </c>
      <c r="H8372" s="2" t="s">
        <v>822</v>
      </c>
      <c r="J8372" s="31">
        <v>73.468002299999995</v>
      </c>
      <c r="K8372" s="31">
        <v>50.959999099999997</v>
      </c>
      <c r="L8372" s="31"/>
      <c r="M8372" s="31" t="s">
        <v>854</v>
      </c>
      <c r="N8372" s="6" t="s">
        <v>856</v>
      </c>
    </row>
    <row r="8373" spans="1:14" ht="15" customHeight="1" x14ac:dyDescent="0.2">
      <c r="A8373" s="31">
        <v>-1.16469755760596E-3</v>
      </c>
      <c r="B8373" s="31"/>
      <c r="C8373" s="2" t="s">
        <v>855</v>
      </c>
      <c r="D8373" s="31">
        <f t="shared" si="231"/>
        <v>-2.2828072129076816E-4</v>
      </c>
      <c r="F8373" s="2" t="s">
        <v>822</v>
      </c>
      <c r="G8373" s="23" t="s">
        <v>902</v>
      </c>
      <c r="H8373" s="2" t="s">
        <v>822</v>
      </c>
      <c r="J8373" s="31">
        <v>72.132003800000007</v>
      </c>
      <c r="K8373" s="31">
        <v>41.608001700000003</v>
      </c>
      <c r="L8373" s="31"/>
      <c r="M8373" s="31" t="s">
        <v>854</v>
      </c>
      <c r="N8373" s="6" t="s">
        <v>856</v>
      </c>
    </row>
    <row r="8374" spans="1:14" ht="15" customHeight="1" x14ac:dyDescent="0.2">
      <c r="A8374" s="31">
        <v>-1.2661887013208451E-3</v>
      </c>
      <c r="B8374" s="31"/>
      <c r="C8374" s="2" t="s">
        <v>855</v>
      </c>
      <c r="D8374" s="31">
        <f t="shared" si="231"/>
        <v>-2.4817298545888562E-4</v>
      </c>
      <c r="F8374" s="2" t="s">
        <v>822</v>
      </c>
      <c r="G8374" s="23" t="s">
        <v>902</v>
      </c>
      <c r="H8374" s="2" t="s">
        <v>822</v>
      </c>
      <c r="J8374" s="31">
        <v>74.080398599999995</v>
      </c>
      <c r="K8374" s="31">
        <v>40.945598599999997</v>
      </c>
      <c r="L8374" s="31"/>
      <c r="M8374" s="31" t="s">
        <v>854</v>
      </c>
      <c r="N8374" s="6" t="s">
        <v>856</v>
      </c>
    </row>
    <row r="8375" spans="1:14" ht="15" customHeight="1" x14ac:dyDescent="0.2">
      <c r="A8375" s="31">
        <v>-1.297171761520886E-3</v>
      </c>
      <c r="B8375" s="31"/>
      <c r="C8375" s="2" t="s">
        <v>855</v>
      </c>
      <c r="D8375" s="31">
        <f t="shared" si="231"/>
        <v>-2.5424566525809368E-4</v>
      </c>
      <c r="F8375" s="2" t="s">
        <v>822</v>
      </c>
      <c r="G8375" s="23" t="s">
        <v>902</v>
      </c>
      <c r="H8375" s="2" t="s">
        <v>822</v>
      </c>
      <c r="J8375" s="31">
        <v>72.132003800000007</v>
      </c>
      <c r="K8375" s="31">
        <v>42.944000199999998</v>
      </c>
      <c r="L8375" s="31"/>
      <c r="M8375" s="31" t="s">
        <v>854</v>
      </c>
      <c r="N8375" s="6" t="s">
        <v>856</v>
      </c>
    </row>
    <row r="8376" spans="1:14" ht="15" customHeight="1" x14ac:dyDescent="0.2">
      <c r="A8376" s="31">
        <v>-1.3223881891462369E-3</v>
      </c>
      <c r="B8376" s="31"/>
      <c r="C8376" s="2" t="s">
        <v>855</v>
      </c>
      <c r="D8376" s="31">
        <f t="shared" si="231"/>
        <v>-2.5918808507266244E-4</v>
      </c>
      <c r="F8376" s="2" t="s">
        <v>822</v>
      </c>
      <c r="G8376" s="23" t="s">
        <v>902</v>
      </c>
      <c r="H8376" s="2" t="s">
        <v>822</v>
      </c>
      <c r="J8376" s="31">
        <v>70.127998399999996</v>
      </c>
      <c r="K8376" s="31">
        <v>44.948001900000001</v>
      </c>
      <c r="L8376" s="31"/>
      <c r="M8376" s="31" t="s">
        <v>854</v>
      </c>
      <c r="N8376" s="6" t="s">
        <v>856</v>
      </c>
    </row>
    <row r="8377" spans="1:14" ht="15" customHeight="1" x14ac:dyDescent="0.2">
      <c r="A8377" s="31">
        <v>-1.3817024152021191E-3</v>
      </c>
      <c r="B8377" s="31"/>
      <c r="C8377" s="2" t="s">
        <v>855</v>
      </c>
      <c r="D8377" s="31">
        <f t="shared" si="231"/>
        <v>-2.7081367337961537E-4</v>
      </c>
      <c r="F8377" s="2" t="s">
        <v>822</v>
      </c>
      <c r="G8377" s="23" t="s">
        <v>902</v>
      </c>
      <c r="H8377" s="2" t="s">
        <v>822</v>
      </c>
      <c r="J8377" s="31">
        <v>75.196998600000001</v>
      </c>
      <c r="K8377" s="31">
        <v>50.323898300000003</v>
      </c>
      <c r="L8377" s="31"/>
      <c r="M8377" s="31" t="s">
        <v>854</v>
      </c>
      <c r="N8377" s="6" t="s">
        <v>856</v>
      </c>
    </row>
    <row r="8378" spans="1:14" ht="15" customHeight="1" x14ac:dyDescent="0.2">
      <c r="A8378" s="31">
        <v>-1.557452623701452E-3</v>
      </c>
      <c r="B8378" s="31"/>
      <c r="C8378" s="2" t="s">
        <v>855</v>
      </c>
      <c r="D8378" s="31">
        <f t="shared" si="231"/>
        <v>-3.052607142454846E-4</v>
      </c>
      <c r="F8378" s="2" t="s">
        <v>822</v>
      </c>
      <c r="G8378" s="23" t="s">
        <v>902</v>
      </c>
      <c r="H8378" s="2" t="s">
        <v>822</v>
      </c>
      <c r="J8378" s="31">
        <v>72.800003099999998</v>
      </c>
      <c r="K8378" s="31">
        <v>36.263999900000002</v>
      </c>
      <c r="L8378" s="31"/>
      <c r="M8378" s="31" t="s">
        <v>854</v>
      </c>
      <c r="N8378" s="6" t="s">
        <v>856</v>
      </c>
    </row>
    <row r="8379" spans="1:14" ht="15" customHeight="1" x14ac:dyDescent="0.2">
      <c r="A8379" s="31">
        <v>-1.64354580492632E-3</v>
      </c>
      <c r="B8379" s="31"/>
      <c r="C8379" s="2" t="s">
        <v>855</v>
      </c>
      <c r="D8379" s="31">
        <f t="shared" si="231"/>
        <v>-3.2213497776555875E-4</v>
      </c>
      <c r="F8379" s="2" t="s">
        <v>822</v>
      </c>
      <c r="G8379" s="23" t="s">
        <v>902</v>
      </c>
      <c r="H8379" s="2" t="s">
        <v>822</v>
      </c>
      <c r="J8379" s="31">
        <v>70.908798200000007</v>
      </c>
      <c r="K8379" s="31">
        <v>45.657100700000001</v>
      </c>
      <c r="L8379" s="31"/>
      <c r="M8379" s="31" t="s">
        <v>854</v>
      </c>
      <c r="N8379" s="6" t="s">
        <v>856</v>
      </c>
    </row>
    <row r="8380" spans="1:14" ht="15" customHeight="1" x14ac:dyDescent="0.2">
      <c r="A8380" s="31">
        <v>-1.6723516592412929E-3</v>
      </c>
      <c r="B8380" s="31"/>
      <c r="C8380" s="2" t="s">
        <v>855</v>
      </c>
      <c r="D8380" s="31">
        <f t="shared" si="231"/>
        <v>-3.2778092521129344E-4</v>
      </c>
      <c r="F8380" s="2" t="s">
        <v>822</v>
      </c>
      <c r="G8380" s="23" t="s">
        <v>902</v>
      </c>
      <c r="H8380" s="2" t="s">
        <v>822</v>
      </c>
      <c r="J8380" s="31">
        <v>69.219398499999997</v>
      </c>
      <c r="K8380" s="31">
        <v>37.897499099999997</v>
      </c>
      <c r="L8380" s="31"/>
      <c r="M8380" s="31" t="s">
        <v>854</v>
      </c>
      <c r="N8380" s="6" t="s">
        <v>856</v>
      </c>
    </row>
    <row r="8381" spans="1:14" ht="15" customHeight="1" x14ac:dyDescent="0.2">
      <c r="A8381" s="31">
        <v>-1.6782307373381241E-3</v>
      </c>
      <c r="B8381" s="31"/>
      <c r="C8381" s="2" t="s">
        <v>855</v>
      </c>
      <c r="D8381" s="31">
        <f t="shared" si="231"/>
        <v>-3.2893322451827236E-4</v>
      </c>
      <c r="F8381" s="2" t="s">
        <v>822</v>
      </c>
      <c r="G8381" s="23" t="s">
        <v>902</v>
      </c>
      <c r="H8381" s="2" t="s">
        <v>822</v>
      </c>
      <c r="J8381" s="31">
        <v>69.723602299999996</v>
      </c>
      <c r="K8381" s="31">
        <v>53.017799400000001</v>
      </c>
      <c r="L8381" s="31"/>
      <c r="M8381" s="31" t="s">
        <v>854</v>
      </c>
      <c r="N8381" s="6" t="s">
        <v>856</v>
      </c>
    </row>
    <row r="8382" spans="1:14" ht="15" customHeight="1" x14ac:dyDescent="0.2">
      <c r="A8382" s="31">
        <v>-1.794075746575861E-3</v>
      </c>
      <c r="B8382" s="31"/>
      <c r="C8382" s="2" t="s">
        <v>855</v>
      </c>
      <c r="D8382" s="31">
        <f t="shared" si="231"/>
        <v>-3.5163884632886879E-4</v>
      </c>
      <c r="F8382" s="2" t="s">
        <v>822</v>
      </c>
      <c r="G8382" s="23" t="s">
        <v>902</v>
      </c>
      <c r="H8382" s="2" t="s">
        <v>822</v>
      </c>
      <c r="J8382" s="31">
        <v>69.468597399999993</v>
      </c>
      <c r="K8382" s="31">
        <v>37.589401199999998</v>
      </c>
      <c r="L8382" s="31"/>
      <c r="M8382" s="31" t="s">
        <v>854</v>
      </c>
      <c r="N8382" s="6" t="s">
        <v>856</v>
      </c>
    </row>
    <row r="8383" spans="1:14" ht="15" customHeight="1" x14ac:dyDescent="0.2">
      <c r="A8383" s="31">
        <v>-1.840552481963399E-3</v>
      </c>
      <c r="B8383" s="31"/>
      <c r="C8383" s="2" t="s">
        <v>855</v>
      </c>
      <c r="D8383" s="31">
        <f t="shared" ref="D8383:D8414" si="232" xml:space="preserve"> A8383 * 0.196</f>
        <v>-3.6074828646482623E-4</v>
      </c>
      <c r="F8383" s="2" t="s">
        <v>822</v>
      </c>
      <c r="G8383" s="23" t="s">
        <v>902</v>
      </c>
      <c r="H8383" s="2" t="s">
        <v>822</v>
      </c>
      <c r="J8383" s="31">
        <v>70.155097999999995</v>
      </c>
      <c r="K8383" s="31">
        <v>51.612400100000002</v>
      </c>
      <c r="L8383" s="31"/>
      <c r="M8383" s="31" t="s">
        <v>854</v>
      </c>
      <c r="N8383" s="6" t="s">
        <v>856</v>
      </c>
    </row>
    <row r="8384" spans="1:14" ht="15" customHeight="1" x14ac:dyDescent="0.2">
      <c r="A8384" s="31">
        <v>-1.9363468548640309E-3</v>
      </c>
      <c r="B8384" s="31"/>
      <c r="C8384" s="2" t="s">
        <v>855</v>
      </c>
      <c r="D8384" s="31">
        <f t="shared" si="232"/>
        <v>-3.7952398355335008E-4</v>
      </c>
      <c r="F8384" s="2" t="s">
        <v>822</v>
      </c>
      <c r="G8384" s="23" t="s">
        <v>902</v>
      </c>
      <c r="H8384" s="2" t="s">
        <v>822</v>
      </c>
      <c r="J8384" s="31">
        <v>64.265296899999996</v>
      </c>
      <c r="K8384" s="31">
        <v>36.121601099999999</v>
      </c>
      <c r="L8384" s="31"/>
      <c r="M8384" s="31" t="s">
        <v>854</v>
      </c>
      <c r="N8384" s="6" t="s">
        <v>856</v>
      </c>
    </row>
    <row r="8385" spans="1:14" ht="15" customHeight="1" x14ac:dyDescent="0.2">
      <c r="A8385" s="31">
        <v>-2.2235955472501229E-3</v>
      </c>
      <c r="B8385" s="31"/>
      <c r="C8385" s="2" t="s">
        <v>855</v>
      </c>
      <c r="D8385" s="31">
        <f t="shared" si="232"/>
        <v>-4.358247272610241E-4</v>
      </c>
      <c r="F8385" s="2" t="s">
        <v>822</v>
      </c>
      <c r="G8385" s="23" t="s">
        <v>902</v>
      </c>
      <c r="H8385" s="2" t="s">
        <v>822</v>
      </c>
      <c r="J8385" s="31">
        <v>69.723602299999996</v>
      </c>
      <c r="K8385" s="31">
        <v>52.683799700000002</v>
      </c>
      <c r="L8385" s="31"/>
      <c r="M8385" s="31" t="s">
        <v>854</v>
      </c>
      <c r="N8385" s="6" t="s">
        <v>856</v>
      </c>
    </row>
    <row r="8386" spans="1:14" ht="15" customHeight="1" x14ac:dyDescent="0.2">
      <c r="A8386" s="31">
        <v>-2.626181695830245E-3</v>
      </c>
      <c r="B8386" s="31"/>
      <c r="C8386" s="2" t="s">
        <v>855</v>
      </c>
      <c r="D8386" s="31">
        <f t="shared" si="232"/>
        <v>-5.1473161238272801E-4</v>
      </c>
      <c r="F8386" s="2" t="s">
        <v>822</v>
      </c>
      <c r="G8386" s="23" t="s">
        <v>902</v>
      </c>
      <c r="H8386" s="2" t="s">
        <v>822</v>
      </c>
      <c r="J8386" s="31">
        <v>74.730400099999997</v>
      </c>
      <c r="K8386" s="31">
        <v>47.626998899999997</v>
      </c>
      <c r="L8386" s="31"/>
      <c r="M8386" s="31" t="s">
        <v>854</v>
      </c>
      <c r="N8386" s="6" t="s">
        <v>856</v>
      </c>
    </row>
    <row r="8387" spans="1:14" ht="15" customHeight="1" x14ac:dyDescent="0.2">
      <c r="A8387" s="31">
        <v>-2.814904100874197E-3</v>
      </c>
      <c r="B8387" s="31"/>
      <c r="C8387" s="2" t="s">
        <v>855</v>
      </c>
      <c r="D8387" s="31">
        <f t="shared" si="232"/>
        <v>-5.517212037713426E-4</v>
      </c>
      <c r="F8387" s="2" t="s">
        <v>822</v>
      </c>
      <c r="G8387" s="23" t="s">
        <v>902</v>
      </c>
      <c r="H8387" s="2" t="s">
        <v>822</v>
      </c>
      <c r="J8387" s="31">
        <v>73.468002299999995</v>
      </c>
      <c r="K8387" s="31">
        <v>38.268001599999998</v>
      </c>
      <c r="L8387" s="31"/>
      <c r="M8387" s="31" t="s">
        <v>854</v>
      </c>
      <c r="N8387" s="6" t="s">
        <v>856</v>
      </c>
    </row>
    <row r="8388" spans="1:14" ht="15" customHeight="1" x14ac:dyDescent="0.2">
      <c r="A8388" s="31">
        <v>-2.929731682128278E-3</v>
      </c>
      <c r="B8388" s="31"/>
      <c r="C8388" s="2" t="s">
        <v>855</v>
      </c>
      <c r="D8388" s="31">
        <f t="shared" si="232"/>
        <v>-5.7422740969714249E-4</v>
      </c>
      <c r="F8388" s="2" t="s">
        <v>822</v>
      </c>
      <c r="G8388" s="23" t="s">
        <v>902</v>
      </c>
      <c r="H8388" s="2" t="s">
        <v>822</v>
      </c>
      <c r="J8388" s="31">
        <v>68.827796899999996</v>
      </c>
      <c r="K8388" s="31">
        <v>37.5082016</v>
      </c>
      <c r="L8388" s="31"/>
      <c r="M8388" s="31" t="s">
        <v>854</v>
      </c>
      <c r="N8388" s="6" t="s">
        <v>856</v>
      </c>
    </row>
    <row r="8389" spans="1:14" ht="15" customHeight="1" x14ac:dyDescent="0.2">
      <c r="A8389" s="31">
        <v>-2.947914148661942E-3</v>
      </c>
      <c r="B8389" s="31"/>
      <c r="C8389" s="2" t="s">
        <v>855</v>
      </c>
      <c r="D8389" s="31">
        <f t="shared" si="232"/>
        <v>-5.7779117313774061E-4</v>
      </c>
      <c r="F8389" s="2" t="s">
        <v>822</v>
      </c>
      <c r="G8389" s="23" t="s">
        <v>902</v>
      </c>
      <c r="H8389" s="2" t="s">
        <v>822</v>
      </c>
      <c r="J8389" s="31">
        <v>65.1360016</v>
      </c>
      <c r="K8389" s="31">
        <v>37.381500199999998</v>
      </c>
      <c r="L8389" s="31"/>
      <c r="M8389" s="31" t="s">
        <v>854</v>
      </c>
      <c r="N8389" s="6" t="s">
        <v>856</v>
      </c>
    </row>
    <row r="8390" spans="1:14" ht="15" customHeight="1" x14ac:dyDescent="0.2">
      <c r="A8390" s="31">
        <v>-3.1666464345989861E-3</v>
      </c>
      <c r="B8390" s="31"/>
      <c r="C8390" s="2" t="s">
        <v>855</v>
      </c>
      <c r="D8390" s="31">
        <f t="shared" si="232"/>
        <v>-6.2066270118140126E-4</v>
      </c>
      <c r="F8390" s="2" t="s">
        <v>822</v>
      </c>
      <c r="G8390" s="23" t="s">
        <v>902</v>
      </c>
      <c r="H8390" s="2" t="s">
        <v>822</v>
      </c>
      <c r="J8390" s="31">
        <v>64.198700000000002</v>
      </c>
      <c r="K8390" s="31">
        <v>36.424098999999998</v>
      </c>
      <c r="L8390" s="31"/>
      <c r="M8390" s="31" t="s">
        <v>854</v>
      </c>
      <c r="N8390" s="6" t="s">
        <v>856</v>
      </c>
    </row>
    <row r="8391" spans="1:14" ht="15" customHeight="1" x14ac:dyDescent="0.2">
      <c r="A8391" s="31">
        <v>-3.491766571554247E-3</v>
      </c>
      <c r="B8391" s="31"/>
      <c r="C8391" s="2" t="s">
        <v>855</v>
      </c>
      <c r="D8391" s="31">
        <f t="shared" si="232"/>
        <v>-6.8438624802463245E-4</v>
      </c>
      <c r="F8391" s="2" t="s">
        <v>822</v>
      </c>
      <c r="G8391" s="23" t="s">
        <v>902</v>
      </c>
      <c r="H8391" s="2" t="s">
        <v>822</v>
      </c>
      <c r="J8391" s="31">
        <v>73.059196499999999</v>
      </c>
      <c r="K8391" s="31">
        <v>51.380901299999998</v>
      </c>
      <c r="L8391" s="31"/>
      <c r="M8391" s="31" t="s">
        <v>854</v>
      </c>
      <c r="N8391" s="6" t="s">
        <v>856</v>
      </c>
    </row>
    <row r="8392" spans="1:14" ht="15" customHeight="1" x14ac:dyDescent="0.2">
      <c r="A8392" s="31">
        <v>-3.9117655247115756E-3</v>
      </c>
      <c r="B8392" s="31"/>
      <c r="C8392" s="2" t="s">
        <v>855</v>
      </c>
      <c r="D8392" s="31">
        <f t="shared" si="232"/>
        <v>-7.6670604284346882E-4</v>
      </c>
      <c r="F8392" s="2" t="s">
        <v>822</v>
      </c>
      <c r="G8392" s="23" t="s">
        <v>902</v>
      </c>
      <c r="H8392" s="2" t="s">
        <v>822</v>
      </c>
      <c r="J8392" s="31">
        <v>70.098602299999996</v>
      </c>
      <c r="K8392" s="31">
        <v>53.017799400000001</v>
      </c>
      <c r="L8392" s="31"/>
      <c r="M8392" s="31" t="s">
        <v>854</v>
      </c>
      <c r="N8392" s="6" t="s">
        <v>856</v>
      </c>
    </row>
    <row r="8393" spans="1:14" ht="15" customHeight="1" x14ac:dyDescent="0.2">
      <c r="A8393" s="31">
        <v>-3.9450566225852071E-3</v>
      </c>
      <c r="B8393" s="31"/>
      <c r="C8393" s="2" t="s">
        <v>855</v>
      </c>
      <c r="D8393" s="31">
        <f t="shared" si="232"/>
        <v>-7.7323109802670056E-4</v>
      </c>
      <c r="F8393" s="2" t="s">
        <v>822</v>
      </c>
      <c r="G8393" s="23" t="s">
        <v>902</v>
      </c>
      <c r="H8393" s="2" t="s">
        <v>822</v>
      </c>
      <c r="J8393" s="31">
        <v>72.132003800000007</v>
      </c>
      <c r="K8393" s="31">
        <v>40.939998600000003</v>
      </c>
      <c r="L8393" s="31"/>
      <c r="M8393" s="31" t="s">
        <v>854</v>
      </c>
      <c r="N8393" s="6" t="s">
        <v>856</v>
      </c>
    </row>
    <row r="8394" spans="1:14" ht="15" customHeight="1" x14ac:dyDescent="0.2">
      <c r="A8394" s="31">
        <v>-4.1125698935735068E-3</v>
      </c>
      <c r="B8394" s="31"/>
      <c r="C8394" s="2" t="s">
        <v>855</v>
      </c>
      <c r="D8394" s="31">
        <f t="shared" si="232"/>
        <v>-8.0606369914040733E-4</v>
      </c>
      <c r="F8394" s="2" t="s">
        <v>822</v>
      </c>
      <c r="G8394" s="23" t="s">
        <v>902</v>
      </c>
      <c r="H8394" s="2" t="s">
        <v>822</v>
      </c>
      <c r="J8394" s="31">
        <v>70.742698700000005</v>
      </c>
      <c r="K8394" s="31">
        <v>41.252201100000001</v>
      </c>
      <c r="L8394" s="31"/>
      <c r="M8394" s="31" t="s">
        <v>854</v>
      </c>
      <c r="N8394" s="6" t="s">
        <v>856</v>
      </c>
    </row>
    <row r="8395" spans="1:14" ht="15" customHeight="1" x14ac:dyDescent="0.2">
      <c r="A8395" s="31">
        <v>-4.6845606833443116E-3</v>
      </c>
      <c r="B8395" s="31"/>
      <c r="C8395" s="2" t="s">
        <v>855</v>
      </c>
      <c r="D8395" s="31">
        <f t="shared" si="232"/>
        <v>-9.1817389393548509E-4</v>
      </c>
      <c r="F8395" s="2" t="s">
        <v>822</v>
      </c>
      <c r="G8395" s="23" t="s">
        <v>902</v>
      </c>
      <c r="H8395" s="2" t="s">
        <v>822</v>
      </c>
      <c r="J8395" s="31">
        <v>74.1360016</v>
      </c>
      <c r="K8395" s="31">
        <v>35.596000699999998</v>
      </c>
      <c r="L8395" s="31"/>
      <c r="M8395" s="31" t="s">
        <v>854</v>
      </c>
      <c r="N8395" s="6" t="s">
        <v>856</v>
      </c>
    </row>
    <row r="8396" spans="1:14" ht="15" customHeight="1" x14ac:dyDescent="0.2">
      <c r="A8396" s="31">
        <v>-4.8105477754351979E-3</v>
      </c>
      <c r="B8396" s="31"/>
      <c r="C8396" s="2" t="s">
        <v>855</v>
      </c>
      <c r="D8396" s="31">
        <f t="shared" si="232"/>
        <v>-9.4286736398529883E-4</v>
      </c>
      <c r="F8396" s="2" t="s">
        <v>822</v>
      </c>
      <c r="G8396" s="23" t="s">
        <v>902</v>
      </c>
      <c r="H8396" s="2" t="s">
        <v>822</v>
      </c>
      <c r="J8396" s="31">
        <v>74.804000900000005</v>
      </c>
      <c r="K8396" s="31">
        <v>50.291999799999999</v>
      </c>
      <c r="L8396" s="31"/>
      <c r="M8396" s="31" t="s">
        <v>854</v>
      </c>
      <c r="N8396" s="6" t="s">
        <v>856</v>
      </c>
    </row>
    <row r="8397" spans="1:14" ht="15" customHeight="1" x14ac:dyDescent="0.2">
      <c r="A8397" s="31">
        <v>-4.8558362419062612E-3</v>
      </c>
      <c r="B8397" s="31"/>
      <c r="C8397" s="2" t="s">
        <v>855</v>
      </c>
      <c r="D8397" s="31">
        <f t="shared" si="232"/>
        <v>-9.5174390341362723E-4</v>
      </c>
      <c r="F8397" s="2" t="s">
        <v>822</v>
      </c>
      <c r="G8397" s="23" t="s">
        <v>902</v>
      </c>
      <c r="H8397" s="2" t="s">
        <v>822</v>
      </c>
      <c r="J8397" s="31">
        <v>72.800003099999998</v>
      </c>
      <c r="K8397" s="31">
        <v>40.939998600000003</v>
      </c>
      <c r="L8397" s="31"/>
      <c r="M8397" s="31" t="s">
        <v>854</v>
      </c>
      <c r="N8397" s="6" t="s">
        <v>856</v>
      </c>
    </row>
    <row r="8398" spans="1:14" ht="15" customHeight="1" x14ac:dyDescent="0.2">
      <c r="A8398" s="31">
        <v>-4.8630333959403024E-3</v>
      </c>
      <c r="B8398" s="31"/>
      <c r="C8398" s="2" t="s">
        <v>855</v>
      </c>
      <c r="D8398" s="31">
        <f t="shared" si="232"/>
        <v>-9.5315454560429926E-4</v>
      </c>
      <c r="F8398" s="2" t="s">
        <v>822</v>
      </c>
      <c r="G8398" s="23" t="s">
        <v>902</v>
      </c>
      <c r="H8398" s="2" t="s">
        <v>822</v>
      </c>
      <c r="J8398" s="31">
        <v>75.143402100000003</v>
      </c>
      <c r="K8398" s="31">
        <v>49.234901399999998</v>
      </c>
      <c r="L8398" s="31"/>
      <c r="M8398" s="31" t="s">
        <v>854</v>
      </c>
      <c r="N8398" s="6" t="s">
        <v>856</v>
      </c>
    </row>
    <row r="8399" spans="1:14" ht="15" customHeight="1" x14ac:dyDescent="0.2">
      <c r="A8399" s="31">
        <v>-4.8655116419589906E-3</v>
      </c>
      <c r="B8399" s="31"/>
      <c r="C8399" s="2" t="s">
        <v>855</v>
      </c>
      <c r="D8399" s="31">
        <f t="shared" si="232"/>
        <v>-9.5364028182396224E-4</v>
      </c>
      <c r="F8399" s="2" t="s">
        <v>822</v>
      </c>
      <c r="G8399" s="23" t="s">
        <v>902</v>
      </c>
      <c r="H8399" s="2" t="s">
        <v>822</v>
      </c>
      <c r="J8399" s="31">
        <v>73.899902299999994</v>
      </c>
      <c r="K8399" s="31">
        <v>20.2546997</v>
      </c>
      <c r="L8399" s="31"/>
      <c r="M8399" s="31" t="s">
        <v>854</v>
      </c>
      <c r="N8399" s="6" t="s">
        <v>856</v>
      </c>
    </row>
    <row r="8400" spans="1:14" ht="15" customHeight="1" x14ac:dyDescent="0.2">
      <c r="A8400" s="31">
        <v>-4.888481231231377E-3</v>
      </c>
      <c r="B8400" s="31"/>
      <c r="C8400" s="2" t="s">
        <v>855</v>
      </c>
      <c r="D8400" s="31">
        <f t="shared" si="232"/>
        <v>-9.5814232132134989E-4</v>
      </c>
      <c r="F8400" s="2" t="s">
        <v>822</v>
      </c>
      <c r="G8400" s="23" t="s">
        <v>902</v>
      </c>
      <c r="H8400" s="2" t="s">
        <v>822</v>
      </c>
      <c r="J8400" s="31">
        <v>74.1360016</v>
      </c>
      <c r="K8400" s="31">
        <v>50.959999099999997</v>
      </c>
      <c r="L8400" s="31"/>
      <c r="M8400" s="31" t="s">
        <v>854</v>
      </c>
      <c r="N8400" s="6" t="s">
        <v>856</v>
      </c>
    </row>
    <row r="8401" spans="1:14" ht="15" customHeight="1" x14ac:dyDescent="0.2">
      <c r="A8401" s="31">
        <v>-4.9139346220383592E-3</v>
      </c>
      <c r="B8401" s="31"/>
      <c r="C8401" s="2" t="s">
        <v>855</v>
      </c>
      <c r="D8401" s="31">
        <f t="shared" si="232"/>
        <v>-9.6313118591951849E-4</v>
      </c>
      <c r="F8401" s="2" t="s">
        <v>822</v>
      </c>
      <c r="G8401" s="23" t="s">
        <v>902</v>
      </c>
      <c r="H8401" s="2" t="s">
        <v>822</v>
      </c>
      <c r="J8401" s="31">
        <v>75.166198699999995</v>
      </c>
      <c r="K8401" s="31">
        <v>49.6985016</v>
      </c>
      <c r="L8401" s="31"/>
      <c r="M8401" s="31" t="s">
        <v>854</v>
      </c>
      <c r="N8401" s="6" t="s">
        <v>856</v>
      </c>
    </row>
    <row r="8402" spans="1:14" ht="15" customHeight="1" x14ac:dyDescent="0.2">
      <c r="A8402" s="31">
        <v>-5.0097276182035008E-3</v>
      </c>
      <c r="B8402" s="31"/>
      <c r="C8402" s="2" t="s">
        <v>855</v>
      </c>
      <c r="D8402" s="31">
        <f t="shared" si="232"/>
        <v>-9.8190661316788609E-4</v>
      </c>
      <c r="F8402" s="2" t="s">
        <v>822</v>
      </c>
      <c r="G8402" s="23" t="s">
        <v>902</v>
      </c>
      <c r="H8402" s="2" t="s">
        <v>822</v>
      </c>
      <c r="J8402" s="31">
        <v>73.468002299999995</v>
      </c>
      <c r="K8402" s="31">
        <v>42.944000199999998</v>
      </c>
      <c r="L8402" s="31"/>
      <c r="M8402" s="31" t="s">
        <v>854</v>
      </c>
      <c r="N8402" s="6" t="s">
        <v>856</v>
      </c>
    </row>
    <row r="8403" spans="1:14" ht="15" customHeight="1" x14ac:dyDescent="0.2">
      <c r="A8403" s="31">
        <v>-5.211517157163047E-3</v>
      </c>
      <c r="B8403" s="31"/>
      <c r="C8403" s="2" t="s">
        <v>855</v>
      </c>
      <c r="D8403" s="31">
        <f t="shared" si="232"/>
        <v>-1.0214573628039572E-3</v>
      </c>
      <c r="F8403" s="2" t="s">
        <v>822</v>
      </c>
      <c r="G8403" s="23" t="s">
        <v>902</v>
      </c>
      <c r="H8403" s="2" t="s">
        <v>822</v>
      </c>
      <c r="J8403" s="31">
        <v>73.861396799999994</v>
      </c>
      <c r="K8403" s="31">
        <v>19.602399800000001</v>
      </c>
      <c r="L8403" s="31"/>
      <c r="M8403" s="31" t="s">
        <v>854</v>
      </c>
      <c r="N8403" s="6" t="s">
        <v>856</v>
      </c>
    </row>
    <row r="8404" spans="1:14" ht="15" customHeight="1" x14ac:dyDescent="0.2">
      <c r="A8404" s="31">
        <v>-5.328938914308903E-3</v>
      </c>
      <c r="B8404" s="31"/>
      <c r="C8404" s="2" t="s">
        <v>855</v>
      </c>
      <c r="D8404" s="31">
        <f t="shared" si="232"/>
        <v>-1.0444720272045451E-3</v>
      </c>
      <c r="F8404" s="2" t="s">
        <v>822</v>
      </c>
      <c r="G8404" s="23" t="s">
        <v>902</v>
      </c>
      <c r="H8404" s="2" t="s">
        <v>822</v>
      </c>
      <c r="J8404" s="31">
        <v>69.379600499999995</v>
      </c>
      <c r="K8404" s="31">
        <v>38.129501300000001</v>
      </c>
      <c r="L8404" s="31"/>
      <c r="M8404" s="31" t="s">
        <v>854</v>
      </c>
      <c r="N8404" s="6" t="s">
        <v>856</v>
      </c>
    </row>
    <row r="8405" spans="1:14" ht="15" customHeight="1" x14ac:dyDescent="0.2">
      <c r="A8405" s="31">
        <v>-5.463034789072012E-3</v>
      </c>
      <c r="B8405" s="31"/>
      <c r="C8405" s="2" t="s">
        <v>855</v>
      </c>
      <c r="D8405" s="31">
        <f t="shared" si="232"/>
        <v>-1.0707548186581143E-3</v>
      </c>
      <c r="F8405" s="2" t="s">
        <v>822</v>
      </c>
      <c r="G8405" s="23" t="s">
        <v>902</v>
      </c>
      <c r="H8405" s="2" t="s">
        <v>822</v>
      </c>
      <c r="J8405" s="31">
        <v>74.794899000000001</v>
      </c>
      <c r="K8405" s="31">
        <v>48.960800200000001</v>
      </c>
      <c r="L8405" s="31"/>
      <c r="M8405" s="31" t="s">
        <v>854</v>
      </c>
      <c r="N8405" s="6" t="s">
        <v>856</v>
      </c>
    </row>
    <row r="8406" spans="1:14" ht="15" customHeight="1" x14ac:dyDescent="0.2">
      <c r="A8406" s="31">
        <v>-5.987171138999727E-3</v>
      </c>
      <c r="B8406" s="31"/>
      <c r="C8406" s="2" t="s">
        <v>855</v>
      </c>
      <c r="D8406" s="31">
        <f t="shared" si="232"/>
        <v>-1.1734855432439465E-3</v>
      </c>
      <c r="F8406" s="2" t="s">
        <v>822</v>
      </c>
      <c r="G8406" s="23" t="s">
        <v>902</v>
      </c>
      <c r="H8406" s="2" t="s">
        <v>822</v>
      </c>
      <c r="J8406" s="31">
        <v>73.468002299999995</v>
      </c>
      <c r="K8406" s="31">
        <v>36.263999900000002</v>
      </c>
      <c r="L8406" s="31"/>
      <c r="M8406" s="31" t="s">
        <v>854</v>
      </c>
      <c r="N8406" s="6" t="s">
        <v>856</v>
      </c>
    </row>
    <row r="8407" spans="1:14" ht="15" customHeight="1" x14ac:dyDescent="0.2">
      <c r="A8407" s="31">
        <v>-6.1514763295126259E-3</v>
      </c>
      <c r="B8407" s="31"/>
      <c r="C8407" s="2" t="s">
        <v>855</v>
      </c>
      <c r="D8407" s="31">
        <f t="shared" si="232"/>
        <v>-1.2056893605844746E-3</v>
      </c>
      <c r="F8407" s="2" t="s">
        <v>822</v>
      </c>
      <c r="G8407" s="23" t="s">
        <v>902</v>
      </c>
      <c r="H8407" s="2" t="s">
        <v>822</v>
      </c>
      <c r="J8407" s="31">
        <v>71.463996899999998</v>
      </c>
      <c r="K8407" s="31">
        <v>36.9319992</v>
      </c>
      <c r="L8407" s="31"/>
      <c r="M8407" s="31" t="s">
        <v>854</v>
      </c>
      <c r="N8407" s="6" t="s">
        <v>856</v>
      </c>
    </row>
    <row r="8408" spans="1:14" ht="15" customHeight="1" x14ac:dyDescent="0.2">
      <c r="A8408" s="31">
        <v>-6.3624214049434113E-3</v>
      </c>
      <c r="B8408" s="31"/>
      <c r="C8408" s="2" t="s">
        <v>855</v>
      </c>
      <c r="D8408" s="31">
        <f t="shared" si="232"/>
        <v>-1.2470345953689086E-3</v>
      </c>
      <c r="F8408" s="2" t="s">
        <v>822</v>
      </c>
      <c r="G8408" s="23" t="s">
        <v>902</v>
      </c>
      <c r="H8408" s="2" t="s">
        <v>822</v>
      </c>
      <c r="J8408" s="31">
        <v>72.8639984</v>
      </c>
      <c r="K8408" s="31">
        <v>50.904201499999999</v>
      </c>
      <c r="L8408" s="31"/>
      <c r="M8408" s="31" t="s">
        <v>854</v>
      </c>
      <c r="N8408" s="6" t="s">
        <v>856</v>
      </c>
    </row>
    <row r="8409" spans="1:14" ht="15" customHeight="1" x14ac:dyDescent="0.2">
      <c r="A8409" s="31">
        <v>-6.5023438843423388E-3</v>
      </c>
      <c r="B8409" s="31"/>
      <c r="C8409" s="2" t="s">
        <v>855</v>
      </c>
      <c r="D8409" s="31">
        <f t="shared" si="232"/>
        <v>-1.2744594013310985E-3</v>
      </c>
      <c r="F8409" s="2" t="s">
        <v>822</v>
      </c>
      <c r="G8409" s="23" t="s">
        <v>902</v>
      </c>
      <c r="H8409" s="2" t="s">
        <v>822</v>
      </c>
      <c r="J8409" s="31">
        <v>70.796096800000001</v>
      </c>
      <c r="K8409" s="31">
        <v>40.939498899999997</v>
      </c>
      <c r="L8409" s="31"/>
      <c r="M8409" s="31" t="s">
        <v>854</v>
      </c>
      <c r="N8409" s="6" t="s">
        <v>856</v>
      </c>
    </row>
    <row r="8410" spans="1:14" ht="15" customHeight="1" x14ac:dyDescent="0.2">
      <c r="A8410" s="31">
        <v>-6.5859548643968204E-3</v>
      </c>
      <c r="B8410" s="31"/>
      <c r="C8410" s="2" t="s">
        <v>855</v>
      </c>
      <c r="D8410" s="31">
        <f t="shared" si="232"/>
        <v>-1.2908471534217769E-3</v>
      </c>
      <c r="F8410" s="2" t="s">
        <v>822</v>
      </c>
      <c r="G8410" s="23" t="s">
        <v>902</v>
      </c>
      <c r="H8410" s="2" t="s">
        <v>822</v>
      </c>
      <c r="J8410" s="31">
        <v>74.1360016</v>
      </c>
      <c r="K8410" s="31">
        <v>36.263999900000002</v>
      </c>
      <c r="L8410" s="31"/>
      <c r="M8410" s="31" t="s">
        <v>854</v>
      </c>
      <c r="N8410" s="6" t="s">
        <v>856</v>
      </c>
    </row>
    <row r="8411" spans="1:14" ht="15" customHeight="1" x14ac:dyDescent="0.2">
      <c r="A8411" s="31">
        <v>-6.6269601761066339E-3</v>
      </c>
      <c r="B8411" s="31"/>
      <c r="C8411" s="2" t="s">
        <v>855</v>
      </c>
      <c r="D8411" s="31">
        <f t="shared" si="232"/>
        <v>-1.2988841945169003E-3</v>
      </c>
      <c r="F8411" s="2" t="s">
        <v>822</v>
      </c>
      <c r="G8411" s="23" t="s">
        <v>902</v>
      </c>
      <c r="H8411" s="2" t="s">
        <v>822</v>
      </c>
      <c r="J8411" s="31">
        <v>75.390502900000001</v>
      </c>
      <c r="K8411" s="31">
        <v>28.935499199999999</v>
      </c>
      <c r="L8411" s="31"/>
      <c r="M8411" s="31" t="s">
        <v>854</v>
      </c>
      <c r="N8411" s="6" t="s">
        <v>856</v>
      </c>
    </row>
    <row r="8412" spans="1:14" ht="15" customHeight="1" x14ac:dyDescent="0.2">
      <c r="A8412" s="31">
        <v>-6.6306932903394339E-3</v>
      </c>
      <c r="B8412" s="31"/>
      <c r="C8412" s="2" t="s">
        <v>855</v>
      </c>
      <c r="D8412" s="31">
        <f t="shared" si="232"/>
        <v>-1.2996158849065292E-3</v>
      </c>
      <c r="F8412" s="2" t="s">
        <v>822</v>
      </c>
      <c r="G8412" s="23" t="s">
        <v>902</v>
      </c>
      <c r="H8412" s="2" t="s">
        <v>822</v>
      </c>
      <c r="J8412" s="31">
        <v>74.1360016</v>
      </c>
      <c r="K8412" s="31">
        <v>50.291999799999999</v>
      </c>
      <c r="L8412" s="31"/>
      <c r="M8412" s="31" t="s">
        <v>854</v>
      </c>
      <c r="N8412" s="6" t="s">
        <v>856</v>
      </c>
    </row>
    <row r="8413" spans="1:14" ht="15" customHeight="1" x14ac:dyDescent="0.2">
      <c r="A8413" s="31">
        <v>-6.9020856141861191E-3</v>
      </c>
      <c r="B8413" s="31"/>
      <c r="C8413" s="2" t="s">
        <v>855</v>
      </c>
      <c r="D8413" s="31">
        <f t="shared" si="232"/>
        <v>-1.3528087803804795E-3</v>
      </c>
      <c r="F8413" s="2" t="s">
        <v>822</v>
      </c>
      <c r="G8413" s="23" t="s">
        <v>902</v>
      </c>
      <c r="H8413" s="2" t="s">
        <v>822</v>
      </c>
      <c r="J8413" s="31">
        <v>70.795997600000007</v>
      </c>
      <c r="K8413" s="31">
        <v>37.599998499999998</v>
      </c>
      <c r="L8413" s="31"/>
      <c r="M8413" s="31" t="s">
        <v>854</v>
      </c>
      <c r="N8413" s="6" t="s">
        <v>856</v>
      </c>
    </row>
    <row r="8414" spans="1:14" ht="15" customHeight="1" x14ac:dyDescent="0.2">
      <c r="A8414" s="31">
        <v>-6.9421691177169609E-3</v>
      </c>
      <c r="B8414" s="31"/>
      <c r="C8414" s="2" t="s">
        <v>855</v>
      </c>
      <c r="D8414" s="31">
        <f t="shared" si="232"/>
        <v>-1.3606651470725243E-3</v>
      </c>
      <c r="F8414" s="2" t="s">
        <v>822</v>
      </c>
      <c r="G8414" s="23" t="s">
        <v>902</v>
      </c>
      <c r="H8414" s="2" t="s">
        <v>822</v>
      </c>
      <c r="J8414" s="31">
        <v>73.468002299999995</v>
      </c>
      <c r="K8414" s="31">
        <v>36.9319992</v>
      </c>
      <c r="L8414" s="31"/>
      <c r="M8414" s="31" t="s">
        <v>854</v>
      </c>
      <c r="N8414" s="6" t="s">
        <v>856</v>
      </c>
    </row>
    <row r="8415" spans="1:14" ht="15" customHeight="1" x14ac:dyDescent="0.2">
      <c r="A8415" s="31">
        <v>-6.9666344137909219E-3</v>
      </c>
      <c r="B8415" s="31"/>
      <c r="C8415" s="2" t="s">
        <v>855</v>
      </c>
      <c r="D8415" s="31">
        <f t="shared" ref="D8415:D8446" si="233" xml:space="preserve"> A8415 * 0.196</f>
        <v>-1.3654603451030208E-3</v>
      </c>
      <c r="F8415" s="2" t="s">
        <v>822</v>
      </c>
      <c r="G8415" s="23" t="s">
        <v>902</v>
      </c>
      <c r="H8415" s="2" t="s">
        <v>822</v>
      </c>
      <c r="J8415" s="31">
        <v>73.938903800000006</v>
      </c>
      <c r="K8415" s="31">
        <v>20.916099500000001</v>
      </c>
      <c r="L8415" s="31"/>
      <c r="M8415" s="31" t="s">
        <v>854</v>
      </c>
      <c r="N8415" s="6" t="s">
        <v>856</v>
      </c>
    </row>
    <row r="8416" spans="1:14" ht="15" customHeight="1" x14ac:dyDescent="0.2">
      <c r="A8416" s="31">
        <v>-7.3798220674940853E-3</v>
      </c>
      <c r="B8416" s="31"/>
      <c r="C8416" s="2" t="s">
        <v>855</v>
      </c>
      <c r="D8416" s="31">
        <f t="shared" si="233"/>
        <v>-1.4464451252288407E-3</v>
      </c>
      <c r="F8416" s="2" t="s">
        <v>822</v>
      </c>
      <c r="G8416" s="23" t="s">
        <v>902</v>
      </c>
      <c r="H8416" s="2" t="s">
        <v>822</v>
      </c>
      <c r="J8416" s="31">
        <v>69.522598299999999</v>
      </c>
      <c r="K8416" s="31">
        <v>38.375801099999997</v>
      </c>
      <c r="L8416" s="31"/>
      <c r="M8416" s="31" t="s">
        <v>854</v>
      </c>
      <c r="N8416" s="6" t="s">
        <v>856</v>
      </c>
    </row>
    <row r="8417" spans="1:14" ht="15" customHeight="1" x14ac:dyDescent="0.2">
      <c r="A8417" s="31">
        <v>-7.7273677925547108E-3</v>
      </c>
      <c r="B8417" s="31"/>
      <c r="C8417" s="2" t="s">
        <v>855</v>
      </c>
      <c r="D8417" s="31">
        <f t="shared" si="233"/>
        <v>-1.5145640873407233E-3</v>
      </c>
      <c r="F8417" s="2" t="s">
        <v>822</v>
      </c>
      <c r="G8417" s="23" t="s">
        <v>902</v>
      </c>
      <c r="H8417" s="2" t="s">
        <v>822</v>
      </c>
      <c r="J8417" s="31">
        <v>70.098602299999996</v>
      </c>
      <c r="K8417" s="31">
        <v>52.683799700000002</v>
      </c>
      <c r="L8417" s="31"/>
      <c r="M8417" s="31" t="s">
        <v>854</v>
      </c>
      <c r="N8417" s="6" t="s">
        <v>856</v>
      </c>
    </row>
    <row r="8418" spans="1:14" ht="15" customHeight="1" x14ac:dyDescent="0.2">
      <c r="A8418" s="31">
        <v>-7.9936814768216038E-3</v>
      </c>
      <c r="B8418" s="31"/>
      <c r="C8418" s="2" t="s">
        <v>855</v>
      </c>
      <c r="D8418" s="31">
        <f t="shared" si="233"/>
        <v>-1.5667615694570343E-3</v>
      </c>
      <c r="F8418" s="2" t="s">
        <v>822</v>
      </c>
      <c r="G8418" s="23" t="s">
        <v>902</v>
      </c>
      <c r="H8418" s="2" t="s">
        <v>822</v>
      </c>
      <c r="J8418" s="31">
        <v>70.129302999999993</v>
      </c>
      <c r="K8418" s="31">
        <v>38.268699599999998</v>
      </c>
      <c r="L8418" s="31"/>
      <c r="M8418" s="31" t="s">
        <v>854</v>
      </c>
      <c r="N8418" s="6" t="s">
        <v>856</v>
      </c>
    </row>
    <row r="8419" spans="1:14" ht="15" customHeight="1" x14ac:dyDescent="0.2">
      <c r="A8419" s="31">
        <v>-8.1596456053616376E-3</v>
      </c>
      <c r="B8419" s="31"/>
      <c r="C8419" s="2" t="s">
        <v>855</v>
      </c>
      <c r="D8419" s="31">
        <f t="shared" si="233"/>
        <v>-1.599290538650881E-3</v>
      </c>
      <c r="F8419" s="2" t="s">
        <v>822</v>
      </c>
      <c r="G8419" s="23" t="s">
        <v>902</v>
      </c>
      <c r="H8419" s="2" t="s">
        <v>822</v>
      </c>
      <c r="J8419" s="31">
        <v>74.1360016</v>
      </c>
      <c r="K8419" s="31">
        <v>36.9319992</v>
      </c>
      <c r="L8419" s="31"/>
      <c r="M8419" s="31" t="s">
        <v>854</v>
      </c>
      <c r="N8419" s="6" t="s">
        <v>856</v>
      </c>
    </row>
    <row r="8420" spans="1:14" ht="15" customHeight="1" x14ac:dyDescent="0.2">
      <c r="A8420" s="31">
        <v>-8.2308758140139833E-3</v>
      </c>
      <c r="B8420" s="31"/>
      <c r="C8420" s="2" t="s">
        <v>855</v>
      </c>
      <c r="D8420" s="31">
        <f t="shared" si="233"/>
        <v>-1.6132516595467408E-3</v>
      </c>
      <c r="F8420" s="2" t="s">
        <v>822</v>
      </c>
      <c r="G8420" s="23" t="s">
        <v>902</v>
      </c>
      <c r="H8420" s="2" t="s">
        <v>822</v>
      </c>
      <c r="J8420" s="31">
        <v>75.229202299999997</v>
      </c>
      <c r="K8420" s="31">
        <v>50.980300900000003</v>
      </c>
      <c r="L8420" s="31"/>
      <c r="M8420" s="31" t="s">
        <v>854</v>
      </c>
      <c r="N8420" s="6" t="s">
        <v>856</v>
      </c>
    </row>
    <row r="8421" spans="1:14" ht="15" customHeight="1" x14ac:dyDescent="0.2">
      <c r="A8421" s="31">
        <v>-8.3036439395558076E-3</v>
      </c>
      <c r="B8421" s="31"/>
      <c r="C8421" s="2" t="s">
        <v>855</v>
      </c>
      <c r="D8421" s="31">
        <f t="shared" si="233"/>
        <v>-1.6275142121529383E-3</v>
      </c>
      <c r="F8421" s="2" t="s">
        <v>822</v>
      </c>
      <c r="G8421" s="23" t="s">
        <v>902</v>
      </c>
      <c r="H8421" s="2" t="s">
        <v>822</v>
      </c>
      <c r="J8421" s="31">
        <v>74.017402599999997</v>
      </c>
      <c r="K8421" s="31">
        <v>22.246200600000002</v>
      </c>
      <c r="L8421" s="31"/>
      <c r="M8421" s="31" t="s">
        <v>854</v>
      </c>
      <c r="N8421" s="6" t="s">
        <v>856</v>
      </c>
    </row>
    <row r="8422" spans="1:14" ht="15" customHeight="1" x14ac:dyDescent="0.2">
      <c r="A8422" s="31">
        <v>-8.4932892768238132E-3</v>
      </c>
      <c r="B8422" s="31"/>
      <c r="C8422" s="2" t="s">
        <v>855</v>
      </c>
      <c r="D8422" s="31">
        <f t="shared" si="233"/>
        <v>-1.6646846982574675E-3</v>
      </c>
      <c r="F8422" s="2" t="s">
        <v>822</v>
      </c>
      <c r="G8422" s="23" t="s">
        <v>902</v>
      </c>
      <c r="H8422" s="2" t="s">
        <v>822</v>
      </c>
      <c r="J8422" s="31">
        <v>74.052497900000006</v>
      </c>
      <c r="K8422" s="31">
        <v>40.278198199999999</v>
      </c>
      <c r="L8422" s="31"/>
      <c r="M8422" s="31" t="s">
        <v>854</v>
      </c>
      <c r="N8422" s="6" t="s">
        <v>856</v>
      </c>
    </row>
    <row r="8423" spans="1:14" ht="15" customHeight="1" x14ac:dyDescent="0.2">
      <c r="A8423" s="31">
        <v>-8.5494463543551551E-3</v>
      </c>
      <c r="B8423" s="31"/>
      <c r="C8423" s="2" t="s">
        <v>855</v>
      </c>
      <c r="D8423" s="31">
        <f t="shared" si="233"/>
        <v>-1.6756914854536105E-3</v>
      </c>
      <c r="F8423" s="2" t="s">
        <v>822</v>
      </c>
      <c r="G8423" s="23" t="s">
        <v>902</v>
      </c>
      <c r="H8423" s="2" t="s">
        <v>822</v>
      </c>
      <c r="J8423" s="31">
        <v>69.817298899999997</v>
      </c>
      <c r="K8423" s="31">
        <v>38.112701399999999</v>
      </c>
      <c r="L8423" s="31"/>
      <c r="M8423" s="31" t="s">
        <v>854</v>
      </c>
      <c r="N8423" s="6" t="s">
        <v>856</v>
      </c>
    </row>
    <row r="8424" spans="1:14" ht="15" customHeight="1" x14ac:dyDescent="0.2">
      <c r="A8424" s="31">
        <v>-8.7621520554155407E-3</v>
      </c>
      <c r="B8424" s="31"/>
      <c r="C8424" s="2" t="s">
        <v>855</v>
      </c>
      <c r="D8424" s="31">
        <f t="shared" si="233"/>
        <v>-1.717381802861446E-3</v>
      </c>
      <c r="F8424" s="2" t="s">
        <v>822</v>
      </c>
      <c r="G8424" s="23" t="s">
        <v>902</v>
      </c>
      <c r="H8424" s="2" t="s">
        <v>822</v>
      </c>
      <c r="J8424" s="31">
        <v>74.804000900000005</v>
      </c>
      <c r="K8424" s="31">
        <v>50.959999099999997</v>
      </c>
      <c r="L8424" s="31"/>
      <c r="M8424" s="31" t="s">
        <v>854</v>
      </c>
      <c r="N8424" s="6" t="s">
        <v>856</v>
      </c>
    </row>
    <row r="8425" spans="1:14" ht="15" customHeight="1" x14ac:dyDescent="0.2">
      <c r="A8425" s="31">
        <v>-8.8531895632870186E-3</v>
      </c>
      <c r="B8425" s="31"/>
      <c r="C8425" s="2" t="s">
        <v>855</v>
      </c>
      <c r="D8425" s="31">
        <f t="shared" si="233"/>
        <v>-1.7352251544042556E-3</v>
      </c>
      <c r="F8425" s="2" t="s">
        <v>822</v>
      </c>
      <c r="G8425" s="23" t="s">
        <v>902</v>
      </c>
      <c r="H8425" s="2" t="s">
        <v>822</v>
      </c>
      <c r="J8425" s="31">
        <v>70.795997600000007</v>
      </c>
      <c r="K8425" s="31">
        <v>38.268001599999998</v>
      </c>
      <c r="L8425" s="31"/>
      <c r="M8425" s="31" t="s">
        <v>854</v>
      </c>
      <c r="N8425" s="6" t="s">
        <v>856</v>
      </c>
    </row>
    <row r="8426" spans="1:14" ht="15" customHeight="1" x14ac:dyDescent="0.2">
      <c r="A8426" s="31">
        <v>-9.6559180646616383E-3</v>
      </c>
      <c r="B8426" s="31"/>
      <c r="C8426" s="2" t="s">
        <v>855</v>
      </c>
      <c r="D8426" s="31">
        <f t="shared" si="233"/>
        <v>-1.8925599406736811E-3</v>
      </c>
      <c r="F8426" s="2" t="s">
        <v>822</v>
      </c>
      <c r="G8426" s="23" t="s">
        <v>902</v>
      </c>
      <c r="H8426" s="2" t="s">
        <v>822</v>
      </c>
      <c r="J8426" s="31">
        <v>69.012901299999996</v>
      </c>
      <c r="K8426" s="31">
        <v>38.524700199999998</v>
      </c>
      <c r="L8426" s="31"/>
      <c r="M8426" s="31" t="s">
        <v>854</v>
      </c>
      <c r="N8426" s="6" t="s">
        <v>856</v>
      </c>
    </row>
    <row r="8427" spans="1:14" ht="15" customHeight="1" x14ac:dyDescent="0.2">
      <c r="A8427" s="31">
        <v>-9.9332665737293969E-3</v>
      </c>
      <c r="B8427" s="31"/>
      <c r="C8427" s="2" t="s">
        <v>855</v>
      </c>
      <c r="D8427" s="31">
        <f t="shared" si="233"/>
        <v>-1.9469202484509618E-3</v>
      </c>
      <c r="F8427" s="2" t="s">
        <v>822</v>
      </c>
      <c r="G8427" s="23" t="s">
        <v>902</v>
      </c>
      <c r="H8427" s="2" t="s">
        <v>822</v>
      </c>
      <c r="J8427" s="31">
        <v>65.220497100000003</v>
      </c>
      <c r="K8427" s="31">
        <v>36.808998099999997</v>
      </c>
      <c r="L8427" s="31"/>
      <c r="M8427" s="31" t="s">
        <v>854</v>
      </c>
      <c r="N8427" s="6" t="s">
        <v>856</v>
      </c>
    </row>
    <row r="8428" spans="1:14" ht="15" customHeight="1" x14ac:dyDescent="0.2">
      <c r="A8428" s="31">
        <v>-1.0011130871968889E-2</v>
      </c>
      <c r="B8428" s="31"/>
      <c r="C8428" s="2" t="s">
        <v>855</v>
      </c>
      <c r="D8428" s="31">
        <f t="shared" si="233"/>
        <v>-1.9621816509059024E-3</v>
      </c>
      <c r="F8428" s="2" t="s">
        <v>822</v>
      </c>
      <c r="G8428" s="23" t="s">
        <v>902</v>
      </c>
      <c r="H8428" s="2" t="s">
        <v>822</v>
      </c>
      <c r="J8428" s="31">
        <v>73.978103599999997</v>
      </c>
      <c r="K8428" s="31">
        <v>21.5804996</v>
      </c>
      <c r="L8428" s="31"/>
      <c r="M8428" s="31" t="s">
        <v>854</v>
      </c>
      <c r="N8428" s="6" t="s">
        <v>856</v>
      </c>
    </row>
    <row r="8429" spans="1:14" ht="15" customHeight="1" x14ac:dyDescent="0.2">
      <c r="A8429" s="31">
        <v>-1.004900791563154E-2</v>
      </c>
      <c r="B8429" s="31"/>
      <c r="C8429" s="2" t="s">
        <v>855</v>
      </c>
      <c r="D8429" s="31">
        <f t="shared" si="233"/>
        <v>-1.9696055514637819E-3</v>
      </c>
      <c r="F8429" s="2" t="s">
        <v>822</v>
      </c>
      <c r="G8429" s="23" t="s">
        <v>902</v>
      </c>
      <c r="H8429" s="2" t="s">
        <v>822</v>
      </c>
      <c r="J8429" s="31">
        <v>71.250900299999998</v>
      </c>
      <c r="K8429" s="31">
        <v>46.329200700000001</v>
      </c>
      <c r="L8429" s="31"/>
      <c r="M8429" s="31" t="s">
        <v>854</v>
      </c>
      <c r="N8429" s="6" t="s">
        <v>856</v>
      </c>
    </row>
    <row r="8430" spans="1:14" ht="15" customHeight="1" x14ac:dyDescent="0.2">
      <c r="A8430" s="31">
        <v>-1.0376193387315651E-2</v>
      </c>
      <c r="B8430" s="31"/>
      <c r="C8430" s="2" t="s">
        <v>855</v>
      </c>
      <c r="D8430" s="31">
        <f t="shared" si="233"/>
        <v>-2.0337339039138676E-3</v>
      </c>
      <c r="F8430" s="2" t="s">
        <v>822</v>
      </c>
      <c r="G8430" s="23" t="s">
        <v>902</v>
      </c>
      <c r="H8430" s="2" t="s">
        <v>822</v>
      </c>
      <c r="J8430" s="31">
        <v>69.541603100000003</v>
      </c>
      <c r="K8430" s="31">
        <v>41.484199500000003</v>
      </c>
      <c r="L8430" s="31"/>
      <c r="M8430" s="31" t="s">
        <v>854</v>
      </c>
      <c r="N8430" s="6" t="s">
        <v>856</v>
      </c>
    </row>
    <row r="8431" spans="1:14" ht="15" customHeight="1" x14ac:dyDescent="0.2">
      <c r="A8431" s="31">
        <v>-1.048676527794745E-2</v>
      </c>
      <c r="B8431" s="31"/>
      <c r="C8431" s="2" t="s">
        <v>855</v>
      </c>
      <c r="D8431" s="31">
        <f t="shared" si="233"/>
        <v>-2.0554059944777004E-3</v>
      </c>
      <c r="F8431" s="2" t="s">
        <v>822</v>
      </c>
      <c r="G8431" s="23" t="s">
        <v>902</v>
      </c>
      <c r="H8431" s="2" t="s">
        <v>822</v>
      </c>
      <c r="J8431" s="31">
        <v>73.509399400000007</v>
      </c>
      <c r="K8431" s="31">
        <v>51.5901985</v>
      </c>
      <c r="L8431" s="31"/>
      <c r="M8431" s="31" t="s">
        <v>854</v>
      </c>
      <c r="N8431" s="6" t="s">
        <v>856</v>
      </c>
    </row>
    <row r="8432" spans="1:14" ht="15" customHeight="1" x14ac:dyDescent="0.2">
      <c r="A8432" s="31">
        <v>-1.0936125341970301E-2</v>
      </c>
      <c r="B8432" s="31"/>
      <c r="C8432" s="2" t="s">
        <v>855</v>
      </c>
      <c r="D8432" s="31">
        <f t="shared" si="233"/>
        <v>-2.1434805670261792E-3</v>
      </c>
      <c r="F8432" s="2" t="s">
        <v>822</v>
      </c>
      <c r="G8432" s="23" t="s">
        <v>902</v>
      </c>
      <c r="H8432" s="2" t="s">
        <v>822</v>
      </c>
      <c r="J8432" s="31">
        <v>71.463996899999998</v>
      </c>
      <c r="K8432" s="31">
        <v>40.939998600000003</v>
      </c>
      <c r="L8432" s="31"/>
      <c r="M8432" s="31" t="s">
        <v>854</v>
      </c>
      <c r="N8432" s="6" t="s">
        <v>856</v>
      </c>
    </row>
    <row r="8433" spans="1:14" ht="15" customHeight="1" x14ac:dyDescent="0.2">
      <c r="A8433" s="31">
        <v>-1.098687675072371E-2</v>
      </c>
      <c r="B8433" s="31"/>
      <c r="C8433" s="2" t="s">
        <v>855</v>
      </c>
      <c r="D8433" s="31">
        <f t="shared" si="233"/>
        <v>-2.1534278431418474E-3</v>
      </c>
      <c r="F8433" s="2" t="s">
        <v>822</v>
      </c>
      <c r="G8433" s="23" t="s">
        <v>902</v>
      </c>
      <c r="H8433" s="2" t="s">
        <v>822</v>
      </c>
      <c r="J8433" s="31">
        <v>73.468002299999995</v>
      </c>
      <c r="K8433" s="31">
        <v>38.936000800000002</v>
      </c>
      <c r="L8433" s="31"/>
      <c r="M8433" s="31" t="s">
        <v>854</v>
      </c>
      <c r="N8433" s="6" t="s">
        <v>856</v>
      </c>
    </row>
    <row r="8434" spans="1:14" ht="15" customHeight="1" x14ac:dyDescent="0.2">
      <c r="A8434" s="31">
        <v>-1.1028845234526749E-2</v>
      </c>
      <c r="B8434" s="31"/>
      <c r="C8434" s="2" t="s">
        <v>855</v>
      </c>
      <c r="D8434" s="31">
        <f t="shared" si="233"/>
        <v>-2.1616536659672431E-3</v>
      </c>
      <c r="F8434" s="2" t="s">
        <v>822</v>
      </c>
      <c r="G8434" s="23" t="s">
        <v>902</v>
      </c>
      <c r="H8434" s="2" t="s">
        <v>822</v>
      </c>
      <c r="J8434" s="31">
        <v>70.8018036</v>
      </c>
      <c r="K8434" s="31">
        <v>41.583900499999999</v>
      </c>
      <c r="L8434" s="31"/>
      <c r="M8434" s="31" t="s">
        <v>854</v>
      </c>
      <c r="N8434" s="6" t="s">
        <v>856</v>
      </c>
    </row>
    <row r="8435" spans="1:14" ht="15" customHeight="1" x14ac:dyDescent="0.2">
      <c r="A8435" s="31">
        <v>-1.114042441336012E-2</v>
      </c>
      <c r="B8435" s="31"/>
      <c r="C8435" s="2" t="s">
        <v>855</v>
      </c>
      <c r="D8435" s="31">
        <f t="shared" si="233"/>
        <v>-2.1835231850185835E-3</v>
      </c>
      <c r="F8435" s="2" t="s">
        <v>822</v>
      </c>
      <c r="G8435" s="23" t="s">
        <v>902</v>
      </c>
      <c r="H8435" s="2" t="s">
        <v>822</v>
      </c>
      <c r="J8435" s="31">
        <v>70.970298799999995</v>
      </c>
      <c r="K8435" s="31">
        <v>45.168300600000002</v>
      </c>
      <c r="L8435" s="31"/>
      <c r="M8435" s="31" t="s">
        <v>854</v>
      </c>
      <c r="N8435" s="6" t="s">
        <v>856</v>
      </c>
    </row>
    <row r="8436" spans="1:14" ht="15" customHeight="1" x14ac:dyDescent="0.2">
      <c r="A8436" s="31">
        <v>-1.189925865192684E-2</v>
      </c>
      <c r="B8436" s="31"/>
      <c r="C8436" s="2" t="s">
        <v>855</v>
      </c>
      <c r="D8436" s="31">
        <f t="shared" si="233"/>
        <v>-2.3322546957776609E-3</v>
      </c>
      <c r="F8436" s="2" t="s">
        <v>822</v>
      </c>
      <c r="G8436" s="23" t="s">
        <v>902</v>
      </c>
      <c r="H8436" s="2" t="s">
        <v>822</v>
      </c>
      <c r="J8436" s="31">
        <v>70.561698899999996</v>
      </c>
      <c r="K8436" s="31">
        <v>42.887901300000003</v>
      </c>
      <c r="L8436" s="31"/>
      <c r="M8436" s="31" t="s">
        <v>854</v>
      </c>
      <c r="N8436" s="6" t="s">
        <v>856</v>
      </c>
    </row>
    <row r="8437" spans="1:14" ht="15" customHeight="1" x14ac:dyDescent="0.2">
      <c r="A8437" s="31">
        <v>-1.2117763258803061E-2</v>
      </c>
      <c r="B8437" s="31"/>
      <c r="C8437" s="2" t="s">
        <v>855</v>
      </c>
      <c r="D8437" s="31">
        <f t="shared" si="233"/>
        <v>-2.3750815987253998E-3</v>
      </c>
      <c r="F8437" s="2" t="s">
        <v>822</v>
      </c>
      <c r="G8437" s="23" t="s">
        <v>902</v>
      </c>
      <c r="H8437" s="2" t="s">
        <v>822</v>
      </c>
      <c r="J8437" s="31">
        <v>71.192298899999997</v>
      </c>
      <c r="K8437" s="31">
        <v>43.9828987</v>
      </c>
      <c r="L8437" s="31"/>
      <c r="M8437" s="31" t="s">
        <v>854</v>
      </c>
      <c r="N8437" s="6" t="s">
        <v>856</v>
      </c>
    </row>
    <row r="8438" spans="1:14" ht="15" customHeight="1" x14ac:dyDescent="0.2">
      <c r="A8438" s="31">
        <v>-1.221554480720936E-2</v>
      </c>
      <c r="B8438" s="31"/>
      <c r="C8438" s="2" t="s">
        <v>855</v>
      </c>
      <c r="D8438" s="31">
        <f t="shared" si="233"/>
        <v>-2.3942467822130348E-3</v>
      </c>
      <c r="F8438" s="2" t="s">
        <v>822</v>
      </c>
      <c r="G8438" s="23" t="s">
        <v>902</v>
      </c>
      <c r="H8438" s="2" t="s">
        <v>822</v>
      </c>
      <c r="J8438" s="31">
        <v>69.389602699999998</v>
      </c>
      <c r="K8438" s="31">
        <v>41.714801799999996</v>
      </c>
      <c r="L8438" s="31"/>
      <c r="M8438" s="31" t="s">
        <v>854</v>
      </c>
      <c r="N8438" s="6" t="s">
        <v>856</v>
      </c>
    </row>
    <row r="8439" spans="1:14" ht="15" customHeight="1" x14ac:dyDescent="0.2">
      <c r="A8439" s="31">
        <v>-1.236677312404034E-2</v>
      </c>
      <c r="B8439" s="31"/>
      <c r="C8439" s="2" t="s">
        <v>855</v>
      </c>
      <c r="D8439" s="31">
        <f t="shared" si="233"/>
        <v>-2.4238875323119068E-3</v>
      </c>
      <c r="F8439" s="2" t="s">
        <v>822</v>
      </c>
      <c r="G8439" s="23" t="s">
        <v>902</v>
      </c>
      <c r="H8439" s="2" t="s">
        <v>822</v>
      </c>
      <c r="J8439" s="31">
        <v>70.773696900000004</v>
      </c>
      <c r="K8439" s="31">
        <v>41.701099399999997</v>
      </c>
      <c r="L8439" s="31"/>
      <c r="M8439" s="31" t="s">
        <v>854</v>
      </c>
      <c r="N8439" s="6" t="s">
        <v>856</v>
      </c>
    </row>
    <row r="8440" spans="1:14" ht="15" customHeight="1" x14ac:dyDescent="0.2">
      <c r="A8440" s="31">
        <v>-1.2471050218577849E-2</v>
      </c>
      <c r="B8440" s="31"/>
      <c r="C8440" s="2" t="s">
        <v>855</v>
      </c>
      <c r="D8440" s="31">
        <f t="shared" si="233"/>
        <v>-2.4443258428412584E-3</v>
      </c>
      <c r="F8440" s="2" t="s">
        <v>822</v>
      </c>
      <c r="G8440" s="23" t="s">
        <v>902</v>
      </c>
      <c r="H8440" s="2" t="s">
        <v>822</v>
      </c>
      <c r="J8440" s="31">
        <v>69.017799400000001</v>
      </c>
      <c r="K8440" s="31">
        <v>37.524200399999998</v>
      </c>
      <c r="L8440" s="31"/>
      <c r="M8440" s="31" t="s">
        <v>854</v>
      </c>
      <c r="N8440" s="6" t="s">
        <v>856</v>
      </c>
    </row>
    <row r="8441" spans="1:14" ht="15" customHeight="1" x14ac:dyDescent="0.2">
      <c r="A8441" s="31">
        <v>-1.250559182522681E-2</v>
      </c>
      <c r="B8441" s="31"/>
      <c r="C8441" s="2" t="s">
        <v>855</v>
      </c>
      <c r="D8441" s="31">
        <f t="shared" si="233"/>
        <v>-2.4510959977444551E-3</v>
      </c>
      <c r="F8441" s="2" t="s">
        <v>822</v>
      </c>
      <c r="G8441" s="23" t="s">
        <v>902</v>
      </c>
      <c r="H8441" s="2" t="s">
        <v>822</v>
      </c>
      <c r="J8441" s="31">
        <v>65.145202600000005</v>
      </c>
      <c r="K8441" s="31">
        <v>37.228298199999998</v>
      </c>
      <c r="L8441" s="31"/>
      <c r="M8441" s="31" t="s">
        <v>854</v>
      </c>
      <c r="N8441" s="6" t="s">
        <v>856</v>
      </c>
    </row>
    <row r="8442" spans="1:14" ht="15" customHeight="1" x14ac:dyDescent="0.2">
      <c r="A8442" s="31">
        <v>-1.312861168048295E-2</v>
      </c>
      <c r="B8442" s="31"/>
      <c r="C8442" s="2" t="s">
        <v>855</v>
      </c>
      <c r="D8442" s="31">
        <f t="shared" si="233"/>
        <v>-2.5732078893746582E-3</v>
      </c>
      <c r="F8442" s="2" t="s">
        <v>822</v>
      </c>
      <c r="G8442" s="23" t="s">
        <v>902</v>
      </c>
      <c r="H8442" s="2" t="s">
        <v>822</v>
      </c>
      <c r="J8442" s="31">
        <v>75.362098700000004</v>
      </c>
      <c r="K8442" s="31">
        <v>53.637100199999999</v>
      </c>
      <c r="L8442" s="31"/>
      <c r="M8442" s="31" t="s">
        <v>854</v>
      </c>
      <c r="N8442" s="6" t="s">
        <v>856</v>
      </c>
    </row>
    <row r="8443" spans="1:14" ht="15" customHeight="1" x14ac:dyDescent="0.2">
      <c r="A8443" s="31">
        <v>-1.40070473911552E-2</v>
      </c>
      <c r="B8443" s="31"/>
      <c r="C8443" s="2" t="s">
        <v>855</v>
      </c>
      <c r="D8443" s="31">
        <f t="shared" si="233"/>
        <v>-2.7453812886664192E-3</v>
      </c>
      <c r="F8443" s="2" t="s">
        <v>822</v>
      </c>
      <c r="G8443" s="23" t="s">
        <v>902</v>
      </c>
      <c r="H8443" s="2" t="s">
        <v>822</v>
      </c>
      <c r="J8443" s="31">
        <v>72.800003099999998</v>
      </c>
      <c r="K8443" s="31">
        <v>36.9319992</v>
      </c>
      <c r="L8443" s="31"/>
      <c r="M8443" s="31" t="s">
        <v>854</v>
      </c>
      <c r="N8443" s="6" t="s">
        <v>856</v>
      </c>
    </row>
    <row r="8444" spans="1:14" ht="15" customHeight="1" x14ac:dyDescent="0.2">
      <c r="A8444" s="31">
        <v>-1.437265597792022E-2</v>
      </c>
      <c r="B8444" s="31"/>
      <c r="C8444" s="2" t="s">
        <v>855</v>
      </c>
      <c r="D8444" s="31">
        <f t="shared" si="233"/>
        <v>-2.8170405716723633E-3</v>
      </c>
      <c r="F8444" s="2" t="s">
        <v>822</v>
      </c>
      <c r="G8444" s="23" t="s">
        <v>902</v>
      </c>
      <c r="H8444" s="2" t="s">
        <v>822</v>
      </c>
      <c r="J8444" s="31">
        <v>72.132003800000007</v>
      </c>
      <c r="K8444" s="31">
        <v>36.9319992</v>
      </c>
      <c r="L8444" s="31"/>
      <c r="M8444" s="31" t="s">
        <v>854</v>
      </c>
      <c r="N8444" s="6" t="s">
        <v>856</v>
      </c>
    </row>
    <row r="8445" spans="1:14" ht="15" customHeight="1" x14ac:dyDescent="0.2">
      <c r="A8445" s="31">
        <v>-1.464489549081086E-2</v>
      </c>
      <c r="B8445" s="31"/>
      <c r="C8445" s="2" t="s">
        <v>855</v>
      </c>
      <c r="D8445" s="31">
        <f t="shared" si="233"/>
        <v>-2.8703995161989287E-3</v>
      </c>
      <c r="F8445" s="2" t="s">
        <v>822</v>
      </c>
      <c r="G8445" s="23" t="s">
        <v>902</v>
      </c>
      <c r="H8445" s="2" t="s">
        <v>822</v>
      </c>
      <c r="J8445" s="31">
        <v>70.857399000000001</v>
      </c>
      <c r="K8445" s="31">
        <v>44.416198700000002</v>
      </c>
      <c r="L8445" s="31"/>
      <c r="M8445" s="31" t="s">
        <v>854</v>
      </c>
      <c r="N8445" s="6" t="s">
        <v>856</v>
      </c>
    </row>
    <row r="8446" spans="1:14" ht="15" customHeight="1" x14ac:dyDescent="0.2">
      <c r="A8446" s="31">
        <v>-1.493579622559321E-2</v>
      </c>
      <c r="B8446" s="31"/>
      <c r="C8446" s="2" t="s">
        <v>855</v>
      </c>
      <c r="D8446" s="31">
        <f t="shared" si="233"/>
        <v>-2.9274160602162694E-3</v>
      </c>
      <c r="F8446" s="2" t="s">
        <v>822</v>
      </c>
      <c r="G8446" s="23" t="s">
        <v>902</v>
      </c>
      <c r="H8446" s="2" t="s">
        <v>822</v>
      </c>
      <c r="J8446" s="31">
        <v>71.575302100000002</v>
      </c>
      <c r="K8446" s="31">
        <v>46.260398899999998</v>
      </c>
      <c r="L8446" s="31"/>
      <c r="M8446" s="31" t="s">
        <v>854</v>
      </c>
      <c r="N8446" s="6" t="s">
        <v>856</v>
      </c>
    </row>
    <row r="8447" spans="1:14" ht="15" customHeight="1" x14ac:dyDescent="0.2">
      <c r="A8447" s="31">
        <v>-1.529181455331593E-2</v>
      </c>
      <c r="B8447" s="31"/>
      <c r="C8447" s="2" t="s">
        <v>855</v>
      </c>
      <c r="D8447" s="31">
        <f t="shared" ref="D8447:D8478" si="234" xml:space="preserve"> A8447 * 0.196</f>
        <v>-2.9971956524499225E-3</v>
      </c>
      <c r="F8447" s="2" t="s">
        <v>822</v>
      </c>
      <c r="G8447" s="23" t="s">
        <v>902</v>
      </c>
      <c r="H8447" s="2" t="s">
        <v>822</v>
      </c>
      <c r="J8447" s="31">
        <v>68.8921967</v>
      </c>
      <c r="K8447" s="31">
        <v>38.977600099999997</v>
      </c>
      <c r="L8447" s="31"/>
      <c r="M8447" s="31" t="s">
        <v>854</v>
      </c>
      <c r="N8447" s="6" t="s">
        <v>856</v>
      </c>
    </row>
    <row r="8448" spans="1:14" ht="15" customHeight="1" x14ac:dyDescent="0.2">
      <c r="A8448" s="31">
        <v>-1.534814352428005E-2</v>
      </c>
      <c r="B8448" s="31"/>
      <c r="C8448" s="2" t="s">
        <v>855</v>
      </c>
      <c r="D8448" s="31">
        <f t="shared" si="234"/>
        <v>-3.0082361307588899E-3</v>
      </c>
      <c r="F8448" s="2" t="s">
        <v>822</v>
      </c>
      <c r="G8448" s="23" t="s">
        <v>902</v>
      </c>
      <c r="H8448" s="2" t="s">
        <v>822</v>
      </c>
      <c r="J8448" s="31">
        <v>69.011497500000004</v>
      </c>
      <c r="K8448" s="31">
        <v>38.189701100000001</v>
      </c>
      <c r="L8448" s="31"/>
      <c r="M8448" s="31" t="s">
        <v>854</v>
      </c>
      <c r="N8448" s="6" t="s">
        <v>856</v>
      </c>
    </row>
    <row r="8449" spans="1:14" ht="15" customHeight="1" x14ac:dyDescent="0.2">
      <c r="A8449" s="31">
        <v>-1.535475723575697E-2</v>
      </c>
      <c r="B8449" s="31"/>
      <c r="C8449" s="2" t="s">
        <v>855</v>
      </c>
      <c r="D8449" s="31">
        <f t="shared" si="234"/>
        <v>-3.009532418208366E-3</v>
      </c>
      <c r="F8449" s="2" t="s">
        <v>822</v>
      </c>
      <c r="G8449" s="23" t="s">
        <v>902</v>
      </c>
      <c r="H8449" s="2" t="s">
        <v>822</v>
      </c>
      <c r="J8449" s="31">
        <v>71.463996899999998</v>
      </c>
      <c r="K8449" s="31">
        <v>38.268001599999998</v>
      </c>
      <c r="L8449" s="31"/>
      <c r="M8449" s="31" t="s">
        <v>854</v>
      </c>
      <c r="N8449" s="6" t="s">
        <v>856</v>
      </c>
    </row>
    <row r="8450" spans="1:14" ht="15" customHeight="1" x14ac:dyDescent="0.2">
      <c r="A8450" s="31">
        <v>-1.540197005861418E-2</v>
      </c>
      <c r="B8450" s="31"/>
      <c r="C8450" s="2" t="s">
        <v>855</v>
      </c>
      <c r="D8450" s="31">
        <f t="shared" si="234"/>
        <v>-3.0187861314883795E-3</v>
      </c>
      <c r="F8450" s="2" t="s">
        <v>822</v>
      </c>
      <c r="G8450" s="23" t="s">
        <v>902</v>
      </c>
      <c r="H8450" s="2" t="s">
        <v>822</v>
      </c>
      <c r="J8450" s="31">
        <v>69.004097000000002</v>
      </c>
      <c r="K8450" s="31">
        <v>37.855499299999998</v>
      </c>
      <c r="L8450" s="31"/>
      <c r="M8450" s="31" t="s">
        <v>854</v>
      </c>
      <c r="N8450" s="6" t="s">
        <v>856</v>
      </c>
    </row>
    <row r="8451" spans="1:14" ht="15" customHeight="1" x14ac:dyDescent="0.2">
      <c r="A8451" s="31">
        <v>-1.5643649164156469E-2</v>
      </c>
      <c r="B8451" s="31"/>
      <c r="C8451" s="2" t="s">
        <v>855</v>
      </c>
      <c r="D8451" s="31">
        <f t="shared" si="234"/>
        <v>-3.066155236174668E-3</v>
      </c>
      <c r="F8451" s="2" t="s">
        <v>822</v>
      </c>
      <c r="G8451" s="23" t="s">
        <v>902</v>
      </c>
      <c r="H8451" s="2" t="s">
        <v>822</v>
      </c>
      <c r="J8451" s="31">
        <v>71.470497100000003</v>
      </c>
      <c r="K8451" s="31">
        <v>44.287101700000001</v>
      </c>
      <c r="L8451" s="31"/>
      <c r="M8451" s="31" t="s">
        <v>854</v>
      </c>
      <c r="N8451" s="6" t="s">
        <v>856</v>
      </c>
    </row>
    <row r="8452" spans="1:14" ht="15" customHeight="1" x14ac:dyDescent="0.2">
      <c r="A8452" s="31">
        <v>-1.587238449942828E-2</v>
      </c>
      <c r="B8452" s="31"/>
      <c r="C8452" s="2" t="s">
        <v>855</v>
      </c>
      <c r="D8452" s="31">
        <f t="shared" si="234"/>
        <v>-3.1109873618879427E-3</v>
      </c>
      <c r="F8452" s="2" t="s">
        <v>822</v>
      </c>
      <c r="G8452" s="23" t="s">
        <v>902</v>
      </c>
      <c r="H8452" s="2" t="s">
        <v>822</v>
      </c>
      <c r="J8452" s="31">
        <v>70.778801000000001</v>
      </c>
      <c r="K8452" s="31">
        <v>44.926299999999998</v>
      </c>
      <c r="L8452" s="31"/>
      <c r="M8452" s="31" t="s">
        <v>854</v>
      </c>
      <c r="N8452" s="6" t="s">
        <v>856</v>
      </c>
    </row>
    <row r="8453" spans="1:14" ht="15" customHeight="1" x14ac:dyDescent="0.2">
      <c r="A8453" s="31">
        <v>-1.6021773099837971E-2</v>
      </c>
      <c r="B8453" s="31"/>
      <c r="C8453" s="2" t="s">
        <v>855</v>
      </c>
      <c r="D8453" s="31">
        <f t="shared" si="234"/>
        <v>-3.1402675275682425E-3</v>
      </c>
      <c r="F8453" s="2" t="s">
        <v>822</v>
      </c>
      <c r="G8453" s="23" t="s">
        <v>902</v>
      </c>
      <c r="H8453" s="2" t="s">
        <v>822</v>
      </c>
      <c r="J8453" s="31">
        <v>69.459999100000005</v>
      </c>
      <c r="K8453" s="31">
        <v>38.936000800000002</v>
      </c>
      <c r="L8453" s="31"/>
      <c r="M8453" s="31" t="s">
        <v>854</v>
      </c>
      <c r="N8453" s="6" t="s">
        <v>856</v>
      </c>
    </row>
    <row r="8454" spans="1:14" ht="15" customHeight="1" x14ac:dyDescent="0.2">
      <c r="A8454" s="31">
        <v>-1.6425144318774971E-2</v>
      </c>
      <c r="B8454" s="31"/>
      <c r="C8454" s="2" t="s">
        <v>855</v>
      </c>
      <c r="D8454" s="31">
        <f t="shared" si="234"/>
        <v>-3.2193282864798945E-3</v>
      </c>
      <c r="F8454" s="2" t="s">
        <v>822</v>
      </c>
      <c r="G8454" s="23" t="s">
        <v>902</v>
      </c>
      <c r="H8454" s="2" t="s">
        <v>822</v>
      </c>
      <c r="J8454" s="31">
        <v>75.261802700000004</v>
      </c>
      <c r="K8454" s="31">
        <v>51.642898600000002</v>
      </c>
      <c r="L8454" s="31"/>
      <c r="M8454" s="31" t="s">
        <v>854</v>
      </c>
      <c r="N8454" s="6" t="s">
        <v>856</v>
      </c>
    </row>
    <row r="8455" spans="1:14" ht="15" customHeight="1" x14ac:dyDescent="0.2">
      <c r="A8455" s="31">
        <v>-1.6512552398369511E-2</v>
      </c>
      <c r="B8455" s="31"/>
      <c r="C8455" s="2" t="s">
        <v>855</v>
      </c>
      <c r="D8455" s="31">
        <f t="shared" si="234"/>
        <v>-3.2364602700804242E-3</v>
      </c>
      <c r="F8455" s="2" t="s">
        <v>822</v>
      </c>
      <c r="G8455" s="23" t="s">
        <v>902</v>
      </c>
      <c r="H8455" s="2" t="s">
        <v>822</v>
      </c>
      <c r="J8455" s="31">
        <v>71.463996899999998</v>
      </c>
      <c r="K8455" s="31">
        <v>40.271999399999999</v>
      </c>
      <c r="L8455" s="31"/>
      <c r="M8455" s="31" t="s">
        <v>854</v>
      </c>
      <c r="N8455" s="6" t="s">
        <v>856</v>
      </c>
    </row>
    <row r="8456" spans="1:14" ht="15" customHeight="1" x14ac:dyDescent="0.2">
      <c r="A8456" s="31">
        <v>-1.7513713552626941E-2</v>
      </c>
      <c r="B8456" s="31"/>
      <c r="C8456" s="2" t="s">
        <v>855</v>
      </c>
      <c r="D8456" s="31">
        <f t="shared" si="234"/>
        <v>-3.4326878563148804E-3</v>
      </c>
      <c r="F8456" s="2" t="s">
        <v>822</v>
      </c>
      <c r="G8456" s="23" t="s">
        <v>902</v>
      </c>
      <c r="H8456" s="2" t="s">
        <v>822</v>
      </c>
      <c r="J8456" s="31">
        <v>64.191703799999999</v>
      </c>
      <c r="K8456" s="31">
        <v>37.294101699999999</v>
      </c>
      <c r="L8456" s="31"/>
      <c r="M8456" s="31" t="s">
        <v>854</v>
      </c>
      <c r="N8456" s="6" t="s">
        <v>856</v>
      </c>
    </row>
    <row r="8457" spans="1:14" ht="15" customHeight="1" x14ac:dyDescent="0.2">
      <c r="A8457" s="31">
        <v>-1.7598541274372E-2</v>
      </c>
      <c r="B8457" s="31"/>
      <c r="C8457" s="2" t="s">
        <v>855</v>
      </c>
      <c r="D8457" s="31">
        <f t="shared" si="234"/>
        <v>-3.4493140897769122E-3</v>
      </c>
      <c r="F8457" s="2" t="s">
        <v>822</v>
      </c>
      <c r="G8457" s="23" t="s">
        <v>902</v>
      </c>
      <c r="H8457" s="2" t="s">
        <v>822</v>
      </c>
      <c r="J8457" s="31">
        <v>70.841301000000001</v>
      </c>
      <c r="K8457" s="31">
        <v>42.954898800000002</v>
      </c>
      <c r="L8457" s="31"/>
      <c r="M8457" s="31" t="s">
        <v>854</v>
      </c>
      <c r="N8457" s="6" t="s">
        <v>856</v>
      </c>
    </row>
    <row r="8458" spans="1:14" ht="15" customHeight="1" x14ac:dyDescent="0.2">
      <c r="A8458" s="31">
        <v>-1.7836899371186491E-2</v>
      </c>
      <c r="B8458" s="31"/>
      <c r="C8458" s="2" t="s">
        <v>855</v>
      </c>
      <c r="D8458" s="31">
        <f t="shared" si="234"/>
        <v>-3.4960322767525523E-3</v>
      </c>
      <c r="F8458" s="2" t="s">
        <v>822</v>
      </c>
      <c r="G8458" s="23" t="s">
        <v>902</v>
      </c>
      <c r="H8458" s="2" t="s">
        <v>822</v>
      </c>
      <c r="J8458" s="31">
        <v>69.723602299999996</v>
      </c>
      <c r="K8458" s="31">
        <v>44.948001900000001</v>
      </c>
      <c r="L8458" s="31"/>
      <c r="M8458" s="31" t="s">
        <v>854</v>
      </c>
      <c r="N8458" s="6" t="s">
        <v>856</v>
      </c>
    </row>
    <row r="8459" spans="1:14" ht="15" customHeight="1" x14ac:dyDescent="0.2">
      <c r="A8459" s="31">
        <v>-1.7853158436455189E-2</v>
      </c>
      <c r="B8459" s="31"/>
      <c r="C8459" s="2" t="s">
        <v>855</v>
      </c>
      <c r="D8459" s="31">
        <f t="shared" si="234"/>
        <v>-3.4992190535452173E-3</v>
      </c>
      <c r="F8459" s="2" t="s">
        <v>822</v>
      </c>
      <c r="G8459" s="23" t="s">
        <v>902</v>
      </c>
      <c r="H8459" s="2" t="s">
        <v>822</v>
      </c>
      <c r="J8459" s="31">
        <v>64.969398499999997</v>
      </c>
      <c r="K8459" s="31">
        <v>37.8014984</v>
      </c>
      <c r="L8459" s="31"/>
      <c r="M8459" s="31" t="s">
        <v>854</v>
      </c>
      <c r="N8459" s="6" t="s">
        <v>856</v>
      </c>
    </row>
    <row r="8460" spans="1:14" ht="15" customHeight="1" x14ac:dyDescent="0.2">
      <c r="A8460" s="31">
        <v>-1.814521439838437E-2</v>
      </c>
      <c r="B8460" s="31"/>
      <c r="C8460" s="2" t="s">
        <v>855</v>
      </c>
      <c r="D8460" s="31">
        <f t="shared" si="234"/>
        <v>-3.5564620220833367E-3</v>
      </c>
      <c r="F8460" s="2" t="s">
        <v>822</v>
      </c>
      <c r="G8460" s="23" t="s">
        <v>902</v>
      </c>
      <c r="H8460" s="2" t="s">
        <v>822</v>
      </c>
      <c r="J8460" s="31">
        <v>64.180000300000003</v>
      </c>
      <c r="K8460" s="31">
        <v>36.786800399999997</v>
      </c>
      <c r="L8460" s="31"/>
      <c r="M8460" s="31" t="s">
        <v>854</v>
      </c>
      <c r="N8460" s="6" t="s">
        <v>856</v>
      </c>
    </row>
    <row r="8461" spans="1:14" ht="15" customHeight="1" x14ac:dyDescent="0.2">
      <c r="A8461" s="31">
        <v>-1.8456964452784299E-2</v>
      </c>
      <c r="B8461" s="31"/>
      <c r="C8461" s="2" t="s">
        <v>855</v>
      </c>
      <c r="D8461" s="31">
        <f t="shared" si="234"/>
        <v>-3.6175650327457229E-3</v>
      </c>
      <c r="F8461" s="2" t="s">
        <v>822</v>
      </c>
      <c r="G8461" s="23" t="s">
        <v>902</v>
      </c>
      <c r="H8461" s="2" t="s">
        <v>822</v>
      </c>
      <c r="J8461" s="31">
        <v>73.468002299999995</v>
      </c>
      <c r="K8461" s="31">
        <v>39.6040001</v>
      </c>
      <c r="L8461" s="31"/>
      <c r="M8461" s="31" t="s">
        <v>854</v>
      </c>
      <c r="N8461" s="6" t="s">
        <v>856</v>
      </c>
    </row>
    <row r="8462" spans="1:14" ht="15" customHeight="1" x14ac:dyDescent="0.2">
      <c r="A8462" s="31">
        <v>-1.8460360937096201E-2</v>
      </c>
      <c r="B8462" s="31"/>
      <c r="C8462" s="2" t="s">
        <v>855</v>
      </c>
      <c r="D8462" s="31">
        <f t="shared" si="234"/>
        <v>-3.6182307436708554E-3</v>
      </c>
      <c r="F8462" s="2" t="s">
        <v>822</v>
      </c>
      <c r="G8462" s="23" t="s">
        <v>902</v>
      </c>
      <c r="H8462" s="2" t="s">
        <v>822</v>
      </c>
      <c r="J8462" s="31">
        <v>71.463996899999998</v>
      </c>
      <c r="K8462" s="31">
        <v>39.6040001</v>
      </c>
      <c r="L8462" s="31"/>
      <c r="M8462" s="31" t="s">
        <v>854</v>
      </c>
      <c r="N8462" s="6" t="s">
        <v>856</v>
      </c>
    </row>
    <row r="8463" spans="1:14" ht="15" customHeight="1" x14ac:dyDescent="0.2">
      <c r="A8463" s="31">
        <v>-1.8607772132360919E-2</v>
      </c>
      <c r="B8463" s="31"/>
      <c r="C8463" s="2" t="s">
        <v>855</v>
      </c>
      <c r="D8463" s="31">
        <f t="shared" si="234"/>
        <v>-3.6471233379427401E-3</v>
      </c>
      <c r="F8463" s="2" t="s">
        <v>822</v>
      </c>
      <c r="G8463" s="23" t="s">
        <v>902</v>
      </c>
      <c r="H8463" s="2" t="s">
        <v>822</v>
      </c>
      <c r="J8463" s="31">
        <v>72.800003099999998</v>
      </c>
      <c r="K8463" s="31">
        <v>39.6040001</v>
      </c>
      <c r="L8463" s="31"/>
      <c r="M8463" s="31" t="s">
        <v>854</v>
      </c>
      <c r="N8463" s="6" t="s">
        <v>856</v>
      </c>
    </row>
    <row r="8464" spans="1:14" ht="15" customHeight="1" x14ac:dyDescent="0.2">
      <c r="A8464" s="31">
        <v>-1.8651184206440779E-2</v>
      </c>
      <c r="B8464" s="31"/>
      <c r="C8464" s="2" t="s">
        <v>855</v>
      </c>
      <c r="D8464" s="31">
        <f t="shared" si="234"/>
        <v>-3.655632104462393E-3</v>
      </c>
      <c r="F8464" s="2" t="s">
        <v>822</v>
      </c>
      <c r="G8464" s="23" t="s">
        <v>902</v>
      </c>
      <c r="H8464" s="2" t="s">
        <v>822</v>
      </c>
      <c r="J8464" s="31">
        <v>70.795997600000007</v>
      </c>
      <c r="K8464" s="31">
        <v>39.6040001</v>
      </c>
      <c r="L8464" s="31"/>
      <c r="M8464" s="31" t="s">
        <v>854</v>
      </c>
      <c r="N8464" s="6" t="s">
        <v>856</v>
      </c>
    </row>
    <row r="8465" spans="1:14" ht="15" customHeight="1" x14ac:dyDescent="0.2">
      <c r="A8465" s="31">
        <v>-1.877455505743891E-2</v>
      </c>
      <c r="B8465" s="31"/>
      <c r="C8465" s="2" t="s">
        <v>855</v>
      </c>
      <c r="D8465" s="31">
        <f t="shared" si="234"/>
        <v>-3.6798127912580263E-3</v>
      </c>
      <c r="F8465" s="2" t="s">
        <v>822</v>
      </c>
      <c r="G8465" s="23" t="s">
        <v>902</v>
      </c>
      <c r="H8465" s="2" t="s">
        <v>822</v>
      </c>
      <c r="J8465" s="31">
        <v>73.996696499999999</v>
      </c>
      <c r="K8465" s="31">
        <v>38.944000199999998</v>
      </c>
      <c r="L8465" s="31"/>
      <c r="M8465" s="31" t="s">
        <v>854</v>
      </c>
      <c r="N8465" s="6" t="s">
        <v>856</v>
      </c>
    </row>
    <row r="8466" spans="1:14" ht="15" customHeight="1" x14ac:dyDescent="0.2">
      <c r="A8466" s="31">
        <v>-1.9116276046019131E-2</v>
      </c>
      <c r="B8466" s="31"/>
      <c r="C8466" s="2" t="s">
        <v>855</v>
      </c>
      <c r="D8466" s="31">
        <f t="shared" si="234"/>
        <v>-3.7467901050197497E-3</v>
      </c>
      <c r="F8466" s="2" t="s">
        <v>822</v>
      </c>
      <c r="G8466" s="23" t="s">
        <v>902</v>
      </c>
      <c r="H8466" s="2" t="s">
        <v>822</v>
      </c>
      <c r="J8466" s="31">
        <v>70.127998399999996</v>
      </c>
      <c r="K8466" s="31">
        <v>39.6040001</v>
      </c>
      <c r="L8466" s="31"/>
      <c r="M8466" s="31" t="s">
        <v>854</v>
      </c>
      <c r="N8466" s="6" t="s">
        <v>856</v>
      </c>
    </row>
    <row r="8467" spans="1:14" ht="15" customHeight="1" x14ac:dyDescent="0.2">
      <c r="A8467" s="31">
        <v>-1.9287587452911779E-2</v>
      </c>
      <c r="B8467" s="31"/>
      <c r="C8467" s="2" t="s">
        <v>855</v>
      </c>
      <c r="D8467" s="31">
        <f t="shared" si="234"/>
        <v>-3.7803671407707091E-3</v>
      </c>
      <c r="F8467" s="2" t="s">
        <v>822</v>
      </c>
      <c r="G8467" s="23" t="s">
        <v>902</v>
      </c>
      <c r="H8467" s="2" t="s">
        <v>822</v>
      </c>
      <c r="J8467" s="31">
        <v>74.763198900000006</v>
      </c>
      <c r="K8467" s="31">
        <v>48.2942009</v>
      </c>
      <c r="L8467" s="31"/>
      <c r="M8467" s="31" t="s">
        <v>854</v>
      </c>
      <c r="N8467" s="6" t="s">
        <v>856</v>
      </c>
    </row>
    <row r="8468" spans="1:14" ht="15" customHeight="1" x14ac:dyDescent="0.2">
      <c r="A8468" s="31">
        <v>-1.9622680987273829E-2</v>
      </c>
      <c r="B8468" s="31"/>
      <c r="C8468" s="2" t="s">
        <v>855</v>
      </c>
      <c r="D8468" s="31">
        <f t="shared" si="234"/>
        <v>-3.8460454735056706E-3</v>
      </c>
      <c r="F8468" s="2" t="s">
        <v>822</v>
      </c>
      <c r="G8468" s="23" t="s">
        <v>902</v>
      </c>
      <c r="H8468" s="2" t="s">
        <v>822</v>
      </c>
      <c r="J8468" s="31">
        <v>72.800003099999998</v>
      </c>
      <c r="K8468" s="31">
        <v>40.271999399999999</v>
      </c>
      <c r="L8468" s="31"/>
      <c r="M8468" s="31" t="s">
        <v>854</v>
      </c>
      <c r="N8468" s="6" t="s">
        <v>856</v>
      </c>
    </row>
    <row r="8469" spans="1:14" ht="15" customHeight="1" x14ac:dyDescent="0.2">
      <c r="A8469" s="31">
        <v>-2.0043786019551181E-2</v>
      </c>
      <c r="B8469" s="31"/>
      <c r="C8469" s="2" t="s">
        <v>855</v>
      </c>
      <c r="D8469" s="31">
        <f t="shared" si="234"/>
        <v>-3.9285820598320316E-3</v>
      </c>
      <c r="F8469" s="2" t="s">
        <v>822</v>
      </c>
      <c r="G8469" s="23" t="s">
        <v>902</v>
      </c>
      <c r="H8469" s="2" t="s">
        <v>822</v>
      </c>
      <c r="J8469" s="31">
        <v>68.794097899999997</v>
      </c>
      <c r="K8469" s="31">
        <v>39.605998999999997</v>
      </c>
      <c r="L8469" s="31"/>
      <c r="M8469" s="31" t="s">
        <v>854</v>
      </c>
      <c r="N8469" s="6" t="s">
        <v>856</v>
      </c>
    </row>
    <row r="8470" spans="1:14" ht="15" customHeight="1" x14ac:dyDescent="0.2">
      <c r="A8470" s="31">
        <v>-2.0671682842816959E-2</v>
      </c>
      <c r="B8470" s="31"/>
      <c r="C8470" s="2" t="s">
        <v>855</v>
      </c>
      <c r="D8470" s="31">
        <f t="shared" si="234"/>
        <v>-4.0516498371921238E-3</v>
      </c>
      <c r="F8470" s="2" t="s">
        <v>822</v>
      </c>
      <c r="G8470" s="23" t="s">
        <v>902</v>
      </c>
      <c r="H8470" s="2" t="s">
        <v>822</v>
      </c>
      <c r="J8470" s="31">
        <v>70.127998399999996</v>
      </c>
      <c r="K8470" s="31">
        <v>38.936000800000002</v>
      </c>
      <c r="L8470" s="31"/>
      <c r="M8470" s="31" t="s">
        <v>854</v>
      </c>
      <c r="N8470" s="6" t="s">
        <v>856</v>
      </c>
    </row>
    <row r="8471" spans="1:14" ht="15" customHeight="1" x14ac:dyDescent="0.2">
      <c r="A8471" s="31">
        <v>-2.0721430194098101E-2</v>
      </c>
      <c r="B8471" s="31"/>
      <c r="C8471" s="2" t="s">
        <v>855</v>
      </c>
      <c r="D8471" s="31">
        <f t="shared" si="234"/>
        <v>-4.0614003180432278E-3</v>
      </c>
      <c r="F8471" s="2" t="s">
        <v>822</v>
      </c>
      <c r="G8471" s="23" t="s">
        <v>902</v>
      </c>
      <c r="H8471" s="2" t="s">
        <v>822</v>
      </c>
      <c r="J8471" s="31">
        <v>71.463996899999998</v>
      </c>
      <c r="K8471" s="31">
        <v>44.948001900000001</v>
      </c>
      <c r="L8471" s="31"/>
      <c r="M8471" s="31" t="s">
        <v>854</v>
      </c>
      <c r="N8471" s="6" t="s">
        <v>856</v>
      </c>
    </row>
    <row r="8472" spans="1:14" ht="15" customHeight="1" x14ac:dyDescent="0.2">
      <c r="A8472" s="31">
        <v>-2.0730228969962732E-2</v>
      </c>
      <c r="B8472" s="31"/>
      <c r="C8472" s="2" t="s">
        <v>855</v>
      </c>
      <c r="D8472" s="31">
        <f t="shared" si="234"/>
        <v>-4.0631248781126958E-3</v>
      </c>
      <c r="F8472" s="2" t="s">
        <v>822</v>
      </c>
      <c r="G8472" s="23" t="s">
        <v>902</v>
      </c>
      <c r="H8472" s="2" t="s">
        <v>822</v>
      </c>
      <c r="J8472" s="31">
        <v>74.024597200000002</v>
      </c>
      <c r="K8472" s="31">
        <v>39.611000099999998</v>
      </c>
      <c r="L8472" s="31"/>
      <c r="M8472" s="31" t="s">
        <v>854</v>
      </c>
      <c r="N8472" s="6" t="s">
        <v>856</v>
      </c>
    </row>
    <row r="8473" spans="1:14" ht="15" customHeight="1" x14ac:dyDescent="0.2">
      <c r="A8473" s="31">
        <v>-2.0934530537071491E-2</v>
      </c>
      <c r="B8473" s="31"/>
      <c r="C8473" s="2" t="s">
        <v>855</v>
      </c>
      <c r="D8473" s="31">
        <f t="shared" si="234"/>
        <v>-4.1031679852660125E-3</v>
      </c>
      <c r="F8473" s="2" t="s">
        <v>822</v>
      </c>
      <c r="G8473" s="23" t="s">
        <v>902</v>
      </c>
      <c r="H8473" s="2" t="s">
        <v>822</v>
      </c>
      <c r="J8473" s="31">
        <v>72.132003800000007</v>
      </c>
      <c r="K8473" s="31">
        <v>40.271999399999999</v>
      </c>
      <c r="L8473" s="31"/>
      <c r="M8473" s="31" t="s">
        <v>854</v>
      </c>
      <c r="N8473" s="6" t="s">
        <v>856</v>
      </c>
    </row>
    <row r="8474" spans="1:14" ht="15" customHeight="1" x14ac:dyDescent="0.2">
      <c r="A8474" s="31">
        <v>-2.0949361068954151E-2</v>
      </c>
      <c r="B8474" s="31"/>
      <c r="C8474" s="2" t="s">
        <v>855</v>
      </c>
      <c r="D8474" s="31">
        <f t="shared" si="234"/>
        <v>-4.1060747695150137E-3</v>
      </c>
      <c r="F8474" s="2" t="s">
        <v>822</v>
      </c>
      <c r="G8474" s="23" t="s">
        <v>902</v>
      </c>
      <c r="H8474" s="2" t="s">
        <v>822</v>
      </c>
      <c r="J8474" s="31">
        <v>71.463996899999998</v>
      </c>
      <c r="K8474" s="31">
        <v>49.624000500000001</v>
      </c>
      <c r="L8474" s="31"/>
      <c r="M8474" s="31" t="s">
        <v>854</v>
      </c>
      <c r="N8474" s="6" t="s">
        <v>856</v>
      </c>
    </row>
    <row r="8475" spans="1:14" ht="15" customHeight="1" x14ac:dyDescent="0.2">
      <c r="A8475" s="31">
        <v>-2.1297904606385878E-2</v>
      </c>
      <c r="B8475" s="31"/>
      <c r="C8475" s="2" t="s">
        <v>855</v>
      </c>
      <c r="D8475" s="31">
        <f t="shared" si="234"/>
        <v>-4.1743893028516324E-3</v>
      </c>
      <c r="F8475" s="2" t="s">
        <v>822</v>
      </c>
      <c r="G8475" s="23" t="s">
        <v>902</v>
      </c>
      <c r="H8475" s="2" t="s">
        <v>822</v>
      </c>
      <c r="J8475" s="31">
        <v>72.800003099999998</v>
      </c>
      <c r="K8475" s="31">
        <v>38.936000800000002</v>
      </c>
      <c r="L8475" s="31"/>
      <c r="M8475" s="31" t="s">
        <v>854</v>
      </c>
      <c r="N8475" s="6" t="s">
        <v>856</v>
      </c>
    </row>
    <row r="8476" spans="1:14" ht="15" customHeight="1" x14ac:dyDescent="0.2">
      <c r="A8476" s="31">
        <v>-2.1472874466053071E-2</v>
      </c>
      <c r="B8476" s="31"/>
      <c r="C8476" s="2" t="s">
        <v>855</v>
      </c>
      <c r="D8476" s="31">
        <f t="shared" si="234"/>
        <v>-4.2086833953464018E-3</v>
      </c>
      <c r="F8476" s="2" t="s">
        <v>822</v>
      </c>
      <c r="G8476" s="23" t="s">
        <v>902</v>
      </c>
      <c r="H8476" s="2" t="s">
        <v>822</v>
      </c>
      <c r="J8476" s="31">
        <v>73.9779968</v>
      </c>
      <c r="K8476" s="31">
        <v>38.268699599999998</v>
      </c>
      <c r="L8476" s="31"/>
      <c r="M8476" s="31" t="s">
        <v>854</v>
      </c>
      <c r="N8476" s="6" t="s">
        <v>856</v>
      </c>
    </row>
    <row r="8477" spans="1:14" ht="15" customHeight="1" x14ac:dyDescent="0.2">
      <c r="A8477" s="31">
        <v>-2.1850785013368838E-2</v>
      </c>
      <c r="B8477" s="31"/>
      <c r="C8477" s="2" t="s">
        <v>855</v>
      </c>
      <c r="D8477" s="31">
        <f t="shared" si="234"/>
        <v>-4.2827538626202923E-3</v>
      </c>
      <c r="F8477" s="2" t="s">
        <v>822</v>
      </c>
      <c r="G8477" s="23" t="s">
        <v>902</v>
      </c>
      <c r="H8477" s="2" t="s">
        <v>822</v>
      </c>
      <c r="J8477" s="31">
        <v>75.304298399999993</v>
      </c>
      <c r="K8477" s="31">
        <v>28.277999900000001</v>
      </c>
      <c r="L8477" s="31"/>
      <c r="M8477" s="31" t="s">
        <v>854</v>
      </c>
      <c r="N8477" s="6" t="s">
        <v>856</v>
      </c>
    </row>
    <row r="8478" spans="1:14" ht="15" customHeight="1" x14ac:dyDescent="0.2">
      <c r="A8478" s="31">
        <v>-2.203838778141801E-2</v>
      </c>
      <c r="B8478" s="31"/>
      <c r="C8478" s="2" t="s">
        <v>855</v>
      </c>
      <c r="D8478" s="31">
        <f t="shared" si="234"/>
        <v>-4.3195240051579304E-3</v>
      </c>
      <c r="F8478" s="2" t="s">
        <v>822</v>
      </c>
      <c r="G8478" s="23" t="s">
        <v>902</v>
      </c>
      <c r="H8478" s="2" t="s">
        <v>822</v>
      </c>
      <c r="J8478" s="31">
        <v>64.740600599999993</v>
      </c>
      <c r="K8478" s="31">
        <v>37.263999900000002</v>
      </c>
      <c r="L8478" s="31"/>
      <c r="M8478" s="31" t="s">
        <v>854</v>
      </c>
      <c r="N8478" s="6" t="s">
        <v>856</v>
      </c>
    </row>
    <row r="8479" spans="1:14" ht="15" customHeight="1" x14ac:dyDescent="0.2">
      <c r="A8479" s="31">
        <v>-2.221271185131737E-2</v>
      </c>
      <c r="B8479" s="31"/>
      <c r="C8479" s="2" t="s">
        <v>855</v>
      </c>
      <c r="D8479" s="31">
        <f t="shared" ref="D8479:D8510" si="235" xml:space="preserve"> A8479 * 0.196</f>
        <v>-4.3536915228582045E-3</v>
      </c>
      <c r="F8479" s="2" t="s">
        <v>822</v>
      </c>
      <c r="G8479" s="23" t="s">
        <v>902</v>
      </c>
      <c r="H8479" s="2" t="s">
        <v>822</v>
      </c>
      <c r="J8479" s="31">
        <v>68.364700299999996</v>
      </c>
      <c r="K8479" s="31">
        <v>39.751399999999997</v>
      </c>
      <c r="L8479" s="31"/>
      <c r="M8479" s="31" t="s">
        <v>854</v>
      </c>
      <c r="N8479" s="6" t="s">
        <v>856</v>
      </c>
    </row>
    <row r="8480" spans="1:14" ht="15" customHeight="1" x14ac:dyDescent="0.2">
      <c r="A8480" s="31">
        <v>-2.2752801949322811E-2</v>
      </c>
      <c r="B8480" s="31"/>
      <c r="C8480" s="2" t="s">
        <v>855</v>
      </c>
      <c r="D8480" s="31">
        <f t="shared" si="235"/>
        <v>-4.4595491820672711E-3</v>
      </c>
      <c r="F8480" s="2" t="s">
        <v>822</v>
      </c>
      <c r="G8480" s="23" t="s">
        <v>902</v>
      </c>
      <c r="H8480" s="2" t="s">
        <v>822</v>
      </c>
      <c r="J8480" s="31">
        <v>71.463996899999998</v>
      </c>
      <c r="K8480" s="31">
        <v>37.599998499999998</v>
      </c>
      <c r="L8480" s="31"/>
      <c r="M8480" s="31" t="s">
        <v>854</v>
      </c>
      <c r="N8480" s="6" t="s">
        <v>856</v>
      </c>
    </row>
    <row r="8481" spans="1:14" ht="15" customHeight="1" x14ac:dyDescent="0.2">
      <c r="A8481" s="31">
        <v>-2.2901953461500639E-2</v>
      </c>
      <c r="B8481" s="31"/>
      <c r="C8481" s="2" t="s">
        <v>855</v>
      </c>
      <c r="D8481" s="31">
        <f t="shared" si="235"/>
        <v>-4.4887828784541256E-3</v>
      </c>
      <c r="F8481" s="2" t="s">
        <v>822</v>
      </c>
      <c r="G8481" s="23" t="s">
        <v>902</v>
      </c>
      <c r="H8481" s="2" t="s">
        <v>822</v>
      </c>
      <c r="J8481" s="31">
        <v>70.442398100000005</v>
      </c>
      <c r="K8481" s="31">
        <v>44.286300699999998</v>
      </c>
      <c r="L8481" s="31"/>
      <c r="M8481" s="31" t="s">
        <v>854</v>
      </c>
      <c r="N8481" s="6" t="s">
        <v>856</v>
      </c>
    </row>
    <row r="8482" spans="1:14" ht="15" customHeight="1" x14ac:dyDescent="0.2">
      <c r="A8482" s="31">
        <v>-2.2987296054180428E-2</v>
      </c>
      <c r="B8482" s="31"/>
      <c r="C8482" s="2" t="s">
        <v>855</v>
      </c>
      <c r="D8482" s="31">
        <f t="shared" si="235"/>
        <v>-4.5055100266193637E-3</v>
      </c>
      <c r="F8482" s="2" t="s">
        <v>822</v>
      </c>
      <c r="G8482" s="23" t="s">
        <v>902</v>
      </c>
      <c r="H8482" s="2" t="s">
        <v>822</v>
      </c>
      <c r="J8482" s="31">
        <v>74.311599700000002</v>
      </c>
      <c r="K8482" s="31">
        <v>38.210800200000001</v>
      </c>
      <c r="L8482" s="31"/>
      <c r="M8482" s="31" t="s">
        <v>854</v>
      </c>
      <c r="N8482" s="6" t="s">
        <v>856</v>
      </c>
    </row>
    <row r="8483" spans="1:14" ht="15" customHeight="1" x14ac:dyDescent="0.2">
      <c r="A8483" s="31">
        <v>-2.3062483266298631E-2</v>
      </c>
      <c r="B8483" s="31"/>
      <c r="C8483" s="2" t="s">
        <v>855</v>
      </c>
      <c r="D8483" s="31">
        <f t="shared" si="235"/>
        <v>-4.5202467201945319E-3</v>
      </c>
      <c r="F8483" s="2" t="s">
        <v>822</v>
      </c>
      <c r="G8483" s="23" t="s">
        <v>902</v>
      </c>
      <c r="H8483" s="2" t="s">
        <v>822</v>
      </c>
      <c r="J8483" s="31">
        <v>72.132003800000007</v>
      </c>
      <c r="K8483" s="31">
        <v>38.936000800000002</v>
      </c>
      <c r="L8483" s="31"/>
      <c r="M8483" s="31" t="s">
        <v>854</v>
      </c>
      <c r="N8483" s="6" t="s">
        <v>856</v>
      </c>
    </row>
    <row r="8484" spans="1:14" ht="15" customHeight="1" x14ac:dyDescent="0.2">
      <c r="A8484" s="31">
        <v>-2.315289708689789E-2</v>
      </c>
      <c r="B8484" s="31"/>
      <c r="C8484" s="2" t="s">
        <v>855</v>
      </c>
      <c r="D8484" s="31">
        <f t="shared" si="235"/>
        <v>-4.5379678290319867E-3</v>
      </c>
      <c r="F8484" s="2" t="s">
        <v>822</v>
      </c>
      <c r="G8484" s="23" t="s">
        <v>902</v>
      </c>
      <c r="H8484" s="2" t="s">
        <v>822</v>
      </c>
      <c r="J8484" s="31">
        <v>74.159599299999996</v>
      </c>
      <c r="K8484" s="31">
        <v>52.273700699999999</v>
      </c>
      <c r="L8484" s="31"/>
      <c r="M8484" s="31" t="s">
        <v>854</v>
      </c>
      <c r="N8484" s="6" t="s">
        <v>856</v>
      </c>
    </row>
    <row r="8485" spans="1:14" ht="15" customHeight="1" x14ac:dyDescent="0.2">
      <c r="A8485" s="31">
        <v>-2.4157814396317531E-2</v>
      </c>
      <c r="B8485" s="31"/>
      <c r="C8485" s="2" t="s">
        <v>855</v>
      </c>
      <c r="D8485" s="31">
        <f t="shared" si="235"/>
        <v>-4.7349316216782362E-3</v>
      </c>
      <c r="F8485" s="2" t="s">
        <v>822</v>
      </c>
      <c r="G8485" s="23" t="s">
        <v>902</v>
      </c>
      <c r="H8485" s="2" t="s">
        <v>822</v>
      </c>
      <c r="J8485" s="31">
        <v>72.132003800000007</v>
      </c>
      <c r="K8485" s="31">
        <v>38.268001599999998</v>
      </c>
      <c r="L8485" s="31"/>
      <c r="M8485" s="31" t="s">
        <v>854</v>
      </c>
      <c r="N8485" s="6" t="s">
        <v>856</v>
      </c>
    </row>
    <row r="8486" spans="1:14" ht="15" customHeight="1" x14ac:dyDescent="0.2">
      <c r="A8486" s="31">
        <v>-2.4447492420173481E-2</v>
      </c>
      <c r="B8486" s="31"/>
      <c r="C8486" s="2" t="s">
        <v>855</v>
      </c>
      <c r="D8486" s="31">
        <f t="shared" si="235"/>
        <v>-4.7917085143540025E-3</v>
      </c>
      <c r="F8486" s="2" t="s">
        <v>822</v>
      </c>
      <c r="G8486" s="23" t="s">
        <v>902</v>
      </c>
      <c r="H8486" s="2" t="s">
        <v>822</v>
      </c>
      <c r="J8486" s="31">
        <v>69.723602299999996</v>
      </c>
      <c r="K8486" s="31">
        <v>43.611999500000003</v>
      </c>
      <c r="L8486" s="31"/>
      <c r="M8486" s="31" t="s">
        <v>854</v>
      </c>
      <c r="N8486" s="6" t="s">
        <v>856</v>
      </c>
    </row>
    <row r="8487" spans="1:14" ht="15" customHeight="1" x14ac:dyDescent="0.2">
      <c r="A8487" s="31">
        <v>-2.4707358673034689E-2</v>
      </c>
      <c r="B8487" s="31"/>
      <c r="C8487" s="2" t="s">
        <v>855</v>
      </c>
      <c r="D8487" s="31">
        <f t="shared" si="235"/>
        <v>-4.842642299914799E-3</v>
      </c>
      <c r="F8487" s="2" t="s">
        <v>822</v>
      </c>
      <c r="G8487" s="23" t="s">
        <v>902</v>
      </c>
      <c r="H8487" s="2" t="s">
        <v>822</v>
      </c>
      <c r="J8487" s="31">
        <v>63.969001800000001</v>
      </c>
      <c r="K8487" s="31">
        <v>36.916099500000001</v>
      </c>
      <c r="L8487" s="31"/>
      <c r="M8487" s="31" t="s">
        <v>854</v>
      </c>
      <c r="N8487" s="6" t="s">
        <v>856</v>
      </c>
    </row>
    <row r="8488" spans="1:14" ht="15" customHeight="1" x14ac:dyDescent="0.2">
      <c r="A8488" s="31">
        <v>-2.5221764639530651E-2</v>
      </c>
      <c r="B8488" s="31"/>
      <c r="C8488" s="2" t="s">
        <v>855</v>
      </c>
      <c r="D8488" s="31">
        <f t="shared" si="235"/>
        <v>-4.9434658693480078E-3</v>
      </c>
      <c r="F8488" s="2" t="s">
        <v>822</v>
      </c>
      <c r="G8488" s="23" t="s">
        <v>902</v>
      </c>
      <c r="H8488" s="2" t="s">
        <v>822</v>
      </c>
      <c r="J8488" s="31">
        <v>69.723602299999996</v>
      </c>
      <c r="K8488" s="31">
        <v>54.101799</v>
      </c>
      <c r="L8488" s="31"/>
      <c r="M8488" s="31" t="s">
        <v>854</v>
      </c>
      <c r="N8488" s="6" t="s">
        <v>856</v>
      </c>
    </row>
    <row r="8489" spans="1:14" ht="15" customHeight="1" x14ac:dyDescent="0.2">
      <c r="A8489" s="31">
        <v>-2.5357150628210201E-2</v>
      </c>
      <c r="B8489" s="31"/>
      <c r="C8489" s="2" t="s">
        <v>855</v>
      </c>
      <c r="D8489" s="31">
        <f t="shared" si="235"/>
        <v>-4.9700015231291996E-3</v>
      </c>
      <c r="F8489" s="2" t="s">
        <v>822</v>
      </c>
      <c r="G8489" s="23" t="s">
        <v>902</v>
      </c>
      <c r="H8489" s="2" t="s">
        <v>822</v>
      </c>
      <c r="J8489" s="31">
        <v>70.795997600000007</v>
      </c>
      <c r="K8489" s="31">
        <v>38.936000800000002</v>
      </c>
      <c r="L8489" s="31"/>
      <c r="M8489" s="31" t="s">
        <v>854</v>
      </c>
      <c r="N8489" s="6" t="s">
        <v>856</v>
      </c>
    </row>
    <row r="8490" spans="1:14" ht="15" customHeight="1" x14ac:dyDescent="0.2">
      <c r="A8490" s="31">
        <v>-2.5639241391552482E-2</v>
      </c>
      <c r="B8490" s="31"/>
      <c r="C8490" s="2" t="s">
        <v>855</v>
      </c>
      <c r="D8490" s="31">
        <f t="shared" si="235"/>
        <v>-5.0252913127442865E-3</v>
      </c>
      <c r="F8490" s="2" t="s">
        <v>822</v>
      </c>
      <c r="G8490" s="23" t="s">
        <v>902</v>
      </c>
      <c r="H8490" s="2" t="s">
        <v>822</v>
      </c>
      <c r="J8490" s="31">
        <v>74.1360016</v>
      </c>
      <c r="K8490" s="31">
        <v>51.627998400000003</v>
      </c>
      <c r="L8490" s="31"/>
      <c r="M8490" s="31" t="s">
        <v>854</v>
      </c>
      <c r="N8490" s="6" t="s">
        <v>856</v>
      </c>
    </row>
    <row r="8491" spans="1:14" ht="15" customHeight="1" x14ac:dyDescent="0.2">
      <c r="A8491" s="31">
        <v>-2.5811161216319059E-2</v>
      </c>
      <c r="B8491" s="31"/>
      <c r="C8491" s="2" t="s">
        <v>855</v>
      </c>
      <c r="D8491" s="31">
        <f t="shared" si="235"/>
        <v>-5.0589875983985356E-3</v>
      </c>
      <c r="F8491" s="2" t="s">
        <v>822</v>
      </c>
      <c r="G8491" s="23" t="s">
        <v>902</v>
      </c>
      <c r="H8491" s="2" t="s">
        <v>822</v>
      </c>
      <c r="J8491" s="31">
        <v>72.132003800000007</v>
      </c>
      <c r="K8491" s="31">
        <v>37.599998499999998</v>
      </c>
      <c r="L8491" s="31"/>
      <c r="M8491" s="31" t="s">
        <v>854</v>
      </c>
      <c r="N8491" s="6" t="s">
        <v>856</v>
      </c>
    </row>
    <row r="8492" spans="1:14" ht="15" customHeight="1" x14ac:dyDescent="0.2">
      <c r="A8492" s="31">
        <v>-2.59623741996616E-2</v>
      </c>
      <c r="B8492" s="31"/>
      <c r="C8492" s="2" t="s">
        <v>855</v>
      </c>
      <c r="D8492" s="31">
        <f t="shared" si="235"/>
        <v>-5.0886253431336737E-3</v>
      </c>
      <c r="F8492" s="2" t="s">
        <v>822</v>
      </c>
      <c r="G8492" s="23" t="s">
        <v>902</v>
      </c>
      <c r="H8492" s="2" t="s">
        <v>822</v>
      </c>
      <c r="J8492" s="31">
        <v>70.483802800000007</v>
      </c>
      <c r="K8492" s="31">
        <v>43.490398399999997</v>
      </c>
      <c r="L8492" s="31"/>
      <c r="M8492" s="31" t="s">
        <v>854</v>
      </c>
      <c r="N8492" s="6" t="s">
        <v>856</v>
      </c>
    </row>
    <row r="8493" spans="1:14" ht="15" customHeight="1" x14ac:dyDescent="0.2">
      <c r="A8493" s="31">
        <v>-2.6416580211363231E-2</v>
      </c>
      <c r="B8493" s="31"/>
      <c r="C8493" s="2" t="s">
        <v>855</v>
      </c>
      <c r="D8493" s="31">
        <f t="shared" si="235"/>
        <v>-5.1776497214271935E-3</v>
      </c>
      <c r="F8493" s="2" t="s">
        <v>822</v>
      </c>
      <c r="G8493" s="23" t="s">
        <v>902</v>
      </c>
      <c r="H8493" s="2" t="s">
        <v>822</v>
      </c>
      <c r="J8493" s="31">
        <v>70.127998399999996</v>
      </c>
      <c r="K8493" s="31">
        <v>40.271999399999999</v>
      </c>
      <c r="L8493" s="31"/>
      <c r="M8493" s="31" t="s">
        <v>854</v>
      </c>
      <c r="N8493" s="6" t="s">
        <v>856</v>
      </c>
    </row>
    <row r="8494" spans="1:14" ht="15" customHeight="1" x14ac:dyDescent="0.2">
      <c r="A8494" s="31">
        <v>-2.6525648347745699E-2</v>
      </c>
      <c r="B8494" s="31"/>
      <c r="C8494" s="2" t="s">
        <v>855</v>
      </c>
      <c r="D8494" s="31">
        <f t="shared" si="235"/>
        <v>-5.1990270761581572E-3</v>
      </c>
      <c r="F8494" s="2" t="s">
        <v>822</v>
      </c>
      <c r="G8494" s="23" t="s">
        <v>902</v>
      </c>
      <c r="H8494" s="2" t="s">
        <v>822</v>
      </c>
      <c r="J8494" s="31">
        <v>70.127998399999996</v>
      </c>
      <c r="K8494" s="31">
        <v>41.608001700000003</v>
      </c>
      <c r="L8494" s="31"/>
      <c r="M8494" s="31" t="s">
        <v>854</v>
      </c>
      <c r="N8494" s="6" t="s">
        <v>856</v>
      </c>
    </row>
    <row r="8495" spans="1:14" ht="15" customHeight="1" x14ac:dyDescent="0.2">
      <c r="A8495" s="31">
        <v>-2.7167543835335449E-2</v>
      </c>
      <c r="B8495" s="31"/>
      <c r="C8495" s="2" t="s">
        <v>855</v>
      </c>
      <c r="D8495" s="31">
        <f t="shared" si="235"/>
        <v>-5.3248385917257484E-3</v>
      </c>
      <c r="F8495" s="2" t="s">
        <v>822</v>
      </c>
      <c r="G8495" s="23" t="s">
        <v>902</v>
      </c>
      <c r="H8495" s="2" t="s">
        <v>822</v>
      </c>
      <c r="J8495" s="31">
        <v>74.107597400000003</v>
      </c>
      <c r="K8495" s="31">
        <v>37.561798099999997</v>
      </c>
      <c r="L8495" s="31"/>
      <c r="M8495" s="31" t="s">
        <v>854</v>
      </c>
      <c r="N8495" s="6" t="s">
        <v>856</v>
      </c>
    </row>
    <row r="8496" spans="1:14" ht="15" customHeight="1" x14ac:dyDescent="0.2">
      <c r="A8496" s="31">
        <v>-2.8016306372644292E-2</v>
      </c>
      <c r="B8496" s="31"/>
      <c r="C8496" s="2" t="s">
        <v>855</v>
      </c>
      <c r="D8496" s="31">
        <f t="shared" si="235"/>
        <v>-5.4911960490382815E-3</v>
      </c>
      <c r="F8496" s="2" t="s">
        <v>822</v>
      </c>
      <c r="G8496" s="23" t="s">
        <v>902</v>
      </c>
      <c r="H8496" s="2" t="s">
        <v>822</v>
      </c>
      <c r="J8496" s="31">
        <v>74.814399699999996</v>
      </c>
      <c r="K8496" s="31">
        <v>52.953998599999998</v>
      </c>
      <c r="L8496" s="31"/>
      <c r="M8496" s="31" t="s">
        <v>854</v>
      </c>
      <c r="N8496" s="6" t="s">
        <v>856</v>
      </c>
    </row>
    <row r="8497" spans="1:14" ht="15" customHeight="1" x14ac:dyDescent="0.2">
      <c r="A8497" s="31">
        <v>-2.8097336930228079E-2</v>
      </c>
      <c r="B8497" s="31"/>
      <c r="C8497" s="2" t="s">
        <v>855</v>
      </c>
      <c r="D8497" s="31">
        <f t="shared" si="235"/>
        <v>-5.507078038324704E-3</v>
      </c>
      <c r="F8497" s="2" t="s">
        <v>822</v>
      </c>
      <c r="G8497" s="23" t="s">
        <v>902</v>
      </c>
      <c r="H8497" s="2" t="s">
        <v>822</v>
      </c>
      <c r="J8497" s="31">
        <v>70.771797199999995</v>
      </c>
      <c r="K8497" s="31">
        <v>42.233600600000003</v>
      </c>
      <c r="L8497" s="31"/>
      <c r="M8497" s="31" t="s">
        <v>854</v>
      </c>
      <c r="N8497" s="6" t="s">
        <v>856</v>
      </c>
    </row>
    <row r="8498" spans="1:14" ht="15" customHeight="1" x14ac:dyDescent="0.2">
      <c r="A8498" s="31">
        <v>-2.8209656942530682E-2</v>
      </c>
      <c r="B8498" s="31"/>
      <c r="C8498" s="2" t="s">
        <v>855</v>
      </c>
      <c r="D8498" s="31">
        <f t="shared" si="235"/>
        <v>-5.5290927607360135E-3</v>
      </c>
      <c r="F8498" s="2" t="s">
        <v>822</v>
      </c>
      <c r="G8498" s="23" t="s">
        <v>902</v>
      </c>
      <c r="H8498" s="2" t="s">
        <v>822</v>
      </c>
      <c r="J8498" s="31">
        <v>71.463996899999998</v>
      </c>
      <c r="K8498" s="31">
        <v>30.252000800000001</v>
      </c>
      <c r="L8498" s="31"/>
      <c r="M8498" s="31" t="s">
        <v>854</v>
      </c>
      <c r="N8498" s="6" t="s">
        <v>856</v>
      </c>
    </row>
    <row r="8499" spans="1:14" ht="15" customHeight="1" x14ac:dyDescent="0.2">
      <c r="A8499" s="31">
        <v>-2.8986932314282669E-2</v>
      </c>
      <c r="B8499" s="31"/>
      <c r="C8499" s="2" t="s">
        <v>855</v>
      </c>
      <c r="D8499" s="31">
        <f t="shared" si="235"/>
        <v>-5.681438733599403E-3</v>
      </c>
      <c r="F8499" s="2" t="s">
        <v>822</v>
      </c>
      <c r="G8499" s="23" t="s">
        <v>902</v>
      </c>
      <c r="H8499" s="2" t="s">
        <v>822</v>
      </c>
      <c r="J8499" s="31">
        <v>70.8113022</v>
      </c>
      <c r="K8499" s="31">
        <v>43.618000000000002</v>
      </c>
      <c r="L8499" s="31"/>
      <c r="M8499" s="31" t="s">
        <v>854</v>
      </c>
      <c r="N8499" s="6" t="s">
        <v>856</v>
      </c>
    </row>
    <row r="8500" spans="1:14" ht="15" customHeight="1" x14ac:dyDescent="0.2">
      <c r="A8500" s="31">
        <v>-2.9224760990799049E-2</v>
      </c>
      <c r="B8500" s="31"/>
      <c r="C8500" s="2" t="s">
        <v>855</v>
      </c>
      <c r="D8500" s="31">
        <f t="shared" si="235"/>
        <v>-5.7280531541966141E-3</v>
      </c>
      <c r="F8500" s="2" t="s">
        <v>822</v>
      </c>
      <c r="G8500" s="23" t="s">
        <v>902</v>
      </c>
      <c r="H8500" s="2" t="s">
        <v>822</v>
      </c>
      <c r="J8500" s="31">
        <v>69.723602299999996</v>
      </c>
      <c r="K8500" s="31">
        <v>44.279998800000001</v>
      </c>
      <c r="L8500" s="31"/>
      <c r="M8500" s="31" t="s">
        <v>854</v>
      </c>
      <c r="N8500" s="6" t="s">
        <v>856</v>
      </c>
    </row>
    <row r="8501" spans="1:14" ht="15" customHeight="1" x14ac:dyDescent="0.2">
      <c r="A8501" s="31">
        <v>-2.9235426673470941E-2</v>
      </c>
      <c r="B8501" s="31"/>
      <c r="C8501" s="2" t="s">
        <v>855</v>
      </c>
      <c r="D8501" s="31">
        <f t="shared" si="235"/>
        <v>-5.7301436280003046E-3</v>
      </c>
      <c r="F8501" s="2" t="s">
        <v>822</v>
      </c>
      <c r="G8501" s="23" t="s">
        <v>902</v>
      </c>
      <c r="H8501" s="2" t="s">
        <v>822</v>
      </c>
      <c r="J8501" s="31">
        <v>64.265998800000006</v>
      </c>
      <c r="K8501" s="31">
        <v>37.142501799999998</v>
      </c>
      <c r="L8501" s="31"/>
      <c r="M8501" s="31" t="s">
        <v>854</v>
      </c>
      <c r="N8501" s="6" t="s">
        <v>856</v>
      </c>
    </row>
    <row r="8502" spans="1:14" ht="15" customHeight="1" x14ac:dyDescent="0.2">
      <c r="A8502" s="31">
        <v>-2.9636467547730399E-2</v>
      </c>
      <c r="B8502" s="31"/>
      <c r="C8502" s="2" t="s">
        <v>855</v>
      </c>
      <c r="D8502" s="31">
        <f t="shared" si="235"/>
        <v>-5.8087476393551586E-3</v>
      </c>
      <c r="F8502" s="2" t="s">
        <v>822</v>
      </c>
      <c r="G8502" s="23" t="s">
        <v>902</v>
      </c>
      <c r="H8502" s="2" t="s">
        <v>822</v>
      </c>
      <c r="J8502" s="31">
        <v>70.795997600000007</v>
      </c>
      <c r="K8502" s="31">
        <v>40.271999399999999</v>
      </c>
      <c r="L8502" s="31"/>
      <c r="M8502" s="31" t="s">
        <v>854</v>
      </c>
      <c r="N8502" s="6" t="s">
        <v>856</v>
      </c>
    </row>
    <row r="8503" spans="1:14" ht="15" customHeight="1" x14ac:dyDescent="0.2">
      <c r="A8503" s="31">
        <v>-2.9796696695264791E-2</v>
      </c>
      <c r="B8503" s="31"/>
      <c r="C8503" s="2" t="s">
        <v>855</v>
      </c>
      <c r="D8503" s="31">
        <f t="shared" si="235"/>
        <v>-5.8401525522718996E-3</v>
      </c>
      <c r="F8503" s="2" t="s">
        <v>822</v>
      </c>
      <c r="G8503" s="23" t="s">
        <v>902</v>
      </c>
      <c r="H8503" s="2" t="s">
        <v>822</v>
      </c>
      <c r="J8503" s="31">
        <v>70.815902699999995</v>
      </c>
      <c r="K8503" s="31">
        <v>42.310798599999998</v>
      </c>
      <c r="L8503" s="31"/>
      <c r="M8503" s="31" t="s">
        <v>854</v>
      </c>
      <c r="N8503" s="6" t="s">
        <v>856</v>
      </c>
    </row>
    <row r="8504" spans="1:14" ht="15" customHeight="1" x14ac:dyDescent="0.2">
      <c r="A8504" s="31">
        <v>-2.99357067279039E-2</v>
      </c>
      <c r="B8504" s="31"/>
      <c r="C8504" s="2" t="s">
        <v>855</v>
      </c>
      <c r="D8504" s="31">
        <f t="shared" si="235"/>
        <v>-5.8673985186691643E-3</v>
      </c>
      <c r="F8504" s="2" t="s">
        <v>822</v>
      </c>
      <c r="G8504" s="23" t="s">
        <v>902</v>
      </c>
      <c r="H8504" s="2" t="s">
        <v>822</v>
      </c>
      <c r="J8504" s="31">
        <v>70.724601699999994</v>
      </c>
      <c r="K8504" s="31">
        <v>44.121601099999999</v>
      </c>
      <c r="L8504" s="31"/>
      <c r="M8504" s="31" t="s">
        <v>854</v>
      </c>
      <c r="N8504" s="6" t="s">
        <v>856</v>
      </c>
    </row>
    <row r="8505" spans="1:14" ht="15" customHeight="1" x14ac:dyDescent="0.2">
      <c r="A8505" s="31">
        <v>-3.0427249476690309E-2</v>
      </c>
      <c r="B8505" s="31"/>
      <c r="C8505" s="2" t="s">
        <v>855</v>
      </c>
      <c r="D8505" s="31">
        <f t="shared" si="235"/>
        <v>-5.9637408974313006E-3</v>
      </c>
      <c r="F8505" s="2" t="s">
        <v>822</v>
      </c>
      <c r="G8505" s="23" t="s">
        <v>902</v>
      </c>
      <c r="H8505" s="2" t="s">
        <v>822</v>
      </c>
      <c r="J8505" s="31">
        <v>75.327201799999997</v>
      </c>
      <c r="K8505" s="31">
        <v>52.973701499999997</v>
      </c>
      <c r="L8505" s="31"/>
      <c r="M8505" s="31" t="s">
        <v>854</v>
      </c>
      <c r="N8505" s="6" t="s">
        <v>856</v>
      </c>
    </row>
    <row r="8506" spans="1:14" ht="15" customHeight="1" x14ac:dyDescent="0.2">
      <c r="A8506" s="31">
        <v>-3.0804467636923322E-2</v>
      </c>
      <c r="B8506" s="31"/>
      <c r="C8506" s="2" t="s">
        <v>855</v>
      </c>
      <c r="D8506" s="31">
        <f t="shared" si="235"/>
        <v>-6.0376756568369713E-3</v>
      </c>
      <c r="F8506" s="2" t="s">
        <v>822</v>
      </c>
      <c r="G8506" s="23" t="s">
        <v>902</v>
      </c>
      <c r="H8506" s="2" t="s">
        <v>822</v>
      </c>
      <c r="J8506" s="31">
        <v>65.056602499999997</v>
      </c>
      <c r="K8506" s="31">
        <v>37.861400600000003</v>
      </c>
      <c r="L8506" s="31"/>
      <c r="M8506" s="31" t="s">
        <v>854</v>
      </c>
      <c r="N8506" s="6" t="s">
        <v>856</v>
      </c>
    </row>
    <row r="8507" spans="1:14" ht="15" customHeight="1" x14ac:dyDescent="0.2">
      <c r="A8507" s="31">
        <v>-3.1170105377851968E-2</v>
      </c>
      <c r="B8507" s="31"/>
      <c r="C8507" s="2" t="s">
        <v>855</v>
      </c>
      <c r="D8507" s="31">
        <f t="shared" si="235"/>
        <v>-6.1093406540589862E-3</v>
      </c>
      <c r="F8507" s="2" t="s">
        <v>822</v>
      </c>
      <c r="G8507" s="23" t="s">
        <v>902</v>
      </c>
      <c r="H8507" s="2" t="s">
        <v>822</v>
      </c>
      <c r="J8507" s="31">
        <v>69.389602699999998</v>
      </c>
      <c r="K8507" s="31">
        <v>45.259799999999998</v>
      </c>
      <c r="L8507" s="31"/>
      <c r="M8507" s="31" t="s">
        <v>854</v>
      </c>
      <c r="N8507" s="6" t="s">
        <v>856</v>
      </c>
    </row>
    <row r="8508" spans="1:14" ht="15" customHeight="1" x14ac:dyDescent="0.2">
      <c r="A8508" s="31">
        <v>-3.1486595796973903E-2</v>
      </c>
      <c r="B8508" s="31"/>
      <c r="C8508" s="2" t="s">
        <v>855</v>
      </c>
      <c r="D8508" s="31">
        <f t="shared" si="235"/>
        <v>-6.1713727762068848E-3</v>
      </c>
      <c r="F8508" s="2" t="s">
        <v>822</v>
      </c>
      <c r="G8508" s="23" t="s">
        <v>902</v>
      </c>
      <c r="H8508" s="2" t="s">
        <v>822</v>
      </c>
      <c r="J8508" s="31">
        <v>70.116500900000005</v>
      </c>
      <c r="K8508" s="31">
        <v>44.279800399999999</v>
      </c>
      <c r="L8508" s="31"/>
      <c r="M8508" s="31" t="s">
        <v>854</v>
      </c>
      <c r="N8508" s="6" t="s">
        <v>856</v>
      </c>
    </row>
    <row r="8509" spans="1:14" ht="15" customHeight="1" x14ac:dyDescent="0.2">
      <c r="A8509" s="31">
        <v>-3.2174464315008873E-2</v>
      </c>
      <c r="B8509" s="31"/>
      <c r="C8509" s="2" t="s">
        <v>855</v>
      </c>
      <c r="D8509" s="31">
        <f t="shared" si="235"/>
        <v>-6.3061950057417392E-3</v>
      </c>
      <c r="F8509" s="2" t="s">
        <v>822</v>
      </c>
      <c r="G8509" s="23" t="s">
        <v>902</v>
      </c>
      <c r="H8509" s="2" t="s">
        <v>822</v>
      </c>
      <c r="J8509" s="31">
        <v>72.132003800000007</v>
      </c>
      <c r="K8509" s="31">
        <v>39.6040001</v>
      </c>
      <c r="L8509" s="31"/>
      <c r="M8509" s="31" t="s">
        <v>854</v>
      </c>
      <c r="N8509" s="6" t="s">
        <v>856</v>
      </c>
    </row>
    <row r="8510" spans="1:14" ht="15" customHeight="1" x14ac:dyDescent="0.2">
      <c r="A8510" s="31">
        <v>-3.2353938868791392E-2</v>
      </c>
      <c r="B8510" s="31"/>
      <c r="C8510" s="2" t="s">
        <v>855</v>
      </c>
      <c r="D8510" s="31">
        <f t="shared" si="235"/>
        <v>-6.3413720182831134E-3</v>
      </c>
      <c r="F8510" s="2" t="s">
        <v>822</v>
      </c>
      <c r="G8510" s="23" t="s">
        <v>902</v>
      </c>
      <c r="H8510" s="2" t="s">
        <v>822</v>
      </c>
      <c r="J8510" s="31">
        <v>64.417701699999995</v>
      </c>
      <c r="K8510" s="31">
        <v>37.703098300000001</v>
      </c>
      <c r="L8510" s="31"/>
      <c r="M8510" s="31" t="s">
        <v>854</v>
      </c>
      <c r="N8510" s="6" t="s">
        <v>856</v>
      </c>
    </row>
    <row r="8511" spans="1:14" ht="15" customHeight="1" x14ac:dyDescent="0.2">
      <c r="A8511" s="31">
        <v>-3.2747152859045087E-2</v>
      </c>
      <c r="B8511" s="31"/>
      <c r="C8511" s="2" t="s">
        <v>855</v>
      </c>
      <c r="D8511" s="31">
        <f t="shared" ref="D8511:D8529" si="236" xml:space="preserve"> A8511 * 0.196</f>
        <v>-6.4184419603728372E-3</v>
      </c>
      <c r="F8511" s="2" t="s">
        <v>822</v>
      </c>
      <c r="G8511" s="23" t="s">
        <v>902</v>
      </c>
      <c r="H8511" s="2" t="s">
        <v>822</v>
      </c>
      <c r="J8511" s="31">
        <v>73.468002299999995</v>
      </c>
      <c r="K8511" s="31">
        <v>37.599998499999998</v>
      </c>
      <c r="L8511" s="31"/>
      <c r="M8511" s="31" t="s">
        <v>854</v>
      </c>
      <c r="N8511" s="6" t="s">
        <v>856</v>
      </c>
    </row>
    <row r="8512" spans="1:14" ht="15" customHeight="1" x14ac:dyDescent="0.2">
      <c r="A8512" s="31">
        <v>-3.2762611445141372E-2</v>
      </c>
      <c r="B8512" s="31"/>
      <c r="C8512" s="2" t="s">
        <v>855</v>
      </c>
      <c r="D8512" s="31">
        <f t="shared" si="236"/>
        <v>-6.4214718432477093E-3</v>
      </c>
      <c r="F8512" s="2" t="s">
        <v>822</v>
      </c>
      <c r="G8512" s="23" t="s">
        <v>902</v>
      </c>
      <c r="H8512" s="2" t="s">
        <v>822</v>
      </c>
      <c r="J8512" s="31">
        <v>74.311599700000002</v>
      </c>
      <c r="K8512" s="31">
        <v>37.835800200000001</v>
      </c>
      <c r="L8512" s="31"/>
      <c r="M8512" s="31" t="s">
        <v>854</v>
      </c>
      <c r="N8512" s="6" t="s">
        <v>856</v>
      </c>
    </row>
    <row r="8513" spans="1:14" ht="15" customHeight="1" x14ac:dyDescent="0.2">
      <c r="A8513" s="31">
        <v>-3.3448964104894577E-2</v>
      </c>
      <c r="B8513" s="31"/>
      <c r="C8513" s="2" t="s">
        <v>855</v>
      </c>
      <c r="D8513" s="31">
        <f t="shared" si="236"/>
        <v>-6.5559969645593375E-3</v>
      </c>
      <c r="F8513" s="2" t="s">
        <v>822</v>
      </c>
      <c r="G8513" s="23" t="s">
        <v>902</v>
      </c>
      <c r="H8513" s="2" t="s">
        <v>822</v>
      </c>
      <c r="J8513" s="31">
        <v>70.127998399999996</v>
      </c>
      <c r="K8513" s="31">
        <v>42.944000199999998</v>
      </c>
      <c r="L8513" s="31"/>
      <c r="M8513" s="31" t="s">
        <v>854</v>
      </c>
      <c r="N8513" s="6" t="s">
        <v>856</v>
      </c>
    </row>
    <row r="8514" spans="1:14" ht="15" customHeight="1" x14ac:dyDescent="0.2">
      <c r="A8514" s="31">
        <v>-3.3565466417795911E-2</v>
      </c>
      <c r="B8514" s="31"/>
      <c r="C8514" s="2" t="s">
        <v>855</v>
      </c>
      <c r="D8514" s="31">
        <f t="shared" si="236"/>
        <v>-6.5788314178879988E-3</v>
      </c>
      <c r="F8514" s="2" t="s">
        <v>822</v>
      </c>
      <c r="G8514" s="23" t="s">
        <v>902</v>
      </c>
      <c r="H8514" s="2" t="s">
        <v>822</v>
      </c>
      <c r="J8514" s="31">
        <v>72.800003099999998</v>
      </c>
      <c r="K8514" s="31">
        <v>37.599998499999998</v>
      </c>
      <c r="L8514" s="31"/>
      <c r="M8514" s="31" t="s">
        <v>854</v>
      </c>
      <c r="N8514" s="6" t="s">
        <v>856</v>
      </c>
    </row>
    <row r="8515" spans="1:14" ht="15" customHeight="1" x14ac:dyDescent="0.2">
      <c r="A8515" s="31">
        <v>-3.4557908623453981E-2</v>
      </c>
      <c r="B8515" s="31"/>
      <c r="C8515" s="2" t="s">
        <v>855</v>
      </c>
      <c r="D8515" s="31">
        <f t="shared" si="236"/>
        <v>-6.773350090196981E-3</v>
      </c>
      <c r="F8515" s="2" t="s">
        <v>822</v>
      </c>
      <c r="G8515" s="23" t="s">
        <v>902</v>
      </c>
      <c r="H8515" s="2" t="s">
        <v>822</v>
      </c>
      <c r="J8515" s="31">
        <v>67.774696399999996</v>
      </c>
      <c r="K8515" s="31">
        <v>40.498298599999998</v>
      </c>
      <c r="L8515" s="31"/>
      <c r="M8515" s="31" t="s">
        <v>854</v>
      </c>
      <c r="N8515" s="6" t="s">
        <v>856</v>
      </c>
    </row>
    <row r="8516" spans="1:14" ht="15" customHeight="1" x14ac:dyDescent="0.2">
      <c r="A8516" s="31">
        <v>-3.4914540613468291E-2</v>
      </c>
      <c r="B8516" s="31"/>
      <c r="C8516" s="2" t="s">
        <v>855</v>
      </c>
      <c r="D8516" s="31">
        <f t="shared" si="236"/>
        <v>-6.8432499602397853E-3</v>
      </c>
      <c r="F8516" s="2" t="s">
        <v>822</v>
      </c>
      <c r="G8516" s="23" t="s">
        <v>902</v>
      </c>
      <c r="H8516" s="2" t="s">
        <v>822</v>
      </c>
      <c r="J8516" s="31">
        <v>75.497200000000007</v>
      </c>
      <c r="K8516" s="31">
        <v>54.141799900000002</v>
      </c>
      <c r="L8516" s="31"/>
      <c r="M8516" s="31" t="s">
        <v>854</v>
      </c>
      <c r="N8516" s="6" t="s">
        <v>856</v>
      </c>
    </row>
    <row r="8517" spans="1:14" ht="15" customHeight="1" x14ac:dyDescent="0.2">
      <c r="A8517" s="31">
        <v>-3.5862924309401932E-2</v>
      </c>
      <c r="B8517" s="31"/>
      <c r="C8517" s="2" t="s">
        <v>855</v>
      </c>
      <c r="D8517" s="31">
        <f t="shared" si="236"/>
        <v>-7.0291331646427794E-3</v>
      </c>
      <c r="F8517" s="2" t="s">
        <v>822</v>
      </c>
      <c r="G8517" s="23" t="s">
        <v>902</v>
      </c>
      <c r="H8517" s="2" t="s">
        <v>822</v>
      </c>
      <c r="J8517" s="31">
        <v>70.127998399999996</v>
      </c>
      <c r="K8517" s="31">
        <v>40.939998600000003</v>
      </c>
      <c r="L8517" s="31"/>
      <c r="M8517" s="31" t="s">
        <v>854</v>
      </c>
      <c r="N8517" s="6" t="s">
        <v>856</v>
      </c>
    </row>
    <row r="8518" spans="1:14" ht="15" customHeight="1" x14ac:dyDescent="0.2">
      <c r="A8518" s="31">
        <v>-3.6179764266136637E-2</v>
      </c>
      <c r="B8518" s="31"/>
      <c r="C8518" s="2" t="s">
        <v>855</v>
      </c>
      <c r="D8518" s="31">
        <f t="shared" si="236"/>
        <v>-7.0912337961627813E-3</v>
      </c>
      <c r="F8518" s="2" t="s">
        <v>822</v>
      </c>
      <c r="G8518" s="23" t="s">
        <v>902</v>
      </c>
      <c r="H8518" s="2" t="s">
        <v>822</v>
      </c>
      <c r="J8518" s="31">
        <v>69.747100799999998</v>
      </c>
      <c r="K8518" s="31">
        <v>54.357799499999999</v>
      </c>
      <c r="L8518" s="31"/>
      <c r="M8518" s="31" t="s">
        <v>854</v>
      </c>
      <c r="N8518" s="6" t="s">
        <v>856</v>
      </c>
    </row>
    <row r="8519" spans="1:14" ht="15" customHeight="1" x14ac:dyDescent="0.2">
      <c r="A8519" s="31">
        <v>-3.6486113880870891E-2</v>
      </c>
      <c r="B8519" s="31"/>
      <c r="C8519" s="2" t="s">
        <v>855</v>
      </c>
      <c r="D8519" s="31">
        <f t="shared" si="236"/>
        <v>-7.1512783206506949E-3</v>
      </c>
      <c r="F8519" s="2" t="s">
        <v>822</v>
      </c>
      <c r="G8519" s="23" t="s">
        <v>902</v>
      </c>
      <c r="H8519" s="2" t="s">
        <v>822</v>
      </c>
      <c r="J8519" s="31">
        <v>69.014602699999998</v>
      </c>
      <c r="K8519" s="31">
        <v>45.259799999999998</v>
      </c>
      <c r="L8519" s="31"/>
      <c r="M8519" s="31" t="s">
        <v>854</v>
      </c>
      <c r="N8519" s="6" t="s">
        <v>856</v>
      </c>
    </row>
    <row r="8520" spans="1:14" ht="15" customHeight="1" x14ac:dyDescent="0.2">
      <c r="A8520" s="31">
        <v>-3.6567661876802098E-2</v>
      </c>
      <c r="B8520" s="31"/>
      <c r="C8520" s="2" t="s">
        <v>855</v>
      </c>
      <c r="D8520" s="31">
        <f t="shared" si="236"/>
        <v>-7.1672617278532112E-3</v>
      </c>
      <c r="F8520" s="2" t="s">
        <v>822</v>
      </c>
      <c r="G8520" s="23" t="s">
        <v>902</v>
      </c>
      <c r="H8520" s="2" t="s">
        <v>822</v>
      </c>
      <c r="J8520" s="31">
        <v>74.333503699999994</v>
      </c>
      <c r="K8520" s="31">
        <v>52.788398700000002</v>
      </c>
      <c r="L8520" s="31"/>
      <c r="M8520" s="31" t="s">
        <v>854</v>
      </c>
      <c r="N8520" s="6" t="s">
        <v>856</v>
      </c>
    </row>
    <row r="8521" spans="1:14" ht="15" customHeight="1" x14ac:dyDescent="0.2">
      <c r="A8521" s="31">
        <v>-3.6813027677030208E-2</v>
      </c>
      <c r="B8521" s="31"/>
      <c r="C8521" s="2" t="s">
        <v>855</v>
      </c>
      <c r="D8521" s="31">
        <f t="shared" si="236"/>
        <v>-7.2153534246979208E-3</v>
      </c>
      <c r="F8521" s="2" t="s">
        <v>822</v>
      </c>
      <c r="G8521" s="23" t="s">
        <v>902</v>
      </c>
      <c r="H8521" s="2" t="s">
        <v>822</v>
      </c>
      <c r="J8521" s="31">
        <v>69.459999100000005</v>
      </c>
      <c r="K8521" s="31">
        <v>40.939998600000003</v>
      </c>
      <c r="L8521" s="31"/>
      <c r="M8521" s="31" t="s">
        <v>854</v>
      </c>
      <c r="N8521" s="6" t="s">
        <v>856</v>
      </c>
    </row>
    <row r="8522" spans="1:14" ht="15" customHeight="1" x14ac:dyDescent="0.2">
      <c r="A8522" s="31">
        <v>-3.7302645487215701E-2</v>
      </c>
      <c r="B8522" s="31"/>
      <c r="C8522" s="2" t="s">
        <v>855</v>
      </c>
      <c r="D8522" s="31">
        <f t="shared" si="236"/>
        <v>-7.3113185154942773E-3</v>
      </c>
      <c r="F8522" s="2" t="s">
        <v>822</v>
      </c>
      <c r="G8522" s="23" t="s">
        <v>902</v>
      </c>
      <c r="H8522" s="2" t="s">
        <v>822</v>
      </c>
      <c r="J8522" s="31">
        <v>74.804000900000005</v>
      </c>
      <c r="K8522" s="31">
        <v>51.962001800000003</v>
      </c>
      <c r="L8522" s="31"/>
      <c r="M8522" s="31" t="s">
        <v>854</v>
      </c>
      <c r="N8522" s="6" t="s">
        <v>856</v>
      </c>
    </row>
    <row r="8523" spans="1:14" ht="15" customHeight="1" x14ac:dyDescent="0.2">
      <c r="A8523" s="31">
        <v>-3.7513007877034432E-2</v>
      </c>
      <c r="B8523" s="31"/>
      <c r="C8523" s="2" t="s">
        <v>855</v>
      </c>
      <c r="D8523" s="31">
        <f t="shared" si="236"/>
        <v>-7.3525495438987488E-3</v>
      </c>
      <c r="F8523" s="2" t="s">
        <v>822</v>
      </c>
      <c r="G8523" s="23" t="s">
        <v>902</v>
      </c>
      <c r="H8523" s="2" t="s">
        <v>822</v>
      </c>
      <c r="J8523" s="31">
        <v>71.463996899999998</v>
      </c>
      <c r="K8523" s="31">
        <v>38.936000800000002</v>
      </c>
      <c r="L8523" s="31"/>
      <c r="M8523" s="31" t="s">
        <v>854</v>
      </c>
      <c r="N8523" s="6" t="s">
        <v>856</v>
      </c>
    </row>
    <row r="8524" spans="1:14" ht="15" customHeight="1" x14ac:dyDescent="0.2">
      <c r="A8524" s="31">
        <v>-3.9744796153612087E-2</v>
      </c>
      <c r="B8524" s="31"/>
      <c r="C8524" s="2" t="s">
        <v>855</v>
      </c>
      <c r="D8524" s="31">
        <f t="shared" si="236"/>
        <v>-7.7899800461079692E-3</v>
      </c>
      <c r="F8524" s="2" t="s">
        <v>822</v>
      </c>
      <c r="G8524" s="23" t="s">
        <v>902</v>
      </c>
      <c r="H8524" s="2" t="s">
        <v>822</v>
      </c>
      <c r="J8524" s="31">
        <v>70.127998399999996</v>
      </c>
      <c r="K8524" s="31">
        <v>42.276001000000001</v>
      </c>
      <c r="L8524" s="31"/>
      <c r="M8524" s="31" t="s">
        <v>854</v>
      </c>
      <c r="N8524" s="6" t="s">
        <v>856</v>
      </c>
    </row>
    <row r="8525" spans="1:14" ht="15" customHeight="1" x14ac:dyDescent="0.2">
      <c r="A8525" s="31">
        <v>-3.9821037662373153E-2</v>
      </c>
      <c r="B8525" s="31"/>
      <c r="C8525" s="2" t="s">
        <v>855</v>
      </c>
      <c r="D8525" s="31">
        <f t="shared" si="236"/>
        <v>-7.8049233818251384E-3</v>
      </c>
      <c r="F8525" s="2" t="s">
        <v>822</v>
      </c>
      <c r="G8525" s="23" t="s">
        <v>902</v>
      </c>
      <c r="H8525" s="2" t="s">
        <v>822</v>
      </c>
      <c r="J8525" s="31">
        <v>73.696296700000005</v>
      </c>
      <c r="K8525" s="31">
        <v>52.084701500000001</v>
      </c>
      <c r="L8525" s="31"/>
      <c r="M8525" s="31" t="s">
        <v>854</v>
      </c>
      <c r="N8525" s="6" t="s">
        <v>856</v>
      </c>
    </row>
    <row r="8526" spans="1:14" ht="15" customHeight="1" x14ac:dyDescent="0.2">
      <c r="A8526" s="31">
        <v>-4.180304796045356E-2</v>
      </c>
      <c r="B8526" s="31"/>
      <c r="C8526" s="2" t="s">
        <v>855</v>
      </c>
      <c r="D8526" s="31">
        <f t="shared" si="236"/>
        <v>-8.1933974002488981E-3</v>
      </c>
      <c r="F8526" s="2" t="s">
        <v>822</v>
      </c>
      <c r="G8526" s="23" t="s">
        <v>902</v>
      </c>
      <c r="H8526" s="2" t="s">
        <v>822</v>
      </c>
      <c r="J8526" s="31">
        <v>70.127998399999996</v>
      </c>
      <c r="K8526" s="31">
        <v>43.611999500000003</v>
      </c>
      <c r="L8526" s="31"/>
      <c r="M8526" s="31" t="s">
        <v>854</v>
      </c>
      <c r="N8526" s="6" t="s">
        <v>856</v>
      </c>
    </row>
    <row r="8527" spans="1:14" ht="15" customHeight="1" x14ac:dyDescent="0.2">
      <c r="A8527" s="31">
        <v>-4.405248016673674E-2</v>
      </c>
      <c r="B8527" s="31"/>
      <c r="C8527" s="2" t="s">
        <v>855</v>
      </c>
      <c r="D8527" s="31">
        <f t="shared" si="236"/>
        <v>-8.6342861126804012E-3</v>
      </c>
      <c r="F8527" s="2" t="s">
        <v>822</v>
      </c>
      <c r="G8527" s="23" t="s">
        <v>902</v>
      </c>
      <c r="H8527" s="2" t="s">
        <v>822</v>
      </c>
      <c r="J8527" s="31">
        <v>64.9276962</v>
      </c>
      <c r="K8527" s="31">
        <v>38.061500500000001</v>
      </c>
      <c r="L8527" s="31"/>
      <c r="M8527" s="31" t="s">
        <v>854</v>
      </c>
      <c r="N8527" s="6" t="s">
        <v>856</v>
      </c>
    </row>
    <row r="8528" spans="1:14" ht="15" customHeight="1" x14ac:dyDescent="0.2">
      <c r="A8528" s="31">
        <v>-4.4783551662504507E-2</v>
      </c>
      <c r="B8528" s="31"/>
      <c r="C8528" s="2" t="s">
        <v>855</v>
      </c>
      <c r="D8528" s="31">
        <f t="shared" si="236"/>
        <v>-8.777576125850884E-3</v>
      </c>
      <c r="F8528" s="2" t="s">
        <v>822</v>
      </c>
      <c r="G8528" s="23" t="s">
        <v>902</v>
      </c>
      <c r="H8528" s="2" t="s">
        <v>822</v>
      </c>
      <c r="J8528" s="31">
        <v>65.080802899999995</v>
      </c>
      <c r="K8528" s="31">
        <v>37.614700300000003</v>
      </c>
      <c r="L8528" s="31"/>
      <c r="M8528" s="31" t="s">
        <v>854</v>
      </c>
      <c r="N8528" s="6" t="s">
        <v>856</v>
      </c>
    </row>
    <row r="8529" spans="1:14" ht="15" customHeight="1" x14ac:dyDescent="0.2">
      <c r="A8529" s="31">
        <v>-4.5408058636507147E-2</v>
      </c>
      <c r="B8529" s="31"/>
      <c r="C8529" s="2" t="s">
        <v>855</v>
      </c>
      <c r="D8529" s="31">
        <f t="shared" si="236"/>
        <v>-8.8999794927554013E-3</v>
      </c>
      <c r="F8529" s="2" t="s">
        <v>822</v>
      </c>
      <c r="G8529" s="23" t="s">
        <v>902</v>
      </c>
      <c r="H8529" s="2" t="s">
        <v>822</v>
      </c>
      <c r="J8529" s="31">
        <v>72.800003099999998</v>
      </c>
      <c r="K8529" s="31">
        <v>38.268001599999998</v>
      </c>
      <c r="L8529" s="31"/>
      <c r="M8529" s="31" t="s">
        <v>854</v>
      </c>
      <c r="N8529" s="6" t="s">
        <v>856</v>
      </c>
    </row>
    <row r="8530" spans="1:14" ht="15" customHeight="1" x14ac:dyDescent="0.2">
      <c r="A8530" s="22">
        <v>-9.2199646329744946E-3</v>
      </c>
      <c r="B8530" s="22"/>
      <c r="C8530" s="2" t="s">
        <v>891</v>
      </c>
      <c r="D8530" s="2">
        <f>A8530</f>
        <v>-9.2199646329744946E-3</v>
      </c>
      <c r="F8530" s="2">
        <v>2023</v>
      </c>
      <c r="G8530" s="23" t="s">
        <v>902</v>
      </c>
      <c r="H8530" s="2" t="s">
        <v>772</v>
      </c>
      <c r="I8530" s="14" t="s">
        <v>191</v>
      </c>
      <c r="J8530" s="23" t="s">
        <v>293</v>
      </c>
      <c r="K8530" s="23" t="s">
        <v>497</v>
      </c>
      <c r="L8530" s="23" t="s">
        <v>820</v>
      </c>
      <c r="M8530" s="2" t="s">
        <v>825</v>
      </c>
      <c r="N8530" s="6" t="s">
        <v>828</v>
      </c>
    </row>
    <row r="8531" spans="1:14" ht="15" customHeight="1" x14ac:dyDescent="0.2">
      <c r="A8531" s="31">
        <v>-4.7191974178284919E-2</v>
      </c>
      <c r="B8531" s="31"/>
      <c r="C8531" s="2" t="s">
        <v>855</v>
      </c>
      <c r="D8531" s="31">
        <f t="shared" ref="D8531:D8548" si="237" xml:space="preserve"> A8531 * 0.196</f>
        <v>-9.2496269389438449E-3</v>
      </c>
      <c r="F8531" s="2" t="s">
        <v>822</v>
      </c>
      <c r="G8531" s="23" t="s">
        <v>902</v>
      </c>
      <c r="H8531" s="2" t="s">
        <v>822</v>
      </c>
      <c r="J8531" s="31">
        <v>74.970703099999994</v>
      </c>
      <c r="K8531" s="31">
        <v>53.492198899999998</v>
      </c>
      <c r="L8531" s="31"/>
      <c r="M8531" s="31" t="s">
        <v>854</v>
      </c>
      <c r="N8531" s="6" t="s">
        <v>856</v>
      </c>
    </row>
    <row r="8532" spans="1:14" ht="15" customHeight="1" x14ac:dyDescent="0.2">
      <c r="A8532" s="31">
        <v>-4.864410927414195E-2</v>
      </c>
      <c r="B8532" s="31"/>
      <c r="C8532" s="2" t="s">
        <v>855</v>
      </c>
      <c r="D8532" s="31">
        <f t="shared" si="237"/>
        <v>-9.5342454177318233E-3</v>
      </c>
      <c r="F8532" s="2" t="s">
        <v>822</v>
      </c>
      <c r="G8532" s="23" t="s">
        <v>902</v>
      </c>
      <c r="H8532" s="2" t="s">
        <v>822</v>
      </c>
      <c r="J8532" s="31">
        <v>70.460899400000002</v>
      </c>
      <c r="K8532" s="31">
        <v>43.935699499999998</v>
      </c>
      <c r="L8532" s="31"/>
      <c r="M8532" s="31" t="s">
        <v>854</v>
      </c>
      <c r="N8532" s="6" t="s">
        <v>856</v>
      </c>
    </row>
    <row r="8533" spans="1:14" ht="15" customHeight="1" x14ac:dyDescent="0.2">
      <c r="A8533" s="31">
        <v>-4.8826145918707008E-2</v>
      </c>
      <c r="B8533" s="31"/>
      <c r="C8533" s="2" t="s">
        <v>855</v>
      </c>
      <c r="D8533" s="31">
        <f t="shared" si="237"/>
        <v>-9.5699246000665733E-3</v>
      </c>
      <c r="F8533" s="2" t="s">
        <v>822</v>
      </c>
      <c r="G8533" s="23" t="s">
        <v>902</v>
      </c>
      <c r="H8533" s="2" t="s">
        <v>822</v>
      </c>
      <c r="J8533" s="31">
        <v>75.294502300000005</v>
      </c>
      <c r="K8533" s="31">
        <v>52.307701100000003</v>
      </c>
      <c r="L8533" s="31"/>
      <c r="M8533" s="31" t="s">
        <v>854</v>
      </c>
      <c r="N8533" s="6" t="s">
        <v>856</v>
      </c>
    </row>
    <row r="8534" spans="1:14" ht="15" customHeight="1" x14ac:dyDescent="0.2">
      <c r="A8534" s="31">
        <v>-4.9816827246771257E-2</v>
      </c>
      <c r="B8534" s="31"/>
      <c r="C8534" s="2" t="s">
        <v>855</v>
      </c>
      <c r="D8534" s="31">
        <f t="shared" si="237"/>
        <v>-9.7640981403671664E-3</v>
      </c>
      <c r="F8534" s="2" t="s">
        <v>822</v>
      </c>
      <c r="G8534" s="23" t="s">
        <v>902</v>
      </c>
      <c r="H8534" s="2" t="s">
        <v>822</v>
      </c>
      <c r="J8534" s="31">
        <v>69.700202899999994</v>
      </c>
      <c r="K8534" s="31">
        <v>53.872199999999999</v>
      </c>
      <c r="L8534" s="31"/>
      <c r="M8534" s="31" t="s">
        <v>854</v>
      </c>
      <c r="N8534" s="6" t="s">
        <v>856</v>
      </c>
    </row>
    <row r="8535" spans="1:14" ht="15" customHeight="1" x14ac:dyDescent="0.2">
      <c r="A8535" s="31">
        <v>-5.0227953827910517E-2</v>
      </c>
      <c r="B8535" s="31"/>
      <c r="C8535" s="2" t="s">
        <v>855</v>
      </c>
      <c r="D8535" s="31">
        <f t="shared" si="237"/>
        <v>-9.8446789502704621E-3</v>
      </c>
      <c r="F8535" s="2" t="s">
        <v>822</v>
      </c>
      <c r="G8535" s="23" t="s">
        <v>902</v>
      </c>
      <c r="H8535" s="2" t="s">
        <v>822</v>
      </c>
      <c r="J8535" s="31">
        <v>64.784698500000005</v>
      </c>
      <c r="K8535" s="31">
        <v>38.638500200000003</v>
      </c>
      <c r="L8535" s="31"/>
      <c r="M8535" s="31" t="s">
        <v>854</v>
      </c>
      <c r="N8535" s="6" t="s">
        <v>856</v>
      </c>
    </row>
    <row r="8536" spans="1:14" ht="15" customHeight="1" x14ac:dyDescent="0.2">
      <c r="A8536" s="31">
        <v>-5.2582997287741039E-2</v>
      </c>
      <c r="B8536" s="31"/>
      <c r="C8536" s="2" t="s">
        <v>855</v>
      </c>
      <c r="D8536" s="31">
        <f t="shared" si="237"/>
        <v>-1.0306267468397244E-2</v>
      </c>
      <c r="F8536" s="2" t="s">
        <v>822</v>
      </c>
      <c r="G8536" s="23" t="s">
        <v>902</v>
      </c>
      <c r="H8536" s="2" t="s">
        <v>822</v>
      </c>
      <c r="J8536" s="31">
        <v>69.723602299999996</v>
      </c>
      <c r="K8536" s="31">
        <v>42.944000199999998</v>
      </c>
      <c r="L8536" s="31"/>
      <c r="M8536" s="31" t="s">
        <v>854</v>
      </c>
      <c r="N8536" s="6" t="s">
        <v>856</v>
      </c>
    </row>
    <row r="8537" spans="1:14" ht="15" customHeight="1" x14ac:dyDescent="0.2">
      <c r="A8537" s="31">
        <v>-5.2929307469416147E-2</v>
      </c>
      <c r="B8537" s="31"/>
      <c r="C8537" s="2" t="s">
        <v>855</v>
      </c>
      <c r="D8537" s="31">
        <f t="shared" si="237"/>
        <v>-1.0374144264005566E-2</v>
      </c>
      <c r="F8537" s="2" t="s">
        <v>822</v>
      </c>
      <c r="G8537" s="23" t="s">
        <v>902</v>
      </c>
      <c r="H8537" s="2" t="s">
        <v>822</v>
      </c>
      <c r="J8537" s="31">
        <v>75.221397400000001</v>
      </c>
      <c r="K8537" s="31">
        <v>27.645099600000002</v>
      </c>
      <c r="L8537" s="31"/>
      <c r="M8537" s="31" t="s">
        <v>854</v>
      </c>
      <c r="N8537" s="6" t="s">
        <v>856</v>
      </c>
    </row>
    <row r="8538" spans="1:14" ht="15" customHeight="1" x14ac:dyDescent="0.2">
      <c r="A8538" s="31">
        <v>-5.3134402543822228E-2</v>
      </c>
      <c r="B8538" s="31"/>
      <c r="C8538" s="2" t="s">
        <v>855</v>
      </c>
      <c r="D8538" s="31">
        <f t="shared" si="237"/>
        <v>-1.0414342898589156E-2</v>
      </c>
      <c r="F8538" s="2" t="s">
        <v>822</v>
      </c>
      <c r="G8538" s="23" t="s">
        <v>902</v>
      </c>
      <c r="H8538" s="2" t="s">
        <v>822</v>
      </c>
      <c r="J8538" s="31">
        <v>68.311798100000004</v>
      </c>
      <c r="K8538" s="31">
        <v>39.963199600000003</v>
      </c>
      <c r="L8538" s="31"/>
      <c r="M8538" s="31" t="s">
        <v>854</v>
      </c>
      <c r="N8538" s="6" t="s">
        <v>856</v>
      </c>
    </row>
    <row r="8539" spans="1:14" ht="15" customHeight="1" x14ac:dyDescent="0.2">
      <c r="A8539" s="31">
        <v>-5.3854702096002099E-2</v>
      </c>
      <c r="B8539" s="31"/>
      <c r="C8539" s="2" t="s">
        <v>855</v>
      </c>
      <c r="D8539" s="31">
        <f t="shared" si="237"/>
        <v>-1.0555521610816411E-2</v>
      </c>
      <c r="F8539" s="2" t="s">
        <v>822</v>
      </c>
      <c r="G8539" s="23" t="s">
        <v>902</v>
      </c>
      <c r="H8539" s="2" t="s">
        <v>822</v>
      </c>
      <c r="J8539" s="31">
        <v>69.723602299999996</v>
      </c>
      <c r="K8539" s="31">
        <v>53.392799400000001</v>
      </c>
      <c r="L8539" s="31"/>
      <c r="M8539" s="31" t="s">
        <v>854</v>
      </c>
      <c r="N8539" s="6" t="s">
        <v>856</v>
      </c>
    </row>
    <row r="8540" spans="1:14" ht="15" customHeight="1" x14ac:dyDescent="0.2">
      <c r="A8540" s="31">
        <v>-5.4620528382920329E-2</v>
      </c>
      <c r="B8540" s="31"/>
      <c r="C8540" s="2" t="s">
        <v>855</v>
      </c>
      <c r="D8540" s="31">
        <f t="shared" si="237"/>
        <v>-1.0705623563052385E-2</v>
      </c>
      <c r="F8540" s="2" t="s">
        <v>822</v>
      </c>
      <c r="G8540" s="23" t="s">
        <v>902</v>
      </c>
      <c r="H8540" s="2" t="s">
        <v>822</v>
      </c>
      <c r="J8540" s="31">
        <v>69.733398399999999</v>
      </c>
      <c r="K8540" s="31">
        <v>53.666198700000002</v>
      </c>
      <c r="L8540" s="31"/>
      <c r="M8540" s="31" t="s">
        <v>854</v>
      </c>
      <c r="N8540" s="6" t="s">
        <v>856</v>
      </c>
    </row>
    <row r="8541" spans="1:14" ht="15" customHeight="1" x14ac:dyDescent="0.2">
      <c r="A8541" s="31">
        <v>-5.6242872925770501E-2</v>
      </c>
      <c r="B8541" s="31"/>
      <c r="C8541" s="2" t="s">
        <v>855</v>
      </c>
      <c r="D8541" s="31">
        <f t="shared" si="237"/>
        <v>-1.1023603093451019E-2</v>
      </c>
      <c r="F8541" s="2" t="s">
        <v>822</v>
      </c>
      <c r="G8541" s="23" t="s">
        <v>902</v>
      </c>
      <c r="H8541" s="2" t="s">
        <v>822</v>
      </c>
      <c r="J8541" s="31">
        <v>69.723602299999996</v>
      </c>
      <c r="K8541" s="31">
        <v>42.276001000000001</v>
      </c>
      <c r="L8541" s="31"/>
      <c r="M8541" s="31" t="s">
        <v>854</v>
      </c>
      <c r="N8541" s="6" t="s">
        <v>856</v>
      </c>
    </row>
    <row r="8542" spans="1:14" ht="15" customHeight="1" x14ac:dyDescent="0.2">
      <c r="A8542" s="31">
        <v>-5.6474294795717549E-2</v>
      </c>
      <c r="B8542" s="31"/>
      <c r="C8542" s="2" t="s">
        <v>855</v>
      </c>
      <c r="D8542" s="31">
        <f t="shared" si="237"/>
        <v>-1.106896177996064E-2</v>
      </c>
      <c r="F8542" s="2" t="s">
        <v>822</v>
      </c>
      <c r="G8542" s="23" t="s">
        <v>902</v>
      </c>
      <c r="H8542" s="2" t="s">
        <v>822</v>
      </c>
      <c r="J8542" s="31">
        <v>66.241302500000003</v>
      </c>
      <c r="K8542" s="31">
        <v>39.911201499999997</v>
      </c>
      <c r="L8542" s="31"/>
      <c r="M8542" s="31" t="s">
        <v>854</v>
      </c>
      <c r="N8542" s="6" t="s">
        <v>856</v>
      </c>
    </row>
    <row r="8543" spans="1:14" ht="15" customHeight="1" x14ac:dyDescent="0.2">
      <c r="A8543" s="31">
        <v>-5.684703830914567E-2</v>
      </c>
      <c r="B8543" s="31"/>
      <c r="C8543" s="2" t="s">
        <v>855</v>
      </c>
      <c r="D8543" s="31">
        <f t="shared" si="237"/>
        <v>-1.1142019508592551E-2</v>
      </c>
      <c r="F8543" s="2" t="s">
        <v>822</v>
      </c>
      <c r="G8543" s="23" t="s">
        <v>902</v>
      </c>
      <c r="H8543" s="2" t="s">
        <v>822</v>
      </c>
      <c r="J8543" s="31">
        <v>68.009002699999996</v>
      </c>
      <c r="K8543" s="31">
        <v>40.360000599999999</v>
      </c>
      <c r="L8543" s="31"/>
      <c r="M8543" s="31" t="s">
        <v>854</v>
      </c>
      <c r="N8543" s="6" t="s">
        <v>856</v>
      </c>
    </row>
    <row r="8544" spans="1:14" ht="15" customHeight="1" x14ac:dyDescent="0.2">
      <c r="A8544" s="31">
        <v>-5.7362561117502937E-2</v>
      </c>
      <c r="B8544" s="31"/>
      <c r="C8544" s="2" t="s">
        <v>855</v>
      </c>
      <c r="D8544" s="31">
        <f t="shared" si="237"/>
        <v>-1.1243061979030576E-2</v>
      </c>
      <c r="F8544" s="2" t="s">
        <v>822</v>
      </c>
      <c r="G8544" s="23" t="s">
        <v>902</v>
      </c>
      <c r="H8544" s="2" t="s">
        <v>822</v>
      </c>
      <c r="J8544" s="31">
        <v>68.971397400000001</v>
      </c>
      <c r="K8544" s="31">
        <v>40.231998400000002</v>
      </c>
      <c r="L8544" s="31"/>
      <c r="M8544" s="31" t="s">
        <v>854</v>
      </c>
      <c r="N8544" s="6" t="s">
        <v>856</v>
      </c>
    </row>
    <row r="8545" spans="1:14" ht="15" customHeight="1" x14ac:dyDescent="0.2">
      <c r="A8545" s="31">
        <v>-5.9310622644039829E-2</v>
      </c>
      <c r="B8545" s="31"/>
      <c r="C8545" s="2" t="s">
        <v>855</v>
      </c>
      <c r="D8545" s="31">
        <f t="shared" si="237"/>
        <v>-1.1624882038231806E-2</v>
      </c>
      <c r="F8545" s="2" t="s">
        <v>822</v>
      </c>
      <c r="G8545" s="23" t="s">
        <v>902</v>
      </c>
      <c r="H8545" s="2" t="s">
        <v>822</v>
      </c>
      <c r="J8545" s="31">
        <v>69.459999100000005</v>
      </c>
      <c r="K8545" s="31">
        <v>39.6040001</v>
      </c>
      <c r="L8545" s="31"/>
      <c r="M8545" s="31" t="s">
        <v>854</v>
      </c>
      <c r="N8545" s="6" t="s">
        <v>856</v>
      </c>
    </row>
    <row r="8546" spans="1:14" ht="15" customHeight="1" x14ac:dyDescent="0.2">
      <c r="A8546" s="31">
        <v>-6.1840584297111111E-2</v>
      </c>
      <c r="B8546" s="31"/>
      <c r="C8546" s="2" t="s">
        <v>855</v>
      </c>
      <c r="D8546" s="31">
        <f t="shared" si="237"/>
        <v>-1.2120754522233778E-2</v>
      </c>
      <c r="F8546" s="2" t="s">
        <v>822</v>
      </c>
      <c r="G8546" s="23" t="s">
        <v>902</v>
      </c>
      <c r="H8546" s="2" t="s">
        <v>822</v>
      </c>
      <c r="J8546" s="31">
        <v>69.014602699999998</v>
      </c>
      <c r="K8546" s="31">
        <v>41.714801799999996</v>
      </c>
      <c r="L8546" s="31"/>
      <c r="M8546" s="31" t="s">
        <v>854</v>
      </c>
      <c r="N8546" s="6" t="s">
        <v>856</v>
      </c>
    </row>
    <row r="8547" spans="1:14" ht="15" customHeight="1" x14ac:dyDescent="0.2">
      <c r="A8547" s="31">
        <v>-6.5096808253423538E-2</v>
      </c>
      <c r="B8547" s="31"/>
      <c r="C8547" s="2" t="s">
        <v>855</v>
      </c>
      <c r="D8547" s="31">
        <f t="shared" si="237"/>
        <v>-1.2758974417671013E-2</v>
      </c>
      <c r="F8547" s="2" t="s">
        <v>822</v>
      </c>
      <c r="G8547" s="23" t="s">
        <v>902</v>
      </c>
      <c r="H8547" s="2" t="s">
        <v>822</v>
      </c>
      <c r="J8547" s="31">
        <v>68.680603000000005</v>
      </c>
      <c r="K8547" s="31">
        <v>40.296798699999997</v>
      </c>
      <c r="L8547" s="31"/>
      <c r="M8547" s="31" t="s">
        <v>854</v>
      </c>
      <c r="N8547" s="6" t="s">
        <v>856</v>
      </c>
    </row>
    <row r="8548" spans="1:14" ht="15" customHeight="1" x14ac:dyDescent="0.2">
      <c r="A8548" s="31">
        <v>-7.0217373762689564E-2</v>
      </c>
      <c r="B8548" s="31"/>
      <c r="C8548" s="2" t="s">
        <v>855</v>
      </c>
      <c r="D8548" s="31">
        <f t="shared" si="237"/>
        <v>-1.3762605257487156E-2</v>
      </c>
      <c r="F8548" s="2" t="s">
        <v>822</v>
      </c>
      <c r="G8548" s="23" t="s">
        <v>902</v>
      </c>
      <c r="H8548" s="2" t="s">
        <v>822</v>
      </c>
      <c r="J8548" s="31">
        <v>64.786300699999998</v>
      </c>
      <c r="K8548" s="31">
        <v>38.300800299999999</v>
      </c>
      <c r="L8548" s="31"/>
      <c r="M8548" s="31" t="s">
        <v>854</v>
      </c>
      <c r="N8548" s="6" t="s">
        <v>856</v>
      </c>
    </row>
    <row r="8549" spans="1:14" ht="15" customHeight="1" x14ac:dyDescent="0.2">
      <c r="A8549" s="22">
        <v>-1.389879648510838E-2</v>
      </c>
      <c r="B8549" s="22"/>
      <c r="C8549" s="2" t="s">
        <v>891</v>
      </c>
      <c r="D8549" s="2">
        <f>A8549</f>
        <v>-1.389879648510838E-2</v>
      </c>
      <c r="F8549" s="2">
        <v>2023</v>
      </c>
      <c r="G8549" s="23" t="s">
        <v>902</v>
      </c>
      <c r="H8549" s="2" t="s">
        <v>773</v>
      </c>
      <c r="I8549" s="14" t="s">
        <v>191</v>
      </c>
      <c r="J8549" s="23" t="s">
        <v>324</v>
      </c>
      <c r="K8549" s="23" t="s">
        <v>528</v>
      </c>
      <c r="L8549" s="23" t="s">
        <v>820</v>
      </c>
      <c r="M8549" s="2" t="s">
        <v>825</v>
      </c>
      <c r="N8549" s="6" t="s">
        <v>828</v>
      </c>
    </row>
    <row r="8550" spans="1:14" ht="15" customHeight="1" x14ac:dyDescent="0.2">
      <c r="A8550" s="31">
        <v>-7.199220848765979E-2</v>
      </c>
      <c r="B8550" s="31"/>
      <c r="C8550" s="2" t="s">
        <v>855</v>
      </c>
      <c r="D8550" s="31">
        <f xml:space="preserve"> A8550 * 0.196</f>
        <v>-1.411047286358132E-2</v>
      </c>
      <c r="F8550" s="2" t="s">
        <v>822</v>
      </c>
      <c r="G8550" s="23" t="s">
        <v>902</v>
      </c>
      <c r="H8550" s="2" t="s">
        <v>822</v>
      </c>
      <c r="J8550" s="31">
        <v>66.205299400000001</v>
      </c>
      <c r="K8550" s="31">
        <v>40.671001400000002</v>
      </c>
      <c r="L8550" s="31"/>
      <c r="M8550" s="31" t="s">
        <v>854</v>
      </c>
      <c r="N8550" s="6" t="s">
        <v>856</v>
      </c>
    </row>
    <row r="8551" spans="1:14" ht="15" customHeight="1" x14ac:dyDescent="0.2">
      <c r="A8551" s="31">
        <v>-7.4535496225444212E-2</v>
      </c>
      <c r="B8551" s="31"/>
      <c r="C8551" s="2" t="s">
        <v>855</v>
      </c>
      <c r="D8551" s="31">
        <f xml:space="preserve"> A8551 * 0.196</f>
        <v>-1.4608957260187067E-2</v>
      </c>
      <c r="F8551" s="2" t="s">
        <v>822</v>
      </c>
      <c r="G8551" s="23" t="s">
        <v>902</v>
      </c>
      <c r="H8551" s="2" t="s">
        <v>822</v>
      </c>
      <c r="J8551" s="31">
        <v>66.469200099999995</v>
      </c>
      <c r="K8551" s="31">
        <v>40.592201199999998</v>
      </c>
      <c r="L8551" s="31"/>
      <c r="M8551" s="31" t="s">
        <v>854</v>
      </c>
      <c r="N8551" s="6" t="s">
        <v>856</v>
      </c>
    </row>
    <row r="8552" spans="1:14" ht="15" customHeight="1" x14ac:dyDescent="0.2">
      <c r="A8552" s="31">
        <v>-7.5009291150952048E-2</v>
      </c>
      <c r="B8552" s="31"/>
      <c r="C8552" s="2" t="s">
        <v>855</v>
      </c>
      <c r="D8552" s="31">
        <f xml:space="preserve"> A8552 * 0.196</f>
        <v>-1.4701821065586602E-2</v>
      </c>
      <c r="F8552" s="2" t="s">
        <v>822</v>
      </c>
      <c r="G8552" s="23" t="s">
        <v>902</v>
      </c>
      <c r="H8552" s="2" t="s">
        <v>822</v>
      </c>
      <c r="J8552" s="31">
        <v>66.493896500000005</v>
      </c>
      <c r="K8552" s="31">
        <v>40.683998099999997</v>
      </c>
      <c r="L8552" s="31"/>
      <c r="M8552" s="31" t="s">
        <v>854</v>
      </c>
      <c r="N8552" s="6" t="s">
        <v>856</v>
      </c>
    </row>
    <row r="8553" spans="1:14" ht="15" customHeight="1" x14ac:dyDescent="0.2">
      <c r="A8553" s="32">
        <v>-2.7202350261548201E-5</v>
      </c>
      <c r="B8553" s="32"/>
      <c r="C8553" s="2" t="s">
        <v>892</v>
      </c>
      <c r="D8553" s="2">
        <f>A8553 * 545.45</f>
        <v>-1.4837521950161468E-2</v>
      </c>
      <c r="F8553" s="2">
        <v>2020</v>
      </c>
      <c r="G8553" s="38" t="s">
        <v>901</v>
      </c>
      <c r="H8553" s="2" t="s">
        <v>764</v>
      </c>
      <c r="I8553" s="31" t="s">
        <v>261</v>
      </c>
      <c r="J8553" s="31">
        <v>54.372100000000003</v>
      </c>
      <c r="K8553" s="31">
        <v>13.242699999999999</v>
      </c>
      <c r="L8553" s="2" t="s">
        <v>28</v>
      </c>
      <c r="M8553" s="2" t="s">
        <v>824</v>
      </c>
      <c r="N8553" s="17" t="s">
        <v>906</v>
      </c>
    </row>
    <row r="8554" spans="1:14" ht="15" customHeight="1" x14ac:dyDescent="0.2">
      <c r="A8554" s="31">
        <v>-7.7654617082416416E-2</v>
      </c>
      <c r="B8554" s="31"/>
      <c r="C8554" s="2" t="s">
        <v>855</v>
      </c>
      <c r="D8554" s="31">
        <f xml:space="preserve"> A8554 * 0.196</f>
        <v>-1.5220304948153619E-2</v>
      </c>
      <c r="F8554" s="2" t="s">
        <v>822</v>
      </c>
      <c r="G8554" s="23" t="s">
        <v>902</v>
      </c>
      <c r="H8554" s="2" t="s">
        <v>822</v>
      </c>
      <c r="J8554" s="31">
        <v>69.014602699999998</v>
      </c>
      <c r="K8554" s="31">
        <v>41.380798300000002</v>
      </c>
      <c r="L8554" s="31"/>
      <c r="M8554" s="31" t="s">
        <v>854</v>
      </c>
      <c r="N8554" s="6" t="s">
        <v>856</v>
      </c>
    </row>
    <row r="8555" spans="1:14" ht="15" customHeight="1" x14ac:dyDescent="0.2">
      <c r="A8555" s="31">
        <v>-7.8058457777197457E-2</v>
      </c>
      <c r="B8555" s="31"/>
      <c r="C8555" s="2" t="s">
        <v>855</v>
      </c>
      <c r="D8555" s="31">
        <f xml:space="preserve"> A8555 * 0.196</f>
        <v>-1.5299457724330702E-2</v>
      </c>
      <c r="F8555" s="2" t="s">
        <v>822</v>
      </c>
      <c r="G8555" s="23" t="s">
        <v>902</v>
      </c>
      <c r="H8555" s="2" t="s">
        <v>822</v>
      </c>
      <c r="J8555" s="31">
        <v>64.047401399999998</v>
      </c>
      <c r="K8555" s="31">
        <v>37.458301499999997</v>
      </c>
      <c r="L8555" s="31"/>
      <c r="M8555" s="31" t="s">
        <v>854</v>
      </c>
      <c r="N8555" s="6" t="s">
        <v>856</v>
      </c>
    </row>
    <row r="8556" spans="1:14" ht="15" customHeight="1" x14ac:dyDescent="0.2">
      <c r="A8556" s="31">
        <v>-8.0713837547134876E-2</v>
      </c>
      <c r="B8556" s="31"/>
      <c r="C8556" s="2" t="s">
        <v>855</v>
      </c>
      <c r="D8556" s="31">
        <f xml:space="preserve"> A8556 * 0.196</f>
        <v>-1.5819912159238437E-2</v>
      </c>
      <c r="F8556" s="2" t="s">
        <v>822</v>
      </c>
      <c r="G8556" s="23" t="s">
        <v>902</v>
      </c>
      <c r="H8556" s="2" t="s">
        <v>822</v>
      </c>
      <c r="J8556" s="31">
        <v>66.2782974</v>
      </c>
      <c r="K8556" s="31">
        <v>41.415401500000002</v>
      </c>
      <c r="L8556" s="31"/>
      <c r="M8556" s="31" t="s">
        <v>854</v>
      </c>
      <c r="N8556" s="6" t="s">
        <v>856</v>
      </c>
    </row>
    <row r="8557" spans="1:14" ht="15" customHeight="1" x14ac:dyDescent="0.2">
      <c r="A8557" s="31">
        <v>-8.2828658564194357E-2</v>
      </c>
      <c r="B8557" s="31"/>
      <c r="C8557" s="2" t="s">
        <v>855</v>
      </c>
      <c r="D8557" s="31">
        <f xml:space="preserve"> A8557 * 0.196</f>
        <v>-1.6234417078582093E-2</v>
      </c>
      <c r="F8557" s="2" t="s">
        <v>822</v>
      </c>
      <c r="G8557" s="23" t="s">
        <v>902</v>
      </c>
      <c r="H8557" s="2" t="s">
        <v>822</v>
      </c>
      <c r="J8557" s="31">
        <v>69.389602699999998</v>
      </c>
      <c r="K8557" s="31">
        <v>42.798801400000002</v>
      </c>
      <c r="L8557" s="31"/>
      <c r="M8557" s="31" t="s">
        <v>854</v>
      </c>
      <c r="N8557" s="6" t="s">
        <v>856</v>
      </c>
    </row>
    <row r="8558" spans="1:14" ht="15" customHeight="1" x14ac:dyDescent="0.2">
      <c r="A8558" s="22">
        <v>-1.6264209340786821E-2</v>
      </c>
      <c r="B8558" s="22"/>
      <c r="C8558" s="2" t="s">
        <v>891</v>
      </c>
      <c r="D8558" s="2">
        <f>A8558</f>
        <v>-1.6264209340786821E-2</v>
      </c>
      <c r="F8558" s="2">
        <v>2023</v>
      </c>
      <c r="G8558" s="23" t="s">
        <v>902</v>
      </c>
      <c r="H8558" s="2" t="s">
        <v>773</v>
      </c>
      <c r="I8558" s="14" t="s">
        <v>191</v>
      </c>
      <c r="J8558" s="23" t="s">
        <v>325</v>
      </c>
      <c r="K8558" s="23" t="s">
        <v>529</v>
      </c>
      <c r="L8558" s="23" t="s">
        <v>820</v>
      </c>
      <c r="M8558" s="2" t="s">
        <v>825</v>
      </c>
      <c r="N8558" s="6" t="s">
        <v>828</v>
      </c>
    </row>
    <row r="8559" spans="1:14" ht="15" customHeight="1" x14ac:dyDescent="0.2">
      <c r="A8559" s="31">
        <v>-8.4674948202131894E-2</v>
      </c>
      <c r="B8559" s="31"/>
      <c r="C8559" s="2" t="s">
        <v>855</v>
      </c>
      <c r="D8559" s="31">
        <f t="shared" ref="D8559:D8568" si="238" xml:space="preserve"> A8559 * 0.196</f>
        <v>-1.6596289847617851E-2</v>
      </c>
      <c r="F8559" s="2" t="s">
        <v>822</v>
      </c>
      <c r="G8559" s="23" t="s">
        <v>902</v>
      </c>
      <c r="H8559" s="2" t="s">
        <v>822</v>
      </c>
      <c r="J8559" s="31">
        <v>69.014602699999998</v>
      </c>
      <c r="K8559" s="31">
        <v>40.939998600000003</v>
      </c>
      <c r="L8559" s="31"/>
      <c r="M8559" s="31" t="s">
        <v>854</v>
      </c>
      <c r="N8559" s="6" t="s">
        <v>856</v>
      </c>
    </row>
    <row r="8560" spans="1:14" ht="15" customHeight="1" x14ac:dyDescent="0.2">
      <c r="A8560" s="31">
        <v>-8.5226382723527089E-2</v>
      </c>
      <c r="B8560" s="31"/>
      <c r="C8560" s="2" t="s">
        <v>855</v>
      </c>
      <c r="D8560" s="31">
        <f t="shared" si="238"/>
        <v>-1.6704371013811309E-2</v>
      </c>
      <c r="F8560" s="2" t="s">
        <v>822</v>
      </c>
      <c r="G8560" s="23" t="s">
        <v>902</v>
      </c>
      <c r="H8560" s="2" t="s">
        <v>822</v>
      </c>
      <c r="J8560" s="31">
        <v>69.389602699999998</v>
      </c>
      <c r="K8560" s="31">
        <v>42.276001000000001</v>
      </c>
      <c r="L8560" s="31"/>
      <c r="M8560" s="31" t="s">
        <v>854</v>
      </c>
      <c r="N8560" s="6" t="s">
        <v>856</v>
      </c>
    </row>
    <row r="8561" spans="1:14" ht="15" customHeight="1" x14ac:dyDescent="0.2">
      <c r="A8561" s="31">
        <v>-8.9215577910680591E-2</v>
      </c>
      <c r="B8561" s="31"/>
      <c r="C8561" s="2" t="s">
        <v>855</v>
      </c>
      <c r="D8561" s="31">
        <f t="shared" si="238"/>
        <v>-1.7486253270493395E-2</v>
      </c>
      <c r="F8561" s="2" t="s">
        <v>822</v>
      </c>
      <c r="G8561" s="23" t="s">
        <v>902</v>
      </c>
      <c r="H8561" s="2" t="s">
        <v>822</v>
      </c>
      <c r="J8561" s="31">
        <v>66.219299300000003</v>
      </c>
      <c r="K8561" s="31">
        <v>40.367401100000002</v>
      </c>
      <c r="L8561" s="31"/>
      <c r="M8561" s="31" t="s">
        <v>854</v>
      </c>
      <c r="N8561" s="6" t="s">
        <v>856</v>
      </c>
    </row>
    <row r="8562" spans="1:14" ht="15" customHeight="1" x14ac:dyDescent="0.2">
      <c r="A8562" s="31">
        <v>-9.0302050937820261E-2</v>
      </c>
      <c r="B8562" s="31"/>
      <c r="C8562" s="2" t="s">
        <v>855</v>
      </c>
      <c r="D8562" s="31">
        <f t="shared" si="238"/>
        <v>-1.7699201983812772E-2</v>
      </c>
      <c r="F8562" s="2" t="s">
        <v>822</v>
      </c>
      <c r="G8562" s="23" t="s">
        <v>902</v>
      </c>
      <c r="H8562" s="2" t="s">
        <v>822</v>
      </c>
      <c r="J8562" s="31">
        <v>66.515602099999995</v>
      </c>
      <c r="K8562" s="31">
        <v>40.914501199999997</v>
      </c>
      <c r="L8562" s="31"/>
      <c r="M8562" s="31" t="s">
        <v>854</v>
      </c>
      <c r="N8562" s="6" t="s">
        <v>856</v>
      </c>
    </row>
    <row r="8563" spans="1:14" ht="15" customHeight="1" x14ac:dyDescent="0.2">
      <c r="A8563" s="31">
        <v>-9.6393831703039598E-2</v>
      </c>
      <c r="B8563" s="31"/>
      <c r="C8563" s="2" t="s">
        <v>855</v>
      </c>
      <c r="D8563" s="31">
        <f t="shared" si="238"/>
        <v>-1.8893191013795763E-2</v>
      </c>
      <c r="F8563" s="2" t="s">
        <v>822</v>
      </c>
      <c r="G8563" s="23" t="s">
        <v>902</v>
      </c>
      <c r="H8563" s="2" t="s">
        <v>822</v>
      </c>
      <c r="J8563" s="31">
        <v>67.9828033</v>
      </c>
      <c r="K8563" s="31">
        <v>41.748100299999997</v>
      </c>
      <c r="L8563" s="31"/>
      <c r="M8563" s="31" t="s">
        <v>854</v>
      </c>
      <c r="N8563" s="6" t="s">
        <v>856</v>
      </c>
    </row>
    <row r="8564" spans="1:14" ht="15" customHeight="1" x14ac:dyDescent="0.2">
      <c r="A8564" s="31">
        <v>-9.8442545445972904E-2</v>
      </c>
      <c r="B8564" s="31"/>
      <c r="C8564" s="2" t="s">
        <v>855</v>
      </c>
      <c r="D8564" s="31">
        <f t="shared" si="238"/>
        <v>-1.9294738907410691E-2</v>
      </c>
      <c r="F8564" s="2" t="s">
        <v>822</v>
      </c>
      <c r="G8564" s="23" t="s">
        <v>902</v>
      </c>
      <c r="H8564" s="2" t="s">
        <v>822</v>
      </c>
      <c r="J8564" s="31">
        <v>68.680603000000005</v>
      </c>
      <c r="K8564" s="31">
        <v>40.939998600000003</v>
      </c>
      <c r="L8564" s="31"/>
      <c r="M8564" s="31" t="s">
        <v>854</v>
      </c>
      <c r="N8564" s="6" t="s">
        <v>856</v>
      </c>
    </row>
    <row r="8565" spans="1:14" ht="15" customHeight="1" x14ac:dyDescent="0.2">
      <c r="A8565" s="31">
        <v>-9.8459792080312039E-2</v>
      </c>
      <c r="B8565" s="31"/>
      <c r="C8565" s="2" t="s">
        <v>855</v>
      </c>
      <c r="D8565" s="31">
        <f t="shared" si="238"/>
        <v>-1.929811924774116E-2</v>
      </c>
      <c r="F8565" s="2" t="s">
        <v>822</v>
      </c>
      <c r="G8565" s="23" t="s">
        <v>902</v>
      </c>
      <c r="H8565" s="2" t="s">
        <v>822</v>
      </c>
      <c r="J8565" s="31">
        <v>68.680603000000005</v>
      </c>
      <c r="K8565" s="31">
        <v>41.380798300000002</v>
      </c>
      <c r="L8565" s="31"/>
      <c r="M8565" s="31" t="s">
        <v>854</v>
      </c>
      <c r="N8565" s="6" t="s">
        <v>856</v>
      </c>
    </row>
    <row r="8566" spans="1:14" ht="15" customHeight="1" x14ac:dyDescent="0.2">
      <c r="A8566" s="31">
        <v>-9.8844936167246447E-2</v>
      </c>
      <c r="B8566" s="31"/>
      <c r="C8566" s="2" t="s">
        <v>855</v>
      </c>
      <c r="D8566" s="31">
        <f t="shared" si="238"/>
        <v>-1.9373607488780305E-2</v>
      </c>
      <c r="F8566" s="2" t="s">
        <v>822</v>
      </c>
      <c r="G8566" s="23" t="s">
        <v>902</v>
      </c>
      <c r="H8566" s="2" t="s">
        <v>822</v>
      </c>
      <c r="J8566" s="31">
        <v>68.040801999999999</v>
      </c>
      <c r="K8566" s="31">
        <v>40.649898499999999</v>
      </c>
      <c r="L8566" s="31"/>
      <c r="M8566" s="31" t="s">
        <v>854</v>
      </c>
      <c r="N8566" s="6" t="s">
        <v>856</v>
      </c>
    </row>
    <row r="8567" spans="1:14" ht="15" customHeight="1" x14ac:dyDescent="0.2">
      <c r="A8567" s="31">
        <v>-9.9981227109311857E-2</v>
      </c>
      <c r="B8567" s="31"/>
      <c r="C8567" s="2" t="s">
        <v>855</v>
      </c>
      <c r="D8567" s="31">
        <f t="shared" si="238"/>
        <v>-1.9596320513425126E-2</v>
      </c>
      <c r="F8567" s="2" t="s">
        <v>822</v>
      </c>
      <c r="G8567" s="23" t="s">
        <v>902</v>
      </c>
      <c r="H8567" s="2" t="s">
        <v>822</v>
      </c>
      <c r="J8567" s="31">
        <v>63.940101599999998</v>
      </c>
      <c r="K8567" s="31">
        <v>36.9491005</v>
      </c>
      <c r="L8567" s="31"/>
      <c r="M8567" s="31" t="s">
        <v>854</v>
      </c>
      <c r="N8567" s="6" t="s">
        <v>856</v>
      </c>
    </row>
    <row r="8568" spans="1:14" ht="15" customHeight="1" x14ac:dyDescent="0.2">
      <c r="A8568" s="31">
        <v>-0.1007145995903717</v>
      </c>
      <c r="B8568" s="31"/>
      <c r="C8568" s="2" t="s">
        <v>855</v>
      </c>
      <c r="D8568" s="31">
        <f t="shared" si="238"/>
        <v>-1.9740061519712852E-2</v>
      </c>
      <c r="F8568" s="2" t="s">
        <v>822</v>
      </c>
      <c r="G8568" s="23" t="s">
        <v>902</v>
      </c>
      <c r="H8568" s="2" t="s">
        <v>822</v>
      </c>
      <c r="J8568" s="31">
        <v>68.305603000000005</v>
      </c>
      <c r="K8568" s="31">
        <v>40.296798699999997</v>
      </c>
      <c r="L8568" s="31"/>
      <c r="M8568" s="31" t="s">
        <v>854</v>
      </c>
      <c r="N8568" s="6" t="s">
        <v>856</v>
      </c>
    </row>
    <row r="8569" spans="1:14" ht="15" customHeight="1" x14ac:dyDescent="0.2">
      <c r="A8569" s="22">
        <v>-2.0051222499907803E-2</v>
      </c>
      <c r="B8569" s="22"/>
      <c r="C8569" s="2" t="s">
        <v>891</v>
      </c>
      <c r="D8569" s="2">
        <f>A8569</f>
        <v>-2.0051222499907803E-2</v>
      </c>
      <c r="F8569" s="2">
        <v>2023</v>
      </c>
      <c r="G8569" s="23" t="s">
        <v>902</v>
      </c>
      <c r="H8569" s="2" t="s">
        <v>773</v>
      </c>
      <c r="I8569" s="14" t="s">
        <v>191</v>
      </c>
      <c r="J8569" s="23" t="s">
        <v>323</v>
      </c>
      <c r="K8569" s="23" t="s">
        <v>527</v>
      </c>
      <c r="L8569" s="23" t="s">
        <v>820</v>
      </c>
      <c r="M8569" s="2" t="s">
        <v>825</v>
      </c>
      <c r="N8569" s="6" t="s">
        <v>828</v>
      </c>
    </row>
    <row r="8570" spans="1:14" ht="15" customHeight="1" x14ac:dyDescent="0.2">
      <c r="A8570" s="31">
        <v>-0.10336878174073361</v>
      </c>
      <c r="B8570" s="31"/>
      <c r="C8570" s="2" t="s">
        <v>855</v>
      </c>
      <c r="D8570" s="31">
        <f t="shared" ref="D8570:D8576" si="239" xml:space="preserve"> A8570 * 0.196</f>
        <v>-2.0260281221183788E-2</v>
      </c>
      <c r="F8570" s="2" t="s">
        <v>822</v>
      </c>
      <c r="G8570" s="23" t="s">
        <v>902</v>
      </c>
      <c r="H8570" s="2" t="s">
        <v>822</v>
      </c>
      <c r="J8570" s="31">
        <v>66.239196800000002</v>
      </c>
      <c r="K8570" s="31">
        <v>40.992198899999998</v>
      </c>
      <c r="L8570" s="31"/>
      <c r="M8570" s="31" t="s">
        <v>854</v>
      </c>
      <c r="N8570" s="6" t="s">
        <v>856</v>
      </c>
    </row>
    <row r="8571" spans="1:14" ht="15" customHeight="1" x14ac:dyDescent="0.2">
      <c r="A8571" s="31">
        <v>-0.1051591266475129</v>
      </c>
      <c r="B8571" s="31"/>
      <c r="C8571" s="2" t="s">
        <v>855</v>
      </c>
      <c r="D8571" s="31">
        <f t="shared" si="239"/>
        <v>-2.0611188822912529E-2</v>
      </c>
      <c r="F8571" s="2" t="s">
        <v>822</v>
      </c>
      <c r="G8571" s="23" t="s">
        <v>902</v>
      </c>
      <c r="H8571" s="2" t="s">
        <v>822</v>
      </c>
      <c r="J8571" s="31">
        <v>67.571998600000001</v>
      </c>
      <c r="K8571" s="31">
        <v>41.826301600000001</v>
      </c>
      <c r="L8571" s="31"/>
      <c r="M8571" s="31" t="s">
        <v>854</v>
      </c>
      <c r="N8571" s="6" t="s">
        <v>856</v>
      </c>
    </row>
    <row r="8572" spans="1:14" ht="15" customHeight="1" x14ac:dyDescent="0.2">
      <c r="A8572" s="31">
        <v>-0.1059473107379988</v>
      </c>
      <c r="B8572" s="31"/>
      <c r="C8572" s="2" t="s">
        <v>855</v>
      </c>
      <c r="D8572" s="31">
        <f t="shared" si="239"/>
        <v>-2.0765672904647765E-2</v>
      </c>
      <c r="F8572" s="2" t="s">
        <v>822</v>
      </c>
      <c r="G8572" s="23" t="s">
        <v>902</v>
      </c>
      <c r="H8572" s="2" t="s">
        <v>822</v>
      </c>
      <c r="J8572" s="31">
        <v>68.305603000000005</v>
      </c>
      <c r="K8572" s="31">
        <v>41.714801799999996</v>
      </c>
      <c r="L8572" s="31"/>
      <c r="M8572" s="31" t="s">
        <v>854</v>
      </c>
      <c r="N8572" s="6" t="s">
        <v>856</v>
      </c>
    </row>
    <row r="8573" spans="1:14" ht="15" customHeight="1" x14ac:dyDescent="0.2">
      <c r="A8573" s="31">
        <v>-0.1062917386567936</v>
      </c>
      <c r="B8573" s="31"/>
      <c r="C8573" s="2" t="s">
        <v>855</v>
      </c>
      <c r="D8573" s="31">
        <f t="shared" si="239"/>
        <v>-2.0833180776731547E-2</v>
      </c>
      <c r="F8573" s="2" t="s">
        <v>822</v>
      </c>
      <c r="G8573" s="23" t="s">
        <v>902</v>
      </c>
      <c r="H8573" s="2" t="s">
        <v>822</v>
      </c>
      <c r="J8573" s="31">
        <v>69.014602699999998</v>
      </c>
      <c r="K8573" s="31">
        <v>42.798801400000002</v>
      </c>
      <c r="L8573" s="31"/>
      <c r="M8573" s="31" t="s">
        <v>854</v>
      </c>
      <c r="N8573" s="6" t="s">
        <v>856</v>
      </c>
    </row>
    <row r="8574" spans="1:14" ht="15" customHeight="1" x14ac:dyDescent="0.2">
      <c r="A8574" s="31">
        <v>-0.1068821613057626</v>
      </c>
      <c r="B8574" s="31"/>
      <c r="C8574" s="2" t="s">
        <v>855</v>
      </c>
      <c r="D8574" s="31">
        <f t="shared" si="239"/>
        <v>-2.0948903615929469E-2</v>
      </c>
      <c r="F8574" s="2" t="s">
        <v>822</v>
      </c>
      <c r="G8574" s="23" t="s">
        <v>902</v>
      </c>
      <c r="H8574" s="2" t="s">
        <v>822</v>
      </c>
      <c r="J8574" s="31">
        <v>68.680603000000005</v>
      </c>
      <c r="K8574" s="31">
        <v>41.714801799999996</v>
      </c>
      <c r="L8574" s="31"/>
      <c r="M8574" s="31" t="s">
        <v>854</v>
      </c>
      <c r="N8574" s="6" t="s">
        <v>856</v>
      </c>
    </row>
    <row r="8575" spans="1:14" ht="15" customHeight="1" x14ac:dyDescent="0.2">
      <c r="A8575" s="31">
        <v>-0.11274611395183751</v>
      </c>
      <c r="B8575" s="31"/>
      <c r="C8575" s="2" t="s">
        <v>855</v>
      </c>
      <c r="D8575" s="31">
        <f t="shared" si="239"/>
        <v>-2.2098238334560153E-2</v>
      </c>
      <c r="F8575" s="2" t="s">
        <v>822</v>
      </c>
      <c r="G8575" s="23" t="s">
        <v>902</v>
      </c>
      <c r="H8575" s="2" t="s">
        <v>822</v>
      </c>
      <c r="J8575" s="31">
        <v>68.305603000000005</v>
      </c>
      <c r="K8575" s="31">
        <v>41.380798300000002</v>
      </c>
      <c r="L8575" s="31"/>
      <c r="M8575" s="31" t="s">
        <v>854</v>
      </c>
      <c r="N8575" s="6" t="s">
        <v>856</v>
      </c>
    </row>
    <row r="8576" spans="1:14" ht="15" customHeight="1" x14ac:dyDescent="0.2">
      <c r="A8576" s="31">
        <v>-0.11817159722872719</v>
      </c>
      <c r="B8576" s="31"/>
      <c r="C8576" s="2" t="s">
        <v>855</v>
      </c>
      <c r="D8576" s="31">
        <f t="shared" si="239"/>
        <v>-2.3161633056830531E-2</v>
      </c>
      <c r="F8576" s="2" t="s">
        <v>822</v>
      </c>
      <c r="G8576" s="23" t="s">
        <v>902</v>
      </c>
      <c r="H8576" s="2" t="s">
        <v>822</v>
      </c>
      <c r="J8576" s="31">
        <v>68.680603000000005</v>
      </c>
      <c r="K8576" s="31">
        <v>42.089801799999996</v>
      </c>
      <c r="L8576" s="31"/>
      <c r="M8576" s="31" t="s">
        <v>854</v>
      </c>
      <c r="N8576" s="6" t="s">
        <v>856</v>
      </c>
    </row>
    <row r="8577" spans="1:14" ht="15" customHeight="1" x14ac:dyDescent="0.2">
      <c r="A8577" s="22">
        <v>-2.5167512688876709E-2</v>
      </c>
      <c r="B8577" s="22"/>
      <c r="C8577" s="2" t="s">
        <v>891</v>
      </c>
      <c r="D8577" s="2">
        <f>A8577</f>
        <v>-2.5167512688876709E-2</v>
      </c>
      <c r="F8577" s="2">
        <v>2023</v>
      </c>
      <c r="G8577" s="23" t="s">
        <v>902</v>
      </c>
      <c r="H8577" s="2" t="s">
        <v>773</v>
      </c>
      <c r="I8577" s="14" t="s">
        <v>191</v>
      </c>
      <c r="J8577" s="23" t="s">
        <v>326</v>
      </c>
      <c r="K8577" s="23" t="s">
        <v>530</v>
      </c>
      <c r="L8577" s="23" t="s">
        <v>820</v>
      </c>
      <c r="M8577" s="2" t="s">
        <v>825</v>
      </c>
      <c r="N8577" s="6" t="s">
        <v>828</v>
      </c>
    </row>
    <row r="8578" spans="1:14" ht="15" customHeight="1" x14ac:dyDescent="0.2">
      <c r="A8578" s="22">
        <v>-2.5240382277582758E-2</v>
      </c>
      <c r="B8578" s="22"/>
      <c r="C8578" s="2" t="s">
        <v>891</v>
      </c>
      <c r="D8578" s="2">
        <f>A8578</f>
        <v>-2.5240382277582758E-2</v>
      </c>
      <c r="F8578" s="2">
        <v>2023</v>
      </c>
      <c r="G8578" s="23" t="s">
        <v>902</v>
      </c>
      <c r="H8578" s="2" t="s">
        <v>772</v>
      </c>
      <c r="I8578" s="14" t="s">
        <v>191</v>
      </c>
      <c r="J8578" s="23" t="s">
        <v>272</v>
      </c>
      <c r="K8578" s="23" t="s">
        <v>477</v>
      </c>
      <c r="L8578" s="23" t="s">
        <v>820</v>
      </c>
      <c r="M8578" s="2" t="s">
        <v>825</v>
      </c>
      <c r="N8578" s="6" t="s">
        <v>828</v>
      </c>
    </row>
    <row r="8579" spans="1:14" ht="15" customHeight="1" x14ac:dyDescent="0.2">
      <c r="A8579" s="31">
        <v>-0.1316648387627366</v>
      </c>
      <c r="B8579" s="31"/>
      <c r="C8579" s="2" t="s">
        <v>855</v>
      </c>
      <c r="D8579" s="31">
        <f xml:space="preserve"> A8579 * 0.196</f>
        <v>-2.5806308397496376E-2</v>
      </c>
      <c r="F8579" s="2" t="s">
        <v>822</v>
      </c>
      <c r="G8579" s="23" t="s">
        <v>902</v>
      </c>
      <c r="H8579" s="2" t="s">
        <v>822</v>
      </c>
      <c r="J8579" s="31">
        <v>69.014602699999998</v>
      </c>
      <c r="K8579" s="31">
        <v>42.276001000000001</v>
      </c>
      <c r="L8579" s="31"/>
      <c r="M8579" s="31" t="s">
        <v>854</v>
      </c>
      <c r="N8579" s="6" t="s">
        <v>856</v>
      </c>
    </row>
    <row r="8580" spans="1:14" ht="15" customHeight="1" x14ac:dyDescent="0.2">
      <c r="A8580" s="31">
        <v>-0.13233127883319029</v>
      </c>
      <c r="B8580" s="31"/>
      <c r="C8580" s="2" t="s">
        <v>855</v>
      </c>
      <c r="D8580" s="31">
        <f xml:space="preserve"> A8580 * 0.196</f>
        <v>-2.5936930651305298E-2</v>
      </c>
      <c r="F8580" s="2" t="s">
        <v>822</v>
      </c>
      <c r="G8580" s="23" t="s">
        <v>902</v>
      </c>
      <c r="H8580" s="2" t="s">
        <v>822</v>
      </c>
      <c r="J8580" s="31">
        <v>68.305603000000005</v>
      </c>
      <c r="K8580" s="31">
        <v>40.939998600000003</v>
      </c>
      <c r="L8580" s="31"/>
      <c r="M8580" s="31" t="s">
        <v>854</v>
      </c>
      <c r="N8580" s="6" t="s">
        <v>856</v>
      </c>
    </row>
    <row r="8581" spans="1:14" ht="15" customHeight="1" x14ac:dyDescent="0.2">
      <c r="A8581" s="31">
        <v>-0.13758552463550441</v>
      </c>
      <c r="B8581" s="31"/>
      <c r="C8581" s="2" t="s">
        <v>855</v>
      </c>
      <c r="D8581" s="31">
        <f xml:space="preserve"> A8581 * 0.196</f>
        <v>-2.6966762828558866E-2</v>
      </c>
      <c r="F8581" s="2" t="s">
        <v>822</v>
      </c>
      <c r="G8581" s="23" t="s">
        <v>902</v>
      </c>
      <c r="H8581" s="2" t="s">
        <v>822</v>
      </c>
      <c r="J8581" s="31">
        <v>67.990699800000002</v>
      </c>
      <c r="K8581" s="31">
        <v>42.058101700000002</v>
      </c>
      <c r="L8581" s="31"/>
      <c r="M8581" s="31" t="s">
        <v>854</v>
      </c>
      <c r="N8581" s="6" t="s">
        <v>856</v>
      </c>
    </row>
    <row r="8582" spans="1:14" ht="15" customHeight="1" x14ac:dyDescent="0.2">
      <c r="A8582" s="31">
        <v>-0.13775617383457869</v>
      </c>
      <c r="B8582" s="31"/>
      <c r="C8582" s="2" t="s">
        <v>855</v>
      </c>
      <c r="D8582" s="31">
        <f xml:space="preserve"> A8582 * 0.196</f>
        <v>-2.7000210071577425E-2</v>
      </c>
      <c r="F8582" s="2" t="s">
        <v>822</v>
      </c>
      <c r="G8582" s="23" t="s">
        <v>902</v>
      </c>
      <c r="H8582" s="2" t="s">
        <v>822</v>
      </c>
      <c r="J8582" s="31">
        <v>68.305603000000005</v>
      </c>
      <c r="K8582" s="31">
        <v>42.089801799999996</v>
      </c>
      <c r="L8582" s="31"/>
      <c r="M8582" s="31" t="s">
        <v>854</v>
      </c>
      <c r="N8582" s="6" t="s">
        <v>856</v>
      </c>
    </row>
    <row r="8583" spans="1:14" ht="15" customHeight="1" x14ac:dyDescent="0.2">
      <c r="A8583" s="22">
        <v>-2.7112272278670892E-2</v>
      </c>
      <c r="B8583" s="22"/>
      <c r="C8583" s="2" t="s">
        <v>891</v>
      </c>
      <c r="D8583" s="2">
        <f>A8583</f>
        <v>-2.7112272278670892E-2</v>
      </c>
      <c r="F8583" s="2">
        <v>2023</v>
      </c>
      <c r="G8583" s="23" t="s">
        <v>902</v>
      </c>
      <c r="H8583" s="2" t="s">
        <v>772</v>
      </c>
      <c r="I8583" s="14" t="s">
        <v>191</v>
      </c>
      <c r="J8583" s="23" t="s">
        <v>274</v>
      </c>
      <c r="K8583" s="23" t="s">
        <v>479</v>
      </c>
      <c r="L8583" s="23" t="s">
        <v>820</v>
      </c>
      <c r="M8583" s="2" t="s">
        <v>825</v>
      </c>
      <c r="N8583" s="6" t="s">
        <v>828</v>
      </c>
    </row>
    <row r="8584" spans="1:14" ht="15" customHeight="1" x14ac:dyDescent="0.2">
      <c r="A8584" s="22">
        <v>-2.9239113043088346E-2</v>
      </c>
      <c r="B8584" s="22"/>
      <c r="C8584" s="2" t="s">
        <v>891</v>
      </c>
      <c r="D8584" s="2">
        <f>A8584</f>
        <v>-2.9239113043088346E-2</v>
      </c>
      <c r="F8584" s="2">
        <v>2023</v>
      </c>
      <c r="G8584" s="23" t="s">
        <v>902</v>
      </c>
      <c r="H8584" s="2" t="s">
        <v>773</v>
      </c>
      <c r="I8584" s="14" t="s">
        <v>191</v>
      </c>
      <c r="J8584" s="23" t="s">
        <v>322</v>
      </c>
      <c r="K8584" s="23" t="s">
        <v>526</v>
      </c>
      <c r="L8584" s="23" t="s">
        <v>820</v>
      </c>
      <c r="M8584" s="2" t="s">
        <v>825</v>
      </c>
      <c r="N8584" s="6" t="s">
        <v>828</v>
      </c>
    </row>
    <row r="8585" spans="1:14" ht="15" customHeight="1" x14ac:dyDescent="0.2">
      <c r="A8585" s="22">
        <v>-3.0348905696673315E-2</v>
      </c>
      <c r="B8585" s="22"/>
      <c r="C8585" s="2" t="s">
        <v>891</v>
      </c>
      <c r="D8585" s="2">
        <f>A8585</f>
        <v>-3.0348905696673315E-2</v>
      </c>
      <c r="F8585" s="2">
        <v>2023</v>
      </c>
      <c r="G8585" s="23" t="s">
        <v>902</v>
      </c>
      <c r="H8585" s="2" t="s">
        <v>773</v>
      </c>
      <c r="I8585" s="14" t="s">
        <v>191</v>
      </c>
      <c r="J8585" s="23" t="s">
        <v>319</v>
      </c>
      <c r="K8585" s="23" t="s">
        <v>523</v>
      </c>
      <c r="L8585" s="23" t="s">
        <v>820</v>
      </c>
      <c r="M8585" s="2" t="s">
        <v>825</v>
      </c>
      <c r="N8585" s="6" t="s">
        <v>828</v>
      </c>
    </row>
    <row r="8586" spans="1:14" ht="15" customHeight="1" x14ac:dyDescent="0.2">
      <c r="A8586" s="31">
        <v>-0.15583546575746579</v>
      </c>
      <c r="B8586" s="31"/>
      <c r="C8586" s="2" t="s">
        <v>855</v>
      </c>
      <c r="D8586" s="31">
        <f xml:space="preserve"> A8586 * 0.196</f>
        <v>-3.0543751288463296E-2</v>
      </c>
      <c r="F8586" s="2" t="s">
        <v>822</v>
      </c>
      <c r="G8586" s="23" t="s">
        <v>902</v>
      </c>
      <c r="H8586" s="2" t="s">
        <v>822</v>
      </c>
      <c r="J8586" s="31">
        <v>67.658599899999999</v>
      </c>
      <c r="K8586" s="31">
        <v>41.9933014</v>
      </c>
      <c r="L8586" s="31"/>
      <c r="M8586" s="31" t="s">
        <v>854</v>
      </c>
      <c r="N8586" s="6" t="s">
        <v>856</v>
      </c>
    </row>
    <row r="8587" spans="1:14" ht="15" customHeight="1" x14ac:dyDescent="0.2">
      <c r="A8587" s="22">
        <v>-3.0788398407593006E-2</v>
      </c>
      <c r="B8587" s="22"/>
      <c r="C8587" s="2" t="s">
        <v>891</v>
      </c>
      <c r="D8587" s="2">
        <f t="shared" ref="D8587:D8596" si="240">A8587</f>
        <v>-3.0788398407593006E-2</v>
      </c>
      <c r="F8587" s="2">
        <v>2023</v>
      </c>
      <c r="G8587" s="23" t="s">
        <v>902</v>
      </c>
      <c r="H8587" s="2" t="s">
        <v>773</v>
      </c>
      <c r="I8587" s="14" t="s">
        <v>191</v>
      </c>
      <c r="J8587" s="23" t="s">
        <v>327</v>
      </c>
      <c r="K8587" s="23" t="s">
        <v>531</v>
      </c>
      <c r="L8587" s="23" t="s">
        <v>820</v>
      </c>
      <c r="M8587" s="2" t="s">
        <v>825</v>
      </c>
      <c r="N8587" s="6" t="s">
        <v>828</v>
      </c>
    </row>
    <row r="8588" spans="1:14" ht="15" customHeight="1" x14ac:dyDescent="0.2">
      <c r="A8588" s="22">
        <v>-3.0944528883174411E-2</v>
      </c>
      <c r="B8588" s="22"/>
      <c r="C8588" s="2" t="s">
        <v>891</v>
      </c>
      <c r="D8588" s="2">
        <f t="shared" si="240"/>
        <v>-3.0944528883174411E-2</v>
      </c>
      <c r="F8588" s="2">
        <v>2023</v>
      </c>
      <c r="G8588" s="23" t="s">
        <v>902</v>
      </c>
      <c r="H8588" s="2" t="s">
        <v>773</v>
      </c>
      <c r="I8588" s="14" t="s">
        <v>191</v>
      </c>
      <c r="J8588" s="23" t="s">
        <v>311</v>
      </c>
      <c r="K8588" s="23" t="s">
        <v>515</v>
      </c>
      <c r="L8588" s="23" t="s">
        <v>820</v>
      </c>
      <c r="M8588" s="2" t="s">
        <v>825</v>
      </c>
      <c r="N8588" s="6" t="s">
        <v>828</v>
      </c>
    </row>
    <row r="8589" spans="1:14" ht="15" customHeight="1" x14ac:dyDescent="0.2">
      <c r="A8589" s="22">
        <v>-3.1466074667241675E-2</v>
      </c>
      <c r="B8589" s="22"/>
      <c r="C8589" s="2" t="s">
        <v>891</v>
      </c>
      <c r="D8589" s="2">
        <f t="shared" si="240"/>
        <v>-3.1466074667241675E-2</v>
      </c>
      <c r="F8589" s="2">
        <v>2023</v>
      </c>
      <c r="G8589" s="23" t="s">
        <v>902</v>
      </c>
      <c r="H8589" s="2" t="s">
        <v>774</v>
      </c>
      <c r="I8589" s="14" t="s">
        <v>191</v>
      </c>
      <c r="J8589" s="23" t="s">
        <v>469</v>
      </c>
      <c r="K8589" s="23" t="s">
        <v>674</v>
      </c>
      <c r="L8589" s="23" t="s">
        <v>820</v>
      </c>
      <c r="M8589" s="2" t="s">
        <v>825</v>
      </c>
      <c r="N8589" s="6" t="s">
        <v>828</v>
      </c>
    </row>
    <row r="8590" spans="1:14" ht="15" customHeight="1" x14ac:dyDescent="0.2">
      <c r="A8590" s="22">
        <v>-3.17111224980016E-2</v>
      </c>
      <c r="B8590" s="22"/>
      <c r="C8590" s="2" t="s">
        <v>891</v>
      </c>
      <c r="D8590" s="2">
        <f t="shared" si="240"/>
        <v>-3.17111224980016E-2</v>
      </c>
      <c r="F8590" s="2">
        <v>2023</v>
      </c>
      <c r="G8590" s="23" t="s">
        <v>902</v>
      </c>
      <c r="H8590" s="2" t="s">
        <v>773</v>
      </c>
      <c r="I8590" s="14" t="s">
        <v>191</v>
      </c>
      <c r="J8590" s="23" t="s">
        <v>320</v>
      </c>
      <c r="K8590" s="23" t="s">
        <v>524</v>
      </c>
      <c r="L8590" s="23" t="s">
        <v>820</v>
      </c>
      <c r="M8590" s="2" t="s">
        <v>825</v>
      </c>
      <c r="N8590" s="6" t="s">
        <v>828</v>
      </c>
    </row>
    <row r="8591" spans="1:14" ht="15" customHeight="1" x14ac:dyDescent="0.2">
      <c r="A8591" s="22">
        <v>-3.2152340698774283E-2</v>
      </c>
      <c r="B8591" s="22"/>
      <c r="C8591" s="2" t="s">
        <v>891</v>
      </c>
      <c r="D8591" s="2">
        <f t="shared" si="240"/>
        <v>-3.2152340698774283E-2</v>
      </c>
      <c r="F8591" s="2">
        <v>2023</v>
      </c>
      <c r="G8591" s="23" t="s">
        <v>902</v>
      </c>
      <c r="H8591" s="2" t="s">
        <v>773</v>
      </c>
      <c r="I8591" s="14" t="s">
        <v>191</v>
      </c>
      <c r="J8591" s="23" t="s">
        <v>321</v>
      </c>
      <c r="K8591" s="23" t="s">
        <v>525</v>
      </c>
      <c r="L8591" s="23" t="s">
        <v>820</v>
      </c>
      <c r="M8591" s="2" t="s">
        <v>825</v>
      </c>
      <c r="N8591" s="6" t="s">
        <v>828</v>
      </c>
    </row>
    <row r="8592" spans="1:14" ht="15" customHeight="1" x14ac:dyDescent="0.2">
      <c r="A8592" s="22">
        <v>-3.3460606513132207E-2</v>
      </c>
      <c r="B8592" s="22"/>
      <c r="C8592" s="2" t="s">
        <v>891</v>
      </c>
      <c r="D8592" s="2">
        <f t="shared" si="240"/>
        <v>-3.3460606513132207E-2</v>
      </c>
      <c r="F8592" s="2">
        <v>2023</v>
      </c>
      <c r="G8592" s="23" t="s">
        <v>902</v>
      </c>
      <c r="H8592" s="2" t="s">
        <v>773</v>
      </c>
      <c r="I8592" s="14" t="s">
        <v>191</v>
      </c>
      <c r="J8592" s="23" t="s">
        <v>310</v>
      </c>
      <c r="K8592" s="23" t="s">
        <v>514</v>
      </c>
      <c r="L8592" s="23" t="s">
        <v>820</v>
      </c>
      <c r="M8592" s="2" t="s">
        <v>825</v>
      </c>
      <c r="N8592" s="6" t="s">
        <v>828</v>
      </c>
    </row>
    <row r="8593" spans="1:14" ht="15" customHeight="1" x14ac:dyDescent="0.2">
      <c r="A8593" s="22">
        <v>-3.4531635905368979E-2</v>
      </c>
      <c r="B8593" s="22"/>
      <c r="C8593" s="2" t="s">
        <v>891</v>
      </c>
      <c r="D8593" s="2">
        <f t="shared" si="240"/>
        <v>-3.4531635905368979E-2</v>
      </c>
      <c r="F8593" s="2">
        <v>2023</v>
      </c>
      <c r="G8593" s="23" t="s">
        <v>902</v>
      </c>
      <c r="H8593" s="2" t="s">
        <v>773</v>
      </c>
      <c r="I8593" s="14" t="s">
        <v>191</v>
      </c>
      <c r="J8593" s="23" t="s">
        <v>344</v>
      </c>
      <c r="K8593" s="23" t="s">
        <v>548</v>
      </c>
      <c r="L8593" s="23" t="s">
        <v>820</v>
      </c>
      <c r="M8593" s="2" t="s">
        <v>825</v>
      </c>
      <c r="N8593" s="6" t="s">
        <v>828</v>
      </c>
    </row>
    <row r="8594" spans="1:14" ht="15" customHeight="1" x14ac:dyDescent="0.2">
      <c r="A8594" s="22">
        <v>-3.5158763372325312E-2</v>
      </c>
      <c r="B8594" s="22"/>
      <c r="C8594" s="2" t="s">
        <v>891</v>
      </c>
      <c r="D8594" s="2">
        <f t="shared" si="240"/>
        <v>-3.5158763372325312E-2</v>
      </c>
      <c r="F8594" s="2">
        <v>2023</v>
      </c>
      <c r="G8594" s="23" t="s">
        <v>902</v>
      </c>
      <c r="H8594" s="2" t="s">
        <v>773</v>
      </c>
      <c r="I8594" s="14" t="s">
        <v>191</v>
      </c>
      <c r="J8594" s="23" t="s">
        <v>330</v>
      </c>
      <c r="K8594" s="23" t="s">
        <v>534</v>
      </c>
      <c r="L8594" s="23" t="s">
        <v>820</v>
      </c>
      <c r="M8594" s="2" t="s">
        <v>825</v>
      </c>
      <c r="N8594" s="6" t="s">
        <v>828</v>
      </c>
    </row>
    <row r="8595" spans="1:14" ht="15" customHeight="1" x14ac:dyDescent="0.2">
      <c r="A8595" s="22">
        <v>-3.5347716350949382E-2</v>
      </c>
      <c r="B8595" s="22"/>
      <c r="C8595" s="2" t="s">
        <v>891</v>
      </c>
      <c r="D8595" s="2">
        <f t="shared" si="240"/>
        <v>-3.5347716350949382E-2</v>
      </c>
      <c r="F8595" s="2">
        <v>2023</v>
      </c>
      <c r="G8595" s="23" t="s">
        <v>902</v>
      </c>
      <c r="H8595" s="2" t="s">
        <v>773</v>
      </c>
      <c r="I8595" s="14" t="s">
        <v>191</v>
      </c>
      <c r="J8595" s="23" t="s">
        <v>312</v>
      </c>
      <c r="K8595" s="23" t="s">
        <v>516</v>
      </c>
      <c r="L8595" s="23" t="s">
        <v>820</v>
      </c>
      <c r="M8595" s="2" t="s">
        <v>825</v>
      </c>
      <c r="N8595" s="6" t="s">
        <v>828</v>
      </c>
    </row>
    <row r="8596" spans="1:14" ht="15" customHeight="1" x14ac:dyDescent="0.2">
      <c r="A8596" s="22">
        <v>-3.5500109512161357E-2</v>
      </c>
      <c r="B8596" s="22"/>
      <c r="C8596" s="2" t="s">
        <v>891</v>
      </c>
      <c r="D8596" s="2">
        <f t="shared" si="240"/>
        <v>-3.5500109512161357E-2</v>
      </c>
      <c r="F8596" s="2">
        <v>2023</v>
      </c>
      <c r="G8596" s="23" t="s">
        <v>902</v>
      </c>
      <c r="H8596" s="2" t="s">
        <v>773</v>
      </c>
      <c r="I8596" s="14" t="s">
        <v>191</v>
      </c>
      <c r="J8596" s="23" t="s">
        <v>331</v>
      </c>
      <c r="K8596" s="23" t="s">
        <v>535</v>
      </c>
      <c r="L8596" s="23" t="s">
        <v>820</v>
      </c>
      <c r="M8596" s="2" t="s">
        <v>825</v>
      </c>
      <c r="N8596" s="6" t="s">
        <v>828</v>
      </c>
    </row>
    <row r="8597" spans="1:14" ht="15" customHeight="1" x14ac:dyDescent="0.25">
      <c r="A8597" s="2">
        <v>-3</v>
      </c>
      <c r="C8597" s="2" t="s">
        <v>248</v>
      </c>
      <c r="D8597" s="2">
        <f>A8597 * 0.012</f>
        <v>-3.6000000000000004E-2</v>
      </c>
      <c r="F8597" s="2">
        <v>1994</v>
      </c>
      <c r="G8597" s="38" t="s">
        <v>902</v>
      </c>
      <c r="H8597" s="2" t="s">
        <v>131</v>
      </c>
      <c r="I8597" s="2" t="s">
        <v>251</v>
      </c>
      <c r="J8597" s="2">
        <v>51.816099999999999</v>
      </c>
      <c r="K8597" s="2">
        <v>1.0214000000000001</v>
      </c>
      <c r="L8597" s="2" t="s">
        <v>255</v>
      </c>
      <c r="M8597" s="2" t="s">
        <v>823</v>
      </c>
      <c r="N8597" s="36" t="s">
        <v>887</v>
      </c>
    </row>
    <row r="8598" spans="1:14" ht="15" customHeight="1" x14ac:dyDescent="0.2">
      <c r="A8598" s="22">
        <v>-3.6733635331124788E-2</v>
      </c>
      <c r="B8598" s="22"/>
      <c r="C8598" s="2" t="s">
        <v>891</v>
      </c>
      <c r="D8598" s="2">
        <f t="shared" ref="D8598:D8641" si="241">A8598</f>
        <v>-3.6733635331124788E-2</v>
      </c>
      <c r="F8598" s="2">
        <v>2023</v>
      </c>
      <c r="G8598" s="23" t="s">
        <v>902</v>
      </c>
      <c r="H8598" s="2" t="s">
        <v>773</v>
      </c>
      <c r="I8598" s="14" t="s">
        <v>191</v>
      </c>
      <c r="J8598" s="23" t="s">
        <v>342</v>
      </c>
      <c r="K8598" s="23" t="s">
        <v>546</v>
      </c>
      <c r="L8598" s="23" t="s">
        <v>820</v>
      </c>
      <c r="M8598" s="2" t="s">
        <v>825</v>
      </c>
      <c r="N8598" s="6" t="s">
        <v>828</v>
      </c>
    </row>
    <row r="8599" spans="1:14" ht="15" customHeight="1" x14ac:dyDescent="0.2">
      <c r="A8599" s="22">
        <v>-3.7077298166191701E-2</v>
      </c>
      <c r="B8599" s="22"/>
      <c r="C8599" s="2" t="s">
        <v>891</v>
      </c>
      <c r="D8599" s="2">
        <f t="shared" si="241"/>
        <v>-3.7077298166191701E-2</v>
      </c>
      <c r="F8599" s="2">
        <v>2023</v>
      </c>
      <c r="G8599" s="23" t="s">
        <v>902</v>
      </c>
      <c r="H8599" s="2" t="s">
        <v>773</v>
      </c>
      <c r="I8599" s="14" t="s">
        <v>191</v>
      </c>
      <c r="J8599" s="23" t="s">
        <v>309</v>
      </c>
      <c r="K8599" s="23" t="s">
        <v>513</v>
      </c>
      <c r="L8599" s="23" t="s">
        <v>820</v>
      </c>
      <c r="M8599" s="2" t="s">
        <v>825</v>
      </c>
      <c r="N8599" s="6" t="s">
        <v>828</v>
      </c>
    </row>
    <row r="8600" spans="1:14" ht="15" customHeight="1" x14ac:dyDescent="0.2">
      <c r="A8600" s="22">
        <v>-3.7593906688155765E-2</v>
      </c>
      <c r="B8600" s="22"/>
      <c r="C8600" s="2" t="s">
        <v>891</v>
      </c>
      <c r="D8600" s="2">
        <f t="shared" si="241"/>
        <v>-3.7593906688155765E-2</v>
      </c>
      <c r="F8600" s="2">
        <v>2023</v>
      </c>
      <c r="G8600" s="23" t="s">
        <v>902</v>
      </c>
      <c r="H8600" s="2" t="s">
        <v>773</v>
      </c>
      <c r="I8600" s="14" t="s">
        <v>191</v>
      </c>
      <c r="J8600" s="23" t="s">
        <v>343</v>
      </c>
      <c r="K8600" s="23" t="s">
        <v>547</v>
      </c>
      <c r="L8600" s="23" t="s">
        <v>820</v>
      </c>
      <c r="M8600" s="2" t="s">
        <v>825</v>
      </c>
      <c r="N8600" s="6" t="s">
        <v>828</v>
      </c>
    </row>
    <row r="8601" spans="1:14" ht="15" customHeight="1" x14ac:dyDescent="0.2">
      <c r="A8601" s="22">
        <v>-3.7730261301588949E-2</v>
      </c>
      <c r="B8601" s="22"/>
      <c r="C8601" s="2" t="s">
        <v>891</v>
      </c>
      <c r="D8601" s="2">
        <f t="shared" si="241"/>
        <v>-3.7730261301588949E-2</v>
      </c>
      <c r="F8601" s="2">
        <v>2023</v>
      </c>
      <c r="G8601" s="23" t="s">
        <v>902</v>
      </c>
      <c r="H8601" s="2" t="s">
        <v>773</v>
      </c>
      <c r="I8601" s="14" t="s">
        <v>191</v>
      </c>
      <c r="J8601" s="23" t="s">
        <v>328</v>
      </c>
      <c r="K8601" s="23" t="s">
        <v>532</v>
      </c>
      <c r="L8601" s="23" t="s">
        <v>820</v>
      </c>
      <c r="M8601" s="2" t="s">
        <v>825</v>
      </c>
      <c r="N8601" s="6" t="s">
        <v>828</v>
      </c>
    </row>
    <row r="8602" spans="1:14" ht="15" customHeight="1" x14ac:dyDescent="0.2">
      <c r="A8602" s="22">
        <v>-3.8460196800246566E-2</v>
      </c>
      <c r="B8602" s="22"/>
      <c r="C8602" s="2" t="s">
        <v>891</v>
      </c>
      <c r="D8602" s="2">
        <f t="shared" si="241"/>
        <v>-3.8460196800246566E-2</v>
      </c>
      <c r="F8602" s="2">
        <v>2023</v>
      </c>
      <c r="G8602" s="23" t="s">
        <v>902</v>
      </c>
      <c r="H8602" s="2" t="s">
        <v>773</v>
      </c>
      <c r="I8602" s="14" t="s">
        <v>191</v>
      </c>
      <c r="J8602" s="23" t="s">
        <v>333</v>
      </c>
      <c r="K8602" s="23" t="s">
        <v>537</v>
      </c>
      <c r="L8602" s="23" t="s">
        <v>820</v>
      </c>
      <c r="M8602" s="2" t="s">
        <v>825</v>
      </c>
      <c r="N8602" s="6" t="s">
        <v>828</v>
      </c>
    </row>
    <row r="8603" spans="1:14" ht="15" customHeight="1" x14ac:dyDescent="0.2">
      <c r="A8603" s="22">
        <v>-3.9693619008898937E-2</v>
      </c>
      <c r="B8603" s="22"/>
      <c r="C8603" s="2" t="s">
        <v>891</v>
      </c>
      <c r="D8603" s="2">
        <f t="shared" si="241"/>
        <v>-3.9693619008898937E-2</v>
      </c>
      <c r="F8603" s="2">
        <v>2023</v>
      </c>
      <c r="G8603" s="23" t="s">
        <v>902</v>
      </c>
      <c r="H8603" s="2" t="s">
        <v>773</v>
      </c>
      <c r="I8603" s="14" t="s">
        <v>191</v>
      </c>
      <c r="J8603" s="23" t="s">
        <v>345</v>
      </c>
      <c r="K8603" s="23" t="s">
        <v>549</v>
      </c>
      <c r="L8603" s="23" t="s">
        <v>820</v>
      </c>
      <c r="M8603" s="2" t="s">
        <v>825</v>
      </c>
      <c r="N8603" s="6" t="s">
        <v>828</v>
      </c>
    </row>
    <row r="8604" spans="1:14" ht="15" customHeight="1" x14ac:dyDescent="0.2">
      <c r="A8604" s="22">
        <v>-4.0500641139215629E-2</v>
      </c>
      <c r="B8604" s="22"/>
      <c r="C8604" s="2" t="s">
        <v>891</v>
      </c>
      <c r="D8604" s="2">
        <f t="shared" si="241"/>
        <v>-4.0500641139215629E-2</v>
      </c>
      <c r="F8604" s="2">
        <v>2023</v>
      </c>
      <c r="G8604" s="23" t="s">
        <v>902</v>
      </c>
      <c r="H8604" s="2" t="s">
        <v>773</v>
      </c>
      <c r="I8604" s="14" t="s">
        <v>191</v>
      </c>
      <c r="J8604" s="23" t="s">
        <v>318</v>
      </c>
      <c r="K8604" s="23" t="s">
        <v>522</v>
      </c>
      <c r="L8604" s="23" t="s">
        <v>820</v>
      </c>
      <c r="M8604" s="2" t="s">
        <v>825</v>
      </c>
      <c r="N8604" s="6" t="s">
        <v>828</v>
      </c>
    </row>
    <row r="8605" spans="1:14" ht="15" customHeight="1" x14ac:dyDescent="0.2">
      <c r="A8605" s="22">
        <v>-4.135887052494109E-2</v>
      </c>
      <c r="B8605" s="22"/>
      <c r="C8605" s="2" t="s">
        <v>891</v>
      </c>
      <c r="D8605" s="2">
        <f t="shared" si="241"/>
        <v>-4.135887052494109E-2</v>
      </c>
      <c r="F8605" s="2">
        <v>2023</v>
      </c>
      <c r="G8605" s="23" t="s">
        <v>902</v>
      </c>
      <c r="H8605" s="2" t="s">
        <v>773</v>
      </c>
      <c r="I8605" s="14" t="s">
        <v>191</v>
      </c>
      <c r="J8605" s="23" t="s">
        <v>334</v>
      </c>
      <c r="K8605" s="23" t="s">
        <v>538</v>
      </c>
      <c r="L8605" s="23" t="s">
        <v>820</v>
      </c>
      <c r="M8605" s="2" t="s">
        <v>825</v>
      </c>
      <c r="N8605" s="6" t="s">
        <v>828</v>
      </c>
    </row>
    <row r="8606" spans="1:14" ht="15" customHeight="1" x14ac:dyDescent="0.2">
      <c r="A8606" s="22">
        <v>-4.1556676545746837E-2</v>
      </c>
      <c r="B8606" s="22"/>
      <c r="C8606" s="2" t="s">
        <v>891</v>
      </c>
      <c r="D8606" s="2">
        <f t="shared" si="241"/>
        <v>-4.1556676545746837E-2</v>
      </c>
      <c r="F8606" s="2">
        <v>2023</v>
      </c>
      <c r="G8606" s="23" t="s">
        <v>902</v>
      </c>
      <c r="H8606" s="2" t="s">
        <v>773</v>
      </c>
      <c r="I8606" s="14" t="s">
        <v>191</v>
      </c>
      <c r="J8606" s="23" t="s">
        <v>335</v>
      </c>
      <c r="K8606" s="23" t="s">
        <v>539</v>
      </c>
      <c r="L8606" s="23" t="s">
        <v>820</v>
      </c>
      <c r="M8606" s="2" t="s">
        <v>825</v>
      </c>
      <c r="N8606" s="6" t="s">
        <v>828</v>
      </c>
    </row>
    <row r="8607" spans="1:14" ht="15" customHeight="1" x14ac:dyDescent="0.2">
      <c r="A8607" s="22">
        <v>-4.1589508819650366E-2</v>
      </c>
      <c r="B8607" s="22"/>
      <c r="C8607" s="2" t="s">
        <v>891</v>
      </c>
      <c r="D8607" s="2">
        <f t="shared" si="241"/>
        <v>-4.1589508819650366E-2</v>
      </c>
      <c r="F8607" s="2">
        <v>2023</v>
      </c>
      <c r="G8607" s="23" t="s">
        <v>902</v>
      </c>
      <c r="H8607" s="2" t="s">
        <v>773</v>
      </c>
      <c r="I8607" s="14" t="s">
        <v>191</v>
      </c>
      <c r="J8607" s="23" t="s">
        <v>341</v>
      </c>
      <c r="K8607" s="23" t="s">
        <v>545</v>
      </c>
      <c r="L8607" s="23" t="s">
        <v>820</v>
      </c>
      <c r="M8607" s="2" t="s">
        <v>825</v>
      </c>
      <c r="N8607" s="6" t="s">
        <v>828</v>
      </c>
    </row>
    <row r="8608" spans="1:14" ht="15" customHeight="1" x14ac:dyDescent="0.2">
      <c r="A8608" s="22">
        <v>-4.2225592227255505E-2</v>
      </c>
      <c r="B8608" s="22"/>
      <c r="C8608" s="2" t="s">
        <v>891</v>
      </c>
      <c r="D8608" s="2">
        <f t="shared" si="241"/>
        <v>-4.2225592227255505E-2</v>
      </c>
      <c r="F8608" s="2">
        <v>2023</v>
      </c>
      <c r="G8608" s="23" t="s">
        <v>902</v>
      </c>
      <c r="H8608" s="2" t="s">
        <v>773</v>
      </c>
      <c r="I8608" s="14" t="s">
        <v>191</v>
      </c>
      <c r="J8608" s="23" t="s">
        <v>332</v>
      </c>
      <c r="K8608" s="23" t="s">
        <v>536</v>
      </c>
      <c r="L8608" s="23" t="s">
        <v>820</v>
      </c>
      <c r="M8608" s="2" t="s">
        <v>825</v>
      </c>
      <c r="N8608" s="6" t="s">
        <v>828</v>
      </c>
    </row>
    <row r="8609" spans="1:14" ht="15" customHeight="1" x14ac:dyDescent="0.2">
      <c r="A8609" s="22">
        <v>-4.3076551814534049E-2</v>
      </c>
      <c r="B8609" s="22"/>
      <c r="C8609" s="2" t="s">
        <v>891</v>
      </c>
      <c r="D8609" s="2">
        <f t="shared" si="241"/>
        <v>-4.3076551814534049E-2</v>
      </c>
      <c r="F8609" s="2">
        <v>2023</v>
      </c>
      <c r="G8609" s="23" t="s">
        <v>902</v>
      </c>
      <c r="H8609" s="2" t="s">
        <v>773</v>
      </c>
      <c r="I8609" s="14" t="s">
        <v>191</v>
      </c>
      <c r="J8609" s="23" t="s">
        <v>347</v>
      </c>
      <c r="K8609" s="23" t="s">
        <v>551</v>
      </c>
      <c r="L8609" s="23" t="s">
        <v>820</v>
      </c>
      <c r="M8609" s="2" t="s">
        <v>825</v>
      </c>
      <c r="N8609" s="6" t="s">
        <v>828</v>
      </c>
    </row>
    <row r="8610" spans="1:14" ht="15" customHeight="1" x14ac:dyDescent="0.2">
      <c r="A8610" s="22">
        <v>-4.3177666886844643E-2</v>
      </c>
      <c r="B8610" s="22"/>
      <c r="C8610" s="2" t="s">
        <v>891</v>
      </c>
      <c r="D8610" s="2">
        <f t="shared" si="241"/>
        <v>-4.3177666886844643E-2</v>
      </c>
      <c r="F8610" s="2">
        <v>2023</v>
      </c>
      <c r="G8610" s="23" t="s">
        <v>902</v>
      </c>
      <c r="H8610" s="2" t="s">
        <v>773</v>
      </c>
      <c r="I8610" s="14" t="s">
        <v>191</v>
      </c>
      <c r="J8610" s="23" t="s">
        <v>313</v>
      </c>
      <c r="K8610" s="23" t="s">
        <v>517</v>
      </c>
      <c r="L8610" s="23" t="s">
        <v>820</v>
      </c>
      <c r="M8610" s="2" t="s">
        <v>825</v>
      </c>
      <c r="N8610" s="6" t="s">
        <v>828</v>
      </c>
    </row>
    <row r="8611" spans="1:14" ht="15" customHeight="1" x14ac:dyDescent="0.2">
      <c r="A8611" s="22">
        <v>-4.325256531268111E-2</v>
      </c>
      <c r="B8611" s="22"/>
      <c r="C8611" s="2" t="s">
        <v>891</v>
      </c>
      <c r="D8611" s="2">
        <f t="shared" si="241"/>
        <v>-4.325256531268111E-2</v>
      </c>
      <c r="F8611" s="2">
        <v>2023</v>
      </c>
      <c r="G8611" s="23" t="s">
        <v>902</v>
      </c>
      <c r="H8611" s="2" t="s">
        <v>773</v>
      </c>
      <c r="I8611" s="14" t="s">
        <v>191</v>
      </c>
      <c r="J8611" s="23" t="s">
        <v>329</v>
      </c>
      <c r="K8611" s="23" t="s">
        <v>533</v>
      </c>
      <c r="L8611" s="23" t="s">
        <v>820</v>
      </c>
      <c r="M8611" s="2" t="s">
        <v>825</v>
      </c>
      <c r="N8611" s="6" t="s">
        <v>828</v>
      </c>
    </row>
    <row r="8612" spans="1:14" ht="15" customHeight="1" x14ac:dyDescent="0.2">
      <c r="A8612" s="22">
        <v>-4.3273130470352215E-2</v>
      </c>
      <c r="B8612" s="22"/>
      <c r="C8612" s="2" t="s">
        <v>891</v>
      </c>
      <c r="D8612" s="2">
        <f t="shared" si="241"/>
        <v>-4.3273130470352215E-2</v>
      </c>
      <c r="F8612" s="2">
        <v>2023</v>
      </c>
      <c r="G8612" s="23" t="s">
        <v>902</v>
      </c>
      <c r="H8612" s="2" t="s">
        <v>773</v>
      </c>
      <c r="I8612" s="14" t="s">
        <v>191</v>
      </c>
      <c r="J8612" s="23" t="s">
        <v>339</v>
      </c>
      <c r="K8612" s="23" t="s">
        <v>543</v>
      </c>
      <c r="L8612" s="23" t="s">
        <v>820</v>
      </c>
      <c r="M8612" s="2" t="s">
        <v>825</v>
      </c>
      <c r="N8612" s="6" t="s">
        <v>828</v>
      </c>
    </row>
    <row r="8613" spans="1:14" ht="15" customHeight="1" x14ac:dyDescent="0.2">
      <c r="A8613" s="22">
        <v>-4.3281398618347094E-2</v>
      </c>
      <c r="B8613" s="22"/>
      <c r="C8613" s="2" t="s">
        <v>891</v>
      </c>
      <c r="D8613" s="2">
        <f t="shared" si="241"/>
        <v>-4.3281398618347094E-2</v>
      </c>
      <c r="F8613" s="2">
        <v>2023</v>
      </c>
      <c r="G8613" s="23" t="s">
        <v>902</v>
      </c>
      <c r="H8613" s="2" t="s">
        <v>773</v>
      </c>
      <c r="I8613" s="14" t="s">
        <v>191</v>
      </c>
      <c r="J8613" s="23" t="s">
        <v>340</v>
      </c>
      <c r="K8613" s="23" t="s">
        <v>544</v>
      </c>
      <c r="L8613" s="23" t="s">
        <v>820</v>
      </c>
      <c r="M8613" s="2" t="s">
        <v>825</v>
      </c>
      <c r="N8613" s="6" t="s">
        <v>828</v>
      </c>
    </row>
    <row r="8614" spans="1:14" ht="15" customHeight="1" x14ac:dyDescent="0.2">
      <c r="A8614" s="22">
        <v>-4.346639865108691E-2</v>
      </c>
      <c r="B8614" s="22"/>
      <c r="C8614" s="2" t="s">
        <v>891</v>
      </c>
      <c r="D8614" s="2">
        <f t="shared" si="241"/>
        <v>-4.346639865108691E-2</v>
      </c>
      <c r="F8614" s="2">
        <v>2023</v>
      </c>
      <c r="G8614" s="23" t="s">
        <v>902</v>
      </c>
      <c r="H8614" s="2" t="s">
        <v>773</v>
      </c>
      <c r="I8614" s="14" t="s">
        <v>191</v>
      </c>
      <c r="J8614" s="23" t="s">
        <v>346</v>
      </c>
      <c r="K8614" s="23" t="s">
        <v>550</v>
      </c>
      <c r="L8614" s="23" t="s">
        <v>820</v>
      </c>
      <c r="M8614" s="2" t="s">
        <v>825</v>
      </c>
      <c r="N8614" s="6" t="s">
        <v>828</v>
      </c>
    </row>
    <row r="8615" spans="1:14" ht="15" customHeight="1" x14ac:dyDescent="0.2">
      <c r="A8615" s="22">
        <v>-4.3760850843595191E-2</v>
      </c>
      <c r="B8615" s="22"/>
      <c r="C8615" s="2" t="s">
        <v>891</v>
      </c>
      <c r="D8615" s="2">
        <f t="shared" si="241"/>
        <v>-4.3760850843595191E-2</v>
      </c>
      <c r="F8615" s="2">
        <v>2023</v>
      </c>
      <c r="G8615" s="23" t="s">
        <v>902</v>
      </c>
      <c r="H8615" s="2" t="s">
        <v>773</v>
      </c>
      <c r="I8615" s="14" t="s">
        <v>191</v>
      </c>
      <c r="J8615" s="23" t="s">
        <v>336</v>
      </c>
      <c r="K8615" s="23" t="s">
        <v>540</v>
      </c>
      <c r="L8615" s="23" t="s">
        <v>820</v>
      </c>
      <c r="M8615" s="2" t="s">
        <v>825</v>
      </c>
      <c r="N8615" s="6" t="s">
        <v>828</v>
      </c>
    </row>
    <row r="8616" spans="1:14" ht="15" customHeight="1" x14ac:dyDescent="0.2">
      <c r="A8616" s="22">
        <v>-4.3783744756450936E-2</v>
      </c>
      <c r="B8616" s="22"/>
      <c r="C8616" s="2" t="s">
        <v>891</v>
      </c>
      <c r="D8616" s="2">
        <f t="shared" si="241"/>
        <v>-4.3783744756450936E-2</v>
      </c>
      <c r="F8616" s="2">
        <v>2023</v>
      </c>
      <c r="G8616" s="23" t="s">
        <v>902</v>
      </c>
      <c r="H8616" s="2" t="s">
        <v>773</v>
      </c>
      <c r="I8616" s="14" t="s">
        <v>191</v>
      </c>
      <c r="J8616" s="23" t="s">
        <v>337</v>
      </c>
      <c r="K8616" s="23" t="s">
        <v>541</v>
      </c>
      <c r="L8616" s="23" t="s">
        <v>820</v>
      </c>
      <c r="M8616" s="2" t="s">
        <v>825</v>
      </c>
      <c r="N8616" s="6" t="s">
        <v>828</v>
      </c>
    </row>
    <row r="8617" spans="1:14" ht="15" customHeight="1" x14ac:dyDescent="0.2">
      <c r="A8617" s="22">
        <v>-4.4734897184321415E-2</v>
      </c>
      <c r="B8617" s="22"/>
      <c r="C8617" s="2" t="s">
        <v>891</v>
      </c>
      <c r="D8617" s="2">
        <f t="shared" si="241"/>
        <v>-4.4734897184321415E-2</v>
      </c>
      <c r="F8617" s="2">
        <v>2023</v>
      </c>
      <c r="G8617" s="23" t="s">
        <v>902</v>
      </c>
      <c r="H8617" s="2" t="s">
        <v>773</v>
      </c>
      <c r="I8617" s="14" t="s">
        <v>191</v>
      </c>
      <c r="J8617" s="23" t="s">
        <v>307</v>
      </c>
      <c r="K8617" s="23" t="s">
        <v>511</v>
      </c>
      <c r="L8617" s="23" t="s">
        <v>820</v>
      </c>
      <c r="M8617" s="2" t="s">
        <v>825</v>
      </c>
      <c r="N8617" s="6" t="s">
        <v>828</v>
      </c>
    </row>
    <row r="8618" spans="1:14" ht="15" customHeight="1" x14ac:dyDescent="0.2">
      <c r="A8618" s="22">
        <v>-4.4877949967425577E-2</v>
      </c>
      <c r="B8618" s="22"/>
      <c r="C8618" s="2" t="s">
        <v>891</v>
      </c>
      <c r="D8618" s="2">
        <f t="shared" si="241"/>
        <v>-4.4877949967425577E-2</v>
      </c>
      <c r="F8618" s="2">
        <v>2023</v>
      </c>
      <c r="G8618" s="23" t="s">
        <v>902</v>
      </c>
      <c r="H8618" s="2" t="s">
        <v>773</v>
      </c>
      <c r="I8618" s="14" t="s">
        <v>191</v>
      </c>
      <c r="J8618" s="23" t="s">
        <v>338</v>
      </c>
      <c r="K8618" s="23" t="s">
        <v>542</v>
      </c>
      <c r="L8618" s="23" t="s">
        <v>820</v>
      </c>
      <c r="M8618" s="2" t="s">
        <v>825</v>
      </c>
      <c r="N8618" s="6" t="s">
        <v>828</v>
      </c>
    </row>
    <row r="8619" spans="1:14" ht="15" customHeight="1" x14ac:dyDescent="0.2">
      <c r="A8619" s="22">
        <v>-4.5523094471373968E-2</v>
      </c>
      <c r="B8619" s="22"/>
      <c r="C8619" s="2" t="s">
        <v>891</v>
      </c>
      <c r="D8619" s="2">
        <f t="shared" si="241"/>
        <v>-4.5523094471373968E-2</v>
      </c>
      <c r="F8619" s="2">
        <v>2023</v>
      </c>
      <c r="G8619" s="23" t="s">
        <v>902</v>
      </c>
      <c r="H8619" s="2" t="s">
        <v>773</v>
      </c>
      <c r="I8619" s="14" t="s">
        <v>191</v>
      </c>
      <c r="J8619" s="23" t="s">
        <v>306</v>
      </c>
      <c r="K8619" s="23" t="s">
        <v>510</v>
      </c>
      <c r="L8619" s="23" t="s">
        <v>820</v>
      </c>
      <c r="M8619" s="2" t="s">
        <v>825</v>
      </c>
      <c r="N8619" s="6" t="s">
        <v>828</v>
      </c>
    </row>
    <row r="8620" spans="1:14" ht="15" customHeight="1" x14ac:dyDescent="0.2">
      <c r="A8620" s="22">
        <v>-4.6064376483987257E-2</v>
      </c>
      <c r="B8620" s="22"/>
      <c r="C8620" s="2" t="s">
        <v>891</v>
      </c>
      <c r="D8620" s="2">
        <f t="shared" si="241"/>
        <v>-4.6064376483987257E-2</v>
      </c>
      <c r="F8620" s="2">
        <v>2023</v>
      </c>
      <c r="G8620" s="23" t="s">
        <v>902</v>
      </c>
      <c r="H8620" s="2" t="s">
        <v>773</v>
      </c>
      <c r="I8620" s="14" t="s">
        <v>191</v>
      </c>
      <c r="J8620" s="23" t="s">
        <v>302</v>
      </c>
      <c r="K8620" s="23" t="s">
        <v>506</v>
      </c>
      <c r="L8620" s="23" t="s">
        <v>820</v>
      </c>
      <c r="M8620" s="2" t="s">
        <v>825</v>
      </c>
      <c r="N8620" s="6" t="s">
        <v>828</v>
      </c>
    </row>
    <row r="8621" spans="1:14" ht="15" customHeight="1" x14ac:dyDescent="0.2">
      <c r="A8621" s="22">
        <v>-4.6083388948808708E-2</v>
      </c>
      <c r="B8621" s="22"/>
      <c r="C8621" s="2" t="s">
        <v>891</v>
      </c>
      <c r="D8621" s="2">
        <f t="shared" si="241"/>
        <v>-4.6083388948808708E-2</v>
      </c>
      <c r="F8621" s="2">
        <v>2023</v>
      </c>
      <c r="G8621" s="23" t="s">
        <v>902</v>
      </c>
      <c r="H8621" s="2" t="s">
        <v>773</v>
      </c>
      <c r="I8621" s="14" t="s">
        <v>191</v>
      </c>
      <c r="J8621" s="23" t="s">
        <v>317</v>
      </c>
      <c r="K8621" s="23" t="s">
        <v>521</v>
      </c>
      <c r="L8621" s="23" t="s">
        <v>820</v>
      </c>
      <c r="M8621" s="2" t="s">
        <v>825</v>
      </c>
      <c r="N8621" s="6" t="s">
        <v>828</v>
      </c>
    </row>
    <row r="8622" spans="1:14" ht="15" customHeight="1" x14ac:dyDescent="0.2">
      <c r="A8622" s="22">
        <v>-4.6268578137436227E-2</v>
      </c>
      <c r="B8622" s="22"/>
      <c r="C8622" s="2" t="s">
        <v>891</v>
      </c>
      <c r="D8622" s="2">
        <f t="shared" si="241"/>
        <v>-4.6268578137436227E-2</v>
      </c>
      <c r="F8622" s="2">
        <v>2023</v>
      </c>
      <c r="G8622" s="23" t="s">
        <v>902</v>
      </c>
      <c r="H8622" s="2" t="s">
        <v>773</v>
      </c>
      <c r="I8622" s="14" t="s">
        <v>191</v>
      </c>
      <c r="J8622" s="23" t="s">
        <v>303</v>
      </c>
      <c r="K8622" s="23" t="s">
        <v>507</v>
      </c>
      <c r="L8622" s="23" t="s">
        <v>820</v>
      </c>
      <c r="M8622" s="2" t="s">
        <v>825</v>
      </c>
      <c r="N8622" s="6" t="s">
        <v>828</v>
      </c>
    </row>
    <row r="8623" spans="1:14" ht="15" customHeight="1" x14ac:dyDescent="0.2">
      <c r="A8623" s="22">
        <v>-4.6452295641603122E-2</v>
      </c>
      <c r="B8623" s="22"/>
      <c r="C8623" s="2" t="s">
        <v>891</v>
      </c>
      <c r="D8623" s="2">
        <f t="shared" si="241"/>
        <v>-4.6452295641603122E-2</v>
      </c>
      <c r="F8623" s="2">
        <v>2023</v>
      </c>
      <c r="G8623" s="23" t="s">
        <v>902</v>
      </c>
      <c r="H8623" s="2" t="s">
        <v>773</v>
      </c>
      <c r="I8623" s="14" t="s">
        <v>191</v>
      </c>
      <c r="J8623" s="23" t="s">
        <v>305</v>
      </c>
      <c r="K8623" s="23" t="s">
        <v>509</v>
      </c>
      <c r="L8623" s="23" t="s">
        <v>820</v>
      </c>
      <c r="M8623" s="2" t="s">
        <v>825</v>
      </c>
      <c r="N8623" s="6" t="s">
        <v>828</v>
      </c>
    </row>
    <row r="8624" spans="1:14" ht="15" customHeight="1" x14ac:dyDescent="0.2">
      <c r="A8624" s="22">
        <v>-4.6502262371090244E-2</v>
      </c>
      <c r="B8624" s="22"/>
      <c r="C8624" s="2" t="s">
        <v>891</v>
      </c>
      <c r="D8624" s="2">
        <f t="shared" si="241"/>
        <v>-4.6502262371090244E-2</v>
      </c>
      <c r="F8624" s="2">
        <v>2023</v>
      </c>
      <c r="G8624" s="23" t="s">
        <v>902</v>
      </c>
      <c r="H8624" s="2" t="s">
        <v>773</v>
      </c>
      <c r="I8624" s="14" t="s">
        <v>191</v>
      </c>
      <c r="J8624" s="23" t="s">
        <v>301</v>
      </c>
      <c r="K8624" s="23" t="s">
        <v>505</v>
      </c>
      <c r="L8624" s="23" t="s">
        <v>820</v>
      </c>
      <c r="M8624" s="2" t="s">
        <v>825</v>
      </c>
      <c r="N8624" s="6" t="s">
        <v>828</v>
      </c>
    </row>
    <row r="8625" spans="1:14" ht="15" customHeight="1" x14ac:dyDescent="0.2">
      <c r="A8625" s="22">
        <v>-4.7197553396427672E-2</v>
      </c>
      <c r="B8625" s="22"/>
      <c r="C8625" s="2" t="s">
        <v>891</v>
      </c>
      <c r="D8625" s="2">
        <f t="shared" si="241"/>
        <v>-4.7197553396427672E-2</v>
      </c>
      <c r="F8625" s="2">
        <v>2023</v>
      </c>
      <c r="G8625" s="23" t="s">
        <v>902</v>
      </c>
      <c r="H8625" s="2" t="s">
        <v>773</v>
      </c>
      <c r="I8625" s="14" t="s">
        <v>191</v>
      </c>
      <c r="J8625" s="23" t="s">
        <v>300</v>
      </c>
      <c r="K8625" s="23" t="s">
        <v>504</v>
      </c>
      <c r="L8625" s="23" t="s">
        <v>820</v>
      </c>
      <c r="M8625" s="2" t="s">
        <v>825</v>
      </c>
      <c r="N8625" s="6" t="s">
        <v>828</v>
      </c>
    </row>
    <row r="8626" spans="1:14" ht="15" customHeight="1" x14ac:dyDescent="0.2">
      <c r="A8626" s="22">
        <v>-4.7832956515172727E-2</v>
      </c>
      <c r="B8626" s="22"/>
      <c r="C8626" s="2" t="s">
        <v>891</v>
      </c>
      <c r="D8626" s="2">
        <f t="shared" si="241"/>
        <v>-4.7832956515172727E-2</v>
      </c>
      <c r="F8626" s="2">
        <v>2023</v>
      </c>
      <c r="G8626" s="23" t="s">
        <v>902</v>
      </c>
      <c r="H8626" s="2" t="s">
        <v>773</v>
      </c>
      <c r="I8626" s="14" t="s">
        <v>191</v>
      </c>
      <c r="J8626" s="23" t="s">
        <v>304</v>
      </c>
      <c r="K8626" s="23" t="s">
        <v>508</v>
      </c>
      <c r="L8626" s="23" t="s">
        <v>820</v>
      </c>
      <c r="M8626" s="2" t="s">
        <v>825</v>
      </c>
      <c r="N8626" s="6" t="s">
        <v>828</v>
      </c>
    </row>
    <row r="8627" spans="1:14" ht="15" customHeight="1" x14ac:dyDescent="0.2">
      <c r="A8627" s="22">
        <v>-4.7928328849339168E-2</v>
      </c>
      <c r="B8627" s="22"/>
      <c r="C8627" s="2" t="s">
        <v>891</v>
      </c>
      <c r="D8627" s="2">
        <f t="shared" si="241"/>
        <v>-4.7928328849339168E-2</v>
      </c>
      <c r="F8627" s="2">
        <v>2023</v>
      </c>
      <c r="G8627" s="23" t="s">
        <v>902</v>
      </c>
      <c r="H8627" s="2" t="s">
        <v>774</v>
      </c>
      <c r="I8627" s="14" t="s">
        <v>191</v>
      </c>
      <c r="J8627" s="23" t="s">
        <v>470</v>
      </c>
      <c r="K8627" s="23" t="s">
        <v>675</v>
      </c>
      <c r="L8627" s="23" t="s">
        <v>820</v>
      </c>
      <c r="M8627" s="2" t="s">
        <v>825</v>
      </c>
      <c r="N8627" s="6" t="s">
        <v>828</v>
      </c>
    </row>
    <row r="8628" spans="1:14" ht="15" customHeight="1" x14ac:dyDescent="0.2">
      <c r="A8628" s="22">
        <v>-4.9272027835362754E-2</v>
      </c>
      <c r="B8628" s="22"/>
      <c r="C8628" s="2" t="s">
        <v>891</v>
      </c>
      <c r="D8628" s="2">
        <f t="shared" si="241"/>
        <v>-4.9272027835362754E-2</v>
      </c>
      <c r="F8628" s="2">
        <v>2023</v>
      </c>
      <c r="G8628" s="23" t="s">
        <v>902</v>
      </c>
      <c r="H8628" s="2" t="s">
        <v>773</v>
      </c>
      <c r="I8628" s="14" t="s">
        <v>191</v>
      </c>
      <c r="J8628" s="23" t="s">
        <v>308</v>
      </c>
      <c r="K8628" s="23" t="s">
        <v>512</v>
      </c>
      <c r="L8628" s="23" t="s">
        <v>820</v>
      </c>
      <c r="M8628" s="2" t="s">
        <v>825</v>
      </c>
      <c r="N8628" s="6" t="s">
        <v>828</v>
      </c>
    </row>
    <row r="8629" spans="1:14" ht="15" customHeight="1" x14ac:dyDescent="0.2">
      <c r="A8629" s="22">
        <v>-5.0378688173507644E-2</v>
      </c>
      <c r="B8629" s="22"/>
      <c r="C8629" s="2" t="s">
        <v>891</v>
      </c>
      <c r="D8629" s="2">
        <f t="shared" si="241"/>
        <v>-5.0378688173507644E-2</v>
      </c>
      <c r="F8629" s="2">
        <v>2023</v>
      </c>
      <c r="G8629" s="23" t="s">
        <v>902</v>
      </c>
      <c r="H8629" s="2" t="s">
        <v>773</v>
      </c>
      <c r="I8629" s="14" t="s">
        <v>191</v>
      </c>
      <c r="J8629" s="23" t="s">
        <v>314</v>
      </c>
      <c r="K8629" s="23" t="s">
        <v>518</v>
      </c>
      <c r="L8629" s="23" t="s">
        <v>820</v>
      </c>
      <c r="M8629" s="2" t="s">
        <v>825</v>
      </c>
      <c r="N8629" s="6" t="s">
        <v>828</v>
      </c>
    </row>
    <row r="8630" spans="1:14" ht="15" customHeight="1" x14ac:dyDescent="0.2">
      <c r="A8630" s="22">
        <v>-5.1233696208009348E-2</v>
      </c>
      <c r="B8630" s="22"/>
      <c r="C8630" s="2" t="s">
        <v>891</v>
      </c>
      <c r="D8630" s="2">
        <f t="shared" si="241"/>
        <v>-5.1233696208009348E-2</v>
      </c>
      <c r="F8630" s="2">
        <v>2023</v>
      </c>
      <c r="G8630" s="23" t="s">
        <v>902</v>
      </c>
      <c r="H8630" s="2" t="s">
        <v>773</v>
      </c>
      <c r="I8630" s="14" t="s">
        <v>191</v>
      </c>
      <c r="J8630" s="23" t="s">
        <v>315</v>
      </c>
      <c r="K8630" s="23" t="s">
        <v>519</v>
      </c>
      <c r="L8630" s="23" t="s">
        <v>820</v>
      </c>
      <c r="M8630" s="2" t="s">
        <v>825</v>
      </c>
      <c r="N8630" s="6" t="s">
        <v>828</v>
      </c>
    </row>
    <row r="8631" spans="1:14" ht="15" customHeight="1" x14ac:dyDescent="0.2">
      <c r="A8631" s="22">
        <v>-5.4153335057624645E-2</v>
      </c>
      <c r="B8631" s="22"/>
      <c r="C8631" s="2" t="s">
        <v>891</v>
      </c>
      <c r="D8631" s="2">
        <f t="shared" si="241"/>
        <v>-5.4153335057624645E-2</v>
      </c>
      <c r="F8631" s="2">
        <v>2023</v>
      </c>
      <c r="G8631" s="23" t="s">
        <v>902</v>
      </c>
      <c r="H8631" s="2" t="s">
        <v>773</v>
      </c>
      <c r="I8631" s="14" t="s">
        <v>191</v>
      </c>
      <c r="J8631" s="23" t="s">
        <v>316</v>
      </c>
      <c r="K8631" s="23" t="s">
        <v>520</v>
      </c>
      <c r="L8631" s="23" t="s">
        <v>820</v>
      </c>
      <c r="M8631" s="2" t="s">
        <v>825</v>
      </c>
      <c r="N8631" s="6" t="s">
        <v>828</v>
      </c>
    </row>
    <row r="8632" spans="1:14" ht="15" customHeight="1" x14ac:dyDescent="0.2">
      <c r="A8632" s="22">
        <v>-5.5636844194047297E-2</v>
      </c>
      <c r="B8632" s="22"/>
      <c r="C8632" s="2" t="s">
        <v>891</v>
      </c>
      <c r="D8632" s="2">
        <f t="shared" si="241"/>
        <v>-5.5636844194047297E-2</v>
      </c>
      <c r="F8632" s="2">
        <v>2023</v>
      </c>
      <c r="G8632" s="23" t="s">
        <v>902</v>
      </c>
      <c r="H8632" s="2" t="s">
        <v>774</v>
      </c>
      <c r="I8632" s="14" t="s">
        <v>191</v>
      </c>
      <c r="J8632" s="23" t="s">
        <v>466</v>
      </c>
      <c r="K8632" s="23" t="s">
        <v>671</v>
      </c>
      <c r="L8632" s="23" t="s">
        <v>820</v>
      </c>
      <c r="M8632" s="2" t="s">
        <v>825</v>
      </c>
      <c r="N8632" s="6" t="s">
        <v>828</v>
      </c>
    </row>
    <row r="8633" spans="1:14" ht="15" customHeight="1" x14ac:dyDescent="0.2">
      <c r="A8633" s="22">
        <v>-5.6206089961886523E-2</v>
      </c>
      <c r="B8633" s="22"/>
      <c r="C8633" s="2" t="s">
        <v>891</v>
      </c>
      <c r="D8633" s="2">
        <f t="shared" si="241"/>
        <v>-5.6206089961886523E-2</v>
      </c>
      <c r="F8633" s="2">
        <v>2023</v>
      </c>
      <c r="G8633" s="23" t="s">
        <v>902</v>
      </c>
      <c r="H8633" s="2" t="s">
        <v>774</v>
      </c>
      <c r="I8633" s="14" t="s">
        <v>191</v>
      </c>
      <c r="J8633" s="23" t="s">
        <v>465</v>
      </c>
      <c r="K8633" s="23" t="s">
        <v>670</v>
      </c>
      <c r="L8633" s="23" t="s">
        <v>820</v>
      </c>
      <c r="M8633" s="2" t="s">
        <v>825</v>
      </c>
      <c r="N8633" s="6" t="s">
        <v>828</v>
      </c>
    </row>
    <row r="8634" spans="1:14" ht="15" customHeight="1" x14ac:dyDescent="0.2">
      <c r="A8634" s="22">
        <v>-6.4588295115697789E-2</v>
      </c>
      <c r="B8634" s="22"/>
      <c r="C8634" s="2" t="s">
        <v>891</v>
      </c>
      <c r="D8634" s="2">
        <f t="shared" si="241"/>
        <v>-6.4588295115697789E-2</v>
      </c>
      <c r="F8634" s="2">
        <v>2023</v>
      </c>
      <c r="G8634" s="23" t="s">
        <v>902</v>
      </c>
      <c r="H8634" s="2" t="s">
        <v>774</v>
      </c>
      <c r="I8634" s="14" t="s">
        <v>191</v>
      </c>
      <c r="J8634" s="23" t="s">
        <v>468</v>
      </c>
      <c r="K8634" s="23" t="s">
        <v>673</v>
      </c>
      <c r="L8634" s="23" t="s">
        <v>820</v>
      </c>
      <c r="M8634" s="2" t="s">
        <v>825</v>
      </c>
      <c r="N8634" s="6" t="s">
        <v>828</v>
      </c>
    </row>
    <row r="8635" spans="1:14" ht="15" customHeight="1" x14ac:dyDescent="0.2">
      <c r="A8635" s="22">
        <v>-7.4900972615714489E-2</v>
      </c>
      <c r="B8635" s="22"/>
      <c r="C8635" s="2" t="s">
        <v>891</v>
      </c>
      <c r="D8635" s="2">
        <f t="shared" si="241"/>
        <v>-7.4900972615714489E-2</v>
      </c>
      <c r="F8635" s="2">
        <v>2023</v>
      </c>
      <c r="G8635" s="23" t="s">
        <v>902</v>
      </c>
      <c r="H8635" s="2" t="s">
        <v>772</v>
      </c>
      <c r="I8635" s="14" t="s">
        <v>191</v>
      </c>
      <c r="J8635" s="23" t="s">
        <v>271</v>
      </c>
      <c r="K8635" s="23" t="s">
        <v>476</v>
      </c>
      <c r="L8635" s="23" t="s">
        <v>820</v>
      </c>
      <c r="M8635" s="2" t="s">
        <v>825</v>
      </c>
      <c r="N8635" s="6" t="s">
        <v>828</v>
      </c>
    </row>
    <row r="8636" spans="1:14" ht="15" customHeight="1" x14ac:dyDescent="0.2">
      <c r="A8636" s="22">
        <v>-7.773232504970258E-2</v>
      </c>
      <c r="B8636" s="22"/>
      <c r="C8636" s="2" t="s">
        <v>891</v>
      </c>
      <c r="D8636" s="2">
        <f t="shared" si="241"/>
        <v>-7.773232504970258E-2</v>
      </c>
      <c r="F8636" s="2">
        <v>2023</v>
      </c>
      <c r="G8636" s="23" t="s">
        <v>902</v>
      </c>
      <c r="H8636" s="2" t="s">
        <v>774</v>
      </c>
      <c r="I8636" s="14" t="s">
        <v>191</v>
      </c>
      <c r="J8636" s="23" t="s">
        <v>467</v>
      </c>
      <c r="K8636" s="23" t="s">
        <v>672</v>
      </c>
      <c r="L8636" s="23" t="s">
        <v>820</v>
      </c>
      <c r="M8636" s="2" t="s">
        <v>825</v>
      </c>
      <c r="N8636" s="6" t="s">
        <v>828</v>
      </c>
    </row>
    <row r="8637" spans="1:14" ht="15" customHeight="1" x14ac:dyDescent="0.2">
      <c r="A8637" s="22">
        <v>-7.9354589830580732E-2</v>
      </c>
      <c r="B8637" s="22"/>
      <c r="C8637" s="2" t="s">
        <v>891</v>
      </c>
      <c r="D8637" s="2">
        <f t="shared" si="241"/>
        <v>-7.9354589830580732E-2</v>
      </c>
      <c r="F8637" s="2">
        <v>2023</v>
      </c>
      <c r="G8637" s="23" t="s">
        <v>902</v>
      </c>
      <c r="H8637" s="2" t="s">
        <v>774</v>
      </c>
      <c r="I8637" s="14" t="s">
        <v>191</v>
      </c>
      <c r="J8637" s="23" t="s">
        <v>464</v>
      </c>
      <c r="K8637" s="23" t="s">
        <v>669</v>
      </c>
      <c r="L8637" s="23" t="s">
        <v>820</v>
      </c>
      <c r="M8637" s="2" t="s">
        <v>825</v>
      </c>
      <c r="N8637" s="6" t="s">
        <v>828</v>
      </c>
    </row>
    <row r="8638" spans="1:14" ht="15" customHeight="1" x14ac:dyDescent="0.2">
      <c r="A8638" s="22">
        <v>-8.3846456505320771E-2</v>
      </c>
      <c r="B8638" s="22"/>
      <c r="C8638" s="2" t="s">
        <v>891</v>
      </c>
      <c r="D8638" s="2">
        <f t="shared" si="241"/>
        <v>-8.3846456505320771E-2</v>
      </c>
      <c r="F8638" s="2">
        <v>2023</v>
      </c>
      <c r="G8638" s="23" t="s">
        <v>902</v>
      </c>
      <c r="H8638" s="2" t="s">
        <v>774</v>
      </c>
      <c r="I8638" s="14" t="s">
        <v>191</v>
      </c>
      <c r="J8638" s="23" t="s">
        <v>471</v>
      </c>
      <c r="K8638" s="23" t="s">
        <v>676</v>
      </c>
      <c r="L8638" s="23" t="s">
        <v>820</v>
      </c>
      <c r="M8638" s="2" t="s">
        <v>825</v>
      </c>
      <c r="N8638" s="6" t="s">
        <v>828</v>
      </c>
    </row>
    <row r="8639" spans="1:14" ht="15" customHeight="1" x14ac:dyDescent="0.2">
      <c r="A8639" s="22">
        <v>-9.683843169997769E-2</v>
      </c>
      <c r="B8639" s="22"/>
      <c r="C8639" s="2" t="s">
        <v>891</v>
      </c>
      <c r="D8639" s="2">
        <f t="shared" si="241"/>
        <v>-9.683843169997769E-2</v>
      </c>
      <c r="F8639" s="2">
        <v>2023</v>
      </c>
      <c r="G8639" s="23" t="s">
        <v>902</v>
      </c>
      <c r="H8639" s="2" t="s">
        <v>774</v>
      </c>
      <c r="I8639" s="14" t="s">
        <v>191</v>
      </c>
      <c r="J8639" s="23" t="s">
        <v>463</v>
      </c>
      <c r="K8639" s="23" t="s">
        <v>668</v>
      </c>
      <c r="L8639" s="23" t="s">
        <v>820</v>
      </c>
      <c r="M8639" s="2" t="s">
        <v>825</v>
      </c>
      <c r="N8639" s="6" t="s">
        <v>828</v>
      </c>
    </row>
    <row r="8640" spans="1:14" ht="15" customHeight="1" x14ac:dyDescent="0.2">
      <c r="A8640" s="22">
        <v>-0.10561599783221445</v>
      </c>
      <c r="B8640" s="22"/>
      <c r="C8640" s="2" t="s">
        <v>891</v>
      </c>
      <c r="D8640" s="2">
        <f t="shared" si="241"/>
        <v>-0.10561599783221445</v>
      </c>
      <c r="F8640" s="2">
        <v>2023</v>
      </c>
      <c r="G8640" s="23" t="s">
        <v>902</v>
      </c>
      <c r="H8640" s="2" t="s">
        <v>774</v>
      </c>
      <c r="I8640" s="14" t="s">
        <v>191</v>
      </c>
      <c r="J8640" s="23" t="s">
        <v>461</v>
      </c>
      <c r="K8640" s="23" t="s">
        <v>666</v>
      </c>
      <c r="L8640" s="23" t="s">
        <v>820</v>
      </c>
      <c r="M8640" s="2" t="s">
        <v>825</v>
      </c>
      <c r="N8640" s="6" t="s">
        <v>828</v>
      </c>
    </row>
    <row r="8641" spans="1:14" ht="15" customHeight="1" x14ac:dyDescent="0.2">
      <c r="A8641" s="22">
        <v>-0.10867329960485113</v>
      </c>
      <c r="B8641" s="22"/>
      <c r="C8641" s="2" t="s">
        <v>891</v>
      </c>
      <c r="D8641" s="2">
        <f t="shared" si="241"/>
        <v>-0.10867329960485113</v>
      </c>
      <c r="F8641" s="2">
        <v>2023</v>
      </c>
      <c r="G8641" s="23" t="s">
        <v>902</v>
      </c>
      <c r="H8641" s="2" t="s">
        <v>774</v>
      </c>
      <c r="I8641" s="14" t="s">
        <v>191</v>
      </c>
      <c r="J8641" s="23" t="s">
        <v>462</v>
      </c>
      <c r="K8641" s="23" t="s">
        <v>667</v>
      </c>
      <c r="L8641" s="23" t="s">
        <v>820</v>
      </c>
      <c r="M8641" s="2" t="s">
        <v>825</v>
      </c>
      <c r="N8641" s="6" t="s">
        <v>828</v>
      </c>
    </row>
    <row r="8642" spans="1:14" ht="15" customHeight="1" x14ac:dyDescent="0.2">
      <c r="A8642" s="31">
        <v>-2.2138434666465001E-4</v>
      </c>
      <c r="B8642" s="31"/>
      <c r="C8642" s="2" t="s">
        <v>892</v>
      </c>
      <c r="D8642" s="2">
        <f>A8642 * 545.45</f>
        <v>-0.12075409188823336</v>
      </c>
      <c r="F8642" s="2">
        <v>2020</v>
      </c>
      <c r="G8642" s="38" t="s">
        <v>901</v>
      </c>
      <c r="H8642" s="2" t="s">
        <v>741</v>
      </c>
      <c r="I8642" s="31" t="s">
        <v>260</v>
      </c>
      <c r="J8642" s="31">
        <v>54.372</v>
      </c>
      <c r="K8642" s="31">
        <v>13.241300000000001</v>
      </c>
      <c r="L8642" s="2" t="s">
        <v>28</v>
      </c>
      <c r="M8642" s="2" t="s">
        <v>824</v>
      </c>
      <c r="N8642" s="17" t="s">
        <v>906</v>
      </c>
    </row>
    <row r="8643" spans="1:14" ht="15" customHeight="1" x14ac:dyDescent="0.2">
      <c r="A8643" s="31">
        <v>-2.2446683822134001E-4</v>
      </c>
      <c r="B8643" s="31"/>
      <c r="C8643" s="2" t="s">
        <v>892</v>
      </c>
      <c r="D8643" s="2">
        <f>A8643 * 545.45</f>
        <v>-0.12243543690782992</v>
      </c>
      <c r="F8643" s="2">
        <v>2020</v>
      </c>
      <c r="G8643" s="38" t="s">
        <v>901</v>
      </c>
      <c r="H8643" s="2" t="s">
        <v>741</v>
      </c>
      <c r="I8643" s="31" t="s">
        <v>258</v>
      </c>
      <c r="J8643" s="31">
        <v>54.371299999999998</v>
      </c>
      <c r="K8643" s="31">
        <v>13.2438</v>
      </c>
      <c r="L8643" s="2" t="s">
        <v>28</v>
      </c>
      <c r="M8643" s="2" t="s">
        <v>824</v>
      </c>
      <c r="N8643" s="17" t="s">
        <v>906</v>
      </c>
    </row>
    <row r="8644" spans="1:14" ht="15" customHeight="1" x14ac:dyDescent="0.2">
      <c r="A8644" s="22">
        <v>-0.12252323416434203</v>
      </c>
      <c r="B8644" s="22"/>
      <c r="C8644" s="2" t="s">
        <v>891</v>
      </c>
      <c r="D8644" s="2">
        <f t="shared" ref="D8644:D8652" si="242">A8644</f>
        <v>-0.12252323416434203</v>
      </c>
      <c r="F8644" s="2">
        <v>2023</v>
      </c>
      <c r="G8644" s="23" t="s">
        <v>902</v>
      </c>
      <c r="H8644" s="2" t="s">
        <v>774</v>
      </c>
      <c r="I8644" s="14" t="s">
        <v>191</v>
      </c>
      <c r="J8644" s="23" t="s">
        <v>460</v>
      </c>
      <c r="K8644" s="23" t="s">
        <v>665</v>
      </c>
      <c r="L8644" s="23" t="s">
        <v>820</v>
      </c>
      <c r="M8644" s="2" t="s">
        <v>825</v>
      </c>
      <c r="N8644" s="6" t="s">
        <v>828</v>
      </c>
    </row>
    <row r="8645" spans="1:14" ht="15" customHeight="1" x14ac:dyDescent="0.2">
      <c r="A8645" s="22">
        <v>-0.1255565153891135</v>
      </c>
      <c r="B8645" s="22"/>
      <c r="C8645" s="2" t="s">
        <v>891</v>
      </c>
      <c r="D8645" s="2">
        <f t="shared" si="242"/>
        <v>-0.1255565153891135</v>
      </c>
      <c r="F8645" s="2">
        <v>2023</v>
      </c>
      <c r="G8645" s="23" t="s">
        <v>902</v>
      </c>
      <c r="H8645" s="2" t="s">
        <v>774</v>
      </c>
      <c r="I8645" s="14" t="s">
        <v>191</v>
      </c>
      <c r="J8645" s="23" t="s">
        <v>472</v>
      </c>
      <c r="K8645" s="23" t="s">
        <v>677</v>
      </c>
      <c r="L8645" s="23" t="s">
        <v>820</v>
      </c>
      <c r="M8645" s="2" t="s">
        <v>825</v>
      </c>
      <c r="N8645" s="6" t="s">
        <v>828</v>
      </c>
    </row>
    <row r="8646" spans="1:14" ht="15" customHeight="1" x14ac:dyDescent="0.2">
      <c r="A8646" s="22">
        <v>-0.1399122669601533</v>
      </c>
      <c r="B8646" s="22"/>
      <c r="C8646" s="2" t="s">
        <v>891</v>
      </c>
      <c r="D8646" s="2">
        <f t="shared" si="242"/>
        <v>-0.1399122669601533</v>
      </c>
      <c r="F8646" s="2">
        <v>2023</v>
      </c>
      <c r="G8646" s="23" t="s">
        <v>902</v>
      </c>
      <c r="H8646" s="2" t="s">
        <v>748</v>
      </c>
      <c r="I8646" s="14" t="s">
        <v>191</v>
      </c>
      <c r="J8646" s="23" t="s">
        <v>440</v>
      </c>
      <c r="K8646" s="23" t="s">
        <v>645</v>
      </c>
      <c r="L8646" s="23" t="s">
        <v>820</v>
      </c>
      <c r="M8646" s="2" t="s">
        <v>825</v>
      </c>
      <c r="N8646" s="6" t="s">
        <v>828</v>
      </c>
    </row>
    <row r="8647" spans="1:14" ht="15" customHeight="1" x14ac:dyDescent="0.2">
      <c r="A8647" s="22">
        <v>-0.14027711967134338</v>
      </c>
      <c r="B8647" s="22"/>
      <c r="C8647" s="2" t="s">
        <v>891</v>
      </c>
      <c r="D8647" s="2">
        <f t="shared" si="242"/>
        <v>-0.14027711967134338</v>
      </c>
      <c r="F8647" s="2">
        <v>2023</v>
      </c>
      <c r="G8647" s="23" t="s">
        <v>902</v>
      </c>
      <c r="H8647" s="2" t="s">
        <v>748</v>
      </c>
      <c r="I8647" s="14" t="s">
        <v>191</v>
      </c>
      <c r="J8647" s="23" t="s">
        <v>439</v>
      </c>
      <c r="K8647" s="23" t="s">
        <v>644</v>
      </c>
      <c r="L8647" s="23" t="s">
        <v>820</v>
      </c>
      <c r="M8647" s="2" t="s">
        <v>825</v>
      </c>
      <c r="N8647" s="6" t="s">
        <v>828</v>
      </c>
    </row>
    <row r="8648" spans="1:14" ht="15" customHeight="1" x14ac:dyDescent="0.2">
      <c r="A8648" s="22">
        <v>-0.14418557744216884</v>
      </c>
      <c r="B8648" s="22"/>
      <c r="C8648" s="2" t="s">
        <v>891</v>
      </c>
      <c r="D8648" s="2">
        <f t="shared" si="242"/>
        <v>-0.14418557744216884</v>
      </c>
      <c r="F8648" s="2">
        <v>2023</v>
      </c>
      <c r="G8648" s="23" t="s">
        <v>902</v>
      </c>
      <c r="H8648" s="2" t="s">
        <v>774</v>
      </c>
      <c r="I8648" s="14" t="s">
        <v>191</v>
      </c>
      <c r="J8648" s="23" t="s">
        <v>459</v>
      </c>
      <c r="K8648" s="23" t="s">
        <v>664</v>
      </c>
      <c r="L8648" s="23" t="s">
        <v>820</v>
      </c>
      <c r="M8648" s="2" t="s">
        <v>825</v>
      </c>
      <c r="N8648" s="6" t="s">
        <v>828</v>
      </c>
    </row>
    <row r="8649" spans="1:14" ht="15" customHeight="1" x14ac:dyDescent="0.2">
      <c r="A8649" s="22">
        <v>-0.14568027222789806</v>
      </c>
      <c r="B8649" s="22"/>
      <c r="C8649" s="2" t="s">
        <v>891</v>
      </c>
      <c r="D8649" s="2">
        <f t="shared" si="242"/>
        <v>-0.14568027222789806</v>
      </c>
      <c r="F8649" s="2">
        <v>2023</v>
      </c>
      <c r="G8649" s="23" t="s">
        <v>902</v>
      </c>
      <c r="H8649" s="2" t="s">
        <v>772</v>
      </c>
      <c r="I8649" s="14" t="s">
        <v>191</v>
      </c>
      <c r="J8649" s="23" t="s">
        <v>275</v>
      </c>
      <c r="K8649" s="26">
        <v>-37924654</v>
      </c>
      <c r="L8649" s="23" t="s">
        <v>820</v>
      </c>
      <c r="M8649" s="2" t="s">
        <v>825</v>
      </c>
      <c r="N8649" s="6" t="s">
        <v>828</v>
      </c>
    </row>
    <row r="8650" spans="1:14" ht="15" customHeight="1" x14ac:dyDescent="0.2">
      <c r="A8650" s="22">
        <v>-0.14828717168391878</v>
      </c>
      <c r="B8650" s="22"/>
      <c r="C8650" s="2" t="s">
        <v>891</v>
      </c>
      <c r="D8650" s="2">
        <f t="shared" si="242"/>
        <v>-0.14828717168391878</v>
      </c>
      <c r="F8650" s="2">
        <v>2023</v>
      </c>
      <c r="G8650" s="23" t="s">
        <v>902</v>
      </c>
      <c r="H8650" s="2" t="s">
        <v>774</v>
      </c>
      <c r="I8650" s="14" t="s">
        <v>191</v>
      </c>
      <c r="J8650" s="23" t="s">
        <v>458</v>
      </c>
      <c r="K8650" s="23" t="s">
        <v>663</v>
      </c>
      <c r="L8650" s="23" t="s">
        <v>820</v>
      </c>
      <c r="M8650" s="2" t="s">
        <v>825</v>
      </c>
      <c r="N8650" s="6" t="s">
        <v>828</v>
      </c>
    </row>
    <row r="8651" spans="1:14" ht="15" customHeight="1" x14ac:dyDescent="0.2">
      <c r="A8651" s="22">
        <v>-0.14924163294225462</v>
      </c>
      <c r="B8651" s="22"/>
      <c r="C8651" s="2" t="s">
        <v>891</v>
      </c>
      <c r="D8651" s="2">
        <f t="shared" si="242"/>
        <v>-0.14924163294225462</v>
      </c>
      <c r="F8651" s="2">
        <v>2023</v>
      </c>
      <c r="G8651" s="23" t="s">
        <v>902</v>
      </c>
      <c r="H8651" s="2" t="s">
        <v>774</v>
      </c>
      <c r="I8651" s="14" t="s">
        <v>191</v>
      </c>
      <c r="J8651" s="23" t="s">
        <v>457</v>
      </c>
      <c r="K8651" s="23" t="s">
        <v>662</v>
      </c>
      <c r="L8651" s="23" t="s">
        <v>820</v>
      </c>
      <c r="M8651" s="2" t="s">
        <v>825</v>
      </c>
      <c r="N8651" s="6" t="s">
        <v>828</v>
      </c>
    </row>
    <row r="8652" spans="1:14" ht="15" customHeight="1" x14ac:dyDescent="0.2">
      <c r="A8652" s="22">
        <v>-0.15194865062601237</v>
      </c>
      <c r="B8652" s="22"/>
      <c r="C8652" s="2" t="s">
        <v>891</v>
      </c>
      <c r="D8652" s="2">
        <f t="shared" si="242"/>
        <v>-0.15194865062601237</v>
      </c>
      <c r="F8652" s="2">
        <v>2023</v>
      </c>
      <c r="G8652" s="23" t="s">
        <v>902</v>
      </c>
      <c r="H8652" s="2" t="s">
        <v>748</v>
      </c>
      <c r="I8652" s="14" t="s">
        <v>191</v>
      </c>
      <c r="J8652" s="23" t="s">
        <v>438</v>
      </c>
      <c r="K8652" s="23" t="s">
        <v>643</v>
      </c>
      <c r="L8652" s="23" t="s">
        <v>820</v>
      </c>
      <c r="M8652" s="2" t="s">
        <v>825</v>
      </c>
      <c r="N8652" s="6" t="s">
        <v>828</v>
      </c>
    </row>
    <row r="8653" spans="1:14" ht="15" customHeight="1" x14ac:dyDescent="0.2">
      <c r="A8653" s="31">
        <v>-2.8695386162511002E-4</v>
      </c>
      <c r="B8653" s="31"/>
      <c r="C8653" s="2" t="s">
        <v>892</v>
      </c>
      <c r="D8653" s="2">
        <f>A8653 * 545.45</f>
        <v>-0.15651898382341628</v>
      </c>
      <c r="F8653" s="2">
        <v>2020</v>
      </c>
      <c r="G8653" s="38" t="s">
        <v>901</v>
      </c>
      <c r="H8653" s="2" t="s">
        <v>741</v>
      </c>
      <c r="I8653" s="31" t="s">
        <v>269</v>
      </c>
      <c r="J8653" s="31">
        <v>54.370600000000003</v>
      </c>
      <c r="K8653" s="31">
        <v>13.2418</v>
      </c>
      <c r="L8653" s="2" t="s">
        <v>28</v>
      </c>
      <c r="M8653" s="2" t="s">
        <v>824</v>
      </c>
      <c r="N8653" s="17" t="s">
        <v>906</v>
      </c>
    </row>
    <row r="8654" spans="1:14" ht="15" customHeight="1" x14ac:dyDescent="0.2">
      <c r="A8654" s="22">
        <v>-0.15723977672935416</v>
      </c>
      <c r="B8654" s="22"/>
      <c r="C8654" s="2" t="s">
        <v>891</v>
      </c>
      <c r="D8654" s="2">
        <f>A8654</f>
        <v>-0.15723977672935416</v>
      </c>
      <c r="F8654" s="2">
        <v>2023</v>
      </c>
      <c r="G8654" s="23" t="s">
        <v>902</v>
      </c>
      <c r="H8654" s="2" t="s">
        <v>748</v>
      </c>
      <c r="I8654" s="14" t="s">
        <v>191</v>
      </c>
      <c r="J8654" s="23" t="s">
        <v>424</v>
      </c>
      <c r="K8654" s="23" t="s">
        <v>629</v>
      </c>
      <c r="L8654" s="23" t="s">
        <v>820</v>
      </c>
      <c r="M8654" s="2" t="s">
        <v>825</v>
      </c>
      <c r="N8654" s="6" t="s">
        <v>828</v>
      </c>
    </row>
    <row r="8655" spans="1:14" ht="15" customHeight="1" x14ac:dyDescent="0.2">
      <c r="A8655" s="31">
        <v>-2.9715435476854001E-4</v>
      </c>
      <c r="B8655" s="31"/>
      <c r="C8655" s="2" t="s">
        <v>892</v>
      </c>
      <c r="D8655" s="2">
        <f>A8655 * 545.45</f>
        <v>-0.16208284280850016</v>
      </c>
      <c r="F8655" s="2">
        <v>2020</v>
      </c>
      <c r="G8655" s="38" t="s">
        <v>901</v>
      </c>
      <c r="H8655" s="2" t="s">
        <v>741</v>
      </c>
      <c r="I8655" s="31" t="s">
        <v>257</v>
      </c>
      <c r="J8655" s="31">
        <v>54.372</v>
      </c>
      <c r="K8655" s="31">
        <v>13.241300000000001</v>
      </c>
      <c r="L8655" s="2" t="s">
        <v>28</v>
      </c>
      <c r="M8655" s="2" t="s">
        <v>824</v>
      </c>
      <c r="N8655" s="17" t="s">
        <v>906</v>
      </c>
    </row>
    <row r="8656" spans="1:14" ht="15" customHeight="1" x14ac:dyDescent="0.2">
      <c r="A8656" s="22">
        <v>-0.16218714710148682</v>
      </c>
      <c r="B8656" s="22"/>
      <c r="C8656" s="2" t="s">
        <v>891</v>
      </c>
      <c r="D8656" s="2">
        <f t="shared" ref="D8656:D8669" si="243">A8656</f>
        <v>-0.16218714710148682</v>
      </c>
      <c r="F8656" s="2">
        <v>2023</v>
      </c>
      <c r="G8656" s="23" t="s">
        <v>902</v>
      </c>
      <c r="H8656" s="2" t="s">
        <v>748</v>
      </c>
      <c r="I8656" s="14" t="s">
        <v>191</v>
      </c>
      <c r="J8656" s="23" t="s">
        <v>441</v>
      </c>
      <c r="K8656" s="23" t="s">
        <v>646</v>
      </c>
      <c r="L8656" s="23" t="s">
        <v>820</v>
      </c>
      <c r="M8656" s="2" t="s">
        <v>825</v>
      </c>
      <c r="N8656" s="6" t="s">
        <v>828</v>
      </c>
    </row>
    <row r="8657" spans="1:14" ht="15" customHeight="1" x14ac:dyDescent="0.2">
      <c r="A8657" s="22">
        <v>-0.16252218978927849</v>
      </c>
      <c r="B8657" s="22"/>
      <c r="C8657" s="2" t="s">
        <v>891</v>
      </c>
      <c r="D8657" s="2">
        <f t="shared" si="243"/>
        <v>-0.16252218978927849</v>
      </c>
      <c r="F8657" s="2">
        <v>2023</v>
      </c>
      <c r="G8657" s="23" t="s">
        <v>902</v>
      </c>
      <c r="H8657" s="2" t="s">
        <v>774</v>
      </c>
      <c r="I8657" s="14" t="s">
        <v>191</v>
      </c>
      <c r="J8657" s="23" t="s">
        <v>456</v>
      </c>
      <c r="K8657" s="23" t="s">
        <v>661</v>
      </c>
      <c r="L8657" s="23" t="s">
        <v>820</v>
      </c>
      <c r="M8657" s="2" t="s">
        <v>825</v>
      </c>
      <c r="N8657" s="6" t="s">
        <v>828</v>
      </c>
    </row>
    <row r="8658" spans="1:14" ht="15" customHeight="1" x14ac:dyDescent="0.2">
      <c r="A8658" s="22">
        <v>-0.16304742652425508</v>
      </c>
      <c r="B8658" s="22"/>
      <c r="C8658" s="2" t="s">
        <v>891</v>
      </c>
      <c r="D8658" s="2">
        <f t="shared" si="243"/>
        <v>-0.16304742652425508</v>
      </c>
      <c r="F8658" s="2">
        <v>2023</v>
      </c>
      <c r="G8658" s="23" t="s">
        <v>902</v>
      </c>
      <c r="H8658" s="2" t="s">
        <v>748</v>
      </c>
      <c r="I8658" s="14" t="s">
        <v>191</v>
      </c>
      <c r="J8658" s="23" t="s">
        <v>437</v>
      </c>
      <c r="K8658" s="23" t="s">
        <v>642</v>
      </c>
      <c r="L8658" s="23" t="s">
        <v>820</v>
      </c>
      <c r="M8658" s="2" t="s">
        <v>825</v>
      </c>
      <c r="N8658" s="6" t="s">
        <v>828</v>
      </c>
    </row>
    <row r="8659" spans="1:14" ht="15" customHeight="1" x14ac:dyDescent="0.2">
      <c r="A8659" s="22">
        <v>-0.16518481312698594</v>
      </c>
      <c r="B8659" s="22"/>
      <c r="C8659" s="2" t="s">
        <v>891</v>
      </c>
      <c r="D8659" s="2">
        <f t="shared" si="243"/>
        <v>-0.16518481312698594</v>
      </c>
      <c r="F8659" s="2">
        <v>2023</v>
      </c>
      <c r="G8659" s="23" t="s">
        <v>902</v>
      </c>
      <c r="H8659" s="2" t="s">
        <v>774</v>
      </c>
      <c r="I8659" s="14" t="s">
        <v>191</v>
      </c>
      <c r="J8659" s="23" t="s">
        <v>473</v>
      </c>
      <c r="K8659" s="23" t="s">
        <v>678</v>
      </c>
      <c r="L8659" s="23" t="s">
        <v>820</v>
      </c>
      <c r="M8659" s="2" t="s">
        <v>825</v>
      </c>
      <c r="N8659" s="6" t="s">
        <v>828</v>
      </c>
    </row>
    <row r="8660" spans="1:14" ht="15" customHeight="1" x14ac:dyDescent="0.2">
      <c r="A8660" s="22">
        <v>-0.16832384451089233</v>
      </c>
      <c r="B8660" s="22"/>
      <c r="C8660" s="2" t="s">
        <v>891</v>
      </c>
      <c r="D8660" s="2">
        <f t="shared" si="243"/>
        <v>-0.16832384451089233</v>
      </c>
      <c r="F8660" s="2">
        <v>2023</v>
      </c>
      <c r="G8660" s="23" t="s">
        <v>902</v>
      </c>
      <c r="H8660" s="2" t="s">
        <v>748</v>
      </c>
      <c r="I8660" s="14" t="s">
        <v>191</v>
      </c>
      <c r="J8660" s="23" t="s">
        <v>436</v>
      </c>
      <c r="K8660" s="23" t="s">
        <v>641</v>
      </c>
      <c r="L8660" s="23" t="s">
        <v>820</v>
      </c>
      <c r="M8660" s="2" t="s">
        <v>825</v>
      </c>
      <c r="N8660" s="6" t="s">
        <v>828</v>
      </c>
    </row>
    <row r="8661" spans="1:14" ht="15" customHeight="1" x14ac:dyDescent="0.2">
      <c r="A8661" s="22">
        <v>-0.1791277999772927</v>
      </c>
      <c r="B8661" s="22"/>
      <c r="C8661" s="2" t="s">
        <v>891</v>
      </c>
      <c r="D8661" s="2">
        <f t="shared" si="243"/>
        <v>-0.1791277999772927</v>
      </c>
      <c r="F8661" s="2">
        <v>2023</v>
      </c>
      <c r="G8661" s="23" t="s">
        <v>902</v>
      </c>
      <c r="H8661" s="2" t="s">
        <v>774</v>
      </c>
      <c r="I8661" s="14" t="s">
        <v>191</v>
      </c>
      <c r="J8661" s="23" t="s">
        <v>447</v>
      </c>
      <c r="K8661" s="23" t="s">
        <v>652</v>
      </c>
      <c r="L8661" s="23" t="s">
        <v>820</v>
      </c>
      <c r="M8661" s="2" t="s">
        <v>825</v>
      </c>
      <c r="N8661" s="6" t="s">
        <v>828</v>
      </c>
    </row>
    <row r="8662" spans="1:14" ht="15" customHeight="1" x14ac:dyDescent="0.2">
      <c r="A8662" s="22">
        <v>-0.18065905036192997</v>
      </c>
      <c r="B8662" s="22"/>
      <c r="C8662" s="2" t="s">
        <v>891</v>
      </c>
      <c r="D8662" s="2">
        <f t="shared" si="243"/>
        <v>-0.18065905036192997</v>
      </c>
      <c r="F8662" s="2">
        <v>2023</v>
      </c>
      <c r="G8662" s="23" t="s">
        <v>902</v>
      </c>
      <c r="H8662" s="2" t="s">
        <v>774</v>
      </c>
      <c r="I8662" s="14" t="s">
        <v>191</v>
      </c>
      <c r="J8662" s="23" t="s">
        <v>454</v>
      </c>
      <c r="K8662" s="23" t="s">
        <v>659</v>
      </c>
      <c r="L8662" s="23" t="s">
        <v>820</v>
      </c>
      <c r="M8662" s="2" t="s">
        <v>825</v>
      </c>
      <c r="N8662" s="6" t="s">
        <v>828</v>
      </c>
    </row>
    <row r="8663" spans="1:14" ht="15" customHeight="1" x14ac:dyDescent="0.2">
      <c r="A8663" s="22">
        <v>-0.18127584990241793</v>
      </c>
      <c r="B8663" s="22"/>
      <c r="C8663" s="2" t="s">
        <v>891</v>
      </c>
      <c r="D8663" s="2">
        <f t="shared" si="243"/>
        <v>-0.18127584990241793</v>
      </c>
      <c r="F8663" s="2">
        <v>2023</v>
      </c>
      <c r="G8663" s="23" t="s">
        <v>902</v>
      </c>
      <c r="H8663" s="2" t="s">
        <v>774</v>
      </c>
      <c r="I8663" s="14" t="s">
        <v>191</v>
      </c>
      <c r="J8663" s="23" t="s">
        <v>453</v>
      </c>
      <c r="K8663" s="23" t="s">
        <v>658</v>
      </c>
      <c r="L8663" s="23" t="s">
        <v>820</v>
      </c>
      <c r="M8663" s="2" t="s">
        <v>825</v>
      </c>
      <c r="N8663" s="6" t="s">
        <v>828</v>
      </c>
    </row>
    <row r="8664" spans="1:14" ht="15" customHeight="1" x14ac:dyDescent="0.2">
      <c r="A8664" s="22">
        <v>-0.18130657430703193</v>
      </c>
      <c r="B8664" s="22"/>
      <c r="C8664" s="2" t="s">
        <v>891</v>
      </c>
      <c r="D8664" s="2">
        <f t="shared" si="243"/>
        <v>-0.18130657430703193</v>
      </c>
      <c r="F8664" s="2">
        <v>2023</v>
      </c>
      <c r="G8664" s="23" t="s">
        <v>902</v>
      </c>
      <c r="H8664" s="2" t="s">
        <v>774</v>
      </c>
      <c r="I8664" s="14" t="s">
        <v>191</v>
      </c>
      <c r="J8664" s="23" t="s">
        <v>450</v>
      </c>
      <c r="K8664" s="23" t="s">
        <v>655</v>
      </c>
      <c r="L8664" s="23" t="s">
        <v>820</v>
      </c>
      <c r="M8664" s="2" t="s">
        <v>825</v>
      </c>
      <c r="N8664" s="6" t="s">
        <v>828</v>
      </c>
    </row>
    <row r="8665" spans="1:14" ht="15" customHeight="1" x14ac:dyDescent="0.2">
      <c r="A8665" s="22">
        <v>-0.18314560166558258</v>
      </c>
      <c r="B8665" s="22"/>
      <c r="C8665" s="2" t="s">
        <v>891</v>
      </c>
      <c r="D8665" s="2">
        <f t="shared" si="243"/>
        <v>-0.18314560166558258</v>
      </c>
      <c r="F8665" s="2">
        <v>2023</v>
      </c>
      <c r="G8665" s="23" t="s">
        <v>902</v>
      </c>
      <c r="H8665" s="2" t="s">
        <v>774</v>
      </c>
      <c r="I8665" s="14" t="s">
        <v>191</v>
      </c>
      <c r="J8665" s="23" t="s">
        <v>448</v>
      </c>
      <c r="K8665" s="23" t="s">
        <v>653</v>
      </c>
      <c r="L8665" s="23" t="s">
        <v>820</v>
      </c>
      <c r="M8665" s="2" t="s">
        <v>825</v>
      </c>
      <c r="N8665" s="6" t="s">
        <v>828</v>
      </c>
    </row>
    <row r="8666" spans="1:14" ht="15" customHeight="1" x14ac:dyDescent="0.2">
      <c r="A8666" s="22">
        <v>-0.18353935616818887</v>
      </c>
      <c r="B8666" s="22"/>
      <c r="C8666" s="2" t="s">
        <v>891</v>
      </c>
      <c r="D8666" s="2">
        <f t="shared" si="243"/>
        <v>-0.18353935616818887</v>
      </c>
      <c r="F8666" s="2">
        <v>2023</v>
      </c>
      <c r="G8666" s="23" t="s">
        <v>902</v>
      </c>
      <c r="H8666" s="2" t="s">
        <v>774</v>
      </c>
      <c r="I8666" s="14" t="s">
        <v>191</v>
      </c>
      <c r="J8666" s="23" t="s">
        <v>455</v>
      </c>
      <c r="K8666" s="23" t="s">
        <v>660</v>
      </c>
      <c r="L8666" s="23" t="s">
        <v>820</v>
      </c>
      <c r="M8666" s="2" t="s">
        <v>825</v>
      </c>
      <c r="N8666" s="6" t="s">
        <v>828</v>
      </c>
    </row>
    <row r="8667" spans="1:14" ht="15" customHeight="1" x14ac:dyDescent="0.2">
      <c r="A8667" s="22">
        <v>-0.18402420871133851</v>
      </c>
      <c r="B8667" s="22"/>
      <c r="C8667" s="2" t="s">
        <v>891</v>
      </c>
      <c r="D8667" s="2">
        <f t="shared" si="243"/>
        <v>-0.18402420871133851</v>
      </c>
      <c r="F8667" s="2">
        <v>2023</v>
      </c>
      <c r="G8667" s="23" t="s">
        <v>902</v>
      </c>
      <c r="H8667" s="2" t="s">
        <v>748</v>
      </c>
      <c r="I8667" s="14" t="s">
        <v>191</v>
      </c>
      <c r="J8667" s="23" t="s">
        <v>414</v>
      </c>
      <c r="K8667" s="23" t="s">
        <v>619</v>
      </c>
      <c r="L8667" s="23" t="s">
        <v>820</v>
      </c>
      <c r="M8667" s="2" t="s">
        <v>825</v>
      </c>
      <c r="N8667" s="6" t="s">
        <v>828</v>
      </c>
    </row>
    <row r="8668" spans="1:14" ht="15" customHeight="1" x14ac:dyDescent="0.2">
      <c r="A8668" s="22">
        <v>-0.18443055280457676</v>
      </c>
      <c r="B8668" s="22"/>
      <c r="C8668" s="2" t="s">
        <v>891</v>
      </c>
      <c r="D8668" s="2">
        <f t="shared" si="243"/>
        <v>-0.18443055280457676</v>
      </c>
      <c r="F8668" s="2">
        <v>2023</v>
      </c>
      <c r="G8668" s="23" t="s">
        <v>902</v>
      </c>
      <c r="H8668" s="2" t="s">
        <v>774</v>
      </c>
      <c r="I8668" s="14" t="s">
        <v>191</v>
      </c>
      <c r="J8668" s="23" t="s">
        <v>474</v>
      </c>
      <c r="K8668" s="23" t="s">
        <v>679</v>
      </c>
      <c r="L8668" s="23" t="s">
        <v>820</v>
      </c>
      <c r="M8668" s="2" t="s">
        <v>825</v>
      </c>
      <c r="N8668" s="6" t="s">
        <v>828</v>
      </c>
    </row>
    <row r="8669" spans="1:14" ht="15" customHeight="1" x14ac:dyDescent="0.2">
      <c r="A8669" s="22">
        <v>-0.18543901055656922</v>
      </c>
      <c r="B8669" s="22"/>
      <c r="C8669" s="2" t="s">
        <v>891</v>
      </c>
      <c r="D8669" s="2">
        <f t="shared" si="243"/>
        <v>-0.18543901055656922</v>
      </c>
      <c r="F8669" s="2">
        <v>2023</v>
      </c>
      <c r="G8669" s="23" t="s">
        <v>902</v>
      </c>
      <c r="H8669" s="2" t="s">
        <v>774</v>
      </c>
      <c r="I8669" s="14" t="s">
        <v>191</v>
      </c>
      <c r="J8669" s="23" t="s">
        <v>444</v>
      </c>
      <c r="K8669" s="23" t="s">
        <v>649</v>
      </c>
      <c r="L8669" s="23" t="s">
        <v>820</v>
      </c>
      <c r="M8669" s="2" t="s">
        <v>825</v>
      </c>
      <c r="N8669" s="6" t="s">
        <v>828</v>
      </c>
    </row>
    <row r="8670" spans="1:14" ht="15" customHeight="1" x14ac:dyDescent="0.2">
      <c r="A8670" s="31">
        <v>-3.4209071077208E-4</v>
      </c>
      <c r="B8670" s="31"/>
      <c r="C8670" s="2" t="s">
        <v>892</v>
      </c>
      <c r="D8670" s="2">
        <f>A8670 * 545.45</f>
        <v>-0.18659337819063104</v>
      </c>
      <c r="F8670" s="2">
        <v>2020</v>
      </c>
      <c r="G8670" s="38" t="s">
        <v>901</v>
      </c>
      <c r="H8670" s="2" t="s">
        <v>764</v>
      </c>
      <c r="I8670" s="31" t="s">
        <v>257</v>
      </c>
      <c r="J8670" s="31">
        <v>54.372</v>
      </c>
      <c r="K8670" s="31">
        <v>13.241300000000001</v>
      </c>
      <c r="L8670" s="2" t="s">
        <v>28</v>
      </c>
      <c r="M8670" s="2" t="s">
        <v>824</v>
      </c>
      <c r="N8670" s="17" t="s">
        <v>906</v>
      </c>
    </row>
    <row r="8671" spans="1:14" ht="15" customHeight="1" x14ac:dyDescent="0.2">
      <c r="A8671" s="22">
        <v>-0.18690113127180158</v>
      </c>
      <c r="B8671" s="22"/>
      <c r="C8671" s="2" t="s">
        <v>891</v>
      </c>
      <c r="D8671" s="2">
        <f>A8671</f>
        <v>-0.18690113127180158</v>
      </c>
      <c r="F8671" s="2">
        <v>2023</v>
      </c>
      <c r="G8671" s="23" t="s">
        <v>902</v>
      </c>
      <c r="H8671" s="2" t="s">
        <v>748</v>
      </c>
      <c r="I8671" s="14" t="s">
        <v>191</v>
      </c>
      <c r="J8671" s="23" t="s">
        <v>401</v>
      </c>
      <c r="K8671" s="23" t="s">
        <v>606</v>
      </c>
      <c r="L8671" s="23" t="s">
        <v>820</v>
      </c>
      <c r="M8671" s="2" t="s">
        <v>825</v>
      </c>
      <c r="N8671" s="6" t="s">
        <v>828</v>
      </c>
    </row>
    <row r="8672" spans="1:14" ht="15" customHeight="1" x14ac:dyDescent="0.2">
      <c r="A8672" s="22">
        <v>-0.1876891503988711</v>
      </c>
      <c r="B8672" s="22"/>
      <c r="C8672" s="2" t="s">
        <v>891</v>
      </c>
      <c r="D8672" s="2">
        <f>A8672</f>
        <v>-0.1876891503988711</v>
      </c>
      <c r="F8672" s="2">
        <v>2023</v>
      </c>
      <c r="G8672" s="23" t="s">
        <v>902</v>
      </c>
      <c r="H8672" s="2" t="s">
        <v>748</v>
      </c>
      <c r="I8672" s="14" t="s">
        <v>191</v>
      </c>
      <c r="J8672" s="23" t="s">
        <v>413</v>
      </c>
      <c r="K8672" s="23" t="s">
        <v>618</v>
      </c>
      <c r="L8672" s="23" t="s">
        <v>820</v>
      </c>
      <c r="M8672" s="2" t="s">
        <v>825</v>
      </c>
      <c r="N8672" s="6" t="s">
        <v>828</v>
      </c>
    </row>
    <row r="8673" spans="1:14" ht="15" customHeight="1" x14ac:dyDescent="0.2">
      <c r="A8673" s="2">
        <v>-8.3000000000000007</v>
      </c>
      <c r="B8673" s="2">
        <v>7.8</v>
      </c>
      <c r="C8673" s="31" t="s">
        <v>681</v>
      </c>
      <c r="D8673" s="2">
        <f xml:space="preserve"> A8673 * 0.02273</f>
        <v>-0.18865900000000002</v>
      </c>
      <c r="E8673" s="2">
        <f>B8673* 0.02273</f>
        <v>0.17729400000000001</v>
      </c>
      <c r="F8673" s="2">
        <v>2023</v>
      </c>
      <c r="G8673" s="2" t="s">
        <v>902</v>
      </c>
      <c r="H8673" s="2" t="s">
        <v>162</v>
      </c>
      <c r="I8673" s="2" t="s">
        <v>191</v>
      </c>
      <c r="J8673" s="2">
        <v>65.86</v>
      </c>
      <c r="K8673" s="2">
        <v>-37.94</v>
      </c>
      <c r="L8673" s="2" t="s">
        <v>820</v>
      </c>
      <c r="M8673" s="2" t="s">
        <v>818</v>
      </c>
      <c r="N8673" s="6" t="s">
        <v>862</v>
      </c>
    </row>
    <row r="8674" spans="1:14" ht="15" customHeight="1" x14ac:dyDescent="0.2">
      <c r="A8674" s="22">
        <v>-0.18977685967453628</v>
      </c>
      <c r="B8674" s="22"/>
      <c r="C8674" s="2" t="s">
        <v>891</v>
      </c>
      <c r="D8674" s="2">
        <f t="shared" ref="D8674:D8705" si="244">A8674</f>
        <v>-0.18977685967453628</v>
      </c>
      <c r="F8674" s="2">
        <v>2023</v>
      </c>
      <c r="G8674" s="23" t="s">
        <v>902</v>
      </c>
      <c r="H8674" s="2" t="s">
        <v>748</v>
      </c>
      <c r="I8674" s="14" t="s">
        <v>191</v>
      </c>
      <c r="J8674" s="23" t="s">
        <v>425</v>
      </c>
      <c r="K8674" s="23" t="s">
        <v>630</v>
      </c>
      <c r="L8674" s="23" t="s">
        <v>820</v>
      </c>
      <c r="M8674" s="2" t="s">
        <v>825</v>
      </c>
      <c r="N8674" s="6" t="s">
        <v>828</v>
      </c>
    </row>
    <row r="8675" spans="1:14" ht="15" customHeight="1" x14ac:dyDescent="0.2">
      <c r="A8675" s="22">
        <v>-0.19000574582532531</v>
      </c>
      <c r="B8675" s="22"/>
      <c r="C8675" s="2" t="s">
        <v>891</v>
      </c>
      <c r="D8675" s="2">
        <f t="shared" si="244"/>
        <v>-0.19000574582532531</v>
      </c>
      <c r="F8675" s="2">
        <v>2023</v>
      </c>
      <c r="G8675" s="23" t="s">
        <v>902</v>
      </c>
      <c r="H8675" s="2" t="s">
        <v>774</v>
      </c>
      <c r="I8675" s="14" t="s">
        <v>191</v>
      </c>
      <c r="J8675" s="23" t="s">
        <v>452</v>
      </c>
      <c r="K8675" s="23" t="s">
        <v>657</v>
      </c>
      <c r="L8675" s="23" t="s">
        <v>820</v>
      </c>
      <c r="M8675" s="2" t="s">
        <v>825</v>
      </c>
      <c r="N8675" s="6" t="s">
        <v>828</v>
      </c>
    </row>
    <row r="8676" spans="1:14" ht="15" customHeight="1" x14ac:dyDescent="0.2">
      <c r="A8676" s="22">
        <v>-0.19047031184430319</v>
      </c>
      <c r="B8676" s="22"/>
      <c r="C8676" s="2" t="s">
        <v>891</v>
      </c>
      <c r="D8676" s="2">
        <f t="shared" si="244"/>
        <v>-0.19047031184430319</v>
      </c>
      <c r="F8676" s="2">
        <v>2023</v>
      </c>
      <c r="G8676" s="23" t="s">
        <v>902</v>
      </c>
      <c r="H8676" s="2" t="s">
        <v>748</v>
      </c>
      <c r="I8676" s="14" t="s">
        <v>191</v>
      </c>
      <c r="J8676" s="23" t="s">
        <v>400</v>
      </c>
      <c r="K8676" s="23" t="s">
        <v>605</v>
      </c>
      <c r="L8676" s="23" t="s">
        <v>820</v>
      </c>
      <c r="M8676" s="2" t="s">
        <v>825</v>
      </c>
      <c r="N8676" s="6" t="s">
        <v>828</v>
      </c>
    </row>
    <row r="8677" spans="1:14" ht="15" customHeight="1" x14ac:dyDescent="0.2">
      <c r="A8677" s="22">
        <v>-0.19173152958247805</v>
      </c>
      <c r="B8677" s="22"/>
      <c r="C8677" s="2" t="s">
        <v>891</v>
      </c>
      <c r="D8677" s="2">
        <f t="shared" si="244"/>
        <v>-0.19173152958247805</v>
      </c>
      <c r="F8677" s="2">
        <v>2023</v>
      </c>
      <c r="G8677" s="23" t="s">
        <v>902</v>
      </c>
      <c r="H8677" s="2" t="s">
        <v>774</v>
      </c>
      <c r="I8677" s="14" t="s">
        <v>191</v>
      </c>
      <c r="J8677" s="23" t="s">
        <v>451</v>
      </c>
      <c r="K8677" s="23" t="s">
        <v>656</v>
      </c>
      <c r="L8677" s="23" t="s">
        <v>820</v>
      </c>
      <c r="M8677" s="2" t="s">
        <v>825</v>
      </c>
      <c r="N8677" s="6" t="s">
        <v>828</v>
      </c>
    </row>
    <row r="8678" spans="1:14" ht="15" customHeight="1" x14ac:dyDescent="0.2">
      <c r="A8678" s="22">
        <v>-0.19221149899381296</v>
      </c>
      <c r="B8678" s="22"/>
      <c r="C8678" s="2" t="s">
        <v>891</v>
      </c>
      <c r="D8678" s="2">
        <f t="shared" si="244"/>
        <v>-0.19221149899381296</v>
      </c>
      <c r="F8678" s="2">
        <v>2023</v>
      </c>
      <c r="G8678" s="23" t="s">
        <v>902</v>
      </c>
      <c r="H8678" s="2" t="s">
        <v>774</v>
      </c>
      <c r="I8678" s="14" t="s">
        <v>191</v>
      </c>
      <c r="J8678" s="23" t="s">
        <v>443</v>
      </c>
      <c r="K8678" s="23" t="s">
        <v>648</v>
      </c>
      <c r="L8678" s="23" t="s">
        <v>820</v>
      </c>
      <c r="M8678" s="2" t="s">
        <v>825</v>
      </c>
      <c r="N8678" s="6" t="s">
        <v>828</v>
      </c>
    </row>
    <row r="8679" spans="1:14" ht="15" customHeight="1" x14ac:dyDescent="0.2">
      <c r="A8679" s="22">
        <v>-0.19304543128131982</v>
      </c>
      <c r="B8679" s="22"/>
      <c r="C8679" s="2" t="s">
        <v>891</v>
      </c>
      <c r="D8679" s="2">
        <f t="shared" si="244"/>
        <v>-0.19304543128131982</v>
      </c>
      <c r="F8679" s="2">
        <v>2023</v>
      </c>
      <c r="G8679" s="23" t="s">
        <v>902</v>
      </c>
      <c r="H8679" s="2" t="s">
        <v>774</v>
      </c>
      <c r="I8679" s="14" t="s">
        <v>191</v>
      </c>
      <c r="J8679" s="23" t="s">
        <v>449</v>
      </c>
      <c r="K8679" s="23" t="s">
        <v>654</v>
      </c>
      <c r="L8679" s="23" t="s">
        <v>820</v>
      </c>
      <c r="M8679" s="2" t="s">
        <v>825</v>
      </c>
      <c r="N8679" s="6" t="s">
        <v>828</v>
      </c>
    </row>
    <row r="8680" spans="1:14" ht="15" customHeight="1" x14ac:dyDescent="0.2">
      <c r="A8680" s="22">
        <v>-0.19306014728431978</v>
      </c>
      <c r="B8680" s="22"/>
      <c r="C8680" s="2" t="s">
        <v>891</v>
      </c>
      <c r="D8680" s="2">
        <f t="shared" si="244"/>
        <v>-0.19306014728431978</v>
      </c>
      <c r="F8680" s="2">
        <v>2023</v>
      </c>
      <c r="G8680" s="23" t="s">
        <v>902</v>
      </c>
      <c r="H8680" s="2" t="s">
        <v>774</v>
      </c>
      <c r="I8680" s="14" t="s">
        <v>191</v>
      </c>
      <c r="J8680" s="23" t="s">
        <v>445</v>
      </c>
      <c r="K8680" s="23" t="s">
        <v>650</v>
      </c>
      <c r="L8680" s="23" t="s">
        <v>820</v>
      </c>
      <c r="M8680" s="2" t="s">
        <v>825</v>
      </c>
      <c r="N8680" s="6" t="s">
        <v>828</v>
      </c>
    </row>
    <row r="8681" spans="1:14" ht="15" customHeight="1" x14ac:dyDescent="0.2">
      <c r="A8681" s="22">
        <v>-0.19309319916073164</v>
      </c>
      <c r="B8681" s="22"/>
      <c r="C8681" s="2" t="s">
        <v>891</v>
      </c>
      <c r="D8681" s="2">
        <f t="shared" si="244"/>
        <v>-0.19309319916073164</v>
      </c>
      <c r="F8681" s="2">
        <v>2023</v>
      </c>
      <c r="G8681" s="23" t="s">
        <v>902</v>
      </c>
      <c r="H8681" s="2" t="s">
        <v>772</v>
      </c>
      <c r="I8681" s="14" t="s">
        <v>191</v>
      </c>
      <c r="J8681" s="23" t="s">
        <v>294</v>
      </c>
      <c r="K8681" s="23" t="s">
        <v>498</v>
      </c>
      <c r="L8681" s="23" t="s">
        <v>820</v>
      </c>
      <c r="M8681" s="2" t="s">
        <v>825</v>
      </c>
      <c r="N8681" s="6" t="s">
        <v>828</v>
      </c>
    </row>
    <row r="8682" spans="1:14" ht="15" customHeight="1" x14ac:dyDescent="0.2">
      <c r="A8682" s="22">
        <v>-0.19315664701872978</v>
      </c>
      <c r="B8682" s="22"/>
      <c r="C8682" s="2" t="s">
        <v>891</v>
      </c>
      <c r="D8682" s="2">
        <f t="shared" si="244"/>
        <v>-0.19315664701872978</v>
      </c>
      <c r="F8682" s="2">
        <v>2023</v>
      </c>
      <c r="G8682" s="23" t="s">
        <v>902</v>
      </c>
      <c r="H8682" s="2" t="s">
        <v>748</v>
      </c>
      <c r="I8682" s="14" t="s">
        <v>191</v>
      </c>
      <c r="J8682" s="23" t="s">
        <v>423</v>
      </c>
      <c r="K8682" s="23" t="s">
        <v>628</v>
      </c>
      <c r="L8682" s="23" t="s">
        <v>820</v>
      </c>
      <c r="M8682" s="2" t="s">
        <v>825</v>
      </c>
      <c r="N8682" s="6" t="s">
        <v>828</v>
      </c>
    </row>
    <row r="8683" spans="1:14" ht="15" customHeight="1" x14ac:dyDescent="0.2">
      <c r="A8683" s="22">
        <v>-0.19346082984591853</v>
      </c>
      <c r="B8683" s="22"/>
      <c r="C8683" s="2" t="s">
        <v>891</v>
      </c>
      <c r="D8683" s="2">
        <f t="shared" si="244"/>
        <v>-0.19346082984591853</v>
      </c>
      <c r="F8683" s="2">
        <v>2023</v>
      </c>
      <c r="G8683" s="23" t="s">
        <v>902</v>
      </c>
      <c r="H8683" s="2" t="s">
        <v>747</v>
      </c>
      <c r="I8683" s="14" t="s">
        <v>191</v>
      </c>
      <c r="J8683" s="23" t="s">
        <v>390</v>
      </c>
      <c r="K8683" s="23" t="s">
        <v>595</v>
      </c>
      <c r="L8683" s="23" t="s">
        <v>820</v>
      </c>
      <c r="M8683" s="2" t="s">
        <v>825</v>
      </c>
      <c r="N8683" s="6" t="s">
        <v>828</v>
      </c>
    </row>
    <row r="8684" spans="1:14" ht="15" customHeight="1" x14ac:dyDescent="0.2">
      <c r="A8684" s="22">
        <v>-0.19493942415840101</v>
      </c>
      <c r="B8684" s="22"/>
      <c r="C8684" s="2" t="s">
        <v>891</v>
      </c>
      <c r="D8684" s="2">
        <f t="shared" si="244"/>
        <v>-0.19493942415840101</v>
      </c>
      <c r="F8684" s="2">
        <v>2023</v>
      </c>
      <c r="G8684" s="23" t="s">
        <v>902</v>
      </c>
      <c r="H8684" s="2" t="s">
        <v>748</v>
      </c>
      <c r="I8684" s="14" t="s">
        <v>191</v>
      </c>
      <c r="J8684" s="23" t="s">
        <v>410</v>
      </c>
      <c r="K8684" s="23" t="s">
        <v>615</v>
      </c>
      <c r="L8684" s="23" t="s">
        <v>820</v>
      </c>
      <c r="M8684" s="2" t="s">
        <v>825</v>
      </c>
      <c r="N8684" s="6" t="s">
        <v>828</v>
      </c>
    </row>
    <row r="8685" spans="1:14" ht="15" customHeight="1" x14ac:dyDescent="0.2">
      <c r="A8685" s="22">
        <v>-0.1950608651863846</v>
      </c>
      <c r="B8685" s="22"/>
      <c r="C8685" s="2" t="s">
        <v>891</v>
      </c>
      <c r="D8685" s="2">
        <f t="shared" si="244"/>
        <v>-0.1950608651863846</v>
      </c>
      <c r="F8685" s="2">
        <v>2023</v>
      </c>
      <c r="G8685" s="23" t="s">
        <v>902</v>
      </c>
      <c r="H8685" s="2" t="s">
        <v>748</v>
      </c>
      <c r="I8685" s="14" t="s">
        <v>191</v>
      </c>
      <c r="J8685" s="23" t="s">
        <v>412</v>
      </c>
      <c r="K8685" s="23" t="s">
        <v>617</v>
      </c>
      <c r="L8685" s="23" t="s">
        <v>820</v>
      </c>
      <c r="M8685" s="2" t="s">
        <v>825</v>
      </c>
      <c r="N8685" s="6" t="s">
        <v>828</v>
      </c>
    </row>
    <row r="8686" spans="1:14" ht="15" customHeight="1" x14ac:dyDescent="0.2">
      <c r="A8686" s="22">
        <v>-0.19629281889336331</v>
      </c>
      <c r="B8686" s="22"/>
      <c r="C8686" s="2" t="s">
        <v>891</v>
      </c>
      <c r="D8686" s="2">
        <f t="shared" si="244"/>
        <v>-0.19629281889336331</v>
      </c>
      <c r="F8686" s="2">
        <v>2023</v>
      </c>
      <c r="G8686" s="23" t="s">
        <v>902</v>
      </c>
      <c r="H8686" s="2" t="s">
        <v>748</v>
      </c>
      <c r="I8686" s="14" t="s">
        <v>191</v>
      </c>
      <c r="J8686" s="23" t="s">
        <v>399</v>
      </c>
      <c r="K8686" s="23" t="s">
        <v>604</v>
      </c>
      <c r="L8686" s="23" t="s">
        <v>820</v>
      </c>
      <c r="M8686" s="2" t="s">
        <v>825</v>
      </c>
      <c r="N8686" s="6" t="s">
        <v>828</v>
      </c>
    </row>
    <row r="8687" spans="1:14" ht="15" customHeight="1" x14ac:dyDescent="0.2">
      <c r="A8687" s="22">
        <v>-0.19930456090208243</v>
      </c>
      <c r="B8687" s="22"/>
      <c r="C8687" s="2" t="s">
        <v>891</v>
      </c>
      <c r="D8687" s="2">
        <f t="shared" si="244"/>
        <v>-0.19930456090208243</v>
      </c>
      <c r="F8687" s="2">
        <v>2023</v>
      </c>
      <c r="G8687" s="23" t="s">
        <v>902</v>
      </c>
      <c r="H8687" s="2" t="s">
        <v>774</v>
      </c>
      <c r="I8687" s="14" t="s">
        <v>191</v>
      </c>
      <c r="J8687" s="23" t="s">
        <v>446</v>
      </c>
      <c r="K8687" s="23" t="s">
        <v>651</v>
      </c>
      <c r="L8687" s="23" t="s">
        <v>820</v>
      </c>
      <c r="M8687" s="2" t="s">
        <v>825</v>
      </c>
      <c r="N8687" s="6" t="s">
        <v>828</v>
      </c>
    </row>
    <row r="8688" spans="1:14" ht="15" customHeight="1" x14ac:dyDescent="0.2">
      <c r="A8688" s="22">
        <v>-0.20073933707580846</v>
      </c>
      <c r="B8688" s="22"/>
      <c r="C8688" s="2" t="s">
        <v>891</v>
      </c>
      <c r="D8688" s="2">
        <f t="shared" si="244"/>
        <v>-0.20073933707580846</v>
      </c>
      <c r="F8688" s="2">
        <v>2023</v>
      </c>
      <c r="G8688" s="23" t="s">
        <v>902</v>
      </c>
      <c r="H8688" s="2" t="s">
        <v>748</v>
      </c>
      <c r="I8688" s="14" t="s">
        <v>191</v>
      </c>
      <c r="J8688" s="23" t="s">
        <v>442</v>
      </c>
      <c r="K8688" s="23" t="s">
        <v>647</v>
      </c>
      <c r="L8688" s="23" t="s">
        <v>820</v>
      </c>
      <c r="M8688" s="2" t="s">
        <v>825</v>
      </c>
      <c r="N8688" s="6" t="s">
        <v>828</v>
      </c>
    </row>
    <row r="8689" spans="1:14" ht="15" customHeight="1" x14ac:dyDescent="0.2">
      <c r="A8689" s="22">
        <v>-0.20079542297683889</v>
      </c>
      <c r="B8689" s="22"/>
      <c r="C8689" s="2" t="s">
        <v>891</v>
      </c>
      <c r="D8689" s="2">
        <f t="shared" si="244"/>
        <v>-0.20079542297683889</v>
      </c>
      <c r="F8689" s="2">
        <v>2023</v>
      </c>
      <c r="G8689" s="23" t="s">
        <v>902</v>
      </c>
      <c r="H8689" s="2" t="s">
        <v>772</v>
      </c>
      <c r="I8689" s="14" t="s">
        <v>191</v>
      </c>
      <c r="J8689" s="23" t="s">
        <v>277</v>
      </c>
      <c r="K8689" s="23" t="s">
        <v>481</v>
      </c>
      <c r="L8689" s="23" t="s">
        <v>820</v>
      </c>
      <c r="M8689" s="2" t="s">
        <v>825</v>
      </c>
      <c r="N8689" s="6" t="s">
        <v>828</v>
      </c>
    </row>
    <row r="8690" spans="1:14" ht="15" customHeight="1" x14ac:dyDescent="0.2">
      <c r="A8690" s="22">
        <v>-0.20312367761381236</v>
      </c>
      <c r="B8690" s="22"/>
      <c r="C8690" s="2" t="s">
        <v>891</v>
      </c>
      <c r="D8690" s="2">
        <f t="shared" si="244"/>
        <v>-0.20312367761381236</v>
      </c>
      <c r="F8690" s="2">
        <v>2023</v>
      </c>
      <c r="G8690" s="23" t="s">
        <v>902</v>
      </c>
      <c r="H8690" s="2" t="s">
        <v>748</v>
      </c>
      <c r="I8690" s="14" t="s">
        <v>191</v>
      </c>
      <c r="J8690" s="23" t="s">
        <v>415</v>
      </c>
      <c r="K8690" s="23" t="s">
        <v>620</v>
      </c>
      <c r="L8690" s="23" t="s">
        <v>820</v>
      </c>
      <c r="M8690" s="2" t="s">
        <v>825</v>
      </c>
      <c r="N8690" s="6" t="s">
        <v>828</v>
      </c>
    </row>
    <row r="8691" spans="1:14" ht="15" customHeight="1" x14ac:dyDescent="0.2">
      <c r="A8691" s="22">
        <v>-0.20628044167849569</v>
      </c>
      <c r="B8691" s="22"/>
      <c r="C8691" s="2" t="s">
        <v>891</v>
      </c>
      <c r="D8691" s="2">
        <f t="shared" si="244"/>
        <v>-0.20628044167849569</v>
      </c>
      <c r="F8691" s="2">
        <v>2023</v>
      </c>
      <c r="G8691" s="23" t="s">
        <v>902</v>
      </c>
      <c r="H8691" s="2" t="s">
        <v>748</v>
      </c>
      <c r="I8691" s="14" t="s">
        <v>191</v>
      </c>
      <c r="J8691" s="23" t="s">
        <v>402</v>
      </c>
      <c r="K8691" s="23" t="s">
        <v>607</v>
      </c>
      <c r="L8691" s="23" t="s">
        <v>820</v>
      </c>
      <c r="M8691" s="2" t="s">
        <v>825</v>
      </c>
      <c r="N8691" s="6" t="s">
        <v>828</v>
      </c>
    </row>
    <row r="8692" spans="1:14" ht="15" customHeight="1" x14ac:dyDescent="0.2">
      <c r="A8692" s="22">
        <v>-0.2070769890692869</v>
      </c>
      <c r="B8692" s="22"/>
      <c r="C8692" s="2" t="s">
        <v>891</v>
      </c>
      <c r="D8692" s="2">
        <f t="shared" si="244"/>
        <v>-0.2070769890692869</v>
      </c>
      <c r="F8692" s="2">
        <v>2023</v>
      </c>
      <c r="G8692" s="23" t="s">
        <v>902</v>
      </c>
      <c r="H8692" s="2" t="s">
        <v>747</v>
      </c>
      <c r="I8692" s="14" t="s">
        <v>191</v>
      </c>
      <c r="J8692" s="23" t="s">
        <v>391</v>
      </c>
      <c r="K8692" s="23" t="s">
        <v>596</v>
      </c>
      <c r="L8692" s="23" t="s">
        <v>820</v>
      </c>
      <c r="M8692" s="2" t="s">
        <v>825</v>
      </c>
      <c r="N8692" s="6" t="s">
        <v>828</v>
      </c>
    </row>
    <row r="8693" spans="1:14" ht="15" customHeight="1" x14ac:dyDescent="0.2">
      <c r="A8693" s="22">
        <v>-0.20774844229491754</v>
      </c>
      <c r="B8693" s="22"/>
      <c r="C8693" s="2" t="s">
        <v>891</v>
      </c>
      <c r="D8693" s="2">
        <f t="shared" si="244"/>
        <v>-0.20774844229491754</v>
      </c>
      <c r="F8693" s="2">
        <v>2023</v>
      </c>
      <c r="G8693" s="23" t="s">
        <v>902</v>
      </c>
      <c r="H8693" s="2" t="s">
        <v>747</v>
      </c>
      <c r="I8693" s="14" t="s">
        <v>191</v>
      </c>
      <c r="J8693" s="23" t="s">
        <v>385</v>
      </c>
      <c r="K8693" s="23" t="s">
        <v>590</v>
      </c>
      <c r="L8693" s="23" t="s">
        <v>820</v>
      </c>
      <c r="M8693" s="2" t="s">
        <v>825</v>
      </c>
      <c r="N8693" s="6" t="s">
        <v>828</v>
      </c>
    </row>
    <row r="8694" spans="1:14" ht="15" customHeight="1" x14ac:dyDescent="0.2">
      <c r="A8694" s="22">
        <v>-0.20936984128907304</v>
      </c>
      <c r="B8694" s="22"/>
      <c r="C8694" s="2" t="s">
        <v>891</v>
      </c>
      <c r="D8694" s="2">
        <f t="shared" si="244"/>
        <v>-0.20936984128907304</v>
      </c>
      <c r="F8694" s="2">
        <v>2023</v>
      </c>
      <c r="G8694" s="23" t="s">
        <v>902</v>
      </c>
      <c r="H8694" s="2" t="s">
        <v>748</v>
      </c>
      <c r="I8694" s="14" t="s">
        <v>191</v>
      </c>
      <c r="J8694" s="23" t="s">
        <v>435</v>
      </c>
      <c r="K8694" s="23" t="s">
        <v>640</v>
      </c>
      <c r="L8694" s="23" t="s">
        <v>820</v>
      </c>
      <c r="M8694" s="2" t="s">
        <v>825</v>
      </c>
      <c r="N8694" s="6" t="s">
        <v>828</v>
      </c>
    </row>
    <row r="8695" spans="1:14" ht="15" customHeight="1" x14ac:dyDescent="0.2">
      <c r="A8695" s="10">
        <v>-0.21</v>
      </c>
      <c r="B8695" s="10">
        <v>0.230518</v>
      </c>
      <c r="C8695" s="2" t="s">
        <v>891</v>
      </c>
      <c r="D8695" s="2">
        <f t="shared" si="244"/>
        <v>-0.21</v>
      </c>
      <c r="E8695" s="2">
        <f>B8695</f>
        <v>0.230518</v>
      </c>
      <c r="F8695" s="2">
        <v>2022</v>
      </c>
      <c r="G8695" s="2" t="s">
        <v>902</v>
      </c>
      <c r="H8695" s="5" t="s">
        <v>71</v>
      </c>
      <c r="I8695" s="2" t="s">
        <v>164</v>
      </c>
      <c r="J8695" s="2">
        <v>54.479700000000001</v>
      </c>
      <c r="K8695" s="2">
        <v>19.779800000000002</v>
      </c>
      <c r="L8695" s="2" t="s">
        <v>809</v>
      </c>
      <c r="M8695" s="2" t="s">
        <v>170</v>
      </c>
      <c r="N8695" s="11" t="s">
        <v>166</v>
      </c>
    </row>
    <row r="8696" spans="1:14" ht="15" customHeight="1" x14ac:dyDescent="0.2">
      <c r="A8696" s="22">
        <v>-0.21061679881216641</v>
      </c>
      <c r="B8696" s="22"/>
      <c r="C8696" s="2" t="s">
        <v>891</v>
      </c>
      <c r="D8696" s="2">
        <f t="shared" si="244"/>
        <v>-0.21061679881216641</v>
      </c>
      <c r="F8696" s="2">
        <v>2023</v>
      </c>
      <c r="G8696" s="23" t="s">
        <v>902</v>
      </c>
      <c r="H8696" s="2" t="s">
        <v>747</v>
      </c>
      <c r="I8696" s="14" t="s">
        <v>191</v>
      </c>
      <c r="J8696" s="23" t="s">
        <v>392</v>
      </c>
      <c r="K8696" s="23" t="s">
        <v>597</v>
      </c>
      <c r="L8696" s="23" t="s">
        <v>820</v>
      </c>
      <c r="M8696" s="2" t="s">
        <v>825</v>
      </c>
      <c r="N8696" s="6" t="s">
        <v>828</v>
      </c>
    </row>
    <row r="8697" spans="1:14" ht="15" customHeight="1" x14ac:dyDescent="0.2">
      <c r="A8697" s="22">
        <v>-0.21244991161910812</v>
      </c>
      <c r="B8697" s="22"/>
      <c r="C8697" s="2" t="s">
        <v>891</v>
      </c>
      <c r="D8697" s="2">
        <f t="shared" si="244"/>
        <v>-0.21244991161910812</v>
      </c>
      <c r="F8697" s="2">
        <v>2023</v>
      </c>
      <c r="G8697" s="23" t="s">
        <v>902</v>
      </c>
      <c r="H8697" s="2" t="s">
        <v>774</v>
      </c>
      <c r="I8697" s="14" t="s">
        <v>191</v>
      </c>
      <c r="J8697" s="23" t="s">
        <v>475</v>
      </c>
      <c r="K8697" s="23" t="s">
        <v>680</v>
      </c>
      <c r="L8697" s="23" t="s">
        <v>820</v>
      </c>
      <c r="M8697" s="2" t="s">
        <v>825</v>
      </c>
      <c r="N8697" s="6" t="s">
        <v>828</v>
      </c>
    </row>
    <row r="8698" spans="1:14" ht="15" customHeight="1" x14ac:dyDescent="0.2">
      <c r="A8698" s="22">
        <v>-0.21740485682179908</v>
      </c>
      <c r="B8698" s="22"/>
      <c r="C8698" s="2" t="s">
        <v>891</v>
      </c>
      <c r="D8698" s="2">
        <f t="shared" si="244"/>
        <v>-0.21740485682179908</v>
      </c>
      <c r="F8698" s="2">
        <v>2023</v>
      </c>
      <c r="G8698" s="23" t="s">
        <v>902</v>
      </c>
      <c r="H8698" s="2" t="s">
        <v>748</v>
      </c>
      <c r="I8698" s="14" t="s">
        <v>191</v>
      </c>
      <c r="J8698" s="23" t="s">
        <v>416</v>
      </c>
      <c r="K8698" s="23" t="s">
        <v>621</v>
      </c>
      <c r="L8698" s="23" t="s">
        <v>820</v>
      </c>
      <c r="M8698" s="2" t="s">
        <v>825</v>
      </c>
      <c r="N8698" s="6" t="s">
        <v>828</v>
      </c>
    </row>
    <row r="8699" spans="1:14" ht="15" customHeight="1" x14ac:dyDescent="0.2">
      <c r="A8699" s="22">
        <v>-0.2178708732856105</v>
      </c>
      <c r="B8699" s="22"/>
      <c r="C8699" s="2" t="s">
        <v>891</v>
      </c>
      <c r="D8699" s="2">
        <f t="shared" si="244"/>
        <v>-0.2178708732856105</v>
      </c>
      <c r="F8699" s="2">
        <v>2023</v>
      </c>
      <c r="G8699" s="23" t="s">
        <v>902</v>
      </c>
      <c r="H8699" s="2" t="s">
        <v>748</v>
      </c>
      <c r="I8699" s="14" t="s">
        <v>191</v>
      </c>
      <c r="J8699" s="23" t="s">
        <v>426</v>
      </c>
      <c r="K8699" s="23" t="s">
        <v>631</v>
      </c>
      <c r="L8699" s="23" t="s">
        <v>820</v>
      </c>
      <c r="M8699" s="2" t="s">
        <v>825</v>
      </c>
      <c r="N8699" s="6" t="s">
        <v>828</v>
      </c>
    </row>
    <row r="8700" spans="1:14" ht="15" customHeight="1" x14ac:dyDescent="0.2">
      <c r="A8700" s="22">
        <v>-0.2193349985037267</v>
      </c>
      <c r="B8700" s="22"/>
      <c r="C8700" s="2" t="s">
        <v>891</v>
      </c>
      <c r="D8700" s="2">
        <f t="shared" si="244"/>
        <v>-0.2193349985037267</v>
      </c>
      <c r="F8700" s="2">
        <v>2023</v>
      </c>
      <c r="G8700" s="23" t="s">
        <v>902</v>
      </c>
      <c r="H8700" s="2" t="s">
        <v>748</v>
      </c>
      <c r="I8700" s="14" t="s">
        <v>191</v>
      </c>
      <c r="J8700" s="23" t="s">
        <v>411</v>
      </c>
      <c r="K8700" s="23" t="s">
        <v>616</v>
      </c>
      <c r="L8700" s="23" t="s">
        <v>820</v>
      </c>
      <c r="M8700" s="2" t="s">
        <v>825</v>
      </c>
      <c r="N8700" s="6" t="s">
        <v>828</v>
      </c>
    </row>
    <row r="8701" spans="1:14" ht="15" customHeight="1" x14ac:dyDescent="0.2">
      <c r="A8701" s="22">
        <v>-0.21967141898160558</v>
      </c>
      <c r="B8701" s="22"/>
      <c r="C8701" s="2" t="s">
        <v>891</v>
      </c>
      <c r="D8701" s="2">
        <f t="shared" si="244"/>
        <v>-0.21967141898160558</v>
      </c>
      <c r="F8701" s="2">
        <v>2023</v>
      </c>
      <c r="G8701" s="23" t="s">
        <v>902</v>
      </c>
      <c r="H8701" s="2" t="s">
        <v>748</v>
      </c>
      <c r="I8701" s="14" t="s">
        <v>191</v>
      </c>
      <c r="J8701" s="23" t="s">
        <v>403</v>
      </c>
      <c r="K8701" s="23" t="s">
        <v>608</v>
      </c>
      <c r="L8701" s="23" t="s">
        <v>820</v>
      </c>
      <c r="M8701" s="2" t="s">
        <v>825</v>
      </c>
      <c r="N8701" s="6" t="s">
        <v>828</v>
      </c>
    </row>
    <row r="8702" spans="1:14" ht="15" customHeight="1" x14ac:dyDescent="0.2">
      <c r="A8702" s="22">
        <v>-0.21978372732994439</v>
      </c>
      <c r="B8702" s="22"/>
      <c r="C8702" s="2" t="s">
        <v>891</v>
      </c>
      <c r="D8702" s="2">
        <f t="shared" si="244"/>
        <v>-0.21978372732994439</v>
      </c>
      <c r="F8702" s="2">
        <v>2023</v>
      </c>
      <c r="G8702" s="23" t="s">
        <v>902</v>
      </c>
      <c r="H8702" s="2" t="s">
        <v>748</v>
      </c>
      <c r="I8702" s="14" t="s">
        <v>191</v>
      </c>
      <c r="J8702" s="23" t="s">
        <v>397</v>
      </c>
      <c r="K8702" s="23" t="s">
        <v>602</v>
      </c>
      <c r="L8702" s="23" t="s">
        <v>820</v>
      </c>
      <c r="M8702" s="2" t="s">
        <v>825</v>
      </c>
      <c r="N8702" s="6" t="s">
        <v>828</v>
      </c>
    </row>
    <row r="8703" spans="1:14" ht="15" customHeight="1" x14ac:dyDescent="0.2">
      <c r="A8703" s="22">
        <v>-0.22274071640970197</v>
      </c>
      <c r="B8703" s="22"/>
      <c r="C8703" s="2" t="s">
        <v>891</v>
      </c>
      <c r="D8703" s="2">
        <f t="shared" si="244"/>
        <v>-0.22274071640970197</v>
      </c>
      <c r="F8703" s="2">
        <v>2023</v>
      </c>
      <c r="G8703" s="23" t="s">
        <v>902</v>
      </c>
      <c r="H8703" s="2" t="s">
        <v>748</v>
      </c>
      <c r="I8703" s="14" t="s">
        <v>191</v>
      </c>
      <c r="J8703" s="23" t="s">
        <v>398</v>
      </c>
      <c r="K8703" s="23" t="s">
        <v>603</v>
      </c>
      <c r="L8703" s="23" t="s">
        <v>820</v>
      </c>
      <c r="M8703" s="2" t="s">
        <v>825</v>
      </c>
      <c r="N8703" s="6" t="s">
        <v>828</v>
      </c>
    </row>
    <row r="8704" spans="1:14" ht="15" customHeight="1" x14ac:dyDescent="0.2">
      <c r="A8704" s="22">
        <v>-0.22341794058169248</v>
      </c>
      <c r="B8704" s="22"/>
      <c r="C8704" s="2" t="s">
        <v>891</v>
      </c>
      <c r="D8704" s="2">
        <f t="shared" si="244"/>
        <v>-0.22341794058169248</v>
      </c>
      <c r="F8704" s="2">
        <v>2023</v>
      </c>
      <c r="G8704" s="23" t="s">
        <v>902</v>
      </c>
      <c r="H8704" s="2" t="s">
        <v>748</v>
      </c>
      <c r="I8704" s="14" t="s">
        <v>191</v>
      </c>
      <c r="J8704" s="23" t="s">
        <v>428</v>
      </c>
      <c r="K8704" s="23" t="s">
        <v>633</v>
      </c>
      <c r="L8704" s="23" t="s">
        <v>820</v>
      </c>
      <c r="M8704" s="2" t="s">
        <v>825</v>
      </c>
      <c r="N8704" s="6" t="s">
        <v>828</v>
      </c>
    </row>
    <row r="8705" spans="1:14" ht="15" customHeight="1" x14ac:dyDescent="0.2">
      <c r="A8705" s="22">
        <v>-0.22546369273970285</v>
      </c>
      <c r="B8705" s="22"/>
      <c r="C8705" s="2" t="s">
        <v>891</v>
      </c>
      <c r="D8705" s="2">
        <f t="shared" si="244"/>
        <v>-0.22546369273970285</v>
      </c>
      <c r="F8705" s="2">
        <v>2023</v>
      </c>
      <c r="G8705" s="23" t="s">
        <v>902</v>
      </c>
      <c r="H8705" s="2" t="s">
        <v>748</v>
      </c>
      <c r="I8705" s="14" t="s">
        <v>191</v>
      </c>
      <c r="J8705" s="23" t="s">
        <v>418</v>
      </c>
      <c r="K8705" s="23" t="s">
        <v>623</v>
      </c>
      <c r="L8705" s="23" t="s">
        <v>820</v>
      </c>
      <c r="M8705" s="2" t="s">
        <v>825</v>
      </c>
      <c r="N8705" s="6" t="s">
        <v>828</v>
      </c>
    </row>
    <row r="8706" spans="1:14" ht="15" customHeight="1" x14ac:dyDescent="0.2">
      <c r="A8706" s="22">
        <v>-0.22626931975024045</v>
      </c>
      <c r="B8706" s="22"/>
      <c r="C8706" s="2" t="s">
        <v>891</v>
      </c>
      <c r="D8706" s="2">
        <f t="shared" ref="D8706:D8737" si="245">A8706</f>
        <v>-0.22626931975024045</v>
      </c>
      <c r="F8706" s="2">
        <v>2023</v>
      </c>
      <c r="G8706" s="23" t="s">
        <v>902</v>
      </c>
      <c r="H8706" s="2" t="s">
        <v>748</v>
      </c>
      <c r="I8706" s="14" t="s">
        <v>191</v>
      </c>
      <c r="J8706" s="23" t="s">
        <v>433</v>
      </c>
      <c r="K8706" s="23" t="s">
        <v>638</v>
      </c>
      <c r="L8706" s="23" t="s">
        <v>820</v>
      </c>
      <c r="M8706" s="2" t="s">
        <v>825</v>
      </c>
      <c r="N8706" s="6" t="s">
        <v>828</v>
      </c>
    </row>
    <row r="8707" spans="1:14" ht="15" customHeight="1" x14ac:dyDescent="0.2">
      <c r="A8707" s="22">
        <v>-0.2273439793595356</v>
      </c>
      <c r="B8707" s="22"/>
      <c r="C8707" s="2" t="s">
        <v>891</v>
      </c>
      <c r="D8707" s="2">
        <f t="shared" si="245"/>
        <v>-0.2273439793595356</v>
      </c>
      <c r="F8707" s="2">
        <v>2023</v>
      </c>
      <c r="G8707" s="23" t="s">
        <v>902</v>
      </c>
      <c r="H8707" s="2" t="s">
        <v>748</v>
      </c>
      <c r="I8707" s="14" t="s">
        <v>191</v>
      </c>
      <c r="J8707" s="23" t="s">
        <v>422</v>
      </c>
      <c r="K8707" s="23" t="s">
        <v>627</v>
      </c>
      <c r="L8707" s="23" t="s">
        <v>820</v>
      </c>
      <c r="M8707" s="2" t="s">
        <v>825</v>
      </c>
      <c r="N8707" s="6" t="s">
        <v>828</v>
      </c>
    </row>
    <row r="8708" spans="1:14" ht="15" customHeight="1" x14ac:dyDescent="0.2">
      <c r="A8708" s="22">
        <v>-0.22737406888832468</v>
      </c>
      <c r="B8708" s="22"/>
      <c r="C8708" s="2" t="s">
        <v>891</v>
      </c>
      <c r="D8708" s="2">
        <f t="shared" si="245"/>
        <v>-0.22737406888832468</v>
      </c>
      <c r="F8708" s="2">
        <v>2023</v>
      </c>
      <c r="G8708" s="23" t="s">
        <v>902</v>
      </c>
      <c r="H8708" s="2" t="s">
        <v>748</v>
      </c>
      <c r="I8708" s="14" t="s">
        <v>191</v>
      </c>
      <c r="J8708" s="23" t="s">
        <v>417</v>
      </c>
      <c r="K8708" s="23" t="s">
        <v>622</v>
      </c>
      <c r="L8708" s="23" t="s">
        <v>820</v>
      </c>
      <c r="M8708" s="2" t="s">
        <v>825</v>
      </c>
      <c r="N8708" s="6" t="s">
        <v>828</v>
      </c>
    </row>
    <row r="8709" spans="1:14" ht="15" customHeight="1" x14ac:dyDescent="0.2">
      <c r="A8709" s="22">
        <v>-0.22745171930060878</v>
      </c>
      <c r="B8709" s="22"/>
      <c r="C8709" s="2" t="s">
        <v>891</v>
      </c>
      <c r="D8709" s="2">
        <f t="shared" si="245"/>
        <v>-0.22745171930060878</v>
      </c>
      <c r="F8709" s="2">
        <v>2023</v>
      </c>
      <c r="G8709" s="23" t="s">
        <v>902</v>
      </c>
      <c r="H8709" s="2" t="s">
        <v>748</v>
      </c>
      <c r="I8709" s="14" t="s">
        <v>191</v>
      </c>
      <c r="J8709" s="23" t="s">
        <v>427</v>
      </c>
      <c r="K8709" s="23" t="s">
        <v>632</v>
      </c>
      <c r="L8709" s="23" t="s">
        <v>820</v>
      </c>
      <c r="M8709" s="2" t="s">
        <v>825</v>
      </c>
      <c r="N8709" s="6" t="s">
        <v>828</v>
      </c>
    </row>
    <row r="8710" spans="1:14" ht="15" customHeight="1" x14ac:dyDescent="0.2">
      <c r="A8710" s="22">
        <v>-0.22751054214630925</v>
      </c>
      <c r="B8710" s="22"/>
      <c r="C8710" s="2" t="s">
        <v>891</v>
      </c>
      <c r="D8710" s="2">
        <f t="shared" si="245"/>
        <v>-0.22751054214630925</v>
      </c>
      <c r="F8710" s="2">
        <v>2023</v>
      </c>
      <c r="G8710" s="23" t="s">
        <v>902</v>
      </c>
      <c r="H8710" s="2" t="s">
        <v>748</v>
      </c>
      <c r="I8710" s="14" t="s">
        <v>191</v>
      </c>
      <c r="J8710" s="23" t="s">
        <v>405</v>
      </c>
      <c r="K8710" s="23" t="s">
        <v>610</v>
      </c>
      <c r="L8710" s="23" t="s">
        <v>820</v>
      </c>
      <c r="M8710" s="2" t="s">
        <v>825</v>
      </c>
      <c r="N8710" s="6" t="s">
        <v>828</v>
      </c>
    </row>
    <row r="8711" spans="1:14" ht="15" customHeight="1" x14ac:dyDescent="0.2">
      <c r="A8711" s="22">
        <v>-0.22860825773433441</v>
      </c>
      <c r="B8711" s="22"/>
      <c r="C8711" s="2" t="s">
        <v>891</v>
      </c>
      <c r="D8711" s="2">
        <f t="shared" si="245"/>
        <v>-0.22860825773433441</v>
      </c>
      <c r="F8711" s="2">
        <v>2023</v>
      </c>
      <c r="G8711" s="23" t="s">
        <v>902</v>
      </c>
      <c r="H8711" s="2" t="s">
        <v>748</v>
      </c>
      <c r="I8711" s="14" t="s">
        <v>191</v>
      </c>
      <c r="J8711" s="23" t="s">
        <v>429</v>
      </c>
      <c r="K8711" s="23" t="s">
        <v>634</v>
      </c>
      <c r="L8711" s="23" t="s">
        <v>820</v>
      </c>
      <c r="M8711" s="2" t="s">
        <v>825</v>
      </c>
      <c r="N8711" s="6" t="s">
        <v>828</v>
      </c>
    </row>
    <row r="8712" spans="1:14" ht="15" customHeight="1" x14ac:dyDescent="0.2">
      <c r="A8712" s="22">
        <v>-0.22908869681583699</v>
      </c>
      <c r="B8712" s="22"/>
      <c r="C8712" s="2" t="s">
        <v>891</v>
      </c>
      <c r="D8712" s="2">
        <f t="shared" si="245"/>
        <v>-0.22908869681583699</v>
      </c>
      <c r="F8712" s="2">
        <v>2023</v>
      </c>
      <c r="G8712" s="23" t="s">
        <v>902</v>
      </c>
      <c r="H8712" s="2" t="s">
        <v>748</v>
      </c>
      <c r="I8712" s="14" t="s">
        <v>191</v>
      </c>
      <c r="J8712" s="23" t="s">
        <v>396</v>
      </c>
      <c r="K8712" s="23" t="s">
        <v>601</v>
      </c>
      <c r="L8712" s="23" t="s">
        <v>820</v>
      </c>
      <c r="M8712" s="2" t="s">
        <v>825</v>
      </c>
      <c r="N8712" s="6" t="s">
        <v>828</v>
      </c>
    </row>
    <row r="8713" spans="1:14" ht="15" customHeight="1" x14ac:dyDescent="0.2">
      <c r="A8713" s="22">
        <v>-0.2295596475692078</v>
      </c>
      <c r="B8713" s="22"/>
      <c r="C8713" s="2" t="s">
        <v>891</v>
      </c>
      <c r="D8713" s="2">
        <f t="shared" si="245"/>
        <v>-0.2295596475692078</v>
      </c>
      <c r="F8713" s="2">
        <v>2023</v>
      </c>
      <c r="G8713" s="23" t="s">
        <v>902</v>
      </c>
      <c r="H8713" s="2" t="s">
        <v>748</v>
      </c>
      <c r="I8713" s="14" t="s">
        <v>191</v>
      </c>
      <c r="J8713" s="23" t="s">
        <v>409</v>
      </c>
      <c r="K8713" s="23" t="s">
        <v>614</v>
      </c>
      <c r="L8713" s="23" t="s">
        <v>820</v>
      </c>
      <c r="M8713" s="2" t="s">
        <v>825</v>
      </c>
      <c r="N8713" s="6" t="s">
        <v>828</v>
      </c>
    </row>
    <row r="8714" spans="1:14" ht="15" customHeight="1" x14ac:dyDescent="0.2">
      <c r="A8714" s="22">
        <v>-0.23102403955261683</v>
      </c>
      <c r="B8714" s="22"/>
      <c r="C8714" s="2" t="s">
        <v>891</v>
      </c>
      <c r="D8714" s="2">
        <f t="shared" si="245"/>
        <v>-0.23102403955261683</v>
      </c>
      <c r="F8714" s="2">
        <v>2023</v>
      </c>
      <c r="G8714" s="23" t="s">
        <v>902</v>
      </c>
      <c r="H8714" s="2" t="s">
        <v>748</v>
      </c>
      <c r="I8714" s="14" t="s">
        <v>191</v>
      </c>
      <c r="J8714" s="23" t="s">
        <v>404</v>
      </c>
      <c r="K8714" s="23" t="s">
        <v>609</v>
      </c>
      <c r="L8714" s="23" t="s">
        <v>820</v>
      </c>
      <c r="M8714" s="2" t="s">
        <v>825</v>
      </c>
      <c r="N8714" s="6" t="s">
        <v>828</v>
      </c>
    </row>
    <row r="8715" spans="1:14" ht="15" customHeight="1" x14ac:dyDescent="0.2">
      <c r="A8715" s="22">
        <v>-0.23462368325079658</v>
      </c>
      <c r="B8715" s="22"/>
      <c r="C8715" s="2" t="s">
        <v>891</v>
      </c>
      <c r="D8715" s="2">
        <f t="shared" si="245"/>
        <v>-0.23462368325079658</v>
      </c>
      <c r="F8715" s="2">
        <v>2023</v>
      </c>
      <c r="G8715" s="23" t="s">
        <v>902</v>
      </c>
      <c r="H8715" s="2" t="s">
        <v>747</v>
      </c>
      <c r="I8715" s="14" t="s">
        <v>191</v>
      </c>
      <c r="J8715" s="23" t="s">
        <v>393</v>
      </c>
      <c r="K8715" s="23" t="s">
        <v>598</v>
      </c>
      <c r="L8715" s="23" t="s">
        <v>820</v>
      </c>
      <c r="M8715" s="2" t="s">
        <v>825</v>
      </c>
      <c r="N8715" s="6" t="s">
        <v>828</v>
      </c>
    </row>
    <row r="8716" spans="1:14" ht="15" customHeight="1" x14ac:dyDescent="0.2">
      <c r="A8716" s="22">
        <v>-0.23665957650505079</v>
      </c>
      <c r="B8716" s="22"/>
      <c r="C8716" s="2" t="s">
        <v>891</v>
      </c>
      <c r="D8716" s="2">
        <f t="shared" si="245"/>
        <v>-0.23665957650505079</v>
      </c>
      <c r="F8716" s="2">
        <v>2023</v>
      </c>
      <c r="G8716" s="23" t="s">
        <v>902</v>
      </c>
      <c r="H8716" s="2" t="s">
        <v>772</v>
      </c>
      <c r="I8716" s="14" t="s">
        <v>191</v>
      </c>
      <c r="J8716" s="23" t="s">
        <v>276</v>
      </c>
      <c r="K8716" s="23" t="s">
        <v>480</v>
      </c>
      <c r="L8716" s="23" t="s">
        <v>820</v>
      </c>
      <c r="M8716" s="2" t="s">
        <v>825</v>
      </c>
      <c r="N8716" s="6" t="s">
        <v>828</v>
      </c>
    </row>
    <row r="8717" spans="1:14" ht="15" customHeight="1" x14ac:dyDescent="0.2">
      <c r="A8717" s="22">
        <v>-0.24287963170639137</v>
      </c>
      <c r="B8717" s="22"/>
      <c r="C8717" s="2" t="s">
        <v>891</v>
      </c>
      <c r="D8717" s="2">
        <f t="shared" si="245"/>
        <v>-0.24287963170639137</v>
      </c>
      <c r="F8717" s="2">
        <v>2023</v>
      </c>
      <c r="G8717" s="23" t="s">
        <v>902</v>
      </c>
      <c r="H8717" s="2" t="s">
        <v>747</v>
      </c>
      <c r="I8717" s="14" t="s">
        <v>191</v>
      </c>
      <c r="J8717" s="23" t="s">
        <v>384</v>
      </c>
      <c r="K8717" s="23" t="s">
        <v>589</v>
      </c>
      <c r="L8717" s="23" t="s">
        <v>820</v>
      </c>
      <c r="M8717" s="2" t="s">
        <v>825</v>
      </c>
      <c r="N8717" s="6" t="s">
        <v>828</v>
      </c>
    </row>
    <row r="8718" spans="1:14" ht="15" customHeight="1" x14ac:dyDescent="0.2">
      <c r="A8718" s="22">
        <v>-0.24315467696751364</v>
      </c>
      <c r="B8718" s="22"/>
      <c r="C8718" s="2" t="s">
        <v>891</v>
      </c>
      <c r="D8718" s="2">
        <f t="shared" si="245"/>
        <v>-0.24315467696751364</v>
      </c>
      <c r="F8718" s="2">
        <v>2023</v>
      </c>
      <c r="G8718" s="23" t="s">
        <v>902</v>
      </c>
      <c r="H8718" s="2" t="s">
        <v>747</v>
      </c>
      <c r="I8718" s="14" t="s">
        <v>191</v>
      </c>
      <c r="J8718" s="23" t="s">
        <v>394</v>
      </c>
      <c r="K8718" s="23" t="s">
        <v>599</v>
      </c>
      <c r="L8718" s="23" t="s">
        <v>820</v>
      </c>
      <c r="M8718" s="2" t="s">
        <v>825</v>
      </c>
      <c r="N8718" s="6" t="s">
        <v>828</v>
      </c>
    </row>
    <row r="8719" spans="1:14" ht="15" customHeight="1" x14ac:dyDescent="0.2">
      <c r="A8719" s="22">
        <v>-0.24415155563451757</v>
      </c>
      <c r="B8719" s="22"/>
      <c r="C8719" s="2" t="s">
        <v>891</v>
      </c>
      <c r="D8719" s="2">
        <f t="shared" si="245"/>
        <v>-0.24415155563451757</v>
      </c>
      <c r="F8719" s="2">
        <v>2023</v>
      </c>
      <c r="G8719" s="23" t="s">
        <v>902</v>
      </c>
      <c r="H8719" s="2" t="s">
        <v>748</v>
      </c>
      <c r="I8719" s="14" t="s">
        <v>191</v>
      </c>
      <c r="J8719" s="23" t="s">
        <v>434</v>
      </c>
      <c r="K8719" s="23" t="s">
        <v>639</v>
      </c>
      <c r="L8719" s="23" t="s">
        <v>820</v>
      </c>
      <c r="M8719" s="2" t="s">
        <v>825</v>
      </c>
      <c r="N8719" s="6" t="s">
        <v>828</v>
      </c>
    </row>
    <row r="8720" spans="1:14" ht="15" customHeight="1" x14ac:dyDescent="0.2">
      <c r="A8720" s="22">
        <v>-0.24537153941361967</v>
      </c>
      <c r="B8720" s="22"/>
      <c r="C8720" s="2" t="s">
        <v>891</v>
      </c>
      <c r="D8720" s="2">
        <f t="shared" si="245"/>
        <v>-0.24537153941361967</v>
      </c>
      <c r="F8720" s="2">
        <v>2023</v>
      </c>
      <c r="G8720" s="23" t="s">
        <v>902</v>
      </c>
      <c r="H8720" s="2" t="s">
        <v>747</v>
      </c>
      <c r="I8720" s="14" t="s">
        <v>191</v>
      </c>
      <c r="J8720" s="23" t="s">
        <v>389</v>
      </c>
      <c r="K8720" s="23" t="s">
        <v>594</v>
      </c>
      <c r="L8720" s="23" t="s">
        <v>820</v>
      </c>
      <c r="M8720" s="2" t="s">
        <v>825</v>
      </c>
      <c r="N8720" s="6" t="s">
        <v>828</v>
      </c>
    </row>
    <row r="8721" spans="1:14" ht="15" customHeight="1" x14ac:dyDescent="0.2">
      <c r="A8721" s="22">
        <v>-0.24801476595108132</v>
      </c>
      <c r="B8721" s="22"/>
      <c r="C8721" s="2" t="s">
        <v>891</v>
      </c>
      <c r="D8721" s="2">
        <f t="shared" si="245"/>
        <v>-0.24801476595108132</v>
      </c>
      <c r="F8721" s="2">
        <v>2023</v>
      </c>
      <c r="G8721" s="23" t="s">
        <v>902</v>
      </c>
      <c r="H8721" s="2" t="s">
        <v>748</v>
      </c>
      <c r="I8721" s="14" t="s">
        <v>191</v>
      </c>
      <c r="J8721" s="23" t="s">
        <v>419</v>
      </c>
      <c r="K8721" s="23" t="s">
        <v>624</v>
      </c>
      <c r="L8721" s="23" t="s">
        <v>820</v>
      </c>
      <c r="M8721" s="2" t="s">
        <v>825</v>
      </c>
      <c r="N8721" s="6" t="s">
        <v>828</v>
      </c>
    </row>
    <row r="8722" spans="1:14" ht="15" customHeight="1" x14ac:dyDescent="0.2">
      <c r="A8722" s="22">
        <v>-0.24931859356727049</v>
      </c>
      <c r="B8722" s="22"/>
      <c r="C8722" s="2" t="s">
        <v>891</v>
      </c>
      <c r="D8722" s="2">
        <f t="shared" si="245"/>
        <v>-0.24931859356727049</v>
      </c>
      <c r="F8722" s="2">
        <v>2023</v>
      </c>
      <c r="G8722" s="23" t="s">
        <v>902</v>
      </c>
      <c r="H8722" s="2" t="s">
        <v>748</v>
      </c>
      <c r="I8722" s="14" t="s">
        <v>191</v>
      </c>
      <c r="J8722" s="23" t="s">
        <v>406</v>
      </c>
      <c r="K8722" s="23" t="s">
        <v>611</v>
      </c>
      <c r="L8722" s="23" t="s">
        <v>820</v>
      </c>
      <c r="M8722" s="2" t="s">
        <v>825</v>
      </c>
      <c r="N8722" s="6" t="s">
        <v>828</v>
      </c>
    </row>
    <row r="8723" spans="1:14" ht="15" customHeight="1" x14ac:dyDescent="0.2">
      <c r="A8723" s="22">
        <v>-0.25063306872286711</v>
      </c>
      <c r="B8723" s="22"/>
      <c r="C8723" s="2" t="s">
        <v>891</v>
      </c>
      <c r="D8723" s="2">
        <f t="shared" si="245"/>
        <v>-0.25063306872286711</v>
      </c>
      <c r="F8723" s="2">
        <v>2023</v>
      </c>
      <c r="G8723" s="23" t="s">
        <v>902</v>
      </c>
      <c r="H8723" s="2" t="s">
        <v>748</v>
      </c>
      <c r="I8723" s="14" t="s">
        <v>191</v>
      </c>
      <c r="J8723" s="23" t="s">
        <v>421</v>
      </c>
      <c r="K8723" s="23" t="s">
        <v>626</v>
      </c>
      <c r="L8723" s="23" t="s">
        <v>820</v>
      </c>
      <c r="M8723" s="2" t="s">
        <v>825</v>
      </c>
      <c r="N8723" s="6" t="s">
        <v>828</v>
      </c>
    </row>
    <row r="8724" spans="1:14" ht="15" customHeight="1" x14ac:dyDescent="0.2">
      <c r="A8724" s="22">
        <v>-0.25125232057874958</v>
      </c>
      <c r="B8724" s="22"/>
      <c r="C8724" s="2" t="s">
        <v>891</v>
      </c>
      <c r="D8724" s="2">
        <f t="shared" si="245"/>
        <v>-0.25125232057874958</v>
      </c>
      <c r="F8724" s="2">
        <v>2023</v>
      </c>
      <c r="G8724" s="23" t="s">
        <v>902</v>
      </c>
      <c r="H8724" s="2" t="s">
        <v>747</v>
      </c>
      <c r="I8724" s="14" t="s">
        <v>191</v>
      </c>
      <c r="J8724" s="23" t="s">
        <v>386</v>
      </c>
      <c r="K8724" s="23" t="s">
        <v>591</v>
      </c>
      <c r="L8724" s="23" t="s">
        <v>820</v>
      </c>
      <c r="M8724" s="2" t="s">
        <v>825</v>
      </c>
      <c r="N8724" s="6" t="s">
        <v>828</v>
      </c>
    </row>
    <row r="8725" spans="1:14" ht="15" customHeight="1" x14ac:dyDescent="0.2">
      <c r="A8725" s="22">
        <v>-0.25446406969015029</v>
      </c>
      <c r="B8725" s="22"/>
      <c r="C8725" s="2" t="s">
        <v>891</v>
      </c>
      <c r="D8725" s="2">
        <f t="shared" si="245"/>
        <v>-0.25446406969015029</v>
      </c>
      <c r="F8725" s="2">
        <v>2023</v>
      </c>
      <c r="G8725" s="23" t="s">
        <v>902</v>
      </c>
      <c r="H8725" s="2" t="s">
        <v>748</v>
      </c>
      <c r="I8725" s="14" t="s">
        <v>191</v>
      </c>
      <c r="J8725" s="23" t="s">
        <v>408</v>
      </c>
      <c r="K8725" s="23" t="s">
        <v>613</v>
      </c>
      <c r="L8725" s="23" t="s">
        <v>820</v>
      </c>
      <c r="M8725" s="2" t="s">
        <v>825</v>
      </c>
      <c r="N8725" s="6" t="s">
        <v>828</v>
      </c>
    </row>
    <row r="8726" spans="1:14" ht="15" customHeight="1" x14ac:dyDescent="0.2">
      <c r="A8726" s="22">
        <v>-0.25821380520119858</v>
      </c>
      <c r="B8726" s="22"/>
      <c r="C8726" s="2" t="s">
        <v>891</v>
      </c>
      <c r="D8726" s="2">
        <f t="shared" si="245"/>
        <v>-0.25821380520119858</v>
      </c>
      <c r="F8726" s="2">
        <v>2023</v>
      </c>
      <c r="G8726" s="23" t="s">
        <v>902</v>
      </c>
      <c r="H8726" s="2" t="s">
        <v>748</v>
      </c>
      <c r="I8726" s="14" t="s">
        <v>191</v>
      </c>
      <c r="J8726" s="23" t="s">
        <v>395</v>
      </c>
      <c r="K8726" s="23" t="s">
        <v>600</v>
      </c>
      <c r="L8726" s="23" t="s">
        <v>820</v>
      </c>
      <c r="M8726" s="2" t="s">
        <v>825</v>
      </c>
      <c r="N8726" s="6" t="s">
        <v>828</v>
      </c>
    </row>
    <row r="8727" spans="1:14" ht="15" customHeight="1" x14ac:dyDescent="0.2">
      <c r="A8727" s="22">
        <v>-0.2606955621795411</v>
      </c>
      <c r="B8727" s="22"/>
      <c r="C8727" s="2" t="s">
        <v>891</v>
      </c>
      <c r="D8727" s="2">
        <f t="shared" si="245"/>
        <v>-0.2606955621795411</v>
      </c>
      <c r="F8727" s="2">
        <v>2023</v>
      </c>
      <c r="G8727" s="23" t="s">
        <v>902</v>
      </c>
      <c r="H8727" s="2" t="s">
        <v>748</v>
      </c>
      <c r="I8727" s="14" t="s">
        <v>191</v>
      </c>
      <c r="J8727" s="23" t="s">
        <v>432</v>
      </c>
      <c r="K8727" s="23" t="s">
        <v>637</v>
      </c>
      <c r="L8727" s="23" t="s">
        <v>820</v>
      </c>
      <c r="M8727" s="2" t="s">
        <v>825</v>
      </c>
      <c r="N8727" s="6" t="s">
        <v>828</v>
      </c>
    </row>
    <row r="8728" spans="1:14" ht="15" customHeight="1" x14ac:dyDescent="0.2">
      <c r="A8728" s="22">
        <v>-0.26152714444163361</v>
      </c>
      <c r="B8728" s="22"/>
      <c r="C8728" s="2" t="s">
        <v>891</v>
      </c>
      <c r="D8728" s="2">
        <f t="shared" si="245"/>
        <v>-0.26152714444163361</v>
      </c>
      <c r="F8728" s="2">
        <v>2023</v>
      </c>
      <c r="G8728" s="23" t="s">
        <v>902</v>
      </c>
      <c r="H8728" s="2" t="s">
        <v>747</v>
      </c>
      <c r="I8728" s="14" t="s">
        <v>191</v>
      </c>
      <c r="J8728" s="23" t="s">
        <v>383</v>
      </c>
      <c r="K8728" s="23" t="s">
        <v>588</v>
      </c>
      <c r="L8728" s="23" t="s">
        <v>820</v>
      </c>
      <c r="M8728" s="2" t="s">
        <v>825</v>
      </c>
      <c r="N8728" s="6" t="s">
        <v>828</v>
      </c>
    </row>
    <row r="8729" spans="1:14" ht="15" customHeight="1" x14ac:dyDescent="0.2">
      <c r="A8729" s="22">
        <v>-0.26174047148181817</v>
      </c>
      <c r="B8729" s="22"/>
      <c r="C8729" s="2" t="s">
        <v>891</v>
      </c>
      <c r="D8729" s="2">
        <f t="shared" si="245"/>
        <v>-0.26174047148181817</v>
      </c>
      <c r="F8729" s="2">
        <v>2023</v>
      </c>
      <c r="G8729" s="23" t="s">
        <v>902</v>
      </c>
      <c r="H8729" s="2" t="s">
        <v>748</v>
      </c>
      <c r="I8729" s="14" t="s">
        <v>191</v>
      </c>
      <c r="J8729" s="23" t="s">
        <v>430</v>
      </c>
      <c r="K8729" s="23" t="s">
        <v>635</v>
      </c>
      <c r="L8729" s="23" t="s">
        <v>820</v>
      </c>
      <c r="M8729" s="2" t="s">
        <v>825</v>
      </c>
      <c r="N8729" s="6" t="s">
        <v>828</v>
      </c>
    </row>
    <row r="8730" spans="1:14" ht="15" customHeight="1" x14ac:dyDescent="0.2">
      <c r="A8730" s="22">
        <v>-0.26175906317845848</v>
      </c>
      <c r="B8730" s="22"/>
      <c r="C8730" s="2" t="s">
        <v>891</v>
      </c>
      <c r="D8730" s="2">
        <f t="shared" si="245"/>
        <v>-0.26175906317845848</v>
      </c>
      <c r="F8730" s="2">
        <v>2023</v>
      </c>
      <c r="G8730" s="23" t="s">
        <v>902</v>
      </c>
      <c r="H8730" s="2" t="s">
        <v>748</v>
      </c>
      <c r="I8730" s="14" t="s">
        <v>191</v>
      </c>
      <c r="J8730" s="23" t="s">
        <v>431</v>
      </c>
      <c r="K8730" s="23" t="s">
        <v>636</v>
      </c>
      <c r="L8730" s="23" t="s">
        <v>820</v>
      </c>
      <c r="M8730" s="2" t="s">
        <v>825</v>
      </c>
      <c r="N8730" s="6" t="s">
        <v>828</v>
      </c>
    </row>
    <row r="8731" spans="1:14" ht="15" customHeight="1" x14ac:dyDescent="0.2">
      <c r="A8731" s="22">
        <v>-0.26479292271948413</v>
      </c>
      <c r="B8731" s="22"/>
      <c r="C8731" s="2" t="s">
        <v>891</v>
      </c>
      <c r="D8731" s="2">
        <f t="shared" si="245"/>
        <v>-0.26479292271948413</v>
      </c>
      <c r="F8731" s="2">
        <v>2023</v>
      </c>
      <c r="G8731" s="23" t="s">
        <v>902</v>
      </c>
      <c r="H8731" s="2" t="s">
        <v>772</v>
      </c>
      <c r="I8731" s="14" t="s">
        <v>191</v>
      </c>
      <c r="J8731" s="23" t="s">
        <v>278</v>
      </c>
      <c r="K8731" s="23" t="s">
        <v>482</v>
      </c>
      <c r="L8731" s="23" t="s">
        <v>820</v>
      </c>
      <c r="M8731" s="2" t="s">
        <v>825</v>
      </c>
      <c r="N8731" s="6" t="s">
        <v>828</v>
      </c>
    </row>
    <row r="8732" spans="1:14" ht="15" customHeight="1" x14ac:dyDescent="0.2">
      <c r="A8732" s="22">
        <v>-0.26501484695464944</v>
      </c>
      <c r="B8732" s="22"/>
      <c r="C8732" s="2" t="s">
        <v>891</v>
      </c>
      <c r="D8732" s="2">
        <f t="shared" si="245"/>
        <v>-0.26501484695464944</v>
      </c>
      <c r="F8732" s="2">
        <v>2023</v>
      </c>
      <c r="G8732" s="23" t="s">
        <v>902</v>
      </c>
      <c r="H8732" s="2" t="s">
        <v>748</v>
      </c>
      <c r="I8732" s="14" t="s">
        <v>191</v>
      </c>
      <c r="J8732" s="23" t="s">
        <v>420</v>
      </c>
      <c r="K8732" s="23" t="s">
        <v>625</v>
      </c>
      <c r="L8732" s="23" t="s">
        <v>820</v>
      </c>
      <c r="M8732" s="2" t="s">
        <v>825</v>
      </c>
      <c r="N8732" s="6" t="s">
        <v>828</v>
      </c>
    </row>
    <row r="8733" spans="1:14" ht="15" customHeight="1" x14ac:dyDescent="0.2">
      <c r="A8733" s="22">
        <v>-0.26750145985283164</v>
      </c>
      <c r="B8733" s="22"/>
      <c r="C8733" s="2" t="s">
        <v>891</v>
      </c>
      <c r="D8733" s="2">
        <f t="shared" si="245"/>
        <v>-0.26750145985283164</v>
      </c>
      <c r="F8733" s="2">
        <v>2023</v>
      </c>
      <c r="G8733" s="23" t="s">
        <v>902</v>
      </c>
      <c r="H8733" s="2" t="s">
        <v>747</v>
      </c>
      <c r="I8733" s="14" t="s">
        <v>191</v>
      </c>
      <c r="J8733" s="23" t="s">
        <v>356</v>
      </c>
      <c r="K8733" s="23" t="s">
        <v>560</v>
      </c>
      <c r="L8733" s="23" t="s">
        <v>820</v>
      </c>
      <c r="M8733" s="2" t="s">
        <v>825</v>
      </c>
      <c r="N8733" s="6" t="s">
        <v>828</v>
      </c>
    </row>
    <row r="8734" spans="1:14" ht="15" customHeight="1" x14ac:dyDescent="0.2">
      <c r="A8734" s="22">
        <v>-0.26780948232801444</v>
      </c>
      <c r="B8734" s="22"/>
      <c r="C8734" s="2" t="s">
        <v>891</v>
      </c>
      <c r="D8734" s="2">
        <f t="shared" si="245"/>
        <v>-0.26780948232801444</v>
      </c>
      <c r="F8734" s="2">
        <v>2023</v>
      </c>
      <c r="G8734" s="23" t="s">
        <v>902</v>
      </c>
      <c r="H8734" s="2" t="s">
        <v>748</v>
      </c>
      <c r="I8734" s="14" t="s">
        <v>191</v>
      </c>
      <c r="J8734" s="23" t="s">
        <v>407</v>
      </c>
      <c r="K8734" s="23" t="s">
        <v>612</v>
      </c>
      <c r="L8734" s="23" t="s">
        <v>820</v>
      </c>
      <c r="M8734" s="2" t="s">
        <v>825</v>
      </c>
      <c r="N8734" s="6" t="s">
        <v>828</v>
      </c>
    </row>
    <row r="8735" spans="1:14" ht="15" customHeight="1" x14ac:dyDescent="0.2">
      <c r="A8735" s="22">
        <v>-0.26836000101797514</v>
      </c>
      <c r="B8735" s="22"/>
      <c r="C8735" s="2" t="s">
        <v>891</v>
      </c>
      <c r="D8735" s="2">
        <f t="shared" si="245"/>
        <v>-0.26836000101797514</v>
      </c>
      <c r="F8735" s="2">
        <v>2023</v>
      </c>
      <c r="G8735" s="23" t="s">
        <v>902</v>
      </c>
      <c r="H8735" s="2" t="s">
        <v>772</v>
      </c>
      <c r="I8735" s="14" t="s">
        <v>191</v>
      </c>
      <c r="J8735" s="23" t="s">
        <v>279</v>
      </c>
      <c r="K8735" s="23" t="s">
        <v>483</v>
      </c>
      <c r="L8735" s="23" t="s">
        <v>820</v>
      </c>
      <c r="M8735" s="2" t="s">
        <v>825</v>
      </c>
      <c r="N8735" s="6" t="s">
        <v>828</v>
      </c>
    </row>
    <row r="8736" spans="1:14" ht="15" customHeight="1" x14ac:dyDescent="0.2">
      <c r="A8736" s="22">
        <v>-0.27133799629676725</v>
      </c>
      <c r="B8736" s="22"/>
      <c r="C8736" s="2" t="s">
        <v>891</v>
      </c>
      <c r="D8736" s="2">
        <f t="shared" si="245"/>
        <v>-0.27133799629676725</v>
      </c>
      <c r="F8736" s="2">
        <v>2023</v>
      </c>
      <c r="G8736" s="23" t="s">
        <v>902</v>
      </c>
      <c r="H8736" s="2" t="s">
        <v>747</v>
      </c>
      <c r="I8736" s="14" t="s">
        <v>191</v>
      </c>
      <c r="J8736" s="23" t="s">
        <v>380</v>
      </c>
      <c r="K8736" s="23" t="s">
        <v>585</v>
      </c>
      <c r="L8736" s="23" t="s">
        <v>820</v>
      </c>
      <c r="M8736" s="2" t="s">
        <v>825</v>
      </c>
      <c r="N8736" s="6" t="s">
        <v>828</v>
      </c>
    </row>
    <row r="8737" spans="1:14" ht="15" customHeight="1" x14ac:dyDescent="0.2">
      <c r="A8737" s="22">
        <v>-0.27136466531215209</v>
      </c>
      <c r="B8737" s="22"/>
      <c r="C8737" s="2" t="s">
        <v>891</v>
      </c>
      <c r="D8737" s="2">
        <f t="shared" si="245"/>
        <v>-0.27136466531215209</v>
      </c>
      <c r="F8737" s="2">
        <v>2023</v>
      </c>
      <c r="G8737" s="23" t="s">
        <v>902</v>
      </c>
      <c r="H8737" s="2" t="s">
        <v>747</v>
      </c>
      <c r="I8737" s="14" t="s">
        <v>191</v>
      </c>
      <c r="J8737" s="23" t="s">
        <v>382</v>
      </c>
      <c r="K8737" s="23" t="s">
        <v>587</v>
      </c>
      <c r="L8737" s="23" t="s">
        <v>820</v>
      </c>
      <c r="M8737" s="2" t="s">
        <v>825</v>
      </c>
      <c r="N8737" s="6" t="s">
        <v>828</v>
      </c>
    </row>
    <row r="8738" spans="1:14" ht="15" customHeight="1" x14ac:dyDescent="0.2">
      <c r="A8738" s="22">
        <v>-0.27198698010320937</v>
      </c>
      <c r="B8738" s="22"/>
      <c r="C8738" s="2" t="s">
        <v>891</v>
      </c>
      <c r="D8738" s="2">
        <f t="shared" ref="D8738:D8744" si="246">A8738</f>
        <v>-0.27198698010320937</v>
      </c>
      <c r="F8738" s="2">
        <v>2023</v>
      </c>
      <c r="G8738" s="23" t="s">
        <v>902</v>
      </c>
      <c r="H8738" s="2" t="s">
        <v>747</v>
      </c>
      <c r="I8738" s="14" t="s">
        <v>191</v>
      </c>
      <c r="J8738" s="23" t="s">
        <v>381</v>
      </c>
      <c r="K8738" s="23" t="s">
        <v>586</v>
      </c>
      <c r="L8738" s="23" t="s">
        <v>820</v>
      </c>
      <c r="M8738" s="2" t="s">
        <v>825</v>
      </c>
      <c r="N8738" s="6" t="s">
        <v>828</v>
      </c>
    </row>
    <row r="8739" spans="1:14" ht="15" customHeight="1" x14ac:dyDescent="0.2">
      <c r="A8739" s="22">
        <v>-0.27245741613314445</v>
      </c>
      <c r="B8739" s="22"/>
      <c r="C8739" s="2" t="s">
        <v>891</v>
      </c>
      <c r="D8739" s="2">
        <f t="shared" si="246"/>
        <v>-0.27245741613314445</v>
      </c>
      <c r="F8739" s="2">
        <v>2023</v>
      </c>
      <c r="G8739" s="23" t="s">
        <v>902</v>
      </c>
      <c r="H8739" s="2" t="s">
        <v>747</v>
      </c>
      <c r="I8739" s="14" t="s">
        <v>191</v>
      </c>
      <c r="J8739" s="23" t="s">
        <v>388</v>
      </c>
      <c r="K8739" s="23" t="s">
        <v>593</v>
      </c>
      <c r="L8739" s="23" t="s">
        <v>820</v>
      </c>
      <c r="M8739" s="2" t="s">
        <v>825</v>
      </c>
      <c r="N8739" s="6" t="s">
        <v>828</v>
      </c>
    </row>
    <row r="8740" spans="1:14" ht="15" customHeight="1" x14ac:dyDescent="0.2">
      <c r="A8740" s="22">
        <v>-0.27313061163300756</v>
      </c>
      <c r="B8740" s="22"/>
      <c r="C8740" s="2" t="s">
        <v>891</v>
      </c>
      <c r="D8740" s="2">
        <f t="shared" si="246"/>
        <v>-0.27313061163300756</v>
      </c>
      <c r="F8740" s="2">
        <v>2023</v>
      </c>
      <c r="G8740" s="23" t="s">
        <v>902</v>
      </c>
      <c r="H8740" s="2" t="s">
        <v>747</v>
      </c>
      <c r="I8740" s="14" t="s">
        <v>191</v>
      </c>
      <c r="J8740" s="23" t="s">
        <v>379</v>
      </c>
      <c r="K8740" s="23" t="s">
        <v>584</v>
      </c>
      <c r="L8740" s="23" t="s">
        <v>820</v>
      </c>
      <c r="M8740" s="2" t="s">
        <v>825</v>
      </c>
      <c r="N8740" s="6" t="s">
        <v>828</v>
      </c>
    </row>
    <row r="8741" spans="1:14" ht="15" customHeight="1" x14ac:dyDescent="0.2">
      <c r="A8741" s="22">
        <v>-0.27331231098984066</v>
      </c>
      <c r="B8741" s="22"/>
      <c r="C8741" s="2" t="s">
        <v>891</v>
      </c>
      <c r="D8741" s="2">
        <f t="shared" si="246"/>
        <v>-0.27331231098984066</v>
      </c>
      <c r="F8741" s="2">
        <v>2023</v>
      </c>
      <c r="G8741" s="23" t="s">
        <v>902</v>
      </c>
      <c r="H8741" s="2" t="s">
        <v>747</v>
      </c>
      <c r="I8741" s="14" t="s">
        <v>191</v>
      </c>
      <c r="J8741" s="23" t="s">
        <v>378</v>
      </c>
      <c r="K8741" s="23" t="s">
        <v>583</v>
      </c>
      <c r="L8741" s="23" t="s">
        <v>820</v>
      </c>
      <c r="M8741" s="2" t="s">
        <v>825</v>
      </c>
      <c r="N8741" s="6" t="s">
        <v>828</v>
      </c>
    </row>
    <row r="8742" spans="1:14" ht="15" customHeight="1" x14ac:dyDescent="0.2">
      <c r="A8742" s="22">
        <v>-0.27371870609567994</v>
      </c>
      <c r="B8742" s="22"/>
      <c r="C8742" s="2" t="s">
        <v>891</v>
      </c>
      <c r="D8742" s="2">
        <f t="shared" si="246"/>
        <v>-0.27371870609567994</v>
      </c>
      <c r="F8742" s="2">
        <v>2023</v>
      </c>
      <c r="G8742" s="23" t="s">
        <v>902</v>
      </c>
      <c r="H8742" s="2" t="s">
        <v>747</v>
      </c>
      <c r="I8742" s="14" t="s">
        <v>191</v>
      </c>
      <c r="J8742" s="23" t="s">
        <v>387</v>
      </c>
      <c r="K8742" s="23" t="s">
        <v>592</v>
      </c>
      <c r="L8742" s="23" t="s">
        <v>820</v>
      </c>
      <c r="M8742" s="2" t="s">
        <v>825</v>
      </c>
      <c r="N8742" s="6" t="s">
        <v>828</v>
      </c>
    </row>
    <row r="8743" spans="1:14" ht="15" customHeight="1" x14ac:dyDescent="0.2">
      <c r="A8743" s="22">
        <v>-0.2800689738948734</v>
      </c>
      <c r="B8743" s="22"/>
      <c r="C8743" s="2" t="s">
        <v>891</v>
      </c>
      <c r="D8743" s="2">
        <f t="shared" si="246"/>
        <v>-0.2800689738948734</v>
      </c>
      <c r="F8743" s="2">
        <v>2023</v>
      </c>
      <c r="G8743" s="23" t="s">
        <v>902</v>
      </c>
      <c r="H8743" s="2" t="s">
        <v>747</v>
      </c>
      <c r="I8743" s="14" t="s">
        <v>191</v>
      </c>
      <c r="J8743" s="23" t="s">
        <v>354</v>
      </c>
      <c r="K8743" s="23" t="s">
        <v>558</v>
      </c>
      <c r="L8743" s="23" t="s">
        <v>820</v>
      </c>
      <c r="M8743" s="2" t="s">
        <v>825</v>
      </c>
      <c r="N8743" s="6" t="s">
        <v>828</v>
      </c>
    </row>
    <row r="8744" spans="1:14" ht="15" customHeight="1" x14ac:dyDescent="0.2">
      <c r="A8744" s="22">
        <v>-0.28479470424086961</v>
      </c>
      <c r="B8744" s="22"/>
      <c r="C8744" s="2" t="s">
        <v>891</v>
      </c>
      <c r="D8744" s="2">
        <f t="shared" si="246"/>
        <v>-0.28479470424086961</v>
      </c>
      <c r="F8744" s="2">
        <v>2023</v>
      </c>
      <c r="G8744" s="23" t="s">
        <v>902</v>
      </c>
      <c r="H8744" s="2" t="s">
        <v>747</v>
      </c>
      <c r="I8744" s="14" t="s">
        <v>191</v>
      </c>
      <c r="J8744" s="23" t="s">
        <v>374</v>
      </c>
      <c r="K8744" s="23" t="s">
        <v>578</v>
      </c>
      <c r="L8744" s="23" t="s">
        <v>820</v>
      </c>
      <c r="M8744" s="2" t="s">
        <v>825</v>
      </c>
      <c r="N8744" s="6" t="s">
        <v>828</v>
      </c>
    </row>
    <row r="8745" spans="1:14" ht="15" customHeight="1" x14ac:dyDescent="0.2">
      <c r="A8745" s="31">
        <v>-5.2977823156473002E-4</v>
      </c>
      <c r="B8745" s="31"/>
      <c r="C8745" s="2" t="s">
        <v>892</v>
      </c>
      <c r="D8745" s="2">
        <f>A8745 * 545.45</f>
        <v>-0.28896753640698203</v>
      </c>
      <c r="F8745" s="2">
        <v>2020</v>
      </c>
      <c r="G8745" s="38" t="s">
        <v>901</v>
      </c>
      <c r="H8745" s="2" t="s">
        <v>741</v>
      </c>
      <c r="I8745" s="31" t="s">
        <v>256</v>
      </c>
      <c r="J8745" s="31">
        <v>54.371099999999998</v>
      </c>
      <c r="K8745" s="31">
        <v>13.2446</v>
      </c>
      <c r="L8745" s="2" t="s">
        <v>28</v>
      </c>
      <c r="M8745" s="2" t="s">
        <v>824</v>
      </c>
      <c r="N8745" s="17" t="s">
        <v>906</v>
      </c>
    </row>
    <row r="8746" spans="1:14" ht="15" customHeight="1" x14ac:dyDescent="0.2">
      <c r="A8746" s="22">
        <v>-0.29044506860243346</v>
      </c>
      <c r="B8746" s="22"/>
      <c r="C8746" s="2" t="s">
        <v>891</v>
      </c>
      <c r="D8746" s="2">
        <f>A8746</f>
        <v>-0.29044506860243346</v>
      </c>
      <c r="F8746" s="2">
        <v>2023</v>
      </c>
      <c r="G8746" s="23" t="s">
        <v>902</v>
      </c>
      <c r="H8746" s="2" t="s">
        <v>747</v>
      </c>
      <c r="I8746" s="14" t="s">
        <v>191</v>
      </c>
      <c r="J8746" s="23" t="s">
        <v>375</v>
      </c>
      <c r="K8746" s="23" t="s">
        <v>580</v>
      </c>
      <c r="L8746" s="23" t="s">
        <v>820</v>
      </c>
      <c r="M8746" s="2" t="s">
        <v>825</v>
      </c>
      <c r="N8746" s="6" t="s">
        <v>828</v>
      </c>
    </row>
    <row r="8747" spans="1:14" ht="15" customHeight="1" x14ac:dyDescent="0.2">
      <c r="A8747" s="22">
        <v>-0.29071254078685932</v>
      </c>
      <c r="B8747" s="22"/>
      <c r="C8747" s="2" t="s">
        <v>891</v>
      </c>
      <c r="D8747" s="2">
        <f>A8747</f>
        <v>-0.29071254078685932</v>
      </c>
      <c r="F8747" s="2">
        <v>2023</v>
      </c>
      <c r="G8747" s="23" t="s">
        <v>902</v>
      </c>
      <c r="H8747" s="2" t="s">
        <v>772</v>
      </c>
      <c r="I8747" s="14" t="s">
        <v>191</v>
      </c>
      <c r="J8747" s="23" t="s">
        <v>280</v>
      </c>
      <c r="K8747" s="23" t="s">
        <v>484</v>
      </c>
      <c r="L8747" s="23" t="s">
        <v>820</v>
      </c>
      <c r="M8747" s="2" t="s">
        <v>825</v>
      </c>
      <c r="N8747" s="6" t="s">
        <v>828</v>
      </c>
    </row>
    <row r="8748" spans="1:14" ht="15" customHeight="1" x14ac:dyDescent="0.2">
      <c r="A8748" s="22">
        <v>-0.29125818438485784</v>
      </c>
      <c r="B8748" s="22"/>
      <c r="C8748" s="2" t="s">
        <v>891</v>
      </c>
      <c r="D8748" s="2">
        <f>A8748</f>
        <v>-0.29125818438485784</v>
      </c>
      <c r="F8748" s="2">
        <v>2023</v>
      </c>
      <c r="G8748" s="23" t="s">
        <v>902</v>
      </c>
      <c r="H8748" s="2" t="s">
        <v>747</v>
      </c>
      <c r="I8748" s="14" t="s">
        <v>191</v>
      </c>
      <c r="J8748" s="23" t="s">
        <v>357</v>
      </c>
      <c r="K8748" s="23" t="s">
        <v>561</v>
      </c>
      <c r="L8748" s="23" t="s">
        <v>820</v>
      </c>
      <c r="M8748" s="2" t="s">
        <v>825</v>
      </c>
      <c r="N8748" s="6" t="s">
        <v>828</v>
      </c>
    </row>
    <row r="8749" spans="1:14" ht="15" customHeight="1" x14ac:dyDescent="0.2">
      <c r="A8749" s="22">
        <v>-0.29157864809280648</v>
      </c>
      <c r="B8749" s="22"/>
      <c r="C8749" s="2" t="s">
        <v>891</v>
      </c>
      <c r="D8749" s="2">
        <f>A8749</f>
        <v>-0.29157864809280648</v>
      </c>
      <c r="F8749" s="2">
        <v>2023</v>
      </c>
      <c r="G8749" s="23" t="s">
        <v>902</v>
      </c>
      <c r="H8749" s="2" t="s">
        <v>747</v>
      </c>
      <c r="I8749" s="14" t="s">
        <v>191</v>
      </c>
      <c r="J8749" s="23" t="s">
        <v>373</v>
      </c>
      <c r="K8749" s="23" t="s">
        <v>577</v>
      </c>
      <c r="L8749" s="23" t="s">
        <v>820</v>
      </c>
      <c r="M8749" s="2" t="s">
        <v>825</v>
      </c>
      <c r="N8749" s="6" t="s">
        <v>828</v>
      </c>
    </row>
    <row r="8750" spans="1:14" ht="15" customHeight="1" x14ac:dyDescent="0.2">
      <c r="A8750" s="22">
        <v>-0.29327191766125843</v>
      </c>
      <c r="B8750" s="22"/>
      <c r="C8750" s="2" t="s">
        <v>891</v>
      </c>
      <c r="D8750" s="2">
        <f>A8750</f>
        <v>-0.29327191766125843</v>
      </c>
      <c r="F8750" s="2">
        <v>2023</v>
      </c>
      <c r="G8750" s="23" t="s">
        <v>902</v>
      </c>
      <c r="H8750" s="2" t="s">
        <v>747</v>
      </c>
      <c r="I8750" s="14" t="s">
        <v>191</v>
      </c>
      <c r="J8750" s="23" t="s">
        <v>355</v>
      </c>
      <c r="K8750" s="23" t="s">
        <v>559</v>
      </c>
      <c r="L8750" s="23" t="s">
        <v>820</v>
      </c>
      <c r="M8750" s="2" t="s">
        <v>825</v>
      </c>
      <c r="N8750" s="6" t="s">
        <v>828</v>
      </c>
    </row>
    <row r="8751" spans="1:14" ht="15" customHeight="1" x14ac:dyDescent="0.2">
      <c r="A8751" s="31">
        <v>-5.4619116204955998E-4</v>
      </c>
      <c r="B8751" s="31"/>
      <c r="C8751" s="2" t="s">
        <v>892</v>
      </c>
      <c r="D8751" s="2">
        <f>A8751 * 545.45</f>
        <v>-0.29791996933993253</v>
      </c>
      <c r="F8751" s="2">
        <v>2020</v>
      </c>
      <c r="G8751" s="38" t="s">
        <v>901</v>
      </c>
      <c r="H8751" s="2" t="s">
        <v>752</v>
      </c>
      <c r="I8751" s="31" t="s">
        <v>268</v>
      </c>
      <c r="J8751" s="31" t="s">
        <v>822</v>
      </c>
      <c r="K8751" s="31" t="s">
        <v>822</v>
      </c>
      <c r="L8751" s="2" t="s">
        <v>28</v>
      </c>
      <c r="M8751" s="2" t="s">
        <v>824</v>
      </c>
      <c r="N8751" s="17" t="s">
        <v>906</v>
      </c>
    </row>
    <row r="8752" spans="1:14" ht="15" customHeight="1" x14ac:dyDescent="0.2">
      <c r="A8752" s="22">
        <v>-0.29902240173469091</v>
      </c>
      <c r="B8752" s="22"/>
      <c r="C8752" s="2" t="s">
        <v>891</v>
      </c>
      <c r="D8752" s="2">
        <f t="shared" ref="D8752:D8784" si="247">A8752</f>
        <v>-0.29902240173469091</v>
      </c>
      <c r="F8752" s="2">
        <v>2023</v>
      </c>
      <c r="G8752" s="23" t="s">
        <v>902</v>
      </c>
      <c r="H8752" s="2" t="s">
        <v>747</v>
      </c>
      <c r="I8752" s="14" t="s">
        <v>191</v>
      </c>
      <c r="J8752" s="23" t="s">
        <v>377</v>
      </c>
      <c r="K8752" s="23" t="s">
        <v>582</v>
      </c>
      <c r="L8752" s="23" t="s">
        <v>820</v>
      </c>
      <c r="M8752" s="2" t="s">
        <v>825</v>
      </c>
      <c r="N8752" s="6" t="s">
        <v>828</v>
      </c>
    </row>
    <row r="8753" spans="1:14" ht="15" customHeight="1" x14ac:dyDescent="0.2">
      <c r="A8753" s="22">
        <v>-0.30021995111680255</v>
      </c>
      <c r="B8753" s="22"/>
      <c r="C8753" s="2" t="s">
        <v>891</v>
      </c>
      <c r="D8753" s="2">
        <f t="shared" si="247"/>
        <v>-0.30021995111680255</v>
      </c>
      <c r="F8753" s="2">
        <v>2023</v>
      </c>
      <c r="G8753" s="23" t="s">
        <v>902</v>
      </c>
      <c r="H8753" s="2" t="s">
        <v>747</v>
      </c>
      <c r="I8753" s="14" t="s">
        <v>191</v>
      </c>
      <c r="J8753" s="23" t="s">
        <v>361</v>
      </c>
      <c r="K8753" s="23" t="s">
        <v>579</v>
      </c>
      <c r="L8753" s="23" t="s">
        <v>820</v>
      </c>
      <c r="M8753" s="2" t="s">
        <v>825</v>
      </c>
      <c r="N8753" s="6" t="s">
        <v>828</v>
      </c>
    </row>
    <row r="8754" spans="1:14" ht="15" customHeight="1" x14ac:dyDescent="0.2">
      <c r="A8754" s="22">
        <v>-0.30578437137631204</v>
      </c>
      <c r="B8754" s="22"/>
      <c r="C8754" s="2" t="s">
        <v>891</v>
      </c>
      <c r="D8754" s="2">
        <f t="shared" si="247"/>
        <v>-0.30578437137631204</v>
      </c>
      <c r="F8754" s="2">
        <v>2023</v>
      </c>
      <c r="G8754" s="23" t="s">
        <v>902</v>
      </c>
      <c r="H8754" s="2" t="s">
        <v>747</v>
      </c>
      <c r="I8754" s="14" t="s">
        <v>191</v>
      </c>
      <c r="J8754" s="23" t="s">
        <v>376</v>
      </c>
      <c r="K8754" s="23" t="s">
        <v>581</v>
      </c>
      <c r="L8754" s="23" t="s">
        <v>820</v>
      </c>
      <c r="M8754" s="2" t="s">
        <v>825</v>
      </c>
      <c r="N8754" s="6" t="s">
        <v>828</v>
      </c>
    </row>
    <row r="8755" spans="1:14" ht="15" customHeight="1" x14ac:dyDescent="0.2">
      <c r="A8755" s="22">
        <v>-0.30932565910052245</v>
      </c>
      <c r="B8755" s="22"/>
      <c r="C8755" s="2" t="s">
        <v>891</v>
      </c>
      <c r="D8755" s="2">
        <f t="shared" si="247"/>
        <v>-0.30932565910052245</v>
      </c>
      <c r="F8755" s="2">
        <v>2023</v>
      </c>
      <c r="G8755" s="23" t="s">
        <v>902</v>
      </c>
      <c r="H8755" s="2" t="s">
        <v>747</v>
      </c>
      <c r="I8755" s="14" t="s">
        <v>191</v>
      </c>
      <c r="J8755" s="23" t="s">
        <v>366</v>
      </c>
      <c r="K8755" s="23" t="s">
        <v>570</v>
      </c>
      <c r="L8755" s="23" t="s">
        <v>820</v>
      </c>
      <c r="M8755" s="2" t="s">
        <v>825</v>
      </c>
      <c r="N8755" s="6" t="s">
        <v>828</v>
      </c>
    </row>
    <row r="8756" spans="1:14" ht="15" customHeight="1" x14ac:dyDescent="0.2">
      <c r="A8756" s="22">
        <v>-0.31551333567018169</v>
      </c>
      <c r="B8756" s="22"/>
      <c r="C8756" s="2" t="s">
        <v>891</v>
      </c>
      <c r="D8756" s="2">
        <f t="shared" si="247"/>
        <v>-0.31551333567018169</v>
      </c>
      <c r="F8756" s="2">
        <v>2023</v>
      </c>
      <c r="G8756" s="23" t="s">
        <v>902</v>
      </c>
      <c r="H8756" s="2" t="s">
        <v>747</v>
      </c>
      <c r="I8756" s="14" t="s">
        <v>191</v>
      </c>
      <c r="J8756" s="23" t="s">
        <v>359</v>
      </c>
      <c r="K8756" s="23" t="s">
        <v>563</v>
      </c>
      <c r="L8756" s="23" t="s">
        <v>820</v>
      </c>
      <c r="M8756" s="2" t="s">
        <v>825</v>
      </c>
      <c r="N8756" s="6" t="s">
        <v>828</v>
      </c>
    </row>
    <row r="8757" spans="1:14" ht="15" customHeight="1" x14ac:dyDescent="0.2">
      <c r="A8757" s="22">
        <v>-0.31644524630529086</v>
      </c>
      <c r="B8757" s="22"/>
      <c r="C8757" s="2" t="s">
        <v>891</v>
      </c>
      <c r="D8757" s="2">
        <f t="shared" si="247"/>
        <v>-0.31644524630529086</v>
      </c>
      <c r="F8757" s="2">
        <v>2023</v>
      </c>
      <c r="G8757" s="23" t="s">
        <v>902</v>
      </c>
      <c r="H8757" s="2" t="s">
        <v>747</v>
      </c>
      <c r="I8757" s="14" t="s">
        <v>191</v>
      </c>
      <c r="J8757" s="23" t="s">
        <v>365</v>
      </c>
      <c r="K8757" s="23" t="s">
        <v>569</v>
      </c>
      <c r="L8757" s="23" t="s">
        <v>820</v>
      </c>
      <c r="M8757" s="2" t="s">
        <v>825</v>
      </c>
      <c r="N8757" s="6" t="s">
        <v>828</v>
      </c>
    </row>
    <row r="8758" spans="1:14" ht="15" customHeight="1" x14ac:dyDescent="0.2">
      <c r="A8758" s="22">
        <v>-0.31870923933450462</v>
      </c>
      <c r="B8758" s="22"/>
      <c r="C8758" s="2" t="s">
        <v>891</v>
      </c>
      <c r="D8758" s="2">
        <f t="shared" si="247"/>
        <v>-0.31870923933450462</v>
      </c>
      <c r="F8758" s="2">
        <v>2023</v>
      </c>
      <c r="G8758" s="23" t="s">
        <v>902</v>
      </c>
      <c r="H8758" s="2" t="s">
        <v>772</v>
      </c>
      <c r="I8758" s="14" t="s">
        <v>191</v>
      </c>
      <c r="J8758" s="23" t="s">
        <v>281</v>
      </c>
      <c r="K8758" s="23" t="s">
        <v>485</v>
      </c>
      <c r="L8758" s="23" t="s">
        <v>820</v>
      </c>
      <c r="M8758" s="2" t="s">
        <v>825</v>
      </c>
      <c r="N8758" s="6" t="s">
        <v>828</v>
      </c>
    </row>
    <row r="8759" spans="1:14" ht="15" customHeight="1" x14ac:dyDescent="0.2">
      <c r="A8759" s="22">
        <v>-0.32096084282821163</v>
      </c>
      <c r="B8759" s="22"/>
      <c r="C8759" s="2" t="s">
        <v>891</v>
      </c>
      <c r="D8759" s="2">
        <f t="shared" si="247"/>
        <v>-0.32096084282821163</v>
      </c>
      <c r="F8759" s="2">
        <v>2023</v>
      </c>
      <c r="G8759" s="23" t="s">
        <v>902</v>
      </c>
      <c r="H8759" s="2" t="s">
        <v>747</v>
      </c>
      <c r="I8759" s="14" t="s">
        <v>191</v>
      </c>
      <c r="J8759" s="23" t="s">
        <v>367</v>
      </c>
      <c r="K8759" s="23" t="s">
        <v>571</v>
      </c>
      <c r="L8759" s="23" t="s">
        <v>820</v>
      </c>
      <c r="M8759" s="2" t="s">
        <v>825</v>
      </c>
      <c r="N8759" s="6" t="s">
        <v>828</v>
      </c>
    </row>
    <row r="8760" spans="1:14" ht="15" customHeight="1" x14ac:dyDescent="0.2">
      <c r="A8760" s="22">
        <v>-0.32372027300252226</v>
      </c>
      <c r="B8760" s="22"/>
      <c r="C8760" s="2" t="s">
        <v>891</v>
      </c>
      <c r="D8760" s="2">
        <f t="shared" si="247"/>
        <v>-0.32372027300252226</v>
      </c>
      <c r="F8760" s="2">
        <v>2023</v>
      </c>
      <c r="G8760" s="23" t="s">
        <v>902</v>
      </c>
      <c r="H8760" s="2" t="s">
        <v>747</v>
      </c>
      <c r="I8760" s="14" t="s">
        <v>191</v>
      </c>
      <c r="J8760" s="23" t="s">
        <v>364</v>
      </c>
      <c r="K8760" s="23" t="s">
        <v>568</v>
      </c>
      <c r="L8760" s="23" t="s">
        <v>820</v>
      </c>
      <c r="M8760" s="2" t="s">
        <v>825</v>
      </c>
      <c r="N8760" s="6" t="s">
        <v>828</v>
      </c>
    </row>
    <row r="8761" spans="1:14" ht="15" customHeight="1" x14ac:dyDescent="0.2">
      <c r="A8761" s="22">
        <v>-0.32391929788596346</v>
      </c>
      <c r="B8761" s="22"/>
      <c r="C8761" s="2" t="s">
        <v>891</v>
      </c>
      <c r="D8761" s="2">
        <f t="shared" si="247"/>
        <v>-0.32391929788596346</v>
      </c>
      <c r="F8761" s="2">
        <v>2023</v>
      </c>
      <c r="G8761" s="23" t="s">
        <v>902</v>
      </c>
      <c r="H8761" s="2" t="s">
        <v>747</v>
      </c>
      <c r="I8761" s="14" t="s">
        <v>191</v>
      </c>
      <c r="J8761" s="23" t="s">
        <v>372</v>
      </c>
      <c r="K8761" s="23" t="s">
        <v>576</v>
      </c>
      <c r="L8761" s="23" t="s">
        <v>820</v>
      </c>
      <c r="M8761" s="2" t="s">
        <v>825</v>
      </c>
      <c r="N8761" s="6" t="s">
        <v>828</v>
      </c>
    </row>
    <row r="8762" spans="1:14" ht="15" customHeight="1" x14ac:dyDescent="0.2">
      <c r="A8762" s="22">
        <v>-0.32439060951674986</v>
      </c>
      <c r="B8762" s="22"/>
      <c r="C8762" s="2" t="s">
        <v>891</v>
      </c>
      <c r="D8762" s="2">
        <f t="shared" si="247"/>
        <v>-0.32439060951674986</v>
      </c>
      <c r="F8762" s="2">
        <v>2023</v>
      </c>
      <c r="G8762" s="23" t="s">
        <v>902</v>
      </c>
      <c r="H8762" s="2" t="s">
        <v>747</v>
      </c>
      <c r="I8762" s="14" t="s">
        <v>191</v>
      </c>
      <c r="J8762" s="23" t="s">
        <v>358</v>
      </c>
      <c r="K8762" s="23" t="s">
        <v>562</v>
      </c>
      <c r="L8762" s="23" t="s">
        <v>820</v>
      </c>
      <c r="M8762" s="2" t="s">
        <v>825</v>
      </c>
      <c r="N8762" s="6" t="s">
        <v>828</v>
      </c>
    </row>
    <row r="8763" spans="1:14" ht="15" customHeight="1" x14ac:dyDescent="0.2">
      <c r="A8763" s="22">
        <v>-0.32999011073200502</v>
      </c>
      <c r="B8763" s="22"/>
      <c r="C8763" s="2" t="s">
        <v>891</v>
      </c>
      <c r="D8763" s="2">
        <f t="shared" si="247"/>
        <v>-0.32999011073200502</v>
      </c>
      <c r="F8763" s="2">
        <v>2023</v>
      </c>
      <c r="G8763" s="23" t="s">
        <v>902</v>
      </c>
      <c r="H8763" s="2" t="s">
        <v>747</v>
      </c>
      <c r="I8763" s="14" t="s">
        <v>191</v>
      </c>
      <c r="J8763" s="23" t="s">
        <v>363</v>
      </c>
      <c r="K8763" s="23" t="s">
        <v>567</v>
      </c>
      <c r="L8763" s="23" t="s">
        <v>820</v>
      </c>
      <c r="M8763" s="2" t="s">
        <v>825</v>
      </c>
      <c r="N8763" s="6" t="s">
        <v>828</v>
      </c>
    </row>
    <row r="8764" spans="1:14" ht="15" customHeight="1" x14ac:dyDescent="0.2">
      <c r="A8764" s="22">
        <v>-0.33498224064450172</v>
      </c>
      <c r="B8764" s="22"/>
      <c r="C8764" s="2" t="s">
        <v>891</v>
      </c>
      <c r="D8764" s="2">
        <f t="shared" si="247"/>
        <v>-0.33498224064450172</v>
      </c>
      <c r="F8764" s="2">
        <v>2023</v>
      </c>
      <c r="G8764" s="23" t="s">
        <v>902</v>
      </c>
      <c r="H8764" s="2" t="s">
        <v>747</v>
      </c>
      <c r="I8764" s="14" t="s">
        <v>191</v>
      </c>
      <c r="J8764" s="23" t="s">
        <v>368</v>
      </c>
      <c r="K8764" s="23" t="s">
        <v>572</v>
      </c>
      <c r="L8764" s="23" t="s">
        <v>820</v>
      </c>
      <c r="M8764" s="2" t="s">
        <v>825</v>
      </c>
      <c r="N8764" s="6" t="s">
        <v>828</v>
      </c>
    </row>
    <row r="8765" spans="1:14" ht="15" customHeight="1" x14ac:dyDescent="0.2">
      <c r="A8765" s="22">
        <v>-0.33673761460918122</v>
      </c>
      <c r="B8765" s="22"/>
      <c r="C8765" s="2" t="s">
        <v>891</v>
      </c>
      <c r="D8765" s="2">
        <f t="shared" si="247"/>
        <v>-0.33673761460918122</v>
      </c>
      <c r="F8765" s="2">
        <v>2023</v>
      </c>
      <c r="G8765" s="23" t="s">
        <v>902</v>
      </c>
      <c r="H8765" s="2" t="s">
        <v>747</v>
      </c>
      <c r="I8765" s="14" t="s">
        <v>191</v>
      </c>
      <c r="J8765" s="23" t="s">
        <v>362</v>
      </c>
      <c r="K8765" s="23" t="s">
        <v>566</v>
      </c>
      <c r="L8765" s="23" t="s">
        <v>820</v>
      </c>
      <c r="M8765" s="2" t="s">
        <v>825</v>
      </c>
      <c r="N8765" s="6" t="s">
        <v>828</v>
      </c>
    </row>
    <row r="8766" spans="1:14" ht="15" customHeight="1" x14ac:dyDescent="0.2">
      <c r="A8766" s="22">
        <v>-0.34570845819167983</v>
      </c>
      <c r="B8766" s="22"/>
      <c r="C8766" s="2" t="s">
        <v>891</v>
      </c>
      <c r="D8766" s="2">
        <f t="shared" si="247"/>
        <v>-0.34570845819167983</v>
      </c>
      <c r="F8766" s="2">
        <v>2023</v>
      </c>
      <c r="G8766" s="23" t="s">
        <v>902</v>
      </c>
      <c r="H8766" s="2" t="s">
        <v>747</v>
      </c>
      <c r="I8766" s="14" t="s">
        <v>191</v>
      </c>
      <c r="J8766" s="23" t="s">
        <v>349</v>
      </c>
      <c r="K8766" s="23" t="s">
        <v>553</v>
      </c>
      <c r="L8766" s="23" t="s">
        <v>820</v>
      </c>
      <c r="M8766" s="2" t="s">
        <v>825</v>
      </c>
      <c r="N8766" s="6" t="s">
        <v>828</v>
      </c>
    </row>
    <row r="8767" spans="1:14" ht="15" customHeight="1" x14ac:dyDescent="0.2">
      <c r="A8767" s="22">
        <v>-0.34904769356056986</v>
      </c>
      <c r="B8767" s="22"/>
      <c r="C8767" s="2" t="s">
        <v>891</v>
      </c>
      <c r="D8767" s="2">
        <f t="shared" si="247"/>
        <v>-0.34904769356056986</v>
      </c>
      <c r="F8767" s="2">
        <v>2023</v>
      </c>
      <c r="G8767" s="23" t="s">
        <v>902</v>
      </c>
      <c r="H8767" s="2" t="s">
        <v>747</v>
      </c>
      <c r="I8767" s="14" t="s">
        <v>191</v>
      </c>
      <c r="J8767" s="23" t="s">
        <v>361</v>
      </c>
      <c r="K8767" s="23" t="s">
        <v>565</v>
      </c>
      <c r="L8767" s="23" t="s">
        <v>820</v>
      </c>
      <c r="M8767" s="2" t="s">
        <v>825</v>
      </c>
      <c r="N8767" s="6" t="s">
        <v>828</v>
      </c>
    </row>
    <row r="8768" spans="1:14" ht="15" customHeight="1" x14ac:dyDescent="0.2">
      <c r="A8768" s="22">
        <v>-0.34972304780380187</v>
      </c>
      <c r="B8768" s="22"/>
      <c r="C8768" s="2" t="s">
        <v>891</v>
      </c>
      <c r="D8768" s="2">
        <f t="shared" si="247"/>
        <v>-0.34972304780380187</v>
      </c>
      <c r="F8768" s="2">
        <v>2023</v>
      </c>
      <c r="G8768" s="23" t="s">
        <v>902</v>
      </c>
      <c r="H8768" s="2" t="s">
        <v>747</v>
      </c>
      <c r="I8768" s="14" t="s">
        <v>191</v>
      </c>
      <c r="J8768" s="23" t="s">
        <v>360</v>
      </c>
      <c r="K8768" s="23" t="s">
        <v>564</v>
      </c>
      <c r="L8768" s="23" t="s">
        <v>820</v>
      </c>
      <c r="M8768" s="2" t="s">
        <v>825</v>
      </c>
      <c r="N8768" s="6" t="s">
        <v>828</v>
      </c>
    </row>
    <row r="8769" spans="1:14" ht="15" customHeight="1" x14ac:dyDescent="0.2">
      <c r="A8769" s="22">
        <v>-0.35252369247168802</v>
      </c>
      <c r="B8769" s="22"/>
      <c r="C8769" s="2" t="s">
        <v>891</v>
      </c>
      <c r="D8769" s="2">
        <f t="shared" si="247"/>
        <v>-0.35252369247168802</v>
      </c>
      <c r="F8769" s="2">
        <v>2023</v>
      </c>
      <c r="G8769" s="23" t="s">
        <v>902</v>
      </c>
      <c r="H8769" s="2" t="s">
        <v>747</v>
      </c>
      <c r="I8769" s="14" t="s">
        <v>191</v>
      </c>
      <c r="J8769" s="23" t="s">
        <v>370</v>
      </c>
      <c r="K8769" s="23" t="s">
        <v>574</v>
      </c>
      <c r="L8769" s="23" t="s">
        <v>820</v>
      </c>
      <c r="M8769" s="2" t="s">
        <v>825</v>
      </c>
      <c r="N8769" s="6" t="s">
        <v>828</v>
      </c>
    </row>
    <row r="8770" spans="1:14" ht="15" customHeight="1" x14ac:dyDescent="0.2">
      <c r="A8770" s="22">
        <v>-0.36035365175044004</v>
      </c>
      <c r="B8770" s="22"/>
      <c r="C8770" s="2" t="s">
        <v>891</v>
      </c>
      <c r="D8770" s="2">
        <f t="shared" si="247"/>
        <v>-0.36035365175044004</v>
      </c>
      <c r="F8770" s="2">
        <v>2023</v>
      </c>
      <c r="G8770" s="23" t="s">
        <v>902</v>
      </c>
      <c r="H8770" s="2" t="s">
        <v>747</v>
      </c>
      <c r="I8770" s="14" t="s">
        <v>191</v>
      </c>
      <c r="J8770" s="23" t="s">
        <v>348</v>
      </c>
      <c r="K8770" s="23" t="s">
        <v>552</v>
      </c>
      <c r="L8770" s="23" t="s">
        <v>820</v>
      </c>
      <c r="M8770" s="2" t="s">
        <v>825</v>
      </c>
      <c r="N8770" s="6" t="s">
        <v>828</v>
      </c>
    </row>
    <row r="8771" spans="1:14" ht="15" customHeight="1" x14ac:dyDescent="0.2">
      <c r="A8771" s="22">
        <v>-0.36078513053661027</v>
      </c>
      <c r="B8771" s="22"/>
      <c r="C8771" s="2" t="s">
        <v>891</v>
      </c>
      <c r="D8771" s="2">
        <f t="shared" si="247"/>
        <v>-0.36078513053661027</v>
      </c>
      <c r="F8771" s="2">
        <v>2023</v>
      </c>
      <c r="G8771" s="23" t="s">
        <v>902</v>
      </c>
      <c r="H8771" s="2" t="s">
        <v>747</v>
      </c>
      <c r="I8771" s="14" t="s">
        <v>191</v>
      </c>
      <c r="J8771" s="23" t="s">
        <v>371</v>
      </c>
      <c r="K8771" s="23" t="s">
        <v>575</v>
      </c>
      <c r="L8771" s="23" t="s">
        <v>820</v>
      </c>
      <c r="M8771" s="2" t="s">
        <v>825</v>
      </c>
      <c r="N8771" s="6" t="s">
        <v>828</v>
      </c>
    </row>
    <row r="8772" spans="1:14" ht="15" customHeight="1" x14ac:dyDescent="0.2">
      <c r="A8772" s="22">
        <v>-0.36890903533510466</v>
      </c>
      <c r="B8772" s="22"/>
      <c r="C8772" s="2" t="s">
        <v>891</v>
      </c>
      <c r="D8772" s="2">
        <f t="shared" si="247"/>
        <v>-0.36890903533510466</v>
      </c>
      <c r="F8772" s="2">
        <v>2023</v>
      </c>
      <c r="G8772" s="23" t="s">
        <v>902</v>
      </c>
      <c r="H8772" s="2" t="s">
        <v>772</v>
      </c>
      <c r="I8772" s="14" t="s">
        <v>191</v>
      </c>
      <c r="J8772" s="23" t="s">
        <v>295</v>
      </c>
      <c r="K8772" s="23" t="s">
        <v>499</v>
      </c>
      <c r="L8772" s="23" t="s">
        <v>820</v>
      </c>
      <c r="M8772" s="2" t="s">
        <v>825</v>
      </c>
      <c r="N8772" s="6" t="s">
        <v>828</v>
      </c>
    </row>
    <row r="8773" spans="1:14" ht="15" customHeight="1" x14ac:dyDescent="0.2">
      <c r="A8773" s="22">
        <v>-0.3756522365816079</v>
      </c>
      <c r="B8773" s="22"/>
      <c r="C8773" s="2" t="s">
        <v>891</v>
      </c>
      <c r="D8773" s="2">
        <f t="shared" si="247"/>
        <v>-0.3756522365816079</v>
      </c>
      <c r="F8773" s="2">
        <v>2023</v>
      </c>
      <c r="G8773" s="23" t="s">
        <v>902</v>
      </c>
      <c r="H8773" s="2" t="s">
        <v>747</v>
      </c>
      <c r="I8773" s="14" t="s">
        <v>191</v>
      </c>
      <c r="J8773" s="23" t="s">
        <v>350</v>
      </c>
      <c r="K8773" s="23" t="s">
        <v>554</v>
      </c>
      <c r="L8773" s="23" t="s">
        <v>820</v>
      </c>
      <c r="M8773" s="2" t="s">
        <v>825</v>
      </c>
      <c r="N8773" s="6" t="s">
        <v>828</v>
      </c>
    </row>
    <row r="8774" spans="1:14" ht="15" customHeight="1" x14ac:dyDescent="0.2">
      <c r="A8774" s="22">
        <v>-0.38118588819128479</v>
      </c>
      <c r="B8774" s="22"/>
      <c r="C8774" s="2" t="s">
        <v>891</v>
      </c>
      <c r="D8774" s="2">
        <f t="shared" si="247"/>
        <v>-0.38118588819128479</v>
      </c>
      <c r="F8774" s="2">
        <v>2023</v>
      </c>
      <c r="G8774" s="23" t="s">
        <v>902</v>
      </c>
      <c r="H8774" s="2" t="s">
        <v>747</v>
      </c>
      <c r="I8774" s="14" t="s">
        <v>191</v>
      </c>
      <c r="J8774" s="23" t="s">
        <v>369</v>
      </c>
      <c r="K8774" s="23" t="s">
        <v>573</v>
      </c>
      <c r="L8774" s="23" t="s">
        <v>820</v>
      </c>
      <c r="M8774" s="2" t="s">
        <v>825</v>
      </c>
      <c r="N8774" s="6" t="s">
        <v>828</v>
      </c>
    </row>
    <row r="8775" spans="1:14" ht="15" customHeight="1" x14ac:dyDescent="0.2">
      <c r="A8775" s="22">
        <v>-0.38697242754302441</v>
      </c>
      <c r="B8775" s="22"/>
      <c r="C8775" s="2" t="s">
        <v>891</v>
      </c>
      <c r="D8775" s="2">
        <f t="shared" si="247"/>
        <v>-0.38697242754302441</v>
      </c>
      <c r="F8775" s="2">
        <v>2023</v>
      </c>
      <c r="G8775" s="23" t="s">
        <v>902</v>
      </c>
      <c r="H8775" s="2" t="s">
        <v>747</v>
      </c>
      <c r="I8775" s="14" t="s">
        <v>191</v>
      </c>
      <c r="J8775" s="23" t="s">
        <v>351</v>
      </c>
      <c r="K8775" s="23" t="s">
        <v>555</v>
      </c>
      <c r="L8775" s="23" t="s">
        <v>820</v>
      </c>
      <c r="M8775" s="2" t="s">
        <v>825</v>
      </c>
      <c r="N8775" s="6" t="s">
        <v>828</v>
      </c>
    </row>
    <row r="8776" spans="1:14" ht="15" customHeight="1" x14ac:dyDescent="0.2">
      <c r="A8776" s="22">
        <v>-0.39730014092968696</v>
      </c>
      <c r="B8776" s="22"/>
      <c r="C8776" s="2" t="s">
        <v>891</v>
      </c>
      <c r="D8776" s="2">
        <f t="shared" si="247"/>
        <v>-0.39730014092968696</v>
      </c>
      <c r="F8776" s="2">
        <v>2023</v>
      </c>
      <c r="G8776" s="23" t="s">
        <v>902</v>
      </c>
      <c r="H8776" s="2" t="s">
        <v>747</v>
      </c>
      <c r="I8776" s="14" t="s">
        <v>191</v>
      </c>
      <c r="J8776" s="23" t="s">
        <v>353</v>
      </c>
      <c r="K8776" s="23" t="s">
        <v>557</v>
      </c>
      <c r="L8776" s="23" t="s">
        <v>820</v>
      </c>
      <c r="M8776" s="2" t="s">
        <v>825</v>
      </c>
      <c r="N8776" s="6" t="s">
        <v>828</v>
      </c>
    </row>
    <row r="8777" spans="1:14" ht="15" customHeight="1" x14ac:dyDescent="0.2">
      <c r="A8777" s="22">
        <v>-0.42605499867842517</v>
      </c>
      <c r="B8777" s="22"/>
      <c r="C8777" s="2" t="s">
        <v>891</v>
      </c>
      <c r="D8777" s="2">
        <f t="shared" si="247"/>
        <v>-0.42605499867842517</v>
      </c>
      <c r="F8777" s="2">
        <v>2023</v>
      </c>
      <c r="G8777" s="23" t="s">
        <v>902</v>
      </c>
      <c r="H8777" s="2" t="s">
        <v>747</v>
      </c>
      <c r="I8777" s="14" t="s">
        <v>191</v>
      </c>
      <c r="J8777" s="23" t="s">
        <v>352</v>
      </c>
      <c r="K8777" s="23" t="s">
        <v>556</v>
      </c>
      <c r="L8777" s="23" t="s">
        <v>820</v>
      </c>
      <c r="M8777" s="2" t="s">
        <v>825</v>
      </c>
      <c r="N8777" s="6" t="s">
        <v>828</v>
      </c>
    </row>
    <row r="8778" spans="1:14" ht="15" customHeight="1" x14ac:dyDescent="0.2">
      <c r="A8778" s="22">
        <v>-0.42901252559416736</v>
      </c>
      <c r="B8778" s="22"/>
      <c r="C8778" s="2" t="s">
        <v>891</v>
      </c>
      <c r="D8778" s="2">
        <f t="shared" si="247"/>
        <v>-0.42901252559416736</v>
      </c>
      <c r="F8778" s="2">
        <v>2023</v>
      </c>
      <c r="G8778" s="23" t="s">
        <v>902</v>
      </c>
      <c r="H8778" s="2" t="s">
        <v>772</v>
      </c>
      <c r="I8778" s="14" t="s">
        <v>191</v>
      </c>
      <c r="J8778" s="23" t="s">
        <v>282</v>
      </c>
      <c r="K8778" s="23" t="s">
        <v>486</v>
      </c>
      <c r="L8778" s="23" t="s">
        <v>820</v>
      </c>
      <c r="M8778" s="2" t="s">
        <v>825</v>
      </c>
      <c r="N8778" s="6" t="s">
        <v>828</v>
      </c>
    </row>
    <row r="8779" spans="1:14" ht="15" customHeight="1" x14ac:dyDescent="0.2">
      <c r="A8779" s="22">
        <v>-0.43309526317493535</v>
      </c>
      <c r="B8779" s="22"/>
      <c r="C8779" s="2" t="s">
        <v>891</v>
      </c>
      <c r="D8779" s="2">
        <f t="shared" si="247"/>
        <v>-0.43309526317493535</v>
      </c>
      <c r="F8779" s="2">
        <v>2023</v>
      </c>
      <c r="G8779" s="23" t="s">
        <v>902</v>
      </c>
      <c r="H8779" s="2" t="s">
        <v>772</v>
      </c>
      <c r="I8779" s="14" t="s">
        <v>191</v>
      </c>
      <c r="J8779" s="23" t="s">
        <v>297</v>
      </c>
      <c r="K8779" s="23" t="s">
        <v>501</v>
      </c>
      <c r="L8779" s="23" t="s">
        <v>820</v>
      </c>
      <c r="M8779" s="2" t="s">
        <v>825</v>
      </c>
      <c r="N8779" s="6" t="s">
        <v>828</v>
      </c>
    </row>
    <row r="8780" spans="1:14" ht="15" customHeight="1" x14ac:dyDescent="0.2">
      <c r="A8780" s="22">
        <v>-0.43967233085987373</v>
      </c>
      <c r="B8780" s="22"/>
      <c r="C8780" s="2" t="s">
        <v>891</v>
      </c>
      <c r="D8780" s="2">
        <f t="shared" si="247"/>
        <v>-0.43967233085987373</v>
      </c>
      <c r="F8780" s="2">
        <v>2023</v>
      </c>
      <c r="G8780" s="23" t="s">
        <v>902</v>
      </c>
      <c r="H8780" s="2" t="s">
        <v>772</v>
      </c>
      <c r="I8780" s="14" t="s">
        <v>191</v>
      </c>
      <c r="J8780" s="23" t="s">
        <v>298</v>
      </c>
      <c r="K8780" s="23" t="s">
        <v>502</v>
      </c>
      <c r="L8780" s="23" t="s">
        <v>820</v>
      </c>
      <c r="M8780" s="2" t="s">
        <v>825</v>
      </c>
      <c r="N8780" s="6" t="s">
        <v>828</v>
      </c>
    </row>
    <row r="8781" spans="1:14" ht="15" customHeight="1" x14ac:dyDescent="0.2">
      <c r="A8781" s="22">
        <v>-0.45847393979176237</v>
      </c>
      <c r="B8781" s="22"/>
      <c r="C8781" s="2" t="s">
        <v>891</v>
      </c>
      <c r="D8781" s="2">
        <f t="shared" si="247"/>
        <v>-0.45847393979176237</v>
      </c>
      <c r="F8781" s="2">
        <v>2023</v>
      </c>
      <c r="G8781" s="23" t="s">
        <v>902</v>
      </c>
      <c r="H8781" s="2" t="s">
        <v>772</v>
      </c>
      <c r="I8781" s="14" t="s">
        <v>191</v>
      </c>
      <c r="J8781" s="23" t="s">
        <v>296</v>
      </c>
      <c r="K8781" s="23" t="s">
        <v>500</v>
      </c>
      <c r="L8781" s="23" t="s">
        <v>820</v>
      </c>
      <c r="M8781" s="2" t="s">
        <v>825</v>
      </c>
      <c r="N8781" s="6" t="s">
        <v>828</v>
      </c>
    </row>
    <row r="8782" spans="1:14" ht="15" customHeight="1" x14ac:dyDescent="0.2">
      <c r="A8782" s="22">
        <v>-0.49623987536668418</v>
      </c>
      <c r="B8782" s="22"/>
      <c r="C8782" s="2" t="s">
        <v>891</v>
      </c>
      <c r="D8782" s="2">
        <f t="shared" si="247"/>
        <v>-0.49623987536668418</v>
      </c>
      <c r="F8782" s="2">
        <v>2023</v>
      </c>
      <c r="G8782" s="23" t="s">
        <v>902</v>
      </c>
      <c r="H8782" s="2" t="s">
        <v>772</v>
      </c>
      <c r="I8782" s="14" t="s">
        <v>191</v>
      </c>
      <c r="J8782" s="23" t="s">
        <v>283</v>
      </c>
      <c r="K8782" s="23" t="s">
        <v>487</v>
      </c>
      <c r="L8782" s="23" t="s">
        <v>820</v>
      </c>
      <c r="M8782" s="2" t="s">
        <v>825</v>
      </c>
      <c r="N8782" s="6" t="s">
        <v>828</v>
      </c>
    </row>
    <row r="8783" spans="1:14" ht="15" customHeight="1" x14ac:dyDescent="0.2">
      <c r="A8783" s="22">
        <v>-0.50775082527507898</v>
      </c>
      <c r="B8783" s="22"/>
      <c r="C8783" s="2" t="s">
        <v>891</v>
      </c>
      <c r="D8783" s="2">
        <f t="shared" si="247"/>
        <v>-0.50775082527507898</v>
      </c>
      <c r="F8783" s="2">
        <v>2023</v>
      </c>
      <c r="G8783" s="23" t="s">
        <v>902</v>
      </c>
      <c r="H8783" s="2" t="s">
        <v>772</v>
      </c>
      <c r="I8783" s="14" t="s">
        <v>191</v>
      </c>
      <c r="J8783" s="23" t="s">
        <v>290</v>
      </c>
      <c r="K8783" s="23" t="s">
        <v>494</v>
      </c>
      <c r="L8783" s="23" t="s">
        <v>820</v>
      </c>
      <c r="M8783" s="2" t="s">
        <v>825</v>
      </c>
      <c r="N8783" s="6" t="s">
        <v>828</v>
      </c>
    </row>
    <row r="8784" spans="1:14" ht="15" customHeight="1" x14ac:dyDescent="0.2">
      <c r="A8784" s="22">
        <v>-0.51132014528627923</v>
      </c>
      <c r="B8784" s="22"/>
      <c r="C8784" s="2" t="s">
        <v>891</v>
      </c>
      <c r="D8784" s="2">
        <f t="shared" si="247"/>
        <v>-0.51132014528627923</v>
      </c>
      <c r="F8784" s="2">
        <v>2023</v>
      </c>
      <c r="G8784" s="23" t="s">
        <v>902</v>
      </c>
      <c r="H8784" s="2" t="s">
        <v>772</v>
      </c>
      <c r="I8784" s="14" t="s">
        <v>191</v>
      </c>
      <c r="J8784" s="23" t="s">
        <v>299</v>
      </c>
      <c r="K8784" s="23" t="s">
        <v>503</v>
      </c>
      <c r="L8784" s="23" t="s">
        <v>820</v>
      </c>
      <c r="M8784" s="2" t="s">
        <v>825</v>
      </c>
      <c r="N8784" s="6" t="s">
        <v>828</v>
      </c>
    </row>
    <row r="8785" spans="1:14" ht="15" customHeight="1" x14ac:dyDescent="0.2">
      <c r="A8785" s="31">
        <v>-9.5810481188286995E-4</v>
      </c>
      <c r="B8785" s="31"/>
      <c r="C8785" s="2" t="s">
        <v>892</v>
      </c>
      <c r="D8785" s="2">
        <f>A8785 * 545.45</f>
        <v>-0.52259826964151146</v>
      </c>
      <c r="F8785" s="2">
        <v>2020</v>
      </c>
      <c r="G8785" s="38" t="s">
        <v>901</v>
      </c>
      <c r="H8785" s="2" t="s">
        <v>741</v>
      </c>
      <c r="I8785" s="31" t="s">
        <v>259</v>
      </c>
      <c r="J8785" s="31">
        <v>54.373600000000003</v>
      </c>
      <c r="K8785" s="31">
        <v>13.239800000000001</v>
      </c>
      <c r="L8785" s="2" t="s">
        <v>28</v>
      </c>
      <c r="M8785" s="2" t="s">
        <v>824</v>
      </c>
      <c r="N8785" s="17" t="s">
        <v>906</v>
      </c>
    </row>
    <row r="8786" spans="1:14" ht="15" customHeight="1" x14ac:dyDescent="0.2">
      <c r="A8786" s="10">
        <v>-0.56000000000000005</v>
      </c>
      <c r="B8786" s="10">
        <v>0.20699200000000001</v>
      </c>
      <c r="C8786" s="2" t="s">
        <v>891</v>
      </c>
      <c r="D8786" s="2">
        <f>A8786</f>
        <v>-0.56000000000000005</v>
      </c>
      <c r="E8786" s="2">
        <f>B8786</f>
        <v>0.20699200000000001</v>
      </c>
      <c r="F8786" s="2">
        <v>2022</v>
      </c>
      <c r="G8786" s="2" t="s">
        <v>902</v>
      </c>
      <c r="H8786" s="5" t="s">
        <v>71</v>
      </c>
      <c r="I8786" s="2" t="s">
        <v>164</v>
      </c>
      <c r="J8786" s="2">
        <v>54.479700000000001</v>
      </c>
      <c r="K8786" s="2">
        <v>19.779800000000002</v>
      </c>
      <c r="L8786" s="2" t="s">
        <v>809</v>
      </c>
      <c r="M8786" s="2" t="s">
        <v>171</v>
      </c>
      <c r="N8786" s="11" t="s">
        <v>166</v>
      </c>
    </row>
    <row r="8787" spans="1:14" ht="15" customHeight="1" x14ac:dyDescent="0.2">
      <c r="A8787" s="22">
        <v>-0.57710705384349736</v>
      </c>
      <c r="B8787" s="22"/>
      <c r="C8787" s="2" t="s">
        <v>891</v>
      </c>
      <c r="D8787" s="2">
        <f t="shared" ref="D8787:D8794" si="248">A8787</f>
        <v>-0.57710705384349736</v>
      </c>
      <c r="F8787" s="2">
        <v>2023</v>
      </c>
      <c r="G8787" s="23" t="s">
        <v>902</v>
      </c>
      <c r="H8787" s="2" t="s">
        <v>772</v>
      </c>
      <c r="I8787" s="14" t="s">
        <v>191</v>
      </c>
      <c r="J8787" s="23" t="s">
        <v>285</v>
      </c>
      <c r="K8787" s="23" t="s">
        <v>489</v>
      </c>
      <c r="L8787" s="23" t="s">
        <v>820</v>
      </c>
      <c r="M8787" s="2" t="s">
        <v>825</v>
      </c>
      <c r="N8787" s="6" t="s">
        <v>828</v>
      </c>
    </row>
    <row r="8788" spans="1:14" ht="15" customHeight="1" x14ac:dyDescent="0.2">
      <c r="A8788" s="22">
        <v>-0.59476543264084769</v>
      </c>
      <c r="B8788" s="22"/>
      <c r="C8788" s="2" t="s">
        <v>891</v>
      </c>
      <c r="D8788" s="2">
        <f t="shared" si="248"/>
        <v>-0.59476543264084769</v>
      </c>
      <c r="F8788" s="2">
        <v>2023</v>
      </c>
      <c r="G8788" s="23" t="s">
        <v>902</v>
      </c>
      <c r="H8788" s="2" t="s">
        <v>772</v>
      </c>
      <c r="I8788" s="14" t="s">
        <v>191</v>
      </c>
      <c r="J8788" s="23" t="s">
        <v>289</v>
      </c>
      <c r="K8788" s="23" t="s">
        <v>493</v>
      </c>
      <c r="L8788" s="23" t="s">
        <v>820</v>
      </c>
      <c r="M8788" s="2" t="s">
        <v>825</v>
      </c>
      <c r="N8788" s="6" t="s">
        <v>828</v>
      </c>
    </row>
    <row r="8789" spans="1:14" ht="15" customHeight="1" x14ac:dyDescent="0.2">
      <c r="A8789" s="22">
        <v>-0.6255549757633011</v>
      </c>
      <c r="B8789" s="22"/>
      <c r="C8789" s="2" t="s">
        <v>891</v>
      </c>
      <c r="D8789" s="2">
        <f t="shared" si="248"/>
        <v>-0.6255549757633011</v>
      </c>
      <c r="F8789" s="2">
        <v>2023</v>
      </c>
      <c r="G8789" s="23" t="s">
        <v>902</v>
      </c>
      <c r="H8789" s="2" t="s">
        <v>772</v>
      </c>
      <c r="I8789" s="14" t="s">
        <v>191</v>
      </c>
      <c r="J8789" s="23" t="s">
        <v>288</v>
      </c>
      <c r="K8789" s="23" t="s">
        <v>492</v>
      </c>
      <c r="L8789" s="23" t="s">
        <v>820</v>
      </c>
      <c r="M8789" s="2" t="s">
        <v>825</v>
      </c>
      <c r="N8789" s="6" t="s">
        <v>828</v>
      </c>
    </row>
    <row r="8790" spans="1:14" ht="15" customHeight="1" x14ac:dyDescent="0.2">
      <c r="A8790" s="22">
        <v>-0.64338875377665583</v>
      </c>
      <c r="B8790" s="22"/>
      <c r="C8790" s="2" t="s">
        <v>891</v>
      </c>
      <c r="D8790" s="2">
        <f t="shared" si="248"/>
        <v>-0.64338875377665583</v>
      </c>
      <c r="F8790" s="2">
        <v>2023</v>
      </c>
      <c r="G8790" s="23" t="s">
        <v>902</v>
      </c>
      <c r="H8790" s="2" t="s">
        <v>772</v>
      </c>
      <c r="I8790" s="14" t="s">
        <v>191</v>
      </c>
      <c r="J8790" s="23" t="s">
        <v>284</v>
      </c>
      <c r="K8790" s="23" t="s">
        <v>488</v>
      </c>
      <c r="L8790" s="23" t="s">
        <v>820</v>
      </c>
      <c r="M8790" s="2" t="s">
        <v>825</v>
      </c>
      <c r="N8790" s="6" t="s">
        <v>828</v>
      </c>
    </row>
    <row r="8791" spans="1:14" ht="15" customHeight="1" x14ac:dyDescent="0.2">
      <c r="A8791" s="22">
        <v>-0.67834929162018309</v>
      </c>
      <c r="B8791" s="22"/>
      <c r="C8791" s="2" t="s">
        <v>891</v>
      </c>
      <c r="D8791" s="2">
        <f t="shared" si="248"/>
        <v>-0.67834929162018309</v>
      </c>
      <c r="F8791" s="2">
        <v>2023</v>
      </c>
      <c r="G8791" s="23" t="s">
        <v>902</v>
      </c>
      <c r="H8791" s="2" t="s">
        <v>772</v>
      </c>
      <c r="I8791" s="14" t="s">
        <v>191</v>
      </c>
      <c r="J8791" s="23" t="s">
        <v>287</v>
      </c>
      <c r="K8791" s="23" t="s">
        <v>491</v>
      </c>
      <c r="L8791" s="23" t="s">
        <v>820</v>
      </c>
      <c r="M8791" s="2" t="s">
        <v>825</v>
      </c>
      <c r="N8791" s="6" t="s">
        <v>828</v>
      </c>
    </row>
    <row r="8792" spans="1:14" ht="15" customHeight="1" x14ac:dyDescent="0.2">
      <c r="A8792" s="22">
        <v>-0.68565757025668606</v>
      </c>
      <c r="B8792" s="22"/>
      <c r="C8792" s="2" t="s">
        <v>891</v>
      </c>
      <c r="D8792" s="2">
        <f t="shared" si="248"/>
        <v>-0.68565757025668606</v>
      </c>
      <c r="F8792" s="2">
        <v>2023</v>
      </c>
      <c r="G8792" s="23" t="s">
        <v>902</v>
      </c>
      <c r="H8792" s="2" t="s">
        <v>772</v>
      </c>
      <c r="I8792" s="14" t="s">
        <v>191</v>
      </c>
      <c r="J8792" s="23" t="s">
        <v>286</v>
      </c>
      <c r="K8792" s="23" t="s">
        <v>490</v>
      </c>
      <c r="L8792" s="23" t="s">
        <v>820</v>
      </c>
      <c r="M8792" s="2" t="s">
        <v>825</v>
      </c>
      <c r="N8792" s="6" t="s">
        <v>828</v>
      </c>
    </row>
    <row r="8793" spans="1:14" ht="15" customHeight="1" x14ac:dyDescent="0.2">
      <c r="A8793" s="10">
        <v>-0.71</v>
      </c>
      <c r="B8793" s="10">
        <v>0.35978900000000003</v>
      </c>
      <c r="C8793" s="2" t="s">
        <v>891</v>
      </c>
      <c r="D8793" s="2">
        <f t="shared" si="248"/>
        <v>-0.71</v>
      </c>
      <c r="E8793" s="2">
        <f>B8793</f>
        <v>0.35978900000000003</v>
      </c>
      <c r="F8793" s="2">
        <v>2022</v>
      </c>
      <c r="G8793" s="2" t="s">
        <v>902</v>
      </c>
      <c r="H8793" s="5" t="s">
        <v>71</v>
      </c>
      <c r="I8793" s="2" t="s">
        <v>165</v>
      </c>
      <c r="J8793" s="2">
        <v>53.818300000000001</v>
      </c>
      <c r="K8793" s="2">
        <v>14.1328</v>
      </c>
      <c r="L8793" s="2" t="s">
        <v>809</v>
      </c>
      <c r="M8793" s="2" t="s">
        <v>172</v>
      </c>
      <c r="N8793" s="11" t="s">
        <v>166</v>
      </c>
    </row>
    <row r="8794" spans="1:14" ht="15" customHeight="1" x14ac:dyDescent="0.2">
      <c r="A8794" s="10">
        <v>-0.71</v>
      </c>
      <c r="B8794" s="10">
        <v>9.3517000000000003E-2</v>
      </c>
      <c r="C8794" s="2" t="s">
        <v>891</v>
      </c>
      <c r="D8794" s="2">
        <f t="shared" si="248"/>
        <v>-0.71</v>
      </c>
      <c r="E8794" s="2">
        <f>B8794</f>
        <v>9.3517000000000003E-2</v>
      </c>
      <c r="F8794" s="2">
        <v>2022</v>
      </c>
      <c r="G8794" s="2" t="s">
        <v>902</v>
      </c>
      <c r="H8794" s="5" t="s">
        <v>71</v>
      </c>
      <c r="I8794" s="2" t="s">
        <v>165</v>
      </c>
      <c r="J8794" s="2">
        <v>53.818300000000001</v>
      </c>
      <c r="K8794" s="2">
        <v>14.1328</v>
      </c>
      <c r="L8794" s="2" t="s">
        <v>809</v>
      </c>
      <c r="M8794" s="2" t="s">
        <v>173</v>
      </c>
      <c r="N8794" s="11" t="s">
        <v>166</v>
      </c>
    </row>
    <row r="8795" spans="1:14" ht="15" customHeight="1" x14ac:dyDescent="0.2">
      <c r="A8795" s="31">
        <v>-1.40683164697515E-3</v>
      </c>
      <c r="B8795" s="31"/>
      <c r="C8795" s="2" t="s">
        <v>892</v>
      </c>
      <c r="D8795" s="2">
        <f>A8795 * 545.45</f>
        <v>-0.76735632184259561</v>
      </c>
      <c r="F8795" s="2">
        <v>2020</v>
      </c>
      <c r="G8795" s="38" t="s">
        <v>901</v>
      </c>
      <c r="H8795" s="2" t="s">
        <v>751</v>
      </c>
      <c r="I8795" s="31" t="s">
        <v>262</v>
      </c>
      <c r="J8795" s="31" t="s">
        <v>822</v>
      </c>
      <c r="K8795" s="31" t="s">
        <v>822</v>
      </c>
      <c r="L8795" s="2" t="s">
        <v>28</v>
      </c>
      <c r="M8795" s="2" t="s">
        <v>824</v>
      </c>
      <c r="N8795" s="17" t="s">
        <v>906</v>
      </c>
    </row>
    <row r="8796" spans="1:14" ht="15" customHeight="1" x14ac:dyDescent="0.25">
      <c r="A8796" s="2">
        <v>-64</v>
      </c>
      <c r="C8796" s="2" t="s">
        <v>248</v>
      </c>
      <c r="D8796" s="2">
        <f>A8796 * 0.012</f>
        <v>-0.76800000000000002</v>
      </c>
      <c r="F8796" s="2">
        <v>1995</v>
      </c>
      <c r="G8796" s="38" t="s">
        <v>902</v>
      </c>
      <c r="H8796" s="2" t="s">
        <v>128</v>
      </c>
      <c r="I8796" s="2" t="s">
        <v>251</v>
      </c>
      <c r="J8796" s="2">
        <v>51.816099999999999</v>
      </c>
      <c r="K8796" s="2">
        <v>1.0214000000000001</v>
      </c>
      <c r="L8796" s="2" t="s">
        <v>255</v>
      </c>
      <c r="M8796" s="2" t="s">
        <v>823</v>
      </c>
      <c r="N8796" s="36" t="s">
        <v>887</v>
      </c>
    </row>
    <row r="8797" spans="1:14" ht="15" customHeight="1" x14ac:dyDescent="0.2">
      <c r="A8797" s="31">
        <v>-1.4206563057957201E-3</v>
      </c>
      <c r="B8797" s="31"/>
      <c r="C8797" s="2" t="s">
        <v>892</v>
      </c>
      <c r="D8797" s="2">
        <f>A8797 * 545.45</f>
        <v>-0.77489698199627555</v>
      </c>
      <c r="F8797" s="2">
        <v>2020</v>
      </c>
      <c r="G8797" s="38" t="s">
        <v>901</v>
      </c>
      <c r="H8797" s="2" t="s">
        <v>740</v>
      </c>
      <c r="I8797" s="31" t="s">
        <v>260</v>
      </c>
      <c r="J8797" s="31">
        <v>54.372</v>
      </c>
      <c r="K8797" s="31">
        <v>13.241300000000001</v>
      </c>
      <c r="L8797" s="2" t="s">
        <v>28</v>
      </c>
      <c r="M8797" s="2" t="s">
        <v>824</v>
      </c>
      <c r="N8797" s="17" t="s">
        <v>906</v>
      </c>
    </row>
    <row r="8798" spans="1:14" ht="15" customHeight="1" x14ac:dyDescent="0.2">
      <c r="A8798" s="31">
        <v>-1.4346218648573E-3</v>
      </c>
      <c r="B8798" s="31"/>
      <c r="C8798" s="2" t="s">
        <v>892</v>
      </c>
      <c r="D8798" s="2">
        <f>A8798 * 545.45</f>
        <v>-0.78251449618641433</v>
      </c>
      <c r="F8798" s="2">
        <v>2020</v>
      </c>
      <c r="G8798" s="38" t="s">
        <v>901</v>
      </c>
      <c r="H8798" s="2" t="s">
        <v>742</v>
      </c>
      <c r="I8798" s="31" t="s">
        <v>256</v>
      </c>
      <c r="J8798" s="31">
        <v>54.371099999999998</v>
      </c>
      <c r="K8798" s="31">
        <v>13.2446</v>
      </c>
      <c r="L8798" s="2" t="s">
        <v>28</v>
      </c>
      <c r="M8798" s="2" t="s">
        <v>824</v>
      </c>
      <c r="N8798" s="17" t="s">
        <v>906</v>
      </c>
    </row>
    <row r="8799" spans="1:14" ht="15" customHeight="1" x14ac:dyDescent="0.2">
      <c r="A8799" s="31">
        <v>-1.48221598014662E-3</v>
      </c>
      <c r="B8799" s="31"/>
      <c r="C8799" s="2" t="s">
        <v>892</v>
      </c>
      <c r="D8799" s="2">
        <f>A8799 * 545.45</f>
        <v>-0.80847470637097396</v>
      </c>
      <c r="F8799" s="2">
        <v>2020</v>
      </c>
      <c r="G8799" s="38" t="s">
        <v>901</v>
      </c>
      <c r="H8799" s="2" t="s">
        <v>750</v>
      </c>
      <c r="I8799" s="31" t="s">
        <v>260</v>
      </c>
      <c r="J8799" s="31">
        <v>54.372</v>
      </c>
      <c r="K8799" s="31">
        <v>13.241300000000001</v>
      </c>
      <c r="L8799" s="2" t="s">
        <v>28</v>
      </c>
      <c r="M8799" s="2" t="s">
        <v>824</v>
      </c>
      <c r="N8799" s="17" t="s">
        <v>906</v>
      </c>
    </row>
    <row r="8800" spans="1:14" ht="15" customHeight="1" x14ac:dyDescent="0.25">
      <c r="A8800" s="2">
        <v>-70</v>
      </c>
      <c r="C8800" s="2" t="s">
        <v>248</v>
      </c>
      <c r="D8800" s="2">
        <f>A8800 * 0.012</f>
        <v>-0.84</v>
      </c>
      <c r="F8800" s="2">
        <v>1994</v>
      </c>
      <c r="G8800" s="38" t="s">
        <v>902</v>
      </c>
      <c r="H8800" s="2" t="s">
        <v>68</v>
      </c>
      <c r="I8800" s="2" t="s">
        <v>251</v>
      </c>
      <c r="J8800" s="2">
        <v>51.816099999999999</v>
      </c>
      <c r="K8800" s="2">
        <v>1.0214000000000001</v>
      </c>
      <c r="L8800" s="2" t="s">
        <v>255</v>
      </c>
      <c r="M8800" s="2" t="s">
        <v>823</v>
      </c>
      <c r="N8800" s="36" t="s">
        <v>887</v>
      </c>
    </row>
    <row r="8801" spans="1:14" ht="15" customHeight="1" x14ac:dyDescent="0.2">
      <c r="A8801" s="31">
        <v>-1.5595526021248E-3</v>
      </c>
      <c r="B8801" s="31"/>
      <c r="C8801" s="2" t="s">
        <v>892</v>
      </c>
      <c r="D8801" s="2">
        <f t="shared" ref="D8801:D8814" si="249">A8801 * 545.45</f>
        <v>-0.85065796682897221</v>
      </c>
      <c r="F8801" s="2">
        <v>2020</v>
      </c>
      <c r="G8801" s="38" t="s">
        <v>901</v>
      </c>
      <c r="H8801" s="2" t="s">
        <v>742</v>
      </c>
      <c r="I8801" s="31" t="s">
        <v>258</v>
      </c>
      <c r="J8801" s="31">
        <v>54.371299999999998</v>
      </c>
      <c r="K8801" s="31">
        <v>13.2438</v>
      </c>
      <c r="L8801" s="2" t="s">
        <v>28</v>
      </c>
      <c r="M8801" s="2" t="s">
        <v>824</v>
      </c>
      <c r="N8801" s="17" t="s">
        <v>906</v>
      </c>
    </row>
    <row r="8802" spans="1:14" ht="15" customHeight="1" x14ac:dyDescent="0.2">
      <c r="A8802" s="31">
        <v>-1.5703544297902001E-3</v>
      </c>
      <c r="B8802" s="31"/>
      <c r="C8802" s="2" t="s">
        <v>892</v>
      </c>
      <c r="D8802" s="2">
        <f t="shared" si="249"/>
        <v>-0.85654982372906474</v>
      </c>
      <c r="F8802" s="2">
        <v>2020</v>
      </c>
      <c r="G8802" s="38" t="s">
        <v>901</v>
      </c>
      <c r="H8802" s="2" t="s">
        <v>742</v>
      </c>
      <c r="I8802" s="31" t="s">
        <v>257</v>
      </c>
      <c r="J8802" s="31">
        <v>54.372</v>
      </c>
      <c r="K8802" s="31">
        <v>13.241300000000001</v>
      </c>
      <c r="L8802" s="2" t="s">
        <v>28</v>
      </c>
      <c r="M8802" s="2" t="s">
        <v>824</v>
      </c>
      <c r="N8802" s="17" t="s">
        <v>906</v>
      </c>
    </row>
    <row r="8803" spans="1:14" ht="15" customHeight="1" x14ac:dyDescent="0.2">
      <c r="A8803" s="31">
        <v>-1.57932493105688E-3</v>
      </c>
      <c r="B8803" s="31"/>
      <c r="C8803" s="2" t="s">
        <v>892</v>
      </c>
      <c r="D8803" s="2">
        <f t="shared" si="249"/>
        <v>-0.86144278364497529</v>
      </c>
      <c r="F8803" s="2">
        <v>2020</v>
      </c>
      <c r="G8803" s="38" t="s">
        <v>901</v>
      </c>
      <c r="H8803" s="2" t="s">
        <v>742</v>
      </c>
      <c r="I8803" s="31" t="s">
        <v>269</v>
      </c>
      <c r="J8803" s="31">
        <v>54.370600000000003</v>
      </c>
      <c r="K8803" s="31">
        <v>13.2418</v>
      </c>
      <c r="L8803" s="2" t="s">
        <v>28</v>
      </c>
      <c r="M8803" s="2" t="s">
        <v>824</v>
      </c>
      <c r="N8803" s="17" t="s">
        <v>906</v>
      </c>
    </row>
    <row r="8804" spans="1:14" ht="15" customHeight="1" x14ac:dyDescent="0.2">
      <c r="A8804" s="31">
        <v>-1.58847145594639E-3</v>
      </c>
      <c r="B8804" s="31"/>
      <c r="C8804" s="2" t="s">
        <v>892</v>
      </c>
      <c r="D8804" s="2">
        <f t="shared" si="249"/>
        <v>-0.86643175564595842</v>
      </c>
      <c r="F8804" s="2">
        <v>2020</v>
      </c>
      <c r="G8804" s="38" t="s">
        <v>901</v>
      </c>
      <c r="H8804" s="2" t="s">
        <v>742</v>
      </c>
      <c r="I8804" s="31" t="s">
        <v>261</v>
      </c>
      <c r="J8804" s="31">
        <v>54.372100000000003</v>
      </c>
      <c r="K8804" s="31">
        <v>13.242699999999999</v>
      </c>
      <c r="L8804" s="2" t="s">
        <v>28</v>
      </c>
      <c r="M8804" s="2" t="s">
        <v>824</v>
      </c>
      <c r="N8804" s="17" t="s">
        <v>906</v>
      </c>
    </row>
    <row r="8805" spans="1:14" ht="15" customHeight="1" x14ac:dyDescent="0.2">
      <c r="A8805" s="31">
        <v>-1.6494669244427199E-3</v>
      </c>
      <c r="B8805" s="31"/>
      <c r="C8805" s="2" t="s">
        <v>892</v>
      </c>
      <c r="D8805" s="2">
        <f t="shared" si="249"/>
        <v>-0.89970173393728159</v>
      </c>
      <c r="F8805" s="2">
        <v>2020</v>
      </c>
      <c r="G8805" s="38" t="s">
        <v>901</v>
      </c>
      <c r="H8805" s="2" t="s">
        <v>750</v>
      </c>
      <c r="I8805" s="31" t="s">
        <v>258</v>
      </c>
      <c r="J8805" s="31">
        <v>54.371299999999998</v>
      </c>
      <c r="K8805" s="31">
        <v>13.2438</v>
      </c>
      <c r="L8805" s="2" t="s">
        <v>28</v>
      </c>
      <c r="M8805" s="2" t="s">
        <v>824</v>
      </c>
      <c r="N8805" s="17" t="s">
        <v>906</v>
      </c>
    </row>
    <row r="8806" spans="1:14" ht="15" customHeight="1" x14ac:dyDescent="0.2">
      <c r="A8806" s="31">
        <v>-2.0385248320578401E-3</v>
      </c>
      <c r="B8806" s="31"/>
      <c r="C8806" s="2" t="s">
        <v>892</v>
      </c>
      <c r="D8806" s="2">
        <f t="shared" si="249"/>
        <v>-1.1119133696459489</v>
      </c>
      <c r="F8806" s="2">
        <v>2020</v>
      </c>
      <c r="G8806" s="38" t="s">
        <v>901</v>
      </c>
      <c r="H8806" s="2" t="s">
        <v>752</v>
      </c>
      <c r="I8806" s="31" t="s">
        <v>264</v>
      </c>
      <c r="J8806" s="31" t="s">
        <v>822</v>
      </c>
      <c r="K8806" s="31" t="s">
        <v>822</v>
      </c>
      <c r="L8806" s="2" t="s">
        <v>28</v>
      </c>
      <c r="M8806" s="2" t="s">
        <v>824</v>
      </c>
      <c r="N8806" s="17" t="s">
        <v>906</v>
      </c>
    </row>
    <row r="8807" spans="1:14" ht="15" customHeight="1" x14ac:dyDescent="0.2">
      <c r="A8807" s="31">
        <v>-2.04767303994527E-3</v>
      </c>
      <c r="B8807" s="31"/>
      <c r="C8807" s="2" t="s">
        <v>892</v>
      </c>
      <c r="D8807" s="2">
        <f t="shared" si="249"/>
        <v>-1.1169032596381476</v>
      </c>
      <c r="F8807" s="2">
        <v>2020</v>
      </c>
      <c r="G8807" s="38" t="s">
        <v>901</v>
      </c>
      <c r="H8807" s="2" t="s">
        <v>742</v>
      </c>
      <c r="I8807" s="31" t="s">
        <v>260</v>
      </c>
      <c r="J8807" s="31">
        <v>54.372</v>
      </c>
      <c r="K8807" s="31">
        <v>13.241300000000001</v>
      </c>
      <c r="L8807" s="2" t="s">
        <v>28</v>
      </c>
      <c r="M8807" s="2" t="s">
        <v>824</v>
      </c>
      <c r="N8807" s="17" t="s">
        <v>906</v>
      </c>
    </row>
    <row r="8808" spans="1:14" ht="15" customHeight="1" x14ac:dyDescent="0.2">
      <c r="A8808" s="31">
        <v>-2.1313945318766699E-3</v>
      </c>
      <c r="B8808" s="31"/>
      <c r="C8808" s="2" t="s">
        <v>892</v>
      </c>
      <c r="D8808" s="2">
        <f t="shared" si="249"/>
        <v>-1.1625691474121296</v>
      </c>
      <c r="F8808" s="2">
        <v>2020</v>
      </c>
      <c r="G8808" s="38" t="s">
        <v>901</v>
      </c>
      <c r="H8808" s="2" t="s">
        <v>753</v>
      </c>
      <c r="I8808" s="31" t="s">
        <v>259</v>
      </c>
      <c r="J8808" s="31">
        <v>54.373600000000003</v>
      </c>
      <c r="K8808" s="31">
        <v>13.239800000000001</v>
      </c>
      <c r="L8808" s="2" t="s">
        <v>28</v>
      </c>
      <c r="M8808" s="2" t="s">
        <v>824</v>
      </c>
      <c r="N8808" s="17" t="s">
        <v>906</v>
      </c>
    </row>
    <row r="8809" spans="1:14" ht="15" customHeight="1" x14ac:dyDescent="0.2">
      <c r="A8809" s="31">
        <v>-2.4988328937352801E-3</v>
      </c>
      <c r="B8809" s="31"/>
      <c r="C8809" s="2" t="s">
        <v>892</v>
      </c>
      <c r="D8809" s="2">
        <f t="shared" si="249"/>
        <v>-1.3629884018879086</v>
      </c>
      <c r="F8809" s="2">
        <v>2020</v>
      </c>
      <c r="G8809" s="38" t="s">
        <v>901</v>
      </c>
      <c r="H8809" s="2" t="s">
        <v>752</v>
      </c>
      <c r="I8809" s="31" t="s">
        <v>262</v>
      </c>
      <c r="J8809" s="31" t="s">
        <v>822</v>
      </c>
      <c r="K8809" s="31" t="s">
        <v>822</v>
      </c>
      <c r="L8809" s="2" t="s">
        <v>28</v>
      </c>
      <c r="M8809" s="2" t="s">
        <v>824</v>
      </c>
      <c r="N8809" s="17" t="s">
        <v>906</v>
      </c>
    </row>
    <row r="8810" spans="1:14" ht="15" customHeight="1" x14ac:dyDescent="0.2">
      <c r="A8810" s="31">
        <v>-2.59099108334746E-3</v>
      </c>
      <c r="B8810" s="31"/>
      <c r="C8810" s="2" t="s">
        <v>892</v>
      </c>
      <c r="D8810" s="2">
        <f t="shared" si="249"/>
        <v>-1.4132560864118722</v>
      </c>
      <c r="F8810" s="2">
        <v>2020</v>
      </c>
      <c r="G8810" s="38" t="s">
        <v>901</v>
      </c>
      <c r="H8810" s="2" t="s">
        <v>750</v>
      </c>
      <c r="I8810" s="31" t="s">
        <v>256</v>
      </c>
      <c r="J8810" s="31">
        <v>54.371099999999998</v>
      </c>
      <c r="K8810" s="31">
        <v>13.2446</v>
      </c>
      <c r="L8810" s="2" t="s">
        <v>28</v>
      </c>
      <c r="M8810" s="2" t="s">
        <v>824</v>
      </c>
      <c r="N8810" s="17" t="s">
        <v>906</v>
      </c>
    </row>
    <row r="8811" spans="1:14" ht="15" customHeight="1" x14ac:dyDescent="0.2">
      <c r="A8811" s="31">
        <v>-2.6565520233821898E-3</v>
      </c>
      <c r="B8811" s="31"/>
      <c r="C8811" s="2" t="s">
        <v>892</v>
      </c>
      <c r="D8811" s="2">
        <f t="shared" si="249"/>
        <v>-1.4490163011538155</v>
      </c>
      <c r="F8811" s="2">
        <v>2020</v>
      </c>
      <c r="G8811" s="38" t="s">
        <v>901</v>
      </c>
      <c r="H8811" s="2" t="s">
        <v>752</v>
      </c>
      <c r="I8811" s="31" t="s">
        <v>263</v>
      </c>
      <c r="J8811" s="31" t="s">
        <v>822</v>
      </c>
      <c r="K8811" s="31" t="s">
        <v>822</v>
      </c>
      <c r="L8811" s="2" t="s">
        <v>28</v>
      </c>
      <c r="M8811" s="2" t="s">
        <v>824</v>
      </c>
      <c r="N8811" s="17" t="s">
        <v>906</v>
      </c>
    </row>
    <row r="8812" spans="1:14" ht="15" customHeight="1" x14ac:dyDescent="0.2">
      <c r="A8812" s="31">
        <v>-2.6929581582126002E-3</v>
      </c>
      <c r="B8812" s="31"/>
      <c r="C8812" s="2" t="s">
        <v>892</v>
      </c>
      <c r="D8812" s="2">
        <f t="shared" si="249"/>
        <v>-1.4688740273970629</v>
      </c>
      <c r="F8812" s="2">
        <v>2020</v>
      </c>
      <c r="G8812" s="38" t="s">
        <v>901</v>
      </c>
      <c r="H8812" s="2" t="s">
        <v>750</v>
      </c>
      <c r="I8812" s="31" t="s">
        <v>269</v>
      </c>
      <c r="J8812" s="31">
        <v>54.370600000000003</v>
      </c>
      <c r="K8812" s="31">
        <v>13.2418</v>
      </c>
      <c r="L8812" s="2" t="s">
        <v>28</v>
      </c>
      <c r="M8812" s="2" t="s">
        <v>824</v>
      </c>
      <c r="N8812" s="17" t="s">
        <v>906</v>
      </c>
    </row>
    <row r="8813" spans="1:14" ht="15" customHeight="1" x14ac:dyDescent="0.2">
      <c r="A8813" s="31">
        <v>-2.9756004163260501E-3</v>
      </c>
      <c r="B8813" s="31"/>
      <c r="C8813" s="2" t="s">
        <v>892</v>
      </c>
      <c r="D8813" s="2">
        <f t="shared" si="249"/>
        <v>-1.6230412470850442</v>
      </c>
      <c r="F8813" s="2">
        <v>2020</v>
      </c>
      <c r="G8813" s="38" t="s">
        <v>901</v>
      </c>
      <c r="H8813" s="2" t="s">
        <v>750</v>
      </c>
      <c r="I8813" s="31" t="s">
        <v>261</v>
      </c>
      <c r="J8813" s="31">
        <v>54.372100000000003</v>
      </c>
      <c r="K8813" s="31">
        <v>13.242699999999999</v>
      </c>
      <c r="L8813" s="2" t="s">
        <v>28</v>
      </c>
      <c r="M8813" s="2" t="s">
        <v>824</v>
      </c>
      <c r="N8813" s="17" t="s">
        <v>906</v>
      </c>
    </row>
    <row r="8814" spans="1:14" ht="15" customHeight="1" x14ac:dyDescent="0.2">
      <c r="A8814" s="31">
        <v>-3.0162718455243802E-3</v>
      </c>
      <c r="B8814" s="31"/>
      <c r="C8814" s="2" t="s">
        <v>892</v>
      </c>
      <c r="D8814" s="2">
        <f t="shared" si="249"/>
        <v>-1.6452254781412734</v>
      </c>
      <c r="F8814" s="2">
        <v>2020</v>
      </c>
      <c r="G8814" s="38" t="s">
        <v>901</v>
      </c>
      <c r="H8814" s="2" t="s">
        <v>742</v>
      </c>
      <c r="I8814" s="31" t="s">
        <v>259</v>
      </c>
      <c r="J8814" s="31">
        <v>54.373600000000003</v>
      </c>
      <c r="K8814" s="31">
        <v>13.239800000000001</v>
      </c>
      <c r="L8814" s="2" t="s">
        <v>28</v>
      </c>
      <c r="M8814" s="2" t="s">
        <v>824</v>
      </c>
      <c r="N8814" s="17" t="s">
        <v>906</v>
      </c>
    </row>
    <row r="8815" spans="1:14" ht="15" customHeight="1" x14ac:dyDescent="0.2">
      <c r="A8815" s="10">
        <v>-1.65</v>
      </c>
      <c r="B8815" s="10">
        <v>0.15739300000000001</v>
      </c>
      <c r="C8815" s="2" t="s">
        <v>891</v>
      </c>
      <c r="D8815" s="2">
        <f>A8815</f>
        <v>-1.65</v>
      </c>
      <c r="E8815" s="2">
        <f>B8815</f>
        <v>0.15739300000000001</v>
      </c>
      <c r="F8815" s="2">
        <v>2022</v>
      </c>
      <c r="G8815" s="2" t="s">
        <v>902</v>
      </c>
      <c r="H8815" s="5" t="s">
        <v>162</v>
      </c>
      <c r="I8815" s="2" t="s">
        <v>163</v>
      </c>
      <c r="J8815" s="2">
        <v>55.023600000000002</v>
      </c>
      <c r="K8815" s="2">
        <v>20.8904</v>
      </c>
      <c r="L8815" s="2" t="s">
        <v>811</v>
      </c>
      <c r="M8815" s="2" t="s">
        <v>168</v>
      </c>
      <c r="N8815" s="11" t="s">
        <v>166</v>
      </c>
    </row>
    <row r="8816" spans="1:14" ht="15" customHeight="1" x14ac:dyDescent="0.2">
      <c r="A8816" s="31">
        <v>-3.0450847643495199E-3</v>
      </c>
      <c r="B8816" s="31"/>
      <c r="C8816" s="2" t="s">
        <v>892</v>
      </c>
      <c r="D8816" s="2">
        <f>A8816 * 545.45</f>
        <v>-1.6609414847144457</v>
      </c>
      <c r="F8816" s="2">
        <v>2020</v>
      </c>
      <c r="G8816" s="38" t="s">
        <v>901</v>
      </c>
      <c r="H8816" s="2" t="s">
        <v>751</v>
      </c>
      <c r="I8816" s="31" t="s">
        <v>263</v>
      </c>
      <c r="J8816" s="31" t="s">
        <v>822</v>
      </c>
      <c r="K8816" s="31" t="s">
        <v>822</v>
      </c>
      <c r="L8816" s="2" t="s">
        <v>28</v>
      </c>
      <c r="M8816" s="2" t="s">
        <v>824</v>
      </c>
      <c r="N8816" s="17" t="s">
        <v>906</v>
      </c>
    </row>
    <row r="8817" spans="1:14" ht="15" customHeight="1" x14ac:dyDescent="0.2">
      <c r="A8817" s="31">
        <v>-3.2045655472569402E-3</v>
      </c>
      <c r="B8817" s="31"/>
      <c r="C8817" s="2" t="s">
        <v>892</v>
      </c>
      <c r="D8817" s="2">
        <f>A8817 * 545.45</f>
        <v>-1.7479302777512982</v>
      </c>
      <c r="F8817" s="2">
        <v>2020</v>
      </c>
      <c r="G8817" s="38" t="s">
        <v>901</v>
      </c>
      <c r="H8817" s="2" t="s">
        <v>751</v>
      </c>
      <c r="I8817" s="31" t="s">
        <v>264</v>
      </c>
      <c r="J8817" s="31" t="s">
        <v>822</v>
      </c>
      <c r="K8817" s="31" t="s">
        <v>822</v>
      </c>
      <c r="L8817" s="2" t="s">
        <v>28</v>
      </c>
      <c r="M8817" s="2" t="s">
        <v>824</v>
      </c>
      <c r="N8817" s="17" t="s">
        <v>906</v>
      </c>
    </row>
    <row r="8818" spans="1:14" ht="15" customHeight="1" x14ac:dyDescent="0.2">
      <c r="A8818" s="31">
        <v>-78.62</v>
      </c>
      <c r="B8818" s="31">
        <v>2.91</v>
      </c>
      <c r="C8818" s="31" t="s">
        <v>681</v>
      </c>
      <c r="D8818" s="2">
        <f>A8818 * 0.02273</f>
        <v>-1.7870326000000001</v>
      </c>
      <c r="E8818" s="2">
        <f>B8818* 0.02273</f>
        <v>6.6144300000000003E-2</v>
      </c>
      <c r="F8818" s="2">
        <v>2017</v>
      </c>
      <c r="G8818" s="23" t="s">
        <v>901</v>
      </c>
      <c r="H8818" s="2" t="s">
        <v>839</v>
      </c>
      <c r="I8818" s="31" t="s">
        <v>851</v>
      </c>
      <c r="J8818" s="31">
        <v>38.229999999999997</v>
      </c>
      <c r="K8818" s="31">
        <v>-3.97</v>
      </c>
      <c r="L8818" s="34" t="s">
        <v>82</v>
      </c>
      <c r="N8818" s="6" t="s">
        <v>853</v>
      </c>
    </row>
    <row r="8819" spans="1:14" ht="15" customHeight="1" x14ac:dyDescent="0.2">
      <c r="A8819" s="31">
        <v>-3.3166536882089401E-3</v>
      </c>
      <c r="B8819" s="31"/>
      <c r="C8819" s="2" t="s">
        <v>892</v>
      </c>
      <c r="D8819" s="2">
        <f t="shared" ref="D8819:D8831" si="250">A8819 * 545.45</f>
        <v>-1.8090687542335666</v>
      </c>
      <c r="F8819" s="2">
        <v>2020</v>
      </c>
      <c r="G8819" s="38" t="s">
        <v>901</v>
      </c>
      <c r="H8819" s="2" t="s">
        <v>751</v>
      </c>
      <c r="I8819" s="31" t="s">
        <v>267</v>
      </c>
      <c r="J8819" s="31" t="s">
        <v>822</v>
      </c>
      <c r="K8819" s="31" t="s">
        <v>822</v>
      </c>
      <c r="L8819" s="2" t="s">
        <v>28</v>
      </c>
      <c r="M8819" s="2" t="s">
        <v>824</v>
      </c>
      <c r="N8819" s="17" t="s">
        <v>906</v>
      </c>
    </row>
    <row r="8820" spans="1:14" ht="15" customHeight="1" x14ac:dyDescent="0.2">
      <c r="A8820" s="31">
        <v>-3.34010628201113E-3</v>
      </c>
      <c r="B8820" s="31"/>
      <c r="C8820" s="2" t="s">
        <v>892</v>
      </c>
      <c r="D8820" s="2">
        <f t="shared" si="250"/>
        <v>-1.821860971522971</v>
      </c>
      <c r="F8820" s="2">
        <v>2020</v>
      </c>
      <c r="G8820" s="38" t="s">
        <v>901</v>
      </c>
      <c r="H8820" s="2" t="s">
        <v>751</v>
      </c>
      <c r="I8820" s="31" t="s">
        <v>266</v>
      </c>
      <c r="J8820" s="31" t="s">
        <v>822</v>
      </c>
      <c r="K8820" s="31" t="s">
        <v>822</v>
      </c>
      <c r="L8820" s="2" t="s">
        <v>28</v>
      </c>
      <c r="M8820" s="2" t="s">
        <v>824</v>
      </c>
      <c r="N8820" s="17" t="s">
        <v>906</v>
      </c>
    </row>
    <row r="8821" spans="1:14" ht="15" customHeight="1" x14ac:dyDescent="0.2">
      <c r="A8821" s="31">
        <v>-3.4792632161045802E-3</v>
      </c>
      <c r="B8821" s="31"/>
      <c r="C8821" s="2" t="s">
        <v>892</v>
      </c>
      <c r="D8821" s="2">
        <f t="shared" si="250"/>
        <v>-1.8977641212242435</v>
      </c>
      <c r="F8821" s="2">
        <v>2020</v>
      </c>
      <c r="G8821" s="38" t="s">
        <v>901</v>
      </c>
      <c r="H8821" s="2" t="s">
        <v>752</v>
      </c>
      <c r="I8821" s="31" t="s">
        <v>265</v>
      </c>
      <c r="J8821" s="31" t="s">
        <v>822</v>
      </c>
      <c r="K8821" s="31" t="s">
        <v>822</v>
      </c>
      <c r="L8821" s="2" t="s">
        <v>28</v>
      </c>
      <c r="M8821" s="2" t="s">
        <v>824</v>
      </c>
      <c r="N8821" s="17" t="s">
        <v>906</v>
      </c>
    </row>
    <row r="8822" spans="1:14" ht="15" customHeight="1" x14ac:dyDescent="0.2">
      <c r="A8822" s="31">
        <v>-3.4943995784239902E-3</v>
      </c>
      <c r="B8822" s="31"/>
      <c r="C8822" s="2" t="s">
        <v>892</v>
      </c>
      <c r="D8822" s="2">
        <f t="shared" si="250"/>
        <v>-1.9060202500513657</v>
      </c>
      <c r="F8822" s="2">
        <v>2020</v>
      </c>
      <c r="G8822" s="38" t="s">
        <v>901</v>
      </c>
      <c r="H8822" s="2" t="s">
        <v>749</v>
      </c>
      <c r="I8822" s="31" t="s">
        <v>256</v>
      </c>
      <c r="J8822" s="31">
        <v>54.371099999999998</v>
      </c>
      <c r="K8822" s="31">
        <v>13.2446</v>
      </c>
      <c r="L8822" s="2" t="s">
        <v>28</v>
      </c>
      <c r="M8822" s="2" t="s">
        <v>824</v>
      </c>
      <c r="N8822" s="17" t="s">
        <v>906</v>
      </c>
    </row>
    <row r="8823" spans="1:14" ht="15" customHeight="1" x14ac:dyDescent="0.2">
      <c r="A8823" s="31">
        <v>-3.5616526927140001E-3</v>
      </c>
      <c r="B8823" s="31"/>
      <c r="C8823" s="2" t="s">
        <v>892</v>
      </c>
      <c r="D8823" s="2">
        <f t="shared" si="250"/>
        <v>-1.9427034612408516</v>
      </c>
      <c r="F8823" s="2">
        <v>2020</v>
      </c>
      <c r="G8823" s="38" t="s">
        <v>901</v>
      </c>
      <c r="H8823" s="2" t="s">
        <v>745</v>
      </c>
      <c r="I8823" s="31" t="s">
        <v>257</v>
      </c>
      <c r="J8823" s="31">
        <v>54.372</v>
      </c>
      <c r="K8823" s="31">
        <v>13.241300000000001</v>
      </c>
      <c r="L8823" s="2" t="s">
        <v>28</v>
      </c>
      <c r="M8823" s="2" t="s">
        <v>824</v>
      </c>
      <c r="N8823" s="17" t="s">
        <v>906</v>
      </c>
    </row>
    <row r="8824" spans="1:14" ht="15" customHeight="1" x14ac:dyDescent="0.2">
      <c r="A8824" s="31">
        <v>-3.6228933909558101E-3</v>
      </c>
      <c r="B8824" s="31"/>
      <c r="C8824" s="2" t="s">
        <v>892</v>
      </c>
      <c r="D8824" s="2">
        <f t="shared" si="250"/>
        <v>-1.9761072000968467</v>
      </c>
      <c r="F8824" s="2">
        <v>2020</v>
      </c>
      <c r="G8824" s="38" t="s">
        <v>901</v>
      </c>
      <c r="H8824" s="2" t="s">
        <v>744</v>
      </c>
      <c r="I8824" s="31" t="s">
        <v>268</v>
      </c>
      <c r="J8824" s="31" t="s">
        <v>822</v>
      </c>
      <c r="K8824" s="31" t="s">
        <v>822</v>
      </c>
      <c r="L8824" s="2" t="s">
        <v>28</v>
      </c>
      <c r="M8824" s="2" t="s">
        <v>824</v>
      </c>
      <c r="N8824" s="17" t="s">
        <v>906</v>
      </c>
    </row>
    <row r="8825" spans="1:14" ht="15" customHeight="1" x14ac:dyDescent="0.2">
      <c r="A8825" s="31">
        <v>-3.62971291317271E-3</v>
      </c>
      <c r="B8825" s="31"/>
      <c r="C8825" s="2" t="s">
        <v>892</v>
      </c>
      <c r="D8825" s="2">
        <f t="shared" si="250"/>
        <v>-1.9798269084900548</v>
      </c>
      <c r="F8825" s="2">
        <v>2020</v>
      </c>
      <c r="G8825" s="38" t="s">
        <v>901</v>
      </c>
      <c r="H8825" s="2" t="s">
        <v>756</v>
      </c>
      <c r="I8825" s="31" t="s">
        <v>259</v>
      </c>
      <c r="J8825" s="31">
        <v>54.373600000000003</v>
      </c>
      <c r="K8825" s="31">
        <v>13.239800000000001</v>
      </c>
      <c r="L8825" s="2" t="s">
        <v>28</v>
      </c>
      <c r="M8825" s="2" t="s">
        <v>824</v>
      </c>
      <c r="N8825" s="17" t="s">
        <v>906</v>
      </c>
    </row>
    <row r="8826" spans="1:14" ht="15" customHeight="1" x14ac:dyDescent="0.2">
      <c r="A8826" s="31">
        <v>-3.6383363105590601E-3</v>
      </c>
      <c r="B8826" s="31"/>
      <c r="C8826" s="2" t="s">
        <v>892</v>
      </c>
      <c r="D8826" s="2">
        <f t="shared" si="250"/>
        <v>-1.9845305405944396</v>
      </c>
      <c r="F8826" s="2">
        <v>2020</v>
      </c>
      <c r="G8826" s="38" t="s">
        <v>901</v>
      </c>
      <c r="H8826" s="2" t="s">
        <v>751</v>
      </c>
      <c r="I8826" s="31" t="s">
        <v>265</v>
      </c>
      <c r="J8826" s="31" t="s">
        <v>822</v>
      </c>
      <c r="K8826" s="31" t="s">
        <v>822</v>
      </c>
      <c r="L8826" s="2" t="s">
        <v>28</v>
      </c>
      <c r="M8826" s="2" t="s">
        <v>824</v>
      </c>
      <c r="N8826" s="17" t="s">
        <v>906</v>
      </c>
    </row>
    <row r="8827" spans="1:14" ht="15" customHeight="1" x14ac:dyDescent="0.2">
      <c r="A8827" s="31">
        <v>-3.66664930493899E-3</v>
      </c>
      <c r="B8827" s="31"/>
      <c r="C8827" s="2" t="s">
        <v>892</v>
      </c>
      <c r="D8827" s="2">
        <f t="shared" si="250"/>
        <v>-1.9999738633789723</v>
      </c>
      <c r="F8827" s="2">
        <v>2020</v>
      </c>
      <c r="G8827" s="38" t="s">
        <v>901</v>
      </c>
      <c r="H8827" s="2" t="s">
        <v>743</v>
      </c>
      <c r="I8827" s="31" t="s">
        <v>266</v>
      </c>
      <c r="J8827" s="31" t="s">
        <v>822</v>
      </c>
      <c r="K8827" s="31" t="s">
        <v>822</v>
      </c>
      <c r="L8827" s="2" t="s">
        <v>28</v>
      </c>
      <c r="M8827" s="2" t="s">
        <v>824</v>
      </c>
      <c r="N8827" s="17" t="s">
        <v>906</v>
      </c>
    </row>
    <row r="8828" spans="1:14" ht="15" customHeight="1" x14ac:dyDescent="0.2">
      <c r="A8828" s="31">
        <v>-3.9008570610919598E-3</v>
      </c>
      <c r="B8828" s="31"/>
      <c r="C8828" s="2" t="s">
        <v>892</v>
      </c>
      <c r="D8828" s="2">
        <f t="shared" si="250"/>
        <v>-2.1277224839726094</v>
      </c>
      <c r="F8828" s="2">
        <v>2020</v>
      </c>
      <c r="G8828" s="38" t="s">
        <v>901</v>
      </c>
      <c r="H8828" s="2" t="s">
        <v>744</v>
      </c>
      <c r="I8828" s="31" t="s">
        <v>264</v>
      </c>
      <c r="J8828" s="31" t="s">
        <v>822</v>
      </c>
      <c r="K8828" s="31" t="s">
        <v>822</v>
      </c>
      <c r="L8828" s="2" t="s">
        <v>28</v>
      </c>
      <c r="M8828" s="2" t="s">
        <v>824</v>
      </c>
      <c r="N8828" s="17" t="s">
        <v>906</v>
      </c>
    </row>
    <row r="8829" spans="1:14" ht="15" customHeight="1" x14ac:dyDescent="0.2">
      <c r="A8829" s="31">
        <v>-3.9402563490964103E-3</v>
      </c>
      <c r="B8829" s="31"/>
      <c r="C8829" s="2" t="s">
        <v>892</v>
      </c>
      <c r="D8829" s="2">
        <f t="shared" si="250"/>
        <v>-2.149212825614637</v>
      </c>
      <c r="F8829" s="2">
        <v>2020</v>
      </c>
      <c r="G8829" s="38" t="s">
        <v>901</v>
      </c>
      <c r="H8829" s="2" t="s">
        <v>744</v>
      </c>
      <c r="I8829" s="31" t="s">
        <v>270</v>
      </c>
      <c r="J8829" s="31" t="s">
        <v>822</v>
      </c>
      <c r="K8829" s="31" t="s">
        <v>822</v>
      </c>
      <c r="L8829" s="2" t="s">
        <v>28</v>
      </c>
      <c r="M8829" s="2" t="s">
        <v>824</v>
      </c>
      <c r="N8829" s="17" t="s">
        <v>906</v>
      </c>
    </row>
    <row r="8830" spans="1:14" ht="15" customHeight="1" x14ac:dyDescent="0.2">
      <c r="A8830" s="31">
        <v>-3.9513352678807101E-3</v>
      </c>
      <c r="B8830" s="31"/>
      <c r="C8830" s="2" t="s">
        <v>892</v>
      </c>
      <c r="D8830" s="2">
        <f t="shared" si="250"/>
        <v>-2.1552558218655333</v>
      </c>
      <c r="F8830" s="2">
        <v>2020</v>
      </c>
      <c r="G8830" s="38" t="s">
        <v>901</v>
      </c>
      <c r="H8830" s="2" t="s">
        <v>751</v>
      </c>
      <c r="I8830" s="31" t="s">
        <v>270</v>
      </c>
      <c r="J8830" s="31" t="s">
        <v>822</v>
      </c>
      <c r="K8830" s="31" t="s">
        <v>822</v>
      </c>
      <c r="L8830" s="2" t="s">
        <v>28</v>
      </c>
      <c r="M8830" s="2" t="s">
        <v>824</v>
      </c>
      <c r="N8830" s="17" t="s">
        <v>906</v>
      </c>
    </row>
    <row r="8831" spans="1:14" ht="15" customHeight="1" x14ac:dyDescent="0.2">
      <c r="A8831" s="31">
        <v>-3.9635285604174997E-3</v>
      </c>
      <c r="B8831" s="31"/>
      <c r="C8831" s="2" t="s">
        <v>892</v>
      </c>
      <c r="D8831" s="2">
        <f t="shared" si="250"/>
        <v>-2.1619066532797255</v>
      </c>
      <c r="F8831" s="2">
        <v>2020</v>
      </c>
      <c r="G8831" s="38" t="s">
        <v>901</v>
      </c>
      <c r="H8831" s="2" t="s">
        <v>744</v>
      </c>
      <c r="I8831" s="31" t="s">
        <v>265</v>
      </c>
      <c r="J8831" s="31" t="s">
        <v>822</v>
      </c>
      <c r="K8831" s="31" t="s">
        <v>822</v>
      </c>
      <c r="L8831" s="2" t="s">
        <v>28</v>
      </c>
      <c r="M8831" s="2" t="s">
        <v>824</v>
      </c>
      <c r="N8831" s="17" t="s">
        <v>906</v>
      </c>
    </row>
    <row r="8832" spans="1:14" ht="15" customHeight="1" x14ac:dyDescent="0.2">
      <c r="A8832" s="2">
        <v>-2.17</v>
      </c>
      <c r="C8832" s="2" t="s">
        <v>891</v>
      </c>
      <c r="D8832" s="2">
        <f>A8832</f>
        <v>-2.17</v>
      </c>
      <c r="F8832" s="2">
        <v>2017</v>
      </c>
      <c r="G8832" s="2" t="s">
        <v>902</v>
      </c>
      <c r="H8832" s="2" t="s">
        <v>126</v>
      </c>
      <c r="I8832" s="2" t="s">
        <v>121</v>
      </c>
      <c r="J8832" s="2">
        <v>43.361130000000003</v>
      </c>
      <c r="K8832" s="2">
        <v>-8.3644099999999995</v>
      </c>
      <c r="L8832" s="2" t="s">
        <v>82</v>
      </c>
      <c r="M8832" s="2" t="s">
        <v>122</v>
      </c>
      <c r="N8832" s="9" t="s">
        <v>123</v>
      </c>
    </row>
    <row r="8833" spans="1:14" ht="15" customHeight="1" x14ac:dyDescent="0.2">
      <c r="A8833" s="31">
        <v>-4.03525615100391E-3</v>
      </c>
      <c r="B8833" s="31"/>
      <c r="C8833" s="2" t="s">
        <v>892</v>
      </c>
      <c r="D8833" s="2">
        <f t="shared" ref="D8833:D8842" si="251">A8833 * 545.45</f>
        <v>-2.2010304675650829</v>
      </c>
      <c r="F8833" s="2">
        <v>2020</v>
      </c>
      <c r="G8833" s="38" t="s">
        <v>901</v>
      </c>
      <c r="H8833" s="2" t="s">
        <v>745</v>
      </c>
      <c r="I8833" s="31" t="s">
        <v>260</v>
      </c>
      <c r="J8833" s="31">
        <v>54.372</v>
      </c>
      <c r="K8833" s="31">
        <v>13.241300000000001</v>
      </c>
      <c r="L8833" s="2" t="s">
        <v>28</v>
      </c>
      <c r="M8833" s="2" t="s">
        <v>824</v>
      </c>
      <c r="N8833" s="17" t="s">
        <v>906</v>
      </c>
    </row>
    <row r="8834" spans="1:14" ht="15" customHeight="1" x14ac:dyDescent="0.2">
      <c r="A8834" s="31">
        <v>-4.0467533141946097E-3</v>
      </c>
      <c r="B8834" s="31"/>
      <c r="C8834" s="2" t="s">
        <v>892</v>
      </c>
      <c r="D8834" s="2">
        <f t="shared" si="251"/>
        <v>-2.2073015952274502</v>
      </c>
      <c r="F8834" s="2">
        <v>2020</v>
      </c>
      <c r="G8834" s="38" t="s">
        <v>901</v>
      </c>
      <c r="H8834" s="2" t="s">
        <v>744</v>
      </c>
      <c r="I8834" s="31" t="s">
        <v>266</v>
      </c>
      <c r="J8834" s="31" t="s">
        <v>822</v>
      </c>
      <c r="K8834" s="31" t="s">
        <v>822</v>
      </c>
      <c r="L8834" s="2" t="s">
        <v>28</v>
      </c>
      <c r="M8834" s="2" t="s">
        <v>824</v>
      </c>
      <c r="N8834" s="17" t="s">
        <v>906</v>
      </c>
    </row>
    <row r="8835" spans="1:14" ht="15" customHeight="1" x14ac:dyDescent="0.2">
      <c r="A8835" s="31">
        <v>-4.0923040259568701E-3</v>
      </c>
      <c r="B8835" s="31"/>
      <c r="C8835" s="2" t="s">
        <v>892</v>
      </c>
      <c r="D8835" s="2">
        <f t="shared" si="251"/>
        <v>-2.2321472309581751</v>
      </c>
      <c r="F8835" s="2">
        <v>2020</v>
      </c>
      <c r="G8835" s="38" t="s">
        <v>901</v>
      </c>
      <c r="H8835" s="2" t="s">
        <v>744</v>
      </c>
      <c r="I8835" s="31" t="s">
        <v>263</v>
      </c>
      <c r="J8835" s="31" t="s">
        <v>822</v>
      </c>
      <c r="K8835" s="31" t="s">
        <v>822</v>
      </c>
      <c r="L8835" s="2" t="s">
        <v>28</v>
      </c>
      <c r="M8835" s="2" t="s">
        <v>824</v>
      </c>
      <c r="N8835" s="17" t="s">
        <v>906</v>
      </c>
    </row>
    <row r="8836" spans="1:14" ht="15" customHeight="1" x14ac:dyDescent="0.2">
      <c r="A8836" s="31">
        <v>-4.0937800342539998E-3</v>
      </c>
      <c r="B8836" s="31"/>
      <c r="C8836" s="2" t="s">
        <v>892</v>
      </c>
      <c r="D8836" s="2">
        <f t="shared" si="251"/>
        <v>-2.2329523196838443</v>
      </c>
      <c r="F8836" s="2">
        <v>2020</v>
      </c>
      <c r="G8836" s="38" t="s">
        <v>901</v>
      </c>
      <c r="H8836" s="2" t="s">
        <v>750</v>
      </c>
      <c r="I8836" s="31" t="s">
        <v>259</v>
      </c>
      <c r="J8836" s="31">
        <v>54.373600000000003</v>
      </c>
      <c r="K8836" s="31">
        <v>13.239800000000001</v>
      </c>
      <c r="L8836" s="2" t="s">
        <v>28</v>
      </c>
      <c r="M8836" s="2" t="s">
        <v>824</v>
      </c>
      <c r="N8836" s="17" t="s">
        <v>906</v>
      </c>
    </row>
    <row r="8837" spans="1:14" ht="15" customHeight="1" x14ac:dyDescent="0.2">
      <c r="A8837" s="31">
        <v>-4.16733118455892E-3</v>
      </c>
      <c r="B8837" s="31"/>
      <c r="C8837" s="2" t="s">
        <v>892</v>
      </c>
      <c r="D8837" s="2">
        <f t="shared" si="251"/>
        <v>-2.2730707946176629</v>
      </c>
      <c r="F8837" s="2">
        <v>2020</v>
      </c>
      <c r="G8837" s="38" t="s">
        <v>901</v>
      </c>
      <c r="H8837" s="2" t="s">
        <v>748</v>
      </c>
      <c r="I8837" s="31" t="s">
        <v>267</v>
      </c>
      <c r="J8837" s="31" t="s">
        <v>822</v>
      </c>
      <c r="K8837" s="31" t="s">
        <v>822</v>
      </c>
      <c r="L8837" s="2" t="s">
        <v>28</v>
      </c>
      <c r="M8837" s="2" t="s">
        <v>824</v>
      </c>
      <c r="N8837" s="17" t="s">
        <v>906</v>
      </c>
    </row>
    <row r="8838" spans="1:14" ht="15" customHeight="1" x14ac:dyDescent="0.2">
      <c r="A8838" s="31">
        <v>-4.1753034685438296E-3</v>
      </c>
      <c r="B8838" s="31"/>
      <c r="C8838" s="2" t="s">
        <v>892</v>
      </c>
      <c r="D8838" s="2">
        <f t="shared" si="251"/>
        <v>-2.2774192769172319</v>
      </c>
      <c r="F8838" s="2">
        <v>2020</v>
      </c>
      <c r="G8838" s="38" t="s">
        <v>901</v>
      </c>
      <c r="H8838" s="2" t="s">
        <v>744</v>
      </c>
      <c r="I8838" s="31" t="s">
        <v>267</v>
      </c>
      <c r="J8838" s="31" t="s">
        <v>822</v>
      </c>
      <c r="K8838" s="31" t="s">
        <v>822</v>
      </c>
      <c r="L8838" s="2" t="s">
        <v>28</v>
      </c>
      <c r="M8838" s="2" t="s">
        <v>824</v>
      </c>
      <c r="N8838" s="17" t="s">
        <v>906</v>
      </c>
    </row>
    <row r="8839" spans="1:14" ht="15" customHeight="1" x14ac:dyDescent="0.2">
      <c r="A8839" s="31">
        <v>-4.2610986643264598E-3</v>
      </c>
      <c r="B8839" s="31"/>
      <c r="C8839" s="2" t="s">
        <v>892</v>
      </c>
      <c r="D8839" s="2">
        <f t="shared" si="251"/>
        <v>-2.3242162664568675</v>
      </c>
      <c r="F8839" s="2">
        <v>2020</v>
      </c>
      <c r="G8839" s="38" t="s">
        <v>901</v>
      </c>
      <c r="H8839" s="2" t="s">
        <v>746</v>
      </c>
      <c r="I8839" s="31" t="s">
        <v>261</v>
      </c>
      <c r="J8839" s="31">
        <v>54.372100000000003</v>
      </c>
      <c r="K8839" s="31">
        <v>13.242699999999999</v>
      </c>
      <c r="L8839" s="2" t="s">
        <v>28</v>
      </c>
      <c r="M8839" s="2" t="s">
        <v>824</v>
      </c>
      <c r="N8839" s="17" t="s">
        <v>906</v>
      </c>
    </row>
    <row r="8840" spans="1:14" ht="15" customHeight="1" x14ac:dyDescent="0.2">
      <c r="A8840" s="31">
        <v>-4.3212741368286699E-3</v>
      </c>
      <c r="B8840" s="31"/>
      <c r="C8840" s="2" t="s">
        <v>892</v>
      </c>
      <c r="D8840" s="2">
        <f t="shared" si="251"/>
        <v>-2.3570389779331982</v>
      </c>
      <c r="F8840" s="2">
        <v>2020</v>
      </c>
      <c r="G8840" s="38" t="s">
        <v>901</v>
      </c>
      <c r="H8840" s="2" t="s">
        <v>745</v>
      </c>
      <c r="I8840" s="31" t="s">
        <v>269</v>
      </c>
      <c r="J8840" s="31">
        <v>54.370600000000003</v>
      </c>
      <c r="K8840" s="31">
        <v>13.2418</v>
      </c>
      <c r="L8840" s="2" t="s">
        <v>28</v>
      </c>
      <c r="M8840" s="2" t="s">
        <v>824</v>
      </c>
      <c r="N8840" s="17" t="s">
        <v>906</v>
      </c>
    </row>
    <row r="8841" spans="1:14" ht="15" customHeight="1" x14ac:dyDescent="0.2">
      <c r="A8841" s="31">
        <v>-4.5690134157513503E-3</v>
      </c>
      <c r="B8841" s="31"/>
      <c r="C8841" s="2" t="s">
        <v>892</v>
      </c>
      <c r="D8841" s="2">
        <f t="shared" si="251"/>
        <v>-2.492168367621574</v>
      </c>
      <c r="F8841" s="2">
        <v>2020</v>
      </c>
      <c r="G8841" s="38" t="s">
        <v>901</v>
      </c>
      <c r="H8841" s="2" t="s">
        <v>751</v>
      </c>
      <c r="I8841" s="31" t="s">
        <v>268</v>
      </c>
      <c r="J8841" s="31" t="s">
        <v>822</v>
      </c>
      <c r="K8841" s="31" t="s">
        <v>822</v>
      </c>
      <c r="L8841" s="2" t="s">
        <v>28</v>
      </c>
      <c r="M8841" s="2" t="s">
        <v>824</v>
      </c>
      <c r="N8841" s="17" t="s">
        <v>906</v>
      </c>
    </row>
    <row r="8842" spans="1:14" ht="15" customHeight="1" x14ac:dyDescent="0.2">
      <c r="A8842" s="31">
        <v>-4.7293684484668403E-3</v>
      </c>
      <c r="B8842" s="31"/>
      <c r="C8842" s="2" t="s">
        <v>892</v>
      </c>
      <c r="D8842" s="2">
        <f t="shared" si="251"/>
        <v>-2.5796340202162384</v>
      </c>
      <c r="F8842" s="2">
        <v>2020</v>
      </c>
      <c r="G8842" s="38" t="s">
        <v>901</v>
      </c>
      <c r="H8842" s="2" t="s">
        <v>743</v>
      </c>
      <c r="I8842" s="31" t="s">
        <v>264</v>
      </c>
      <c r="J8842" s="31" t="s">
        <v>822</v>
      </c>
      <c r="K8842" s="31" t="s">
        <v>822</v>
      </c>
      <c r="L8842" s="2" t="s">
        <v>28</v>
      </c>
      <c r="M8842" s="2" t="s">
        <v>824</v>
      </c>
      <c r="N8842" s="17" t="s">
        <v>906</v>
      </c>
    </row>
    <row r="8843" spans="1:14" ht="15" customHeight="1" x14ac:dyDescent="0.2">
      <c r="A8843" s="2">
        <v>-0.03</v>
      </c>
      <c r="C8843" s="2" t="s">
        <v>59</v>
      </c>
      <c r="D8843" s="2">
        <f>A8843 * 86.4</f>
        <v>-2.5920000000000001</v>
      </c>
      <c r="F8843" s="2">
        <v>2014</v>
      </c>
      <c r="G8843" s="2" t="s">
        <v>902</v>
      </c>
      <c r="H8843" s="2" t="s">
        <v>60</v>
      </c>
      <c r="I8843" s="2" t="s">
        <v>61</v>
      </c>
      <c r="J8843" s="2">
        <v>55.691670000000002</v>
      </c>
      <c r="K8843" s="2">
        <v>12.082000000000001</v>
      </c>
      <c r="L8843" s="2" t="s">
        <v>62</v>
      </c>
      <c r="N8843" s="9" t="s">
        <v>63</v>
      </c>
    </row>
    <row r="8844" spans="1:14" ht="15" customHeight="1" x14ac:dyDescent="0.2">
      <c r="A8844" s="31">
        <v>-4.77889319904034E-3</v>
      </c>
      <c r="B8844" s="31"/>
      <c r="C8844" s="2" t="s">
        <v>892</v>
      </c>
      <c r="D8844" s="2">
        <f t="shared" ref="D8844:D8856" si="252">A8844 * 545.45</f>
        <v>-2.6066472954165536</v>
      </c>
      <c r="F8844" s="2">
        <v>2020</v>
      </c>
      <c r="G8844" s="38" t="s">
        <v>901</v>
      </c>
      <c r="H8844" s="2" t="s">
        <v>752</v>
      </c>
      <c r="I8844" s="31" t="s">
        <v>266</v>
      </c>
      <c r="J8844" s="31" t="s">
        <v>822</v>
      </c>
      <c r="K8844" s="31" t="s">
        <v>822</v>
      </c>
      <c r="L8844" s="2" t="s">
        <v>28</v>
      </c>
      <c r="M8844" s="2" t="s">
        <v>824</v>
      </c>
      <c r="N8844" s="17" t="s">
        <v>906</v>
      </c>
    </row>
    <row r="8845" spans="1:14" ht="15" customHeight="1" x14ac:dyDescent="0.2">
      <c r="A8845" s="31">
        <v>-4.8383261527533503E-3</v>
      </c>
      <c r="B8845" s="31"/>
      <c r="C8845" s="2" t="s">
        <v>892</v>
      </c>
      <c r="D8845" s="2">
        <f t="shared" si="252"/>
        <v>-2.6390650000193152</v>
      </c>
      <c r="F8845" s="2">
        <v>2020</v>
      </c>
      <c r="G8845" s="38" t="s">
        <v>901</v>
      </c>
      <c r="H8845" s="2" t="s">
        <v>748</v>
      </c>
      <c r="I8845" s="31" t="s">
        <v>266</v>
      </c>
      <c r="J8845" s="31" t="s">
        <v>822</v>
      </c>
      <c r="K8845" s="31" t="s">
        <v>822</v>
      </c>
      <c r="L8845" s="2" t="s">
        <v>28</v>
      </c>
      <c r="M8845" s="2" t="s">
        <v>824</v>
      </c>
      <c r="N8845" s="17" t="s">
        <v>906</v>
      </c>
    </row>
    <row r="8846" spans="1:14" ht="15" customHeight="1" x14ac:dyDescent="0.2">
      <c r="A8846" s="31">
        <v>-4.90153702159814E-3</v>
      </c>
      <c r="B8846" s="31"/>
      <c r="C8846" s="2" t="s">
        <v>892</v>
      </c>
      <c r="D8846" s="2">
        <f t="shared" si="252"/>
        <v>-2.6735433684307055</v>
      </c>
      <c r="F8846" s="2">
        <v>2020</v>
      </c>
      <c r="G8846" s="38" t="s">
        <v>901</v>
      </c>
      <c r="H8846" s="2" t="s">
        <v>748</v>
      </c>
      <c r="I8846" s="31" t="s">
        <v>270</v>
      </c>
      <c r="J8846" s="31" t="s">
        <v>822</v>
      </c>
      <c r="K8846" s="31" t="s">
        <v>822</v>
      </c>
      <c r="L8846" s="2" t="s">
        <v>28</v>
      </c>
      <c r="M8846" s="2" t="s">
        <v>824</v>
      </c>
      <c r="N8846" s="17" t="s">
        <v>906</v>
      </c>
    </row>
    <row r="8847" spans="1:14" ht="15" customHeight="1" x14ac:dyDescent="0.2">
      <c r="A8847" s="31">
        <v>-4.9831779201302603E-3</v>
      </c>
      <c r="B8847" s="31"/>
      <c r="C8847" s="2" t="s">
        <v>892</v>
      </c>
      <c r="D8847" s="2">
        <f t="shared" si="252"/>
        <v>-2.7180743965350507</v>
      </c>
      <c r="F8847" s="2">
        <v>2020</v>
      </c>
      <c r="G8847" s="38" t="s">
        <v>901</v>
      </c>
      <c r="H8847" s="2" t="s">
        <v>748</v>
      </c>
      <c r="I8847" s="31" t="s">
        <v>268</v>
      </c>
      <c r="J8847" s="31" t="s">
        <v>822</v>
      </c>
      <c r="K8847" s="31" t="s">
        <v>822</v>
      </c>
      <c r="L8847" s="2" t="s">
        <v>28</v>
      </c>
      <c r="M8847" s="2" t="s">
        <v>824</v>
      </c>
      <c r="N8847" s="17" t="s">
        <v>906</v>
      </c>
    </row>
    <row r="8848" spans="1:14" ht="15" customHeight="1" x14ac:dyDescent="0.2">
      <c r="A8848" s="31">
        <v>-5.0841107211615404E-3</v>
      </c>
      <c r="B8848" s="31"/>
      <c r="C8848" s="2" t="s">
        <v>892</v>
      </c>
      <c r="D8848" s="2">
        <f t="shared" si="252"/>
        <v>-2.7731281928575626</v>
      </c>
      <c r="F8848" s="2">
        <v>2020</v>
      </c>
      <c r="G8848" s="38" t="s">
        <v>901</v>
      </c>
      <c r="H8848" s="2" t="s">
        <v>749</v>
      </c>
      <c r="I8848" s="31" t="s">
        <v>258</v>
      </c>
      <c r="J8848" s="31">
        <v>54.371299999999998</v>
      </c>
      <c r="K8848" s="31">
        <v>13.2438</v>
      </c>
      <c r="L8848" s="2" t="s">
        <v>28</v>
      </c>
      <c r="M8848" s="2" t="s">
        <v>824</v>
      </c>
      <c r="N8848" s="17" t="s">
        <v>906</v>
      </c>
    </row>
    <row r="8849" spans="1:14" ht="15" customHeight="1" x14ac:dyDescent="0.2">
      <c r="A8849" s="31">
        <v>-5.157821518783E-3</v>
      </c>
      <c r="B8849" s="31"/>
      <c r="C8849" s="2" t="s">
        <v>892</v>
      </c>
      <c r="D8849" s="2">
        <f t="shared" si="252"/>
        <v>-2.8133337474201876</v>
      </c>
      <c r="F8849" s="2">
        <v>2020</v>
      </c>
      <c r="G8849" s="38" t="s">
        <v>901</v>
      </c>
      <c r="H8849" s="2" t="s">
        <v>745</v>
      </c>
      <c r="I8849" s="31" t="s">
        <v>261</v>
      </c>
      <c r="J8849" s="31">
        <v>54.372100000000003</v>
      </c>
      <c r="K8849" s="31">
        <v>13.242699999999999</v>
      </c>
      <c r="L8849" s="2" t="s">
        <v>28</v>
      </c>
      <c r="M8849" s="2" t="s">
        <v>824</v>
      </c>
      <c r="N8849" s="17" t="s">
        <v>906</v>
      </c>
    </row>
    <row r="8850" spans="1:14" ht="15" customHeight="1" x14ac:dyDescent="0.2">
      <c r="A8850" s="31">
        <v>-5.2135947360953602E-3</v>
      </c>
      <c r="B8850" s="31"/>
      <c r="C8850" s="2" t="s">
        <v>892</v>
      </c>
      <c r="D8850" s="2">
        <f t="shared" si="252"/>
        <v>-2.8437552488032143</v>
      </c>
      <c r="F8850" s="2">
        <v>2020</v>
      </c>
      <c r="G8850" s="38" t="s">
        <v>901</v>
      </c>
      <c r="H8850" s="2" t="s">
        <v>748</v>
      </c>
      <c r="I8850" s="31" t="s">
        <v>265</v>
      </c>
      <c r="J8850" s="31" t="s">
        <v>822</v>
      </c>
      <c r="K8850" s="31" t="s">
        <v>822</v>
      </c>
      <c r="L8850" s="2" t="s">
        <v>28</v>
      </c>
      <c r="M8850" s="2" t="s">
        <v>824</v>
      </c>
      <c r="N8850" s="17" t="s">
        <v>906</v>
      </c>
    </row>
    <row r="8851" spans="1:14" ht="15" customHeight="1" x14ac:dyDescent="0.2">
      <c r="A8851" s="31">
        <v>-5.3314841710409401E-3</v>
      </c>
      <c r="B8851" s="31"/>
      <c r="C8851" s="2" t="s">
        <v>892</v>
      </c>
      <c r="D8851" s="2">
        <f t="shared" si="252"/>
        <v>-2.9080580410942809</v>
      </c>
      <c r="F8851" s="2">
        <v>2020</v>
      </c>
      <c r="G8851" s="38" t="s">
        <v>901</v>
      </c>
      <c r="H8851" s="2" t="s">
        <v>752</v>
      </c>
      <c r="I8851" s="31" t="s">
        <v>270</v>
      </c>
      <c r="J8851" s="31" t="s">
        <v>822</v>
      </c>
      <c r="K8851" s="31" t="s">
        <v>822</v>
      </c>
      <c r="L8851" s="2" t="s">
        <v>28</v>
      </c>
      <c r="M8851" s="2" t="s">
        <v>824</v>
      </c>
      <c r="N8851" s="17" t="s">
        <v>906</v>
      </c>
    </row>
    <row r="8852" spans="1:14" ht="15" customHeight="1" x14ac:dyDescent="0.2">
      <c r="A8852" s="31">
        <v>-5.4640956747038297E-3</v>
      </c>
      <c r="B8852" s="31"/>
      <c r="C8852" s="2" t="s">
        <v>892</v>
      </c>
      <c r="D8852" s="2">
        <f t="shared" si="252"/>
        <v>-2.9803909857672042</v>
      </c>
      <c r="F8852" s="2">
        <v>2020</v>
      </c>
      <c r="G8852" s="38" t="s">
        <v>901</v>
      </c>
      <c r="H8852" s="2" t="s">
        <v>748</v>
      </c>
      <c r="I8852" s="31" t="s">
        <v>264</v>
      </c>
      <c r="J8852" s="31" t="s">
        <v>822</v>
      </c>
      <c r="K8852" s="31" t="s">
        <v>822</v>
      </c>
      <c r="L8852" s="2" t="s">
        <v>28</v>
      </c>
      <c r="M8852" s="2" t="s">
        <v>824</v>
      </c>
      <c r="N8852" s="17" t="s">
        <v>906</v>
      </c>
    </row>
    <row r="8853" spans="1:14" ht="15" customHeight="1" x14ac:dyDescent="0.2">
      <c r="A8853" s="31">
        <v>-5.46497677682383E-3</v>
      </c>
      <c r="B8853" s="31"/>
      <c r="C8853" s="2" t="s">
        <v>892</v>
      </c>
      <c r="D8853" s="2">
        <f t="shared" si="252"/>
        <v>-2.9808715829185584</v>
      </c>
      <c r="F8853" s="2">
        <v>2020</v>
      </c>
      <c r="G8853" s="38" t="s">
        <v>901</v>
      </c>
      <c r="H8853" s="2" t="s">
        <v>749</v>
      </c>
      <c r="I8853" s="31" t="s">
        <v>269</v>
      </c>
      <c r="J8853" s="31">
        <v>54.370600000000003</v>
      </c>
      <c r="K8853" s="31">
        <v>13.2418</v>
      </c>
      <c r="L8853" s="2" t="s">
        <v>28</v>
      </c>
      <c r="M8853" s="2" t="s">
        <v>824</v>
      </c>
      <c r="N8853" s="17" t="s">
        <v>906</v>
      </c>
    </row>
    <row r="8854" spans="1:14" ht="15" customHeight="1" x14ac:dyDescent="0.2">
      <c r="A8854" s="31">
        <v>-5.5972965870731998E-3</v>
      </c>
      <c r="B8854" s="31"/>
      <c r="C8854" s="2" t="s">
        <v>892</v>
      </c>
      <c r="D8854" s="2">
        <f t="shared" si="252"/>
        <v>-3.0530454234190771</v>
      </c>
      <c r="F8854" s="2">
        <v>2020</v>
      </c>
      <c r="G8854" s="38" t="s">
        <v>901</v>
      </c>
      <c r="H8854" s="2" t="s">
        <v>748</v>
      </c>
      <c r="I8854" s="31" t="s">
        <v>262</v>
      </c>
      <c r="J8854" s="31" t="s">
        <v>822</v>
      </c>
      <c r="K8854" s="31" t="s">
        <v>822</v>
      </c>
      <c r="L8854" s="2" t="s">
        <v>28</v>
      </c>
      <c r="M8854" s="2" t="s">
        <v>824</v>
      </c>
      <c r="N8854" s="17" t="s">
        <v>906</v>
      </c>
    </row>
    <row r="8855" spans="1:14" ht="15" customHeight="1" x14ac:dyDescent="0.2">
      <c r="A8855" s="31">
        <v>-5.8845782202254998E-3</v>
      </c>
      <c r="B8855" s="31"/>
      <c r="C8855" s="2" t="s">
        <v>892</v>
      </c>
      <c r="D8855" s="2">
        <f t="shared" si="252"/>
        <v>-3.2097431902219991</v>
      </c>
      <c r="F8855" s="2">
        <v>2020</v>
      </c>
      <c r="G8855" s="38" t="s">
        <v>901</v>
      </c>
      <c r="H8855" s="2" t="s">
        <v>746</v>
      </c>
      <c r="I8855" s="31" t="s">
        <v>269</v>
      </c>
      <c r="J8855" s="31">
        <v>54.370600000000003</v>
      </c>
      <c r="K8855" s="31">
        <v>13.2418</v>
      </c>
      <c r="L8855" s="2" t="s">
        <v>28</v>
      </c>
      <c r="M8855" s="2" t="s">
        <v>824</v>
      </c>
      <c r="N8855" s="17" t="s">
        <v>906</v>
      </c>
    </row>
    <row r="8856" spans="1:14" ht="15" customHeight="1" x14ac:dyDescent="0.2">
      <c r="A8856" s="31">
        <v>-5.89236643284392E-3</v>
      </c>
      <c r="B8856" s="31"/>
      <c r="C8856" s="2" t="s">
        <v>892</v>
      </c>
      <c r="D8856" s="2">
        <f t="shared" si="252"/>
        <v>-3.2139912707947165</v>
      </c>
      <c r="F8856" s="2">
        <v>2020</v>
      </c>
      <c r="G8856" s="38" t="s">
        <v>901</v>
      </c>
      <c r="H8856" s="2" t="s">
        <v>745</v>
      </c>
      <c r="I8856" s="31" t="s">
        <v>258</v>
      </c>
      <c r="J8856" s="31">
        <v>54.371299999999998</v>
      </c>
      <c r="K8856" s="31">
        <v>13.2438</v>
      </c>
      <c r="L8856" s="2" t="s">
        <v>28</v>
      </c>
      <c r="M8856" s="2" t="s">
        <v>824</v>
      </c>
      <c r="N8856" s="17" t="s">
        <v>906</v>
      </c>
    </row>
    <row r="8857" spans="1:14" ht="15" customHeight="1" x14ac:dyDescent="0.2">
      <c r="A8857" s="31">
        <v>-141.56</v>
      </c>
      <c r="B8857" s="31">
        <v>2.5499999999999998</v>
      </c>
      <c r="C8857" s="31" t="s">
        <v>681</v>
      </c>
      <c r="D8857" s="2">
        <f>A8857 * 0.02273</f>
        <v>-3.2176588000000002</v>
      </c>
      <c r="E8857" s="2">
        <f>B8857* 0.02273</f>
        <v>5.7961499999999999E-2</v>
      </c>
      <c r="F8857" s="2">
        <v>2017</v>
      </c>
      <c r="G8857" s="23" t="s">
        <v>901</v>
      </c>
      <c r="H8857" s="2" t="s">
        <v>835</v>
      </c>
      <c r="I8857" s="31" t="s">
        <v>847</v>
      </c>
      <c r="J8857" s="31">
        <v>37.31</v>
      </c>
      <c r="K8857" s="31">
        <v>-3.27</v>
      </c>
      <c r="L8857" s="34" t="s">
        <v>82</v>
      </c>
      <c r="N8857" s="6" t="s">
        <v>853</v>
      </c>
    </row>
    <row r="8858" spans="1:14" ht="15" customHeight="1" x14ac:dyDescent="0.2">
      <c r="A8858" s="31">
        <v>-5.9273489587262102E-3</v>
      </c>
      <c r="B8858" s="31"/>
      <c r="C8858" s="2" t="s">
        <v>892</v>
      </c>
      <c r="D8858" s="2">
        <f>A8858 * 545.45</f>
        <v>-3.2330724895372116</v>
      </c>
      <c r="F8858" s="2">
        <v>2020</v>
      </c>
      <c r="G8858" s="38" t="s">
        <v>901</v>
      </c>
      <c r="H8858" s="2" t="s">
        <v>752</v>
      </c>
      <c r="I8858" s="31" t="s">
        <v>267</v>
      </c>
      <c r="J8858" s="31" t="s">
        <v>822</v>
      </c>
      <c r="K8858" s="31" t="s">
        <v>822</v>
      </c>
      <c r="L8858" s="2" t="s">
        <v>28</v>
      </c>
      <c r="M8858" s="2" t="s">
        <v>824</v>
      </c>
      <c r="N8858" s="17" t="s">
        <v>906</v>
      </c>
    </row>
    <row r="8859" spans="1:14" ht="15" customHeight="1" x14ac:dyDescent="0.2">
      <c r="A8859" s="31">
        <v>-5.9618195156220799E-3</v>
      </c>
      <c r="B8859" s="31"/>
      <c r="C8859" s="2" t="s">
        <v>892</v>
      </c>
      <c r="D8859" s="2">
        <f>A8859 * 545.45</f>
        <v>-3.2518744547960639</v>
      </c>
      <c r="F8859" s="2">
        <v>2020</v>
      </c>
      <c r="G8859" s="38" t="s">
        <v>901</v>
      </c>
      <c r="H8859" s="2" t="s">
        <v>743</v>
      </c>
      <c r="I8859" s="31" t="s">
        <v>265</v>
      </c>
      <c r="J8859" s="31" t="s">
        <v>822</v>
      </c>
      <c r="K8859" s="31" t="s">
        <v>822</v>
      </c>
      <c r="L8859" s="2" t="s">
        <v>28</v>
      </c>
      <c r="M8859" s="2" t="s">
        <v>824</v>
      </c>
      <c r="N8859" s="17" t="s">
        <v>906</v>
      </c>
    </row>
    <row r="8860" spans="1:14" ht="15" customHeight="1" x14ac:dyDescent="0.2">
      <c r="A8860" s="31">
        <v>-6.2694366864556204E-3</v>
      </c>
      <c r="B8860" s="31"/>
      <c r="C8860" s="2" t="s">
        <v>892</v>
      </c>
      <c r="D8860" s="2">
        <f>A8860 * 545.45</f>
        <v>-3.4196642406272186</v>
      </c>
      <c r="F8860" s="2">
        <v>2020</v>
      </c>
      <c r="G8860" s="38" t="s">
        <v>901</v>
      </c>
      <c r="H8860" s="2" t="s">
        <v>746</v>
      </c>
      <c r="I8860" s="31" t="s">
        <v>257</v>
      </c>
      <c r="J8860" s="31">
        <v>54.372</v>
      </c>
      <c r="K8860" s="31">
        <v>13.241300000000001</v>
      </c>
      <c r="L8860" s="2" t="s">
        <v>28</v>
      </c>
      <c r="M8860" s="2" t="s">
        <v>824</v>
      </c>
      <c r="N8860" s="17" t="s">
        <v>906</v>
      </c>
    </row>
    <row r="8861" spans="1:14" ht="15" customHeight="1" x14ac:dyDescent="0.2">
      <c r="A8861" s="2">
        <v>-0.04</v>
      </c>
      <c r="C8861" s="2" t="s">
        <v>59</v>
      </c>
      <c r="D8861" s="2">
        <f>A8861 * 86.4</f>
        <v>-3.4560000000000004</v>
      </c>
      <c r="F8861" s="2">
        <v>2014</v>
      </c>
      <c r="G8861" s="2" t="s">
        <v>902</v>
      </c>
      <c r="H8861" s="2" t="s">
        <v>64</v>
      </c>
      <c r="I8861" s="2" t="s">
        <v>61</v>
      </c>
      <c r="J8861" s="2">
        <v>55.691670000000002</v>
      </c>
      <c r="K8861" s="2">
        <v>12.082000000000001</v>
      </c>
      <c r="L8861" s="2" t="s">
        <v>62</v>
      </c>
      <c r="N8861" s="9" t="s">
        <v>63</v>
      </c>
    </row>
    <row r="8862" spans="1:14" ht="15" customHeight="1" x14ac:dyDescent="0.2">
      <c r="A8862" s="31">
        <v>-6.5458222603538303E-3</v>
      </c>
      <c r="B8862" s="31"/>
      <c r="C8862" s="2" t="s">
        <v>892</v>
      </c>
      <c r="D8862" s="2">
        <f t="shared" ref="D8862:D8872" si="253">A8862 * 545.45</f>
        <v>-3.570418751909997</v>
      </c>
      <c r="F8862" s="2">
        <v>2020</v>
      </c>
      <c r="G8862" s="38" t="s">
        <v>901</v>
      </c>
      <c r="H8862" s="2" t="s">
        <v>743</v>
      </c>
      <c r="I8862" s="31" t="s">
        <v>268</v>
      </c>
      <c r="J8862" s="31" t="s">
        <v>822</v>
      </c>
      <c r="K8862" s="31" t="s">
        <v>822</v>
      </c>
      <c r="L8862" s="2" t="s">
        <v>28</v>
      </c>
      <c r="M8862" s="2" t="s">
        <v>824</v>
      </c>
      <c r="N8862" s="17" t="s">
        <v>906</v>
      </c>
    </row>
    <row r="8863" spans="1:14" ht="15" customHeight="1" x14ac:dyDescent="0.2">
      <c r="A8863" s="31">
        <v>-6.6784636372209999E-3</v>
      </c>
      <c r="B8863" s="31"/>
      <c r="C8863" s="2" t="s">
        <v>892</v>
      </c>
      <c r="D8863" s="2">
        <f t="shared" si="253"/>
        <v>-3.6427679909221946</v>
      </c>
      <c r="F8863" s="2">
        <v>2020</v>
      </c>
      <c r="G8863" s="38" t="s">
        <v>901</v>
      </c>
      <c r="H8863" s="2" t="s">
        <v>745</v>
      </c>
      <c r="I8863" s="31" t="s">
        <v>256</v>
      </c>
      <c r="J8863" s="31">
        <v>54.371099999999998</v>
      </c>
      <c r="K8863" s="31">
        <v>13.2446</v>
      </c>
      <c r="L8863" s="2" t="s">
        <v>28</v>
      </c>
      <c r="M8863" s="2" t="s">
        <v>824</v>
      </c>
      <c r="N8863" s="17" t="s">
        <v>906</v>
      </c>
    </row>
    <row r="8864" spans="1:14" ht="15" customHeight="1" x14ac:dyDescent="0.2">
      <c r="A8864" s="31">
        <v>-6.81666520892349E-3</v>
      </c>
      <c r="B8864" s="31"/>
      <c r="C8864" s="2" t="s">
        <v>892</v>
      </c>
      <c r="D8864" s="2">
        <f t="shared" si="253"/>
        <v>-3.7181500382073178</v>
      </c>
      <c r="F8864" s="2">
        <v>2020</v>
      </c>
      <c r="G8864" s="38" t="s">
        <v>901</v>
      </c>
      <c r="H8864" s="2" t="s">
        <v>743</v>
      </c>
      <c r="I8864" s="31" t="s">
        <v>263</v>
      </c>
      <c r="J8864" s="31" t="s">
        <v>822</v>
      </c>
      <c r="K8864" s="31" t="s">
        <v>822</v>
      </c>
      <c r="L8864" s="2" t="s">
        <v>28</v>
      </c>
      <c r="M8864" s="2" t="s">
        <v>824</v>
      </c>
      <c r="N8864" s="17" t="s">
        <v>906</v>
      </c>
    </row>
    <row r="8865" spans="1:14" ht="15" customHeight="1" x14ac:dyDescent="0.2">
      <c r="A8865" s="31">
        <v>-7.0861239649532897E-3</v>
      </c>
      <c r="B8865" s="31"/>
      <c r="C8865" s="2" t="s">
        <v>892</v>
      </c>
      <c r="D8865" s="2">
        <f t="shared" si="253"/>
        <v>-3.8651263166837722</v>
      </c>
      <c r="F8865" s="2">
        <v>2020</v>
      </c>
      <c r="G8865" s="38" t="s">
        <v>901</v>
      </c>
      <c r="H8865" s="2" t="s">
        <v>745</v>
      </c>
      <c r="I8865" s="31" t="s">
        <v>259</v>
      </c>
      <c r="J8865" s="31">
        <v>54.373600000000003</v>
      </c>
      <c r="K8865" s="31">
        <v>13.239800000000001</v>
      </c>
      <c r="L8865" s="2" t="s">
        <v>28</v>
      </c>
      <c r="M8865" s="2" t="s">
        <v>824</v>
      </c>
      <c r="N8865" s="17" t="s">
        <v>906</v>
      </c>
    </row>
    <row r="8866" spans="1:14" ht="15" customHeight="1" x14ac:dyDescent="0.2">
      <c r="A8866" s="31">
        <v>-7.33630596441554E-3</v>
      </c>
      <c r="B8866" s="31"/>
      <c r="C8866" s="2" t="s">
        <v>892</v>
      </c>
      <c r="D8866" s="2">
        <f t="shared" si="253"/>
        <v>-4.0015880882904566</v>
      </c>
      <c r="F8866" s="2">
        <v>2020</v>
      </c>
      <c r="G8866" s="38" t="s">
        <v>901</v>
      </c>
      <c r="H8866" s="2" t="s">
        <v>749</v>
      </c>
      <c r="I8866" s="31" t="s">
        <v>257</v>
      </c>
      <c r="J8866" s="31">
        <v>54.372</v>
      </c>
      <c r="K8866" s="31">
        <v>13.241300000000001</v>
      </c>
      <c r="L8866" s="2" t="s">
        <v>28</v>
      </c>
      <c r="M8866" s="2" t="s">
        <v>824</v>
      </c>
      <c r="N8866" s="17" t="s">
        <v>906</v>
      </c>
    </row>
    <row r="8867" spans="1:14" ht="15" customHeight="1" x14ac:dyDescent="0.2">
      <c r="A8867" s="31">
        <v>-7.4376133966619403E-3</v>
      </c>
      <c r="B8867" s="31"/>
      <c r="C8867" s="2" t="s">
        <v>892</v>
      </c>
      <c r="D8867" s="2">
        <f t="shared" si="253"/>
        <v>-4.056846227209256</v>
      </c>
      <c r="F8867" s="2">
        <v>2020</v>
      </c>
      <c r="G8867" s="38" t="s">
        <v>901</v>
      </c>
      <c r="H8867" s="2" t="s">
        <v>747</v>
      </c>
      <c r="I8867" s="31" t="s">
        <v>267</v>
      </c>
      <c r="J8867" s="31" t="s">
        <v>822</v>
      </c>
      <c r="K8867" s="31" t="s">
        <v>822</v>
      </c>
      <c r="L8867" s="2" t="s">
        <v>28</v>
      </c>
      <c r="M8867" s="2" t="s">
        <v>824</v>
      </c>
      <c r="N8867" s="17" t="s">
        <v>906</v>
      </c>
    </row>
    <row r="8868" spans="1:14" ht="15" customHeight="1" x14ac:dyDescent="0.2">
      <c r="A8868" s="31">
        <v>-7.4442826666120798E-3</v>
      </c>
      <c r="B8868" s="31"/>
      <c r="C8868" s="2" t="s">
        <v>892</v>
      </c>
      <c r="D8868" s="2">
        <f t="shared" si="253"/>
        <v>-4.0604839805035589</v>
      </c>
      <c r="F8868" s="2">
        <v>2020</v>
      </c>
      <c r="G8868" s="38" t="s">
        <v>901</v>
      </c>
      <c r="H8868" s="2" t="s">
        <v>746</v>
      </c>
      <c r="I8868" s="31" t="s">
        <v>260</v>
      </c>
      <c r="J8868" s="31">
        <v>54.372</v>
      </c>
      <c r="K8868" s="31">
        <v>13.241300000000001</v>
      </c>
      <c r="L8868" s="2" t="s">
        <v>28</v>
      </c>
      <c r="M8868" s="2" t="s">
        <v>824</v>
      </c>
      <c r="N8868" s="17" t="s">
        <v>906</v>
      </c>
    </row>
    <row r="8869" spans="1:14" ht="15" customHeight="1" x14ac:dyDescent="0.2">
      <c r="A8869" s="31">
        <v>-7.5639852526779598E-3</v>
      </c>
      <c r="B8869" s="31"/>
      <c r="C8869" s="2" t="s">
        <v>892</v>
      </c>
      <c r="D8869" s="2">
        <f t="shared" si="253"/>
        <v>-4.1257757560731934</v>
      </c>
      <c r="F8869" s="2">
        <v>2020</v>
      </c>
      <c r="G8869" s="38" t="s">
        <v>901</v>
      </c>
      <c r="H8869" s="2" t="s">
        <v>743</v>
      </c>
      <c r="I8869" s="31" t="s">
        <v>270</v>
      </c>
      <c r="J8869" s="31" t="s">
        <v>822</v>
      </c>
      <c r="K8869" s="31" t="s">
        <v>822</v>
      </c>
      <c r="L8869" s="2" t="s">
        <v>28</v>
      </c>
      <c r="M8869" s="2" t="s">
        <v>824</v>
      </c>
      <c r="N8869" s="17" t="s">
        <v>906</v>
      </c>
    </row>
    <row r="8870" spans="1:14" ht="15" customHeight="1" x14ac:dyDescent="0.2">
      <c r="A8870" s="31">
        <v>-7.64465680535782E-3</v>
      </c>
      <c r="B8870" s="31"/>
      <c r="C8870" s="2" t="s">
        <v>892</v>
      </c>
      <c r="D8870" s="2">
        <f t="shared" si="253"/>
        <v>-4.169778054482423</v>
      </c>
      <c r="F8870" s="2">
        <v>2020</v>
      </c>
      <c r="G8870" s="38" t="s">
        <v>901</v>
      </c>
      <c r="H8870" s="2" t="s">
        <v>747</v>
      </c>
      <c r="I8870" s="31" t="s">
        <v>270</v>
      </c>
      <c r="J8870" s="31" t="s">
        <v>822</v>
      </c>
      <c r="K8870" s="31" t="s">
        <v>822</v>
      </c>
      <c r="L8870" s="2" t="s">
        <v>28</v>
      </c>
      <c r="M8870" s="2" t="s">
        <v>824</v>
      </c>
      <c r="N8870" s="17" t="s">
        <v>906</v>
      </c>
    </row>
    <row r="8871" spans="1:14" ht="15" customHeight="1" x14ac:dyDescent="0.2">
      <c r="A8871" s="31">
        <v>-7.9795590383098004E-3</v>
      </c>
      <c r="B8871" s="31"/>
      <c r="C8871" s="2" t="s">
        <v>892</v>
      </c>
      <c r="D8871" s="2">
        <f t="shared" si="253"/>
        <v>-4.352450477446081</v>
      </c>
      <c r="F8871" s="2">
        <v>2020</v>
      </c>
      <c r="G8871" s="38" t="s">
        <v>901</v>
      </c>
      <c r="H8871" s="2" t="s">
        <v>743</v>
      </c>
      <c r="I8871" s="31" t="s">
        <v>267</v>
      </c>
      <c r="J8871" s="31" t="s">
        <v>822</v>
      </c>
      <c r="K8871" s="31" t="s">
        <v>822</v>
      </c>
      <c r="L8871" s="2" t="s">
        <v>28</v>
      </c>
      <c r="M8871" s="2" t="s">
        <v>824</v>
      </c>
      <c r="N8871" s="17" t="s">
        <v>906</v>
      </c>
    </row>
    <row r="8872" spans="1:14" ht="15" customHeight="1" x14ac:dyDescent="0.2">
      <c r="A8872" s="31">
        <v>-8.0031928270239208E-3</v>
      </c>
      <c r="B8872" s="31"/>
      <c r="C8872" s="2" t="s">
        <v>892</v>
      </c>
      <c r="D8872" s="2">
        <f t="shared" si="253"/>
        <v>-4.3653415275001981</v>
      </c>
      <c r="F8872" s="2">
        <v>2020</v>
      </c>
      <c r="G8872" s="38" t="s">
        <v>901</v>
      </c>
      <c r="H8872" s="2" t="s">
        <v>746</v>
      </c>
      <c r="I8872" s="31" t="s">
        <v>258</v>
      </c>
      <c r="J8872" s="31">
        <v>54.371299999999998</v>
      </c>
      <c r="K8872" s="31">
        <v>13.2438</v>
      </c>
      <c r="L8872" s="2" t="s">
        <v>28</v>
      </c>
      <c r="M8872" s="2" t="s">
        <v>824</v>
      </c>
      <c r="N8872" s="17" t="s">
        <v>906</v>
      </c>
    </row>
    <row r="8873" spans="1:14" ht="15" customHeight="1" x14ac:dyDescent="0.2">
      <c r="A8873" s="10">
        <v>-4.42</v>
      </c>
      <c r="B8873" s="10">
        <v>2.2305000000000001</v>
      </c>
      <c r="C8873" s="2" t="s">
        <v>891</v>
      </c>
      <c r="D8873" s="2">
        <f>A8873</f>
        <v>-4.42</v>
      </c>
      <c r="E8873" s="2">
        <f>B8873</f>
        <v>2.2305000000000001</v>
      </c>
      <c r="F8873" s="2">
        <v>2022</v>
      </c>
      <c r="G8873" s="2" t="s">
        <v>902</v>
      </c>
      <c r="H8873" s="5" t="s">
        <v>162</v>
      </c>
      <c r="I8873" s="2" t="s">
        <v>163</v>
      </c>
      <c r="J8873" s="2">
        <v>55.023600000000002</v>
      </c>
      <c r="K8873" s="2">
        <v>20.8904</v>
      </c>
      <c r="L8873" s="2" t="s">
        <v>811</v>
      </c>
      <c r="M8873" s="2" t="s">
        <v>167</v>
      </c>
      <c r="N8873" s="11" t="s">
        <v>166</v>
      </c>
    </row>
    <row r="8874" spans="1:14" ht="15" customHeight="1" x14ac:dyDescent="0.2">
      <c r="A8874" s="31">
        <v>-8.6069594875501799E-3</v>
      </c>
      <c r="B8874" s="31"/>
      <c r="C8874" s="2" t="s">
        <v>892</v>
      </c>
      <c r="D8874" s="2">
        <f t="shared" ref="D8874:D8883" si="254">A8874 * 545.45</f>
        <v>-4.6946660524842461</v>
      </c>
      <c r="F8874" s="2">
        <v>2020</v>
      </c>
      <c r="G8874" s="38" t="s">
        <v>901</v>
      </c>
      <c r="H8874" s="2" t="s">
        <v>747</v>
      </c>
      <c r="I8874" s="31" t="s">
        <v>263</v>
      </c>
      <c r="J8874" s="31" t="s">
        <v>822</v>
      </c>
      <c r="K8874" s="31" t="s">
        <v>822</v>
      </c>
      <c r="L8874" s="2" t="s">
        <v>28</v>
      </c>
      <c r="M8874" s="2" t="s">
        <v>824</v>
      </c>
      <c r="N8874" s="17" t="s">
        <v>906</v>
      </c>
    </row>
    <row r="8875" spans="1:14" ht="15" customHeight="1" x14ac:dyDescent="0.2">
      <c r="A8875" s="31">
        <v>-8.6654912743680899E-3</v>
      </c>
      <c r="B8875" s="31"/>
      <c r="C8875" s="2" t="s">
        <v>892</v>
      </c>
      <c r="D8875" s="2">
        <f t="shared" si="254"/>
        <v>-4.7265922156040752</v>
      </c>
      <c r="F8875" s="2">
        <v>2020</v>
      </c>
      <c r="G8875" s="38" t="s">
        <v>901</v>
      </c>
      <c r="H8875" s="2" t="s">
        <v>747</v>
      </c>
      <c r="I8875" s="31" t="s">
        <v>268</v>
      </c>
      <c r="J8875" s="31" t="s">
        <v>822</v>
      </c>
      <c r="K8875" s="31" t="s">
        <v>822</v>
      </c>
      <c r="L8875" s="2" t="s">
        <v>28</v>
      </c>
      <c r="M8875" s="2" t="s">
        <v>824</v>
      </c>
      <c r="N8875" s="17" t="s">
        <v>906</v>
      </c>
    </row>
    <row r="8876" spans="1:14" ht="15" customHeight="1" x14ac:dyDescent="0.2">
      <c r="A8876" s="31">
        <v>-8.6983030895347105E-3</v>
      </c>
      <c r="B8876" s="31"/>
      <c r="C8876" s="2" t="s">
        <v>892</v>
      </c>
      <c r="D8876" s="2">
        <f t="shared" si="254"/>
        <v>-4.7444894201867083</v>
      </c>
      <c r="F8876" s="2">
        <v>2020</v>
      </c>
      <c r="G8876" s="38" t="s">
        <v>901</v>
      </c>
      <c r="H8876" s="2" t="s">
        <v>747</v>
      </c>
      <c r="I8876" s="31" t="s">
        <v>265</v>
      </c>
      <c r="J8876" s="31" t="s">
        <v>822</v>
      </c>
      <c r="K8876" s="31" t="s">
        <v>822</v>
      </c>
      <c r="L8876" s="2" t="s">
        <v>28</v>
      </c>
      <c r="M8876" s="2" t="s">
        <v>824</v>
      </c>
      <c r="N8876" s="17" t="s">
        <v>906</v>
      </c>
    </row>
    <row r="8877" spans="1:14" ht="15" customHeight="1" x14ac:dyDescent="0.2">
      <c r="A8877" s="31">
        <v>-8.7156205428397093E-3</v>
      </c>
      <c r="B8877" s="31"/>
      <c r="C8877" s="2" t="s">
        <v>892</v>
      </c>
      <c r="D8877" s="2">
        <f t="shared" si="254"/>
        <v>-4.7539352250919196</v>
      </c>
      <c r="F8877" s="2">
        <v>2020</v>
      </c>
      <c r="G8877" s="38" t="s">
        <v>901</v>
      </c>
      <c r="H8877" s="2" t="s">
        <v>749</v>
      </c>
      <c r="I8877" s="31" t="s">
        <v>259</v>
      </c>
      <c r="J8877" s="31">
        <v>54.373600000000003</v>
      </c>
      <c r="K8877" s="31">
        <v>13.239800000000001</v>
      </c>
      <c r="L8877" s="2" t="s">
        <v>28</v>
      </c>
      <c r="M8877" s="2" t="s">
        <v>824</v>
      </c>
      <c r="N8877" s="17" t="s">
        <v>906</v>
      </c>
    </row>
    <row r="8878" spans="1:14" ht="15" customHeight="1" x14ac:dyDescent="0.2">
      <c r="A8878" s="31">
        <v>-9.0088712121493292E-3</v>
      </c>
      <c r="B8878" s="31"/>
      <c r="C8878" s="2" t="s">
        <v>892</v>
      </c>
      <c r="D8878" s="2">
        <f t="shared" si="254"/>
        <v>-4.9138888026668521</v>
      </c>
      <c r="F8878" s="2">
        <v>2020</v>
      </c>
      <c r="G8878" s="38" t="s">
        <v>901</v>
      </c>
      <c r="H8878" s="2" t="s">
        <v>749</v>
      </c>
      <c r="I8878" s="31" t="s">
        <v>261</v>
      </c>
      <c r="J8878" s="31">
        <v>54.372100000000003</v>
      </c>
      <c r="K8878" s="31">
        <v>13.242699999999999</v>
      </c>
      <c r="L8878" s="2" t="s">
        <v>28</v>
      </c>
      <c r="M8878" s="2" t="s">
        <v>824</v>
      </c>
      <c r="N8878" s="17" t="s">
        <v>906</v>
      </c>
    </row>
    <row r="8879" spans="1:14" ht="15" customHeight="1" x14ac:dyDescent="0.2">
      <c r="A8879" s="31">
        <v>-9.2046862590205308E-3</v>
      </c>
      <c r="B8879" s="31"/>
      <c r="C8879" s="2" t="s">
        <v>892</v>
      </c>
      <c r="D8879" s="2">
        <f t="shared" si="254"/>
        <v>-5.0206961199827491</v>
      </c>
      <c r="F8879" s="2">
        <v>2020</v>
      </c>
      <c r="G8879" s="38" t="s">
        <v>901</v>
      </c>
      <c r="H8879" s="2" t="s">
        <v>747</v>
      </c>
      <c r="I8879" s="31" t="s">
        <v>262</v>
      </c>
      <c r="J8879" s="31" t="s">
        <v>822</v>
      </c>
      <c r="K8879" s="31" t="s">
        <v>822</v>
      </c>
      <c r="L8879" s="2" t="s">
        <v>28</v>
      </c>
      <c r="M8879" s="2" t="s">
        <v>824</v>
      </c>
      <c r="N8879" s="17" t="s">
        <v>906</v>
      </c>
    </row>
    <row r="8880" spans="1:14" ht="15" customHeight="1" x14ac:dyDescent="0.2">
      <c r="A8880" s="31">
        <v>-9.2508547070982092E-3</v>
      </c>
      <c r="B8880" s="31"/>
      <c r="C8880" s="2" t="s">
        <v>892</v>
      </c>
      <c r="D8880" s="2">
        <f t="shared" si="254"/>
        <v>-5.0458786999867185</v>
      </c>
      <c r="F8880" s="2">
        <v>2020</v>
      </c>
      <c r="G8880" s="38" t="s">
        <v>901</v>
      </c>
      <c r="H8880" s="2" t="s">
        <v>749</v>
      </c>
      <c r="I8880" s="31" t="s">
        <v>260</v>
      </c>
      <c r="J8880" s="31">
        <v>54.372</v>
      </c>
      <c r="K8880" s="31">
        <v>13.241300000000001</v>
      </c>
      <c r="L8880" s="2" t="s">
        <v>28</v>
      </c>
      <c r="M8880" s="2" t="s">
        <v>824</v>
      </c>
      <c r="N8880" s="17" t="s">
        <v>906</v>
      </c>
    </row>
    <row r="8881" spans="1:14" ht="15" customHeight="1" x14ac:dyDescent="0.2">
      <c r="A8881" s="31">
        <v>-9.3354959152571297E-3</v>
      </c>
      <c r="B8881" s="31"/>
      <c r="C8881" s="2" t="s">
        <v>892</v>
      </c>
      <c r="D8881" s="2">
        <f t="shared" si="254"/>
        <v>-5.0920462469770023</v>
      </c>
      <c r="F8881" s="2">
        <v>2020</v>
      </c>
      <c r="G8881" s="38" t="s">
        <v>901</v>
      </c>
      <c r="H8881" s="2" t="s">
        <v>747</v>
      </c>
      <c r="I8881" s="31" t="s">
        <v>264</v>
      </c>
      <c r="J8881" s="31" t="s">
        <v>822</v>
      </c>
      <c r="K8881" s="31" t="s">
        <v>822</v>
      </c>
      <c r="L8881" s="2" t="s">
        <v>28</v>
      </c>
      <c r="M8881" s="2" t="s">
        <v>824</v>
      </c>
      <c r="N8881" s="17" t="s">
        <v>906</v>
      </c>
    </row>
    <row r="8882" spans="1:14" ht="15" customHeight="1" x14ac:dyDescent="0.2">
      <c r="A8882" s="31">
        <v>-1.12243522126932E-2</v>
      </c>
      <c r="B8882" s="31"/>
      <c r="C8882" s="2" t="s">
        <v>892</v>
      </c>
      <c r="D8882" s="2">
        <f t="shared" si="254"/>
        <v>-6.1223229144135063</v>
      </c>
      <c r="F8882" s="2">
        <v>2020</v>
      </c>
      <c r="G8882" s="38" t="s">
        <v>901</v>
      </c>
      <c r="H8882" s="2" t="s">
        <v>746</v>
      </c>
      <c r="I8882" s="31" t="s">
        <v>256</v>
      </c>
      <c r="J8882" s="31">
        <v>54.371099999999998</v>
      </c>
      <c r="K8882" s="31">
        <v>13.2446</v>
      </c>
      <c r="L8882" s="2" t="s">
        <v>28</v>
      </c>
      <c r="M8882" s="2" t="s">
        <v>824</v>
      </c>
      <c r="N8882" s="17" t="s">
        <v>906</v>
      </c>
    </row>
    <row r="8883" spans="1:14" ht="15" customHeight="1" x14ac:dyDescent="0.2">
      <c r="A8883" s="31">
        <v>-1.4096896173572E-2</v>
      </c>
      <c r="B8883" s="31"/>
      <c r="C8883" s="2" t="s">
        <v>892</v>
      </c>
      <c r="D8883" s="2">
        <f t="shared" si="254"/>
        <v>-7.6891520178748483</v>
      </c>
      <c r="F8883" s="2">
        <v>2020</v>
      </c>
      <c r="G8883" s="38" t="s">
        <v>901</v>
      </c>
      <c r="H8883" s="2" t="s">
        <v>746</v>
      </c>
      <c r="I8883" s="31" t="s">
        <v>259</v>
      </c>
      <c r="J8883" s="31">
        <v>54.373600000000003</v>
      </c>
      <c r="K8883" s="31">
        <v>13.239800000000001</v>
      </c>
      <c r="L8883" s="2" t="s">
        <v>28</v>
      </c>
      <c r="M8883" s="2" t="s">
        <v>824</v>
      </c>
      <c r="N8883" s="17" t="s">
        <v>906</v>
      </c>
    </row>
    <row r="8884" spans="1:14" ht="15" customHeight="1" x14ac:dyDescent="0.2">
      <c r="A8884" s="31">
        <v>-354.94</v>
      </c>
      <c r="B8884" s="31">
        <v>1.95</v>
      </c>
      <c r="C8884" s="31" t="s">
        <v>681</v>
      </c>
      <c r="D8884" s="2">
        <f>A8884 * 0.02273</f>
        <v>-8.0677862000000005</v>
      </c>
      <c r="E8884" s="2">
        <f>B8884* 0.02273</f>
        <v>4.4323500000000002E-2</v>
      </c>
      <c r="F8884" s="2">
        <v>2017</v>
      </c>
      <c r="G8884" s="23" t="s">
        <v>901</v>
      </c>
      <c r="H8884" s="2" t="s">
        <v>774</v>
      </c>
      <c r="I8884" s="31" t="s">
        <v>850</v>
      </c>
      <c r="J8884" s="31">
        <v>37.81</v>
      </c>
      <c r="K8884" s="31">
        <v>-2.79</v>
      </c>
      <c r="L8884" s="34" t="s">
        <v>82</v>
      </c>
      <c r="N8884" s="6" t="s">
        <v>853</v>
      </c>
    </row>
    <row r="8885" spans="1:14" ht="15" customHeight="1" x14ac:dyDescent="0.2">
      <c r="A8885" s="13">
        <v>-0.42</v>
      </c>
      <c r="B8885" s="13"/>
      <c r="C8885" s="2" t="s">
        <v>98</v>
      </c>
      <c r="D8885" s="2">
        <f>A8885 * 22.727</f>
        <v>-9.5453399999999995</v>
      </c>
      <c r="F8885" s="2" t="s">
        <v>822</v>
      </c>
      <c r="G8885" s="2" t="s">
        <v>901</v>
      </c>
      <c r="H8885" s="2" t="s">
        <v>822</v>
      </c>
      <c r="I8885" s="14" t="s">
        <v>205</v>
      </c>
      <c r="J8885" s="15">
        <v>53.6875</v>
      </c>
      <c r="K8885" s="16">
        <v>-2.951111</v>
      </c>
      <c r="L8885" s="16"/>
      <c r="M8885" s="33" t="s">
        <v>821</v>
      </c>
      <c r="N8885" s="17" t="s">
        <v>863</v>
      </c>
    </row>
    <row r="8886" spans="1:14" ht="15" customHeight="1" x14ac:dyDescent="0.2">
      <c r="A8886" s="31">
        <v>-606.58000000000004</v>
      </c>
      <c r="B8886" s="31">
        <v>1.66</v>
      </c>
      <c r="C8886" s="31" t="s">
        <v>681</v>
      </c>
      <c r="D8886" s="2">
        <f>A8886 * 0.02273</f>
        <v>-13.787563400000002</v>
      </c>
      <c r="E8886" s="2">
        <f>B8886* 0.02273</f>
        <v>3.7731799999999996E-2</v>
      </c>
      <c r="F8886" s="2">
        <v>2017</v>
      </c>
      <c r="G8886" s="23" t="s">
        <v>901</v>
      </c>
      <c r="H8886" s="2" t="s">
        <v>837</v>
      </c>
      <c r="I8886" s="31" t="s">
        <v>849</v>
      </c>
      <c r="J8886" s="31">
        <v>37.86</v>
      </c>
      <c r="K8886" s="31">
        <v>-2.65</v>
      </c>
      <c r="L8886" s="34" t="s">
        <v>82</v>
      </c>
      <c r="N8886" s="6" t="s">
        <v>853</v>
      </c>
    </row>
    <row r="8887" spans="1:14" ht="15" customHeight="1" x14ac:dyDescent="0.2">
      <c r="A8887" s="31">
        <v>-2.72072895623744E-2</v>
      </c>
      <c r="B8887" s="31"/>
      <c r="C8887" s="2" t="s">
        <v>892</v>
      </c>
      <c r="D8887" s="2">
        <f>A8887 * 545.45</f>
        <v>-14.840216091797117</v>
      </c>
      <c r="F8887" s="2">
        <v>2020</v>
      </c>
      <c r="G8887" s="38" t="s">
        <v>901</v>
      </c>
      <c r="H8887" s="2" t="s">
        <v>727</v>
      </c>
      <c r="I8887" s="31" t="s">
        <v>260</v>
      </c>
      <c r="J8887" s="31">
        <v>54.372</v>
      </c>
      <c r="K8887" s="31">
        <v>13.241300000000001</v>
      </c>
      <c r="L8887" s="2" t="s">
        <v>28</v>
      </c>
      <c r="M8887" s="2" t="s">
        <v>824</v>
      </c>
      <c r="N8887" s="17" t="s">
        <v>906</v>
      </c>
    </row>
    <row r="8888" spans="1:14" ht="15" customHeight="1" x14ac:dyDescent="0.2">
      <c r="A8888" s="31">
        <v>-1118.43</v>
      </c>
      <c r="B8888" s="31">
        <v>1.1100000000000001</v>
      </c>
      <c r="C8888" s="31" t="s">
        <v>681</v>
      </c>
      <c r="D8888" s="2">
        <f>A8888 * 0.02273</f>
        <v>-25.421913900000003</v>
      </c>
      <c r="E8888" s="2">
        <f>B8888* 0.02273</f>
        <v>2.5230300000000004E-2</v>
      </c>
      <c r="F8888" s="2">
        <v>2017</v>
      </c>
      <c r="G8888" s="23" t="s">
        <v>901</v>
      </c>
      <c r="H8888" s="2" t="s">
        <v>748</v>
      </c>
      <c r="I8888" s="31" t="s">
        <v>849</v>
      </c>
      <c r="J8888" s="31">
        <v>37.86</v>
      </c>
      <c r="K8888" s="31">
        <v>-2.65</v>
      </c>
      <c r="L8888" s="34" t="s">
        <v>82</v>
      </c>
      <c r="N8888" s="6" t="s">
        <v>853</v>
      </c>
    </row>
    <row r="8889" spans="1:14" ht="15" customHeight="1" x14ac:dyDescent="0.2">
      <c r="A8889" s="31">
        <v>-1193.73</v>
      </c>
      <c r="B8889" s="31">
        <v>1.99</v>
      </c>
      <c r="C8889" s="31" t="s">
        <v>681</v>
      </c>
      <c r="D8889" s="2">
        <f>A8889 * 0.02273</f>
        <v>-27.133482900000001</v>
      </c>
      <c r="E8889" s="2">
        <f>B8889* 0.02273</f>
        <v>4.5232700000000001E-2</v>
      </c>
      <c r="F8889" s="2">
        <v>2016</v>
      </c>
      <c r="G8889" s="23" t="s">
        <v>901</v>
      </c>
      <c r="H8889" s="2" t="s">
        <v>776</v>
      </c>
      <c r="I8889" s="31" t="s">
        <v>844</v>
      </c>
      <c r="J8889" s="31">
        <v>37.76</v>
      </c>
      <c r="K8889" s="31">
        <v>-2.9</v>
      </c>
      <c r="L8889" s="34" t="s">
        <v>82</v>
      </c>
      <c r="N8889" s="6" t="s">
        <v>853</v>
      </c>
    </row>
    <row r="8890" spans="1:14" ht="15" customHeight="1" x14ac:dyDescent="0.2">
      <c r="A8890" s="31">
        <v>-1268.49</v>
      </c>
      <c r="B8890" s="31">
        <v>1.97</v>
      </c>
      <c r="C8890" s="31" t="s">
        <v>681</v>
      </c>
      <c r="D8890" s="2">
        <f>A8890 * 0.02273</f>
        <v>-28.832777700000001</v>
      </c>
      <c r="E8890" s="2">
        <f>B8890* 0.02273</f>
        <v>4.4778100000000001E-2</v>
      </c>
      <c r="F8890" s="2">
        <v>2016</v>
      </c>
      <c r="G8890" s="23" t="s">
        <v>901</v>
      </c>
      <c r="H8890" s="2" t="s">
        <v>778</v>
      </c>
      <c r="I8890" s="31" t="s">
        <v>847</v>
      </c>
      <c r="J8890" s="31">
        <v>37.31</v>
      </c>
      <c r="K8890" s="31">
        <v>-3.27</v>
      </c>
      <c r="L8890" s="34" t="s">
        <v>82</v>
      </c>
      <c r="N8890" s="6" t="s">
        <v>853</v>
      </c>
    </row>
    <row r="8891" spans="1:14" ht="15" customHeight="1" x14ac:dyDescent="0.2">
      <c r="A8891" s="31">
        <v>-1414.15</v>
      </c>
      <c r="B8891" s="31">
        <v>2.73</v>
      </c>
      <c r="C8891" s="31" t="s">
        <v>681</v>
      </c>
      <c r="D8891" s="2">
        <f>A8891 * 0.02273</f>
        <v>-32.143629500000003</v>
      </c>
      <c r="E8891" s="2">
        <f>B8891* 0.02273</f>
        <v>6.2052900000000001E-2</v>
      </c>
      <c r="F8891" s="2">
        <v>2017</v>
      </c>
      <c r="G8891" s="23" t="s">
        <v>901</v>
      </c>
      <c r="H8891" s="2" t="s">
        <v>840</v>
      </c>
      <c r="I8891" s="31" t="s">
        <v>852</v>
      </c>
      <c r="J8891" s="31">
        <v>36.86</v>
      </c>
      <c r="K8891" s="31">
        <v>-3.49</v>
      </c>
      <c r="L8891" s="34" t="s">
        <v>82</v>
      </c>
      <c r="N8891" s="6" t="s">
        <v>853</v>
      </c>
    </row>
    <row r="8892" spans="1:14" ht="15" customHeight="1" x14ac:dyDescent="0.2">
      <c r="A8892" s="18">
        <v>-1.4793428571428571</v>
      </c>
      <c r="B8892" s="18"/>
      <c r="C8892" s="2" t="s">
        <v>98</v>
      </c>
      <c r="D8892" s="2">
        <f>A8892 * 22.727</f>
        <v>-33.621025114285715</v>
      </c>
      <c r="F8892" s="2" t="s">
        <v>822</v>
      </c>
      <c r="G8892" s="2" t="s">
        <v>901</v>
      </c>
      <c r="H8892" s="2" t="s">
        <v>822</v>
      </c>
      <c r="I8892" s="14" t="s">
        <v>206</v>
      </c>
      <c r="J8892" s="15">
        <v>50.994100000000003</v>
      </c>
      <c r="K8892" s="16">
        <v>-4.1802830000000002</v>
      </c>
      <c r="L8892" s="16"/>
      <c r="M8892" s="33" t="s">
        <v>821</v>
      </c>
      <c r="N8892" s="17" t="s">
        <v>864</v>
      </c>
    </row>
    <row r="8893" spans="1:14" ht="15" customHeight="1" x14ac:dyDescent="0.2">
      <c r="A8893" s="31">
        <v>-1657.87</v>
      </c>
      <c r="B8893" s="31">
        <v>3.93</v>
      </c>
      <c r="C8893" s="31" t="s">
        <v>681</v>
      </c>
      <c r="D8893" s="2">
        <f t="shared" ref="D8893:D8898" si="255">A8893 * 0.02273</f>
        <v>-37.683385099999995</v>
      </c>
      <c r="E8893" s="2">
        <f t="shared" ref="E8893:E8898" si="256">B8893* 0.02273</f>
        <v>8.9328900000000003E-2</v>
      </c>
      <c r="F8893" s="2">
        <v>2016</v>
      </c>
      <c r="G8893" s="23" t="s">
        <v>901</v>
      </c>
      <c r="H8893" s="2" t="s">
        <v>749</v>
      </c>
      <c r="I8893" s="31" t="s">
        <v>842</v>
      </c>
      <c r="J8893" s="31">
        <v>38.4</v>
      </c>
      <c r="K8893" s="31">
        <v>-3.72</v>
      </c>
      <c r="L8893" s="34" t="s">
        <v>82</v>
      </c>
      <c r="N8893" s="6" t="s">
        <v>853</v>
      </c>
    </row>
    <row r="8894" spans="1:14" ht="15" customHeight="1" x14ac:dyDescent="0.2">
      <c r="A8894" s="31">
        <v>-1730.38</v>
      </c>
      <c r="B8894" s="31">
        <v>2.14</v>
      </c>
      <c r="C8894" s="31" t="s">
        <v>681</v>
      </c>
      <c r="D8894" s="2">
        <f t="shared" si="255"/>
        <v>-39.331537400000002</v>
      </c>
      <c r="E8894" s="2">
        <f t="shared" si="256"/>
        <v>4.8642200000000003E-2</v>
      </c>
      <c r="F8894" s="2">
        <v>2017</v>
      </c>
      <c r="G8894" s="23" t="s">
        <v>901</v>
      </c>
      <c r="H8894" s="2" t="s">
        <v>779</v>
      </c>
      <c r="I8894" s="31" t="s">
        <v>851</v>
      </c>
      <c r="J8894" s="31">
        <v>38.229999999999997</v>
      </c>
      <c r="K8894" s="31">
        <v>-3.97</v>
      </c>
      <c r="L8894" s="34" t="s">
        <v>82</v>
      </c>
      <c r="N8894" s="6" t="s">
        <v>853</v>
      </c>
    </row>
    <row r="8895" spans="1:14" ht="15" customHeight="1" x14ac:dyDescent="0.2">
      <c r="A8895" s="31">
        <v>-2442.0300000000002</v>
      </c>
      <c r="B8895" s="31">
        <v>2.1</v>
      </c>
      <c r="C8895" s="31" t="s">
        <v>681</v>
      </c>
      <c r="D8895" s="2">
        <f t="shared" si="255"/>
        <v>-55.507341900000007</v>
      </c>
      <c r="E8895" s="2">
        <f t="shared" si="256"/>
        <v>4.7733000000000005E-2</v>
      </c>
      <c r="F8895" s="2">
        <v>2016</v>
      </c>
      <c r="G8895" s="23" t="s">
        <v>901</v>
      </c>
      <c r="H8895" s="2" t="s">
        <v>754</v>
      </c>
      <c r="I8895" s="31" t="s">
        <v>845</v>
      </c>
      <c r="J8895" s="31">
        <v>36.99</v>
      </c>
      <c r="K8895" s="31">
        <v>-3.89</v>
      </c>
      <c r="L8895" s="34" t="s">
        <v>82</v>
      </c>
      <c r="N8895" s="6" t="s">
        <v>853</v>
      </c>
    </row>
    <row r="8896" spans="1:14" ht="15" customHeight="1" x14ac:dyDescent="0.2">
      <c r="A8896" s="31">
        <v>-2680.2</v>
      </c>
      <c r="B8896" s="31">
        <v>2.41</v>
      </c>
      <c r="C8896" s="31" t="s">
        <v>681</v>
      </c>
      <c r="D8896" s="2">
        <f t="shared" si="255"/>
        <v>-60.920945999999994</v>
      </c>
      <c r="E8896" s="2">
        <f t="shared" si="256"/>
        <v>5.4779300000000003E-2</v>
      </c>
      <c r="F8896" s="2">
        <v>2016</v>
      </c>
      <c r="G8896" s="23" t="s">
        <v>901</v>
      </c>
      <c r="H8896" s="2" t="s">
        <v>775</v>
      </c>
      <c r="I8896" s="31" t="s">
        <v>843</v>
      </c>
      <c r="J8896" s="31">
        <v>37.56</v>
      </c>
      <c r="K8896" s="31">
        <v>-2.95</v>
      </c>
      <c r="L8896" s="34" t="s">
        <v>82</v>
      </c>
      <c r="N8896" s="6" t="s">
        <v>853</v>
      </c>
    </row>
    <row r="8897" spans="1:14" ht="15" customHeight="1" x14ac:dyDescent="0.2">
      <c r="A8897" s="31">
        <v>-4491.28</v>
      </c>
      <c r="B8897" s="31">
        <v>2.99</v>
      </c>
      <c r="C8897" s="31" t="s">
        <v>681</v>
      </c>
      <c r="D8897" s="2">
        <f t="shared" si="255"/>
        <v>-102.08679439999999</v>
      </c>
      <c r="E8897" s="2">
        <f t="shared" si="256"/>
        <v>6.7962700000000001E-2</v>
      </c>
      <c r="F8897" s="2">
        <v>2016</v>
      </c>
      <c r="G8897" s="23" t="s">
        <v>901</v>
      </c>
      <c r="H8897" s="2" t="s">
        <v>773</v>
      </c>
      <c r="I8897" s="31" t="s">
        <v>841</v>
      </c>
      <c r="J8897" s="31">
        <v>37.270000000000003</v>
      </c>
      <c r="K8897" s="31">
        <v>-3.68</v>
      </c>
      <c r="L8897" s="34" t="s">
        <v>82</v>
      </c>
      <c r="N8897" s="6" t="s">
        <v>853</v>
      </c>
    </row>
    <row r="8898" spans="1:14" ht="15" customHeight="1" x14ac:dyDescent="0.2">
      <c r="A8898" s="31">
        <v>-4721.8100000000004</v>
      </c>
      <c r="B8898" s="31">
        <v>4.1100000000000003</v>
      </c>
      <c r="C8898" s="31" t="s">
        <v>681</v>
      </c>
      <c r="D8898" s="2">
        <f t="shared" si="255"/>
        <v>-107.32674130000001</v>
      </c>
      <c r="E8898" s="2">
        <f t="shared" si="256"/>
        <v>9.3420300000000012E-2</v>
      </c>
      <c r="F8898" s="2">
        <v>2017</v>
      </c>
      <c r="G8898" s="23" t="s">
        <v>901</v>
      </c>
      <c r="H8898" s="2" t="s">
        <v>780</v>
      </c>
      <c r="I8898" s="31" t="s">
        <v>852</v>
      </c>
      <c r="J8898" s="31">
        <v>36.86</v>
      </c>
      <c r="K8898" s="31">
        <v>-3.49</v>
      </c>
      <c r="L8898" s="34" t="s">
        <v>82</v>
      </c>
      <c r="N8898" s="6" t="s">
        <v>853</v>
      </c>
    </row>
    <row r="8899" spans="1:14" ht="15" customHeight="1" x14ac:dyDescent="0.2">
      <c r="A8899" s="2">
        <v>-5.3327999999999998</v>
      </c>
      <c r="C8899" s="2" t="s">
        <v>98</v>
      </c>
      <c r="D8899" s="2">
        <f>A8899 * 22.727</f>
        <v>-121.1985456</v>
      </c>
      <c r="F8899" s="2" t="s">
        <v>822</v>
      </c>
      <c r="G8899" s="2" t="s">
        <v>901</v>
      </c>
      <c r="H8899" s="2" t="s">
        <v>822</v>
      </c>
      <c r="I8899" s="2" t="s">
        <v>204</v>
      </c>
      <c r="J8899" s="2">
        <v>52.527434</v>
      </c>
      <c r="K8899" s="2">
        <v>-4.0127459999999999</v>
      </c>
      <c r="M8899" s="33" t="s">
        <v>821</v>
      </c>
      <c r="N8899" s="6" t="s">
        <v>203</v>
      </c>
    </row>
    <row r="8900" spans="1:14" ht="15" customHeight="1" x14ac:dyDescent="0.2">
      <c r="A8900" s="31">
        <v>-5595.93</v>
      </c>
      <c r="B8900" s="31">
        <v>3.17</v>
      </c>
      <c r="C8900" s="31" t="s">
        <v>681</v>
      </c>
      <c r="D8900" s="2">
        <f>A8900 * 0.02273</f>
        <v>-127.1954889</v>
      </c>
      <c r="E8900" s="2">
        <f>B8900* 0.02273</f>
        <v>7.2054099999999996E-2</v>
      </c>
      <c r="F8900" s="2">
        <v>2016</v>
      </c>
      <c r="G8900" s="23" t="s">
        <v>901</v>
      </c>
      <c r="H8900" s="2" t="s">
        <v>777</v>
      </c>
      <c r="I8900" s="31" t="s">
        <v>846</v>
      </c>
      <c r="J8900" s="31">
        <v>37.26</v>
      </c>
      <c r="K8900" s="31">
        <v>-4.33</v>
      </c>
      <c r="L8900" s="34" t="s">
        <v>82</v>
      </c>
      <c r="N8900" s="6" t="s">
        <v>853</v>
      </c>
    </row>
    <row r="8901" spans="1:14" ht="15" customHeight="1" x14ac:dyDescent="0.2">
      <c r="A8901" s="31">
        <v>-7495.54</v>
      </c>
      <c r="B8901" s="31">
        <v>1.48</v>
      </c>
      <c r="C8901" s="31" t="s">
        <v>681</v>
      </c>
      <c r="D8901" s="2">
        <f>A8901 * 0.02273</f>
        <v>-170.37362419999999</v>
      </c>
      <c r="E8901" s="2">
        <f>B8901* 0.02273</f>
        <v>3.3640400000000001E-2</v>
      </c>
      <c r="F8901" s="2">
        <v>2016</v>
      </c>
      <c r="G8901" s="23" t="s">
        <v>901</v>
      </c>
      <c r="H8901" s="2" t="s">
        <v>758</v>
      </c>
      <c r="I8901" s="31" t="s">
        <v>848</v>
      </c>
      <c r="J8901" s="31">
        <v>36.92</v>
      </c>
      <c r="K8901" s="31">
        <v>-3.55</v>
      </c>
      <c r="L8901" s="34" t="s">
        <v>82</v>
      </c>
      <c r="N8901" s="6" t="s">
        <v>853</v>
      </c>
    </row>
  </sheetData>
  <autoFilter ref="A1:N8901" xr:uid="{00000000-0001-0000-0000-000000000000}"/>
  <phoneticPr fontId="2" type="noConversion"/>
  <hyperlinks>
    <hyperlink ref="N188" r:id="rId1" display="https://doi.org/10.1016/j.scitotenv.2017.07.021" xr:uid="{C3F15409-EE26-48E7-B073-03AFBF2C6B66}"/>
    <hyperlink ref="N370" r:id="rId2" display="https://doi.org/10.1016/j.scitotenv.2017.07.021" xr:uid="{AF2B9DC8-5711-4E7A-83D8-AF75FDD169A2}"/>
    <hyperlink ref="N330" r:id="rId3" display="https://doi.org/10.1016/j.scitotenv.2017.07.021" xr:uid="{BA26F005-97C1-4897-A06A-3DFC59A20EBF}"/>
    <hyperlink ref="N38" r:id="rId4" display="https://doi.org/10.1016/j.scitotenv.2017.07.021" xr:uid="{CCFB33AB-35E0-4E37-B1C4-85D01E855A40}"/>
    <hyperlink ref="N83" r:id="rId5" display="https://doi.org/10.1016/j.scitotenv.2017.07.021" xr:uid="{B6342D6B-5115-455E-840F-6318A7521066}"/>
    <hyperlink ref="N78" r:id="rId6" display="https://doi.org/10.1016/j.scitotenv.2017.07.021" xr:uid="{6E2DA064-4733-42EC-8B3D-85AA2DDF9F49}"/>
    <hyperlink ref="N211" r:id="rId7" display="https://doi.org/10.1016/j.scitotenv.2017.07.021" xr:uid="{8BEF5C34-2878-44C0-A996-F785D68DF4D8}"/>
    <hyperlink ref="N578" r:id="rId8" display="https://doi.org/10.1016/j.scitotenv.2017.07.021" xr:uid="{E4BF6F8A-E55E-4A33-A69A-F288274CF2D5}"/>
    <hyperlink ref="N347" r:id="rId9" display="https://doi.org/10.1016/j.scitotenv.2017.07.021" xr:uid="{277629F0-7D0A-48BA-A3B7-D9E4E5B5D9BB}"/>
    <hyperlink ref="N335" r:id="rId10" display="https://doi.org/10.5194/bg-16-4097-2019" xr:uid="{60F7D4B1-8492-4796-A0F9-89BB5EE66A20}"/>
    <hyperlink ref="N8843" r:id="rId11" display="https://doi.org/10.1016/j.watres.2022.118874" xr:uid="{34C809BE-A228-49FA-92BD-B59A1F4E1792}"/>
    <hyperlink ref="N8861" r:id="rId12" display="https://doi.org/10.1016/j.watres.2022.118874" xr:uid="{9F65EBC1-E25B-47DF-B5DE-9714A14E476E}"/>
    <hyperlink ref="N21" r:id="rId13" display="https://doi.org/10.1007/s00027-018-0580-5" xr:uid="{30B21E7D-B707-47C4-A6FB-DB5690258725}"/>
    <hyperlink ref="N22" r:id="rId14" display="https://doi.org/10.1007/s00027-018-0580-5" xr:uid="{C7007CDC-F215-4A8B-BA79-8BA90CD4E6D0}"/>
    <hyperlink ref="N310" r:id="rId15" display="https://doi.org/10.1016/j.marchem.2020.103867" xr:uid="{3139A797-62FF-461C-883F-4681B68183F3}"/>
    <hyperlink ref="N50:N51" r:id="rId16" display="https://doi.org/10.1016/j.marchem.2020.103867" xr:uid="{E1DEE7AE-A5E6-4726-AA30-8DF698DFEF65}"/>
    <hyperlink ref="N515" r:id="rId17" display="https://doi.org/10.1016/j.ecss.2015.10.028" xr:uid="{83AB0DD3-ECB1-419D-8D45-796C17669F85}"/>
    <hyperlink ref="N222" r:id="rId18" display="https://doi.org/10.1007/s00027-018-0580-5" xr:uid="{D769A8F4-A956-4244-8E7F-F9BEE626A3B2}"/>
    <hyperlink ref="N474" r:id="rId19" display="https://doi.org/10.1016/j.pocean.2024.103261" xr:uid="{5099A702-6EB1-4627-9621-FC943C9DDC48}"/>
    <hyperlink ref="N349" r:id="rId20" display="https://doi.org/10.1016/j.pocean.2024.103261" xr:uid="{2D63CD50-5ECD-4900-B7E9-5061C235A6CD}"/>
    <hyperlink ref="N8832" r:id="rId21" display="https://doi.org/10.1016/j.pocean.2024.103261" xr:uid="{065AD695-FD67-4F30-B7C9-05CD013B9ABB}"/>
    <hyperlink ref="N110" r:id="rId22" display="https://doi.org/10.5194/bg-20-3229-2023" xr:uid="{507196C2-C69C-4663-B2A3-FBEE8956D4AE}"/>
    <hyperlink ref="N9" r:id="rId23" display="http://www.elsevier.com/locate/scitotenv" xr:uid="{73DB1081-9D4B-430D-8C4C-8EEBE2D37228}"/>
    <hyperlink ref="N367" r:id="rId24" display="https://doi.org/10.1016/j.scitotenv.2017.03.189" xr:uid="{17DDFA8D-7BEA-4EAD-9487-803C53067F65}"/>
    <hyperlink ref="N8873" r:id="rId25" display="https://doi.org/10.5281/zenodo.13889545" xr:uid="{120285A3-00E3-A340-AB1C-6A7EFBE1612F}"/>
    <hyperlink ref="N8815" r:id="rId26" display="https://doi.org/10.5281/zenodo.13889545" xr:uid="{B4F27A7C-F23A-D14A-94B5-1045F92D3407}"/>
    <hyperlink ref="N175" r:id="rId27" display="https://doi.org/10.5281/zenodo.13889545" xr:uid="{0FBEB1B0-1F1F-7E4E-840F-4B81623209EA}"/>
    <hyperlink ref="N212" r:id="rId28" display="https://doi.org/10.5281/zenodo.13889545" xr:uid="{8E7E4AA6-8847-6E47-93B1-DDBCE7EBF9B9}"/>
    <hyperlink ref="N8695" r:id="rId29" display="https://doi.org/10.5281/zenodo.13889545" xr:uid="{0F9882FB-C14F-FC40-BDDA-FB68E510C591}"/>
    <hyperlink ref="N8786" r:id="rId30" display="https://doi.org/10.5281/zenodo.13889545" xr:uid="{E6E83938-8441-E548-8C91-A46500654EC9}"/>
    <hyperlink ref="N289" r:id="rId31" display="https://doi.org/10.5281/zenodo.13889545" xr:uid="{04589DE2-70AE-5B48-99D8-61E45EEF17BD}"/>
    <hyperlink ref="N300" r:id="rId32" display="https://doi.org/10.5281/zenodo.13889545" xr:uid="{1E667685-A48A-AD4C-BC52-423DCFB36092}"/>
    <hyperlink ref="N8793" r:id="rId33" display="https://doi.org/10.5281/zenodo.13889545" xr:uid="{62C38416-D937-4940-85D8-41867E0E6AF2}"/>
    <hyperlink ref="N8794" r:id="rId34" display="https://doi.org/10.5281/zenodo.13889545" xr:uid="{162FC711-8CA9-F04C-A44A-82D4ABE1A765}"/>
    <hyperlink ref="N269" r:id="rId35" display="https://doi.org/10.5281/zenodo.13889545" xr:uid="{C4215995-6E70-C143-B078-FF510FA84DF9}"/>
    <hyperlink ref="N277" r:id="rId36" display="https://doi.org/10.5281/zenodo.13889545" xr:uid="{3A498443-3A52-DA4F-A057-076774315D27}"/>
    <hyperlink ref="N503" r:id="rId37" display="https://doi.org/10.1016/j.pocean.2024.103261" xr:uid="{AFCE3282-44EA-3942-B4A8-1AF659421F02}"/>
    <hyperlink ref="N488" r:id="rId38" display="https://doi.org/10.1016/j.pocean.2024.103261" xr:uid="{074D5861-F06D-444F-B017-77847B9509A3}"/>
    <hyperlink ref="M182" r:id="rId39" xr:uid="{2B2EA1AA-B13D-3548-B5FF-0939452D6CD6}"/>
    <hyperlink ref="M8899" r:id="rId40" xr:uid="{0BD12A9B-82FA-C64A-A783-BD2DE0DCEA72}"/>
    <hyperlink ref="M8885" r:id="rId41" xr:uid="{49C42D1E-A6F6-A345-8F10-986BE235EA51}"/>
    <hyperlink ref="M8892" r:id="rId42" xr:uid="{7EF42E83-275D-D64A-9DF0-462AEDC3E60C}"/>
    <hyperlink ref="M127" r:id="rId43" xr:uid="{7FB564B4-E8FD-974A-A98F-1C3B083D9763}"/>
    <hyperlink ref="M184" r:id="rId44" xr:uid="{34316CCC-E2B8-D241-B21D-162BDBF8E31F}"/>
    <hyperlink ref="M29" r:id="rId45" xr:uid="{1C972AF7-4EC8-D24F-9CAA-8781D4625C45}"/>
    <hyperlink ref="M196" r:id="rId46" xr:uid="{E0467A20-B4B3-6946-B40A-A62F19C45C39}"/>
    <hyperlink ref="M84" r:id="rId47" xr:uid="{4C461B4F-F8BD-3543-8669-D9818A8D42BB}"/>
    <hyperlink ref="M155" r:id="rId48" xr:uid="{3F27B0B5-49A8-3C43-B91C-EFC902040C94}"/>
    <hyperlink ref="M305" r:id="rId49" xr:uid="{8910AFAA-42F9-E846-B4FE-382FB856FEDE}"/>
    <hyperlink ref="M72" r:id="rId50" xr:uid="{4F85BEE4-AEC4-F74A-8BCE-D5A7AE17A1BB}"/>
    <hyperlink ref="M324" r:id="rId51" xr:uid="{682C016B-077D-0D46-8D86-7CF76EC9EAE4}"/>
    <hyperlink ref="M168" r:id="rId52" xr:uid="{1716846D-55E2-5E4B-8AED-F9CAEB47301C}"/>
    <hyperlink ref="M218" r:id="rId53" xr:uid="{F9B2624B-77A0-BB46-B434-FECF6B5F8295}"/>
    <hyperlink ref="M240" r:id="rId54" xr:uid="{A9049BFB-F792-AE42-9037-3CA61D1683DA}"/>
    <hyperlink ref="M61" r:id="rId55" xr:uid="{216F741A-976A-F247-9483-EA68A1BA875D}"/>
    <hyperlink ref="M316" r:id="rId56" xr:uid="{0E6B6587-DE01-DD49-BA36-D87DC67BAC59}"/>
    <hyperlink ref="M339" r:id="rId57" xr:uid="{7C4E0E4E-FD36-0746-A51E-14CE62165559}"/>
    <hyperlink ref="M174" r:id="rId58" xr:uid="{06A6AF1E-6017-5D4C-8B72-46E79F756A09}"/>
    <hyperlink ref="M130" r:id="rId59" xr:uid="{6E6F2CAC-EB70-8A40-B110-CB455CF57B18}"/>
    <hyperlink ref="M226:M245" r:id="rId60" display="https://doi.org/10.6084/m9.figshare.22351267" xr:uid="{1D50D6CF-2843-D344-BF86-9B38CCFDEEA3}"/>
    <hyperlink ref="M45" r:id="rId61" xr:uid="{64C033D2-7B04-A34B-A2D2-A30902A2B6EA}"/>
  </hyperlinks>
  <pageMargins left="0.7" right="0.7" top="0.75" bottom="0.75" header="0.3" footer="0.3"/>
  <pageSetup paperSize="9" orientation="portrait" r:id="rId6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Bhagat, S.R. (Shaivan)</cp:lastModifiedBy>
  <cp:revision/>
  <dcterms:created xsi:type="dcterms:W3CDTF">2015-06-05T18:17:20Z</dcterms:created>
  <dcterms:modified xsi:type="dcterms:W3CDTF">2025-09-12T16:23:16Z</dcterms:modified>
  <cp:category/>
  <cp:contentStatus/>
</cp:coreProperties>
</file>